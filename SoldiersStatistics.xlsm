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xr2:uid="{00000000-000D-0000-FFFF-FFFF00000000}"/>
  </bookViews>
  <sheets>
    <sheet name="חיילים" sheetId="1" r:id="rId1"/>
    <sheet name="לוח דצמבר" sheetId="10" r:id="rId2"/>
    <sheet name="לוח נובמבר" sheetId="8" r:id="rId3"/>
    <sheet name="לוח ינואר" sheetId="11" r:id="rId4"/>
    <sheet name="סתם" sheetId="9" r:id="rId5"/>
    <sheet name="סטטיסטיקה" sheetId="3" r:id="rId6"/>
    <sheet name="לוח פברואר" sheetId="12" r:id="rId7"/>
  </sheets>
  <definedNames>
    <definedName name="_xlnm._FilterDatabase" localSheetId="0" hidden="1">חיילים!$A$1:$BN$45</definedName>
    <definedName name="_xlnm._FilterDatabase" localSheetId="4" hidden="1">סתם!$A$1:$H$45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3" l="1"/>
  <c r="BL5" i="1"/>
  <c r="BM5" i="1"/>
  <c r="BL3" i="1"/>
  <c r="BM3" i="1"/>
  <c r="BL4" i="1"/>
  <c r="BM4" i="1"/>
  <c r="BL6" i="1"/>
  <c r="BM6" i="1"/>
  <c r="BL8" i="1"/>
  <c r="BM8" i="1"/>
  <c r="BL7" i="1"/>
  <c r="BM7" i="1"/>
  <c r="BL10" i="1"/>
  <c r="BM10" i="1"/>
  <c r="BL11" i="1"/>
  <c r="BM11" i="1"/>
  <c r="BL12" i="1"/>
  <c r="BM12" i="1"/>
  <c r="BL14" i="1"/>
  <c r="BM14" i="1"/>
  <c r="BL13" i="1"/>
  <c r="BM13" i="1"/>
  <c r="BL15" i="1"/>
  <c r="BM15" i="1"/>
  <c r="BL2" i="1"/>
  <c r="BM2" i="1"/>
  <c r="BL9" i="1"/>
  <c r="BM9" i="1"/>
  <c r="BL19" i="1"/>
  <c r="BM19" i="1"/>
  <c r="BL21" i="1"/>
  <c r="BM21" i="1"/>
  <c r="BL18" i="1"/>
  <c r="BM18" i="1"/>
  <c r="BL16" i="1"/>
  <c r="BM16" i="1"/>
  <c r="BL17" i="1"/>
  <c r="BM17" i="1"/>
  <c r="BL20" i="1"/>
  <c r="BM20" i="1"/>
  <c r="BL25" i="1"/>
  <c r="BM25" i="1"/>
  <c r="BL29" i="1"/>
  <c r="BM29" i="1"/>
  <c r="BL34" i="1"/>
  <c r="BM34" i="1"/>
  <c r="BL28" i="1"/>
  <c r="BM28" i="1"/>
  <c r="BL33" i="1"/>
  <c r="BM33" i="1"/>
  <c r="BL30" i="1"/>
  <c r="BM30" i="1"/>
  <c r="BL31" i="1"/>
  <c r="BM31" i="1"/>
  <c r="BL32" i="1"/>
  <c r="BM32" i="1"/>
  <c r="BL36" i="1"/>
  <c r="BM36" i="1"/>
  <c r="BL22" i="1"/>
  <c r="BM22" i="1"/>
  <c r="BL37" i="1"/>
  <c r="BM37" i="1"/>
  <c r="BL26" i="1"/>
  <c r="BM26" i="1"/>
  <c r="BL24" i="1"/>
  <c r="BM24" i="1"/>
  <c r="BL39" i="1"/>
  <c r="BM39" i="1"/>
  <c r="BL27" i="1"/>
  <c r="BM27" i="1"/>
  <c r="BL23" i="1"/>
  <c r="BM23" i="1"/>
  <c r="BL38" i="1"/>
  <c r="BM38" i="1"/>
  <c r="BL35" i="1"/>
  <c r="BM35" i="1"/>
  <c r="BL42" i="1"/>
  <c r="BM42" i="1"/>
  <c r="BL43" i="1"/>
  <c r="BM43" i="1"/>
  <c r="BL44" i="1"/>
  <c r="BM44" i="1"/>
  <c r="BL40" i="1"/>
  <c r="BM40" i="1"/>
  <c r="BL45" i="1"/>
  <c r="BM45" i="1"/>
  <c r="BL41" i="1"/>
  <c r="BM41" i="1"/>
  <c r="G5" i="3"/>
  <c r="G4" i="3"/>
  <c r="G3" i="3"/>
  <c r="BN45" i="1" l="1"/>
  <c r="BN44" i="1"/>
  <c r="BN42" i="1"/>
  <c r="BN19" i="1"/>
  <c r="BN13" i="1"/>
  <c r="BN10" i="1"/>
  <c r="BN4" i="1"/>
  <c r="BN5" i="1"/>
  <c r="BN38" i="1"/>
  <c r="BN41" i="1"/>
  <c r="BN40" i="1"/>
  <c r="BN23" i="1"/>
  <c r="BN15" i="1"/>
  <c r="BN11" i="1"/>
  <c r="BN6" i="1"/>
  <c r="BN3" i="1"/>
  <c r="BN43" i="1"/>
  <c r="BN27" i="1"/>
  <c r="BN35" i="1"/>
  <c r="BN24" i="1"/>
  <c r="BN26" i="1"/>
  <c r="BN37" i="1"/>
  <c r="BN31" i="1"/>
  <c r="BN34" i="1"/>
  <c r="BN17" i="1"/>
  <c r="BN18" i="1"/>
  <c r="BN28" i="1"/>
  <c r="BN20" i="1"/>
  <c r="BN16" i="1"/>
  <c r="BN21" i="1"/>
  <c r="BN7" i="1"/>
  <c r="BN32" i="1"/>
  <c r="BN9" i="1"/>
  <c r="BN14" i="1"/>
  <c r="BN22" i="1"/>
  <c r="BN30" i="1"/>
  <c r="BN29" i="1"/>
  <c r="BN39" i="1"/>
  <c r="BN36" i="1"/>
  <c r="BN2" i="1"/>
  <c r="BN33" i="1"/>
  <c r="BN12" i="1"/>
  <c r="BN25" i="1"/>
  <c r="BN8" i="1"/>
  <c r="BD21" i="1"/>
  <c r="BC21" i="1"/>
  <c r="BD42" i="1"/>
  <c r="BC42" i="1"/>
  <c r="BD43" i="1"/>
  <c r="BC43" i="1"/>
  <c r="BD39" i="1"/>
  <c r="BC39" i="1"/>
  <c r="BD12" i="1"/>
  <c r="BC12" i="1"/>
  <c r="BD41" i="1"/>
  <c r="BC41" i="1"/>
  <c r="BD6" i="1"/>
  <c r="BC6" i="1"/>
  <c r="BD18" i="1"/>
  <c r="BC18" i="1"/>
  <c r="BD45" i="1"/>
  <c r="BC45" i="1"/>
  <c r="BD22" i="1"/>
  <c r="BC22" i="1"/>
  <c r="BD36" i="1"/>
  <c r="BC36" i="1"/>
  <c r="BD34" i="1"/>
  <c r="BC34" i="1"/>
  <c r="BD26" i="1"/>
  <c r="BC26" i="1"/>
  <c r="BD33" i="1"/>
  <c r="BC33" i="1"/>
  <c r="BD23" i="1"/>
  <c r="BC23" i="1"/>
  <c r="BD16" i="1"/>
  <c r="BC16" i="1"/>
  <c r="BD4" i="1"/>
  <c r="BC4" i="1"/>
  <c r="BD19" i="1"/>
  <c r="BC19" i="1"/>
  <c r="BD3" i="1"/>
  <c r="BC3" i="1"/>
  <c r="BD5" i="1"/>
  <c r="BC5" i="1"/>
  <c r="BD24" i="1"/>
  <c r="BC24" i="1"/>
  <c r="BD37" i="1"/>
  <c r="BC37" i="1"/>
  <c r="BD35" i="1"/>
  <c r="BC35" i="1"/>
  <c r="BD28" i="1"/>
  <c r="BC28" i="1"/>
  <c r="BD25" i="1"/>
  <c r="BC25" i="1"/>
  <c r="BD29" i="1"/>
  <c r="BC29" i="1"/>
  <c r="BD10" i="1"/>
  <c r="BC10" i="1"/>
  <c r="BD2" i="1"/>
  <c r="BC2" i="1"/>
  <c r="BD40" i="1"/>
  <c r="BC40" i="1"/>
  <c r="BD38" i="1"/>
  <c r="BC38" i="1"/>
  <c r="BD15" i="1"/>
  <c r="BC15" i="1"/>
  <c r="BD13" i="1"/>
  <c r="BC13" i="1"/>
  <c r="BD7" i="1"/>
  <c r="BC7" i="1"/>
  <c r="BD32" i="1"/>
  <c r="BC32" i="1"/>
  <c r="BD11" i="1"/>
  <c r="BC11" i="1"/>
  <c r="BD9" i="1"/>
  <c r="BC9" i="1"/>
  <c r="BD20" i="1"/>
  <c r="BC20" i="1"/>
  <c r="BD27" i="1"/>
  <c r="BC27" i="1"/>
  <c r="BD17" i="1"/>
  <c r="BC17" i="1"/>
  <c r="BD31" i="1"/>
  <c r="BC31" i="1"/>
  <c r="BD30" i="1"/>
  <c r="BC30" i="1"/>
  <c r="BD44" i="1"/>
  <c r="BC44" i="1"/>
  <c r="BD8" i="1"/>
  <c r="BC8" i="1"/>
  <c r="BD14" i="1"/>
  <c r="BC14" i="1"/>
  <c r="I4" i="3"/>
  <c r="I3" i="3"/>
  <c r="I6" i="3"/>
  <c r="I5" i="3"/>
  <c r="AV40" i="1"/>
  <c r="AW40" i="1"/>
  <c r="AV44" i="1"/>
  <c r="AW44" i="1"/>
  <c r="AV41" i="1"/>
  <c r="AW41" i="1"/>
  <c r="AV45" i="1"/>
  <c r="AW45" i="1"/>
  <c r="AO40" i="1"/>
  <c r="AP40" i="1"/>
  <c r="AO44" i="1"/>
  <c r="AP44" i="1"/>
  <c r="AO41" i="1"/>
  <c r="AP41" i="1"/>
  <c r="AO45" i="1"/>
  <c r="AP45" i="1"/>
  <c r="AH40" i="1"/>
  <c r="AI40" i="1"/>
  <c r="AH44" i="1"/>
  <c r="AI44" i="1"/>
  <c r="AH41" i="1"/>
  <c r="AI41" i="1"/>
  <c r="AH45" i="1"/>
  <c r="AI45" i="1"/>
  <c r="T40" i="1"/>
  <c r="U40" i="1"/>
  <c r="AA40" i="1"/>
  <c r="AB40" i="1"/>
  <c r="T44" i="1"/>
  <c r="U44" i="1"/>
  <c r="AA44" i="1"/>
  <c r="AB44" i="1"/>
  <c r="T41" i="1"/>
  <c r="U41" i="1"/>
  <c r="AA41" i="1"/>
  <c r="AB41" i="1"/>
  <c r="T45" i="1"/>
  <c r="U45" i="1"/>
  <c r="AA45" i="1"/>
  <c r="AB45" i="1"/>
  <c r="M40" i="1"/>
  <c r="N40" i="1"/>
  <c r="M44" i="1"/>
  <c r="N44" i="1"/>
  <c r="M41" i="1"/>
  <c r="N41" i="1"/>
  <c r="M45" i="1"/>
  <c r="N45" i="1"/>
  <c r="M42" i="1"/>
  <c r="N42" i="1"/>
  <c r="M43" i="1"/>
  <c r="N43" i="1"/>
  <c r="C44" i="1"/>
  <c r="C41" i="1"/>
  <c r="C45" i="1"/>
  <c r="C40" i="1"/>
  <c r="BF40" i="1" l="1"/>
  <c r="BG40" i="1" s="1"/>
  <c r="BH45" i="1"/>
  <c r="BI45" i="1" s="1"/>
  <c r="BH44" i="1"/>
  <c r="BI44" i="1" s="1"/>
  <c r="BF45" i="1"/>
  <c r="BG45" i="1" s="1"/>
  <c r="BF44" i="1"/>
  <c r="BG44" i="1" s="1"/>
  <c r="BF41" i="1"/>
  <c r="BG41" i="1" s="1"/>
  <c r="BH41" i="1"/>
  <c r="BI41" i="1" s="1"/>
  <c r="BH40" i="1"/>
  <c r="BI40" i="1" s="1"/>
  <c r="BE14" i="1"/>
  <c r="BE44" i="1"/>
  <c r="BE31" i="1"/>
  <c r="BE27" i="1"/>
  <c r="BE9" i="1"/>
  <c r="BE17" i="1"/>
  <c r="BE11" i="1"/>
  <c r="BE7" i="1"/>
  <c r="BE8" i="1"/>
  <c r="BE30" i="1"/>
  <c r="BE20" i="1"/>
  <c r="BE32" i="1"/>
  <c r="BE13" i="1"/>
  <c r="BE38" i="1"/>
  <c r="BE2" i="1"/>
  <c r="BE29" i="1"/>
  <c r="BE28" i="1"/>
  <c r="BE37" i="1"/>
  <c r="BE5" i="1"/>
  <c r="BE19" i="1"/>
  <c r="BE16" i="1"/>
  <c r="BE33" i="1"/>
  <c r="BE34" i="1"/>
  <c r="BE22" i="1"/>
  <c r="BE18" i="1"/>
  <c r="BE41" i="1"/>
  <c r="BE39" i="1"/>
  <c r="BE42" i="1"/>
  <c r="O45" i="1"/>
  <c r="BE15" i="1"/>
  <c r="BE40" i="1"/>
  <c r="BE10" i="1"/>
  <c r="BE25" i="1"/>
  <c r="BE35" i="1"/>
  <c r="BE24" i="1"/>
  <c r="BE3" i="1"/>
  <c r="BE4" i="1"/>
  <c r="BE23" i="1"/>
  <c r="BE26" i="1"/>
  <c r="BE36" i="1"/>
  <c r="BE45" i="1"/>
  <c r="BE6" i="1"/>
  <c r="BE12" i="1"/>
  <c r="BE43" i="1"/>
  <c r="BE21" i="1"/>
  <c r="O43" i="1"/>
  <c r="AQ45" i="1"/>
  <c r="O42" i="1"/>
  <c r="AC45" i="1"/>
  <c r="AC41" i="1"/>
  <c r="AJ45" i="1"/>
  <c r="AJ44" i="1"/>
  <c r="V45" i="1"/>
  <c r="V41" i="1"/>
  <c r="V44" i="1"/>
  <c r="V40" i="1"/>
  <c r="AJ41" i="1"/>
  <c r="AJ40" i="1"/>
  <c r="AX45" i="1"/>
  <c r="AX41" i="1"/>
  <c r="AX44" i="1"/>
  <c r="O44" i="1"/>
  <c r="AC44" i="1"/>
  <c r="AQ44" i="1"/>
  <c r="O41" i="1"/>
  <c r="O40" i="1"/>
  <c r="AC40" i="1"/>
  <c r="AQ41" i="1"/>
  <c r="AQ40" i="1"/>
  <c r="AX40" i="1"/>
  <c r="BK45" i="1" l="1"/>
  <c r="BK40" i="1"/>
  <c r="BK41" i="1"/>
  <c r="BK44" i="1"/>
  <c r="BJ44" i="1"/>
  <c r="BJ45" i="1"/>
  <c r="BJ41" i="1"/>
  <c r="BJ40" i="1"/>
  <c r="AV43" i="1"/>
  <c r="AW43" i="1"/>
  <c r="AO43" i="1"/>
  <c r="AP43" i="1"/>
  <c r="AH43" i="1"/>
  <c r="AI43" i="1"/>
  <c r="AA43" i="1"/>
  <c r="AB43" i="1"/>
  <c r="T43" i="1"/>
  <c r="U43" i="1"/>
  <c r="C43" i="1"/>
  <c r="BH43" i="1" l="1"/>
  <c r="BI43" i="1" s="1"/>
  <c r="BF43" i="1"/>
  <c r="BG43" i="1" s="1"/>
  <c r="AX43" i="1"/>
  <c r="AQ43" i="1"/>
  <c r="V43" i="1"/>
  <c r="AJ43" i="1"/>
  <c r="AC43" i="1"/>
  <c r="BK43" i="1" l="1"/>
  <c r="BJ43" i="1"/>
  <c r="AW38" i="1"/>
  <c r="AV38" i="1"/>
  <c r="AW23" i="1"/>
  <c r="AV23" i="1"/>
  <c r="AW27" i="1"/>
  <c r="AV27" i="1"/>
  <c r="AW37" i="1"/>
  <c r="AV37" i="1"/>
  <c r="AW35" i="1"/>
  <c r="AV35" i="1"/>
  <c r="AW36" i="1"/>
  <c r="AV36" i="1"/>
  <c r="AW24" i="1"/>
  <c r="AV24" i="1"/>
  <c r="AW33" i="1"/>
  <c r="AV33" i="1"/>
  <c r="AW31" i="1"/>
  <c r="AV31" i="1"/>
  <c r="AW39" i="1"/>
  <c r="AV39" i="1"/>
  <c r="AW32" i="1"/>
  <c r="AV32" i="1"/>
  <c r="AW28" i="1"/>
  <c r="AV28" i="1"/>
  <c r="AW30" i="1"/>
  <c r="AV30" i="1"/>
  <c r="AW22" i="1"/>
  <c r="AV22" i="1"/>
  <c r="AW42" i="1"/>
  <c r="AV42" i="1"/>
  <c r="AW18" i="1"/>
  <c r="AV18" i="1"/>
  <c r="AW34" i="1"/>
  <c r="AV34" i="1"/>
  <c r="AW26" i="1"/>
  <c r="AV26" i="1"/>
  <c r="AW29" i="1"/>
  <c r="AV29" i="1"/>
  <c r="AW16" i="1"/>
  <c r="AV16" i="1"/>
  <c r="AW13" i="1"/>
  <c r="AV13" i="1"/>
  <c r="AW25" i="1"/>
  <c r="AV25" i="1"/>
  <c r="AW20" i="1"/>
  <c r="AV20" i="1"/>
  <c r="AW12" i="1"/>
  <c r="AV12" i="1"/>
  <c r="AW2" i="1"/>
  <c r="AV2" i="1"/>
  <c r="AW4" i="1"/>
  <c r="AV4" i="1"/>
  <c r="AW9" i="1"/>
  <c r="AV9" i="1"/>
  <c r="AW14" i="1"/>
  <c r="AV14" i="1"/>
  <c r="AW15" i="1"/>
  <c r="AV15" i="1"/>
  <c r="AW5" i="1"/>
  <c r="AV5" i="1"/>
  <c r="AW10" i="1"/>
  <c r="AV10" i="1"/>
  <c r="AW6" i="1"/>
  <c r="AV6" i="1"/>
  <c r="AW11" i="1"/>
  <c r="AV11" i="1"/>
  <c r="AW21" i="1"/>
  <c r="AV21" i="1"/>
  <c r="AW17" i="1"/>
  <c r="AV17" i="1"/>
  <c r="AW7" i="1"/>
  <c r="AV7" i="1"/>
  <c r="AW3" i="1"/>
  <c r="AV3" i="1"/>
  <c r="AW8" i="1"/>
  <c r="AV8" i="1"/>
  <c r="AW19" i="1"/>
  <c r="AV19" i="1"/>
  <c r="AX7" i="1" l="1"/>
  <c r="AX21" i="1"/>
  <c r="AX6" i="1"/>
  <c r="AX5" i="1"/>
  <c r="AX14" i="1"/>
  <c r="AX4" i="1"/>
  <c r="AX12" i="1"/>
  <c r="AX25" i="1"/>
  <c r="AX16" i="1"/>
  <c r="AX26" i="1"/>
  <c r="AX18" i="1"/>
  <c r="AX22" i="1"/>
  <c r="AX28" i="1"/>
  <c r="AX39" i="1"/>
  <c r="AX33" i="1"/>
  <c r="AX36" i="1"/>
  <c r="AX37" i="1"/>
  <c r="AX23" i="1"/>
  <c r="AX19" i="1"/>
  <c r="AX3" i="1"/>
  <c r="AX17" i="1"/>
  <c r="AX11" i="1"/>
  <c r="AX10" i="1"/>
  <c r="AX15" i="1"/>
  <c r="AX9" i="1"/>
  <c r="AX2" i="1"/>
  <c r="AX20" i="1"/>
  <c r="AX13" i="1"/>
  <c r="AX29" i="1"/>
  <c r="AX34" i="1"/>
  <c r="AX42" i="1"/>
  <c r="AX30" i="1"/>
  <c r="AX32" i="1"/>
  <c r="AX31" i="1"/>
  <c r="AX24" i="1"/>
  <c r="AX35" i="1"/>
  <c r="AX27" i="1"/>
  <c r="AX38" i="1"/>
  <c r="AX8" i="1"/>
  <c r="G1" i="12"/>
  <c r="H1" i="12" s="1"/>
  <c r="G25" i="12"/>
  <c r="H25" i="12" s="1"/>
  <c r="B13" i="12"/>
  <c r="B19" i="12" s="1"/>
  <c r="C7" i="12"/>
  <c r="D7" i="12" s="1"/>
  <c r="E7" i="12" s="1"/>
  <c r="F7" i="12" s="1"/>
  <c r="G7" i="12" s="1"/>
  <c r="H7" i="12" s="1"/>
  <c r="C25" i="11"/>
  <c r="D25" i="11"/>
  <c r="E25" i="11" s="1"/>
  <c r="G25" i="11" s="1"/>
  <c r="H25" i="11" s="1"/>
  <c r="B13" i="11"/>
  <c r="D1" i="11"/>
  <c r="E1" i="11" s="1"/>
  <c r="F1" i="11" s="1"/>
  <c r="G1" i="11" s="1"/>
  <c r="H1" i="11" s="1"/>
  <c r="B25" i="12" l="1"/>
  <c r="C25" i="12" s="1"/>
  <c r="D25" i="12" s="1"/>
  <c r="E25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AO23" i="1" l="1"/>
  <c r="AP23" i="1"/>
  <c r="AH23" i="1"/>
  <c r="AI23" i="1"/>
  <c r="AA23" i="1"/>
  <c r="AB23" i="1"/>
  <c r="T23" i="1"/>
  <c r="U23" i="1"/>
  <c r="M23" i="1"/>
  <c r="N23" i="1"/>
  <c r="C23" i="1"/>
  <c r="BH23" i="1" l="1"/>
  <c r="BI23" i="1" s="1"/>
  <c r="BF23" i="1"/>
  <c r="BG23" i="1" s="1"/>
  <c r="V23" i="1"/>
  <c r="AJ23" i="1"/>
  <c r="O23" i="1"/>
  <c r="AC23" i="1"/>
  <c r="AQ23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K23" i="1" l="1"/>
  <c r="BJ23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O8" i="1"/>
  <c r="AP8" i="1"/>
  <c r="AO17" i="1"/>
  <c r="AP17" i="1"/>
  <c r="AO14" i="1"/>
  <c r="AP14" i="1"/>
  <c r="AO30" i="1"/>
  <c r="AP30" i="1"/>
  <c r="AO31" i="1"/>
  <c r="AP31" i="1"/>
  <c r="AO27" i="1"/>
  <c r="AP27" i="1"/>
  <c r="AO20" i="1"/>
  <c r="AP20" i="1"/>
  <c r="AO9" i="1"/>
  <c r="AP9" i="1"/>
  <c r="AO11" i="1"/>
  <c r="AP11" i="1"/>
  <c r="AO7" i="1"/>
  <c r="AP7" i="1"/>
  <c r="AO13" i="1"/>
  <c r="AP13" i="1"/>
  <c r="AO32" i="1"/>
  <c r="AP32" i="1"/>
  <c r="AO15" i="1"/>
  <c r="AP15" i="1"/>
  <c r="AO10" i="1"/>
  <c r="AP10" i="1"/>
  <c r="AO2" i="1"/>
  <c r="AP2" i="1"/>
  <c r="AO29" i="1"/>
  <c r="AP29" i="1"/>
  <c r="AO38" i="1"/>
  <c r="AP38" i="1"/>
  <c r="AO28" i="1"/>
  <c r="AP28" i="1"/>
  <c r="AO25" i="1"/>
  <c r="AP25" i="1"/>
  <c r="AO35" i="1"/>
  <c r="AP35" i="1"/>
  <c r="AO4" i="1"/>
  <c r="AP4" i="1"/>
  <c r="AO5" i="1"/>
  <c r="AP5" i="1"/>
  <c r="AO3" i="1"/>
  <c r="AP3" i="1"/>
  <c r="AO19" i="1"/>
  <c r="AP19" i="1"/>
  <c r="AO16" i="1"/>
  <c r="AP16" i="1"/>
  <c r="AO24" i="1"/>
  <c r="AP24" i="1"/>
  <c r="AO37" i="1"/>
  <c r="AP37" i="1"/>
  <c r="AO18" i="1"/>
  <c r="AP18" i="1"/>
  <c r="AO34" i="1"/>
  <c r="AP34" i="1"/>
  <c r="AO26" i="1"/>
  <c r="AP26" i="1"/>
  <c r="AO22" i="1"/>
  <c r="AP22" i="1"/>
  <c r="AO33" i="1"/>
  <c r="AP33" i="1"/>
  <c r="AO36" i="1"/>
  <c r="AP36" i="1"/>
  <c r="AO12" i="1"/>
  <c r="AP12" i="1"/>
  <c r="AO6" i="1"/>
  <c r="AP6" i="1"/>
  <c r="AO39" i="1"/>
  <c r="AP39" i="1"/>
  <c r="AO42" i="1"/>
  <c r="AP42" i="1"/>
  <c r="AO21" i="1"/>
  <c r="AP21" i="1"/>
  <c r="M38" i="1"/>
  <c r="N38" i="1"/>
  <c r="T38" i="1"/>
  <c r="U38" i="1"/>
  <c r="AA38" i="1"/>
  <c r="AB38" i="1"/>
  <c r="AH38" i="1"/>
  <c r="AI38" i="1"/>
  <c r="C38" i="1"/>
  <c r="BH38" i="1" l="1"/>
  <c r="BI38" i="1" s="1"/>
  <c r="BF38" i="1"/>
  <c r="BG38" i="1" s="1"/>
  <c r="O38" i="1"/>
  <c r="AC38" i="1"/>
  <c r="AQ39" i="1"/>
  <c r="AQ18" i="1"/>
  <c r="AQ10" i="1"/>
  <c r="AQ20" i="1"/>
  <c r="AQ21" i="1"/>
  <c r="AQ33" i="1"/>
  <c r="AQ19" i="1"/>
  <c r="AQ38" i="1"/>
  <c r="AQ30" i="1"/>
  <c r="AQ12" i="1"/>
  <c r="AQ26" i="1"/>
  <c r="AQ24" i="1"/>
  <c r="AQ5" i="1"/>
  <c r="AQ25" i="1"/>
  <c r="AQ32" i="1"/>
  <c r="AQ11" i="1"/>
  <c r="AQ17" i="1"/>
  <c r="AQ42" i="1"/>
  <c r="AQ6" i="1"/>
  <c r="AQ36" i="1"/>
  <c r="AQ22" i="1"/>
  <c r="AQ34" i="1"/>
  <c r="AQ37" i="1"/>
  <c r="AQ16" i="1"/>
  <c r="AQ3" i="1"/>
  <c r="AQ4" i="1"/>
  <c r="AQ35" i="1"/>
  <c r="AQ28" i="1"/>
  <c r="AQ29" i="1"/>
  <c r="AQ2" i="1"/>
  <c r="AQ15" i="1"/>
  <c r="AQ13" i="1"/>
  <c r="AQ7" i="1"/>
  <c r="AQ9" i="1"/>
  <c r="AQ27" i="1"/>
  <c r="AQ31" i="1"/>
  <c r="AQ14" i="1"/>
  <c r="AQ8" i="1"/>
  <c r="AJ38" i="1"/>
  <c r="V38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K38" i="1" l="1"/>
  <c r="BJ38" i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30" i="1"/>
  <c r="N30" i="1"/>
  <c r="M31" i="1"/>
  <c r="N31" i="1"/>
  <c r="M17" i="1"/>
  <c r="N17" i="1"/>
  <c r="M27" i="1"/>
  <c r="N27" i="1"/>
  <c r="M20" i="1"/>
  <c r="N20" i="1"/>
  <c r="M9" i="1"/>
  <c r="N9" i="1"/>
  <c r="M11" i="1"/>
  <c r="N11" i="1"/>
  <c r="M32" i="1"/>
  <c r="N32" i="1"/>
  <c r="M7" i="1"/>
  <c r="N7" i="1"/>
  <c r="M13" i="1"/>
  <c r="N13" i="1"/>
  <c r="M15" i="1"/>
  <c r="N15" i="1"/>
  <c r="M2" i="1"/>
  <c r="N2" i="1"/>
  <c r="M10" i="1"/>
  <c r="N10" i="1"/>
  <c r="M29" i="1"/>
  <c r="N29" i="1"/>
  <c r="M25" i="1"/>
  <c r="N25" i="1"/>
  <c r="M35" i="1"/>
  <c r="N35" i="1"/>
  <c r="M28" i="1"/>
  <c r="N28" i="1"/>
  <c r="M37" i="1"/>
  <c r="N37" i="1"/>
  <c r="M24" i="1"/>
  <c r="N24" i="1"/>
  <c r="M5" i="1"/>
  <c r="N5" i="1"/>
  <c r="M3" i="1"/>
  <c r="N3" i="1"/>
  <c r="M19" i="1"/>
  <c r="N19" i="1"/>
  <c r="M4" i="1"/>
  <c r="N4" i="1"/>
  <c r="M16" i="1"/>
  <c r="N16" i="1"/>
  <c r="M33" i="1"/>
  <c r="N33" i="1"/>
  <c r="M26" i="1"/>
  <c r="N26" i="1"/>
  <c r="M34" i="1"/>
  <c r="N34" i="1"/>
  <c r="M36" i="1"/>
  <c r="N36" i="1"/>
  <c r="M22" i="1"/>
  <c r="N22" i="1"/>
  <c r="M18" i="1"/>
  <c r="N18" i="1"/>
  <c r="M6" i="1"/>
  <c r="N6" i="1"/>
  <c r="M12" i="1"/>
  <c r="N12" i="1"/>
  <c r="M39" i="1"/>
  <c r="N39" i="1"/>
  <c r="M21" i="1"/>
  <c r="N21" i="1"/>
  <c r="T30" i="1"/>
  <c r="U30" i="1"/>
  <c r="T31" i="1"/>
  <c r="U31" i="1"/>
  <c r="T17" i="1"/>
  <c r="U17" i="1"/>
  <c r="T27" i="1"/>
  <c r="U27" i="1"/>
  <c r="T20" i="1"/>
  <c r="U20" i="1"/>
  <c r="T9" i="1"/>
  <c r="U9" i="1"/>
  <c r="T11" i="1"/>
  <c r="U11" i="1"/>
  <c r="T32" i="1"/>
  <c r="U32" i="1"/>
  <c r="T7" i="1"/>
  <c r="U7" i="1"/>
  <c r="T13" i="1"/>
  <c r="U13" i="1"/>
  <c r="T15" i="1"/>
  <c r="U15" i="1"/>
  <c r="T2" i="1"/>
  <c r="U2" i="1"/>
  <c r="T10" i="1"/>
  <c r="U10" i="1"/>
  <c r="T29" i="1"/>
  <c r="U29" i="1"/>
  <c r="T25" i="1"/>
  <c r="U25" i="1"/>
  <c r="T35" i="1"/>
  <c r="U35" i="1"/>
  <c r="T28" i="1"/>
  <c r="U28" i="1"/>
  <c r="T37" i="1"/>
  <c r="U37" i="1"/>
  <c r="T24" i="1"/>
  <c r="U24" i="1"/>
  <c r="T5" i="1"/>
  <c r="U5" i="1"/>
  <c r="T3" i="1"/>
  <c r="U3" i="1"/>
  <c r="T19" i="1"/>
  <c r="U19" i="1"/>
  <c r="T4" i="1"/>
  <c r="U4" i="1"/>
  <c r="T16" i="1"/>
  <c r="U16" i="1"/>
  <c r="T33" i="1"/>
  <c r="U33" i="1"/>
  <c r="T26" i="1"/>
  <c r="U26" i="1"/>
  <c r="T34" i="1"/>
  <c r="U34" i="1"/>
  <c r="T36" i="1"/>
  <c r="U36" i="1"/>
  <c r="T22" i="1"/>
  <c r="U22" i="1"/>
  <c r="T18" i="1"/>
  <c r="U18" i="1"/>
  <c r="T6" i="1"/>
  <c r="U6" i="1"/>
  <c r="T12" i="1"/>
  <c r="U12" i="1"/>
  <c r="T39" i="1"/>
  <c r="U39" i="1"/>
  <c r="T42" i="1"/>
  <c r="U42" i="1"/>
  <c r="T21" i="1"/>
  <c r="U21" i="1"/>
  <c r="AA30" i="1"/>
  <c r="AB30" i="1"/>
  <c r="AA31" i="1"/>
  <c r="AB31" i="1"/>
  <c r="AA17" i="1"/>
  <c r="AB17" i="1"/>
  <c r="AA27" i="1"/>
  <c r="AB27" i="1"/>
  <c r="AA20" i="1"/>
  <c r="AB20" i="1"/>
  <c r="AA9" i="1"/>
  <c r="AB9" i="1"/>
  <c r="AA11" i="1"/>
  <c r="AB11" i="1"/>
  <c r="AA32" i="1"/>
  <c r="AB32" i="1"/>
  <c r="AA7" i="1"/>
  <c r="AB7" i="1"/>
  <c r="AA13" i="1"/>
  <c r="AB13" i="1"/>
  <c r="AA15" i="1"/>
  <c r="AB15" i="1"/>
  <c r="AA2" i="1"/>
  <c r="AB2" i="1"/>
  <c r="AA10" i="1"/>
  <c r="AB10" i="1"/>
  <c r="AA29" i="1"/>
  <c r="AB29" i="1"/>
  <c r="AA25" i="1"/>
  <c r="AB25" i="1"/>
  <c r="AA35" i="1"/>
  <c r="AB35" i="1"/>
  <c r="AA28" i="1"/>
  <c r="AB28" i="1"/>
  <c r="AA37" i="1"/>
  <c r="AB37" i="1"/>
  <c r="AA24" i="1"/>
  <c r="AB24" i="1"/>
  <c r="AA5" i="1"/>
  <c r="AB5" i="1"/>
  <c r="AA3" i="1"/>
  <c r="AB3" i="1"/>
  <c r="AA19" i="1"/>
  <c r="AB19" i="1"/>
  <c r="AA4" i="1"/>
  <c r="AB4" i="1"/>
  <c r="AA16" i="1"/>
  <c r="AB16" i="1"/>
  <c r="AA33" i="1"/>
  <c r="AB33" i="1"/>
  <c r="AA26" i="1"/>
  <c r="AB26" i="1"/>
  <c r="AA34" i="1"/>
  <c r="AB34" i="1"/>
  <c r="AA36" i="1"/>
  <c r="AB36" i="1"/>
  <c r="AA22" i="1"/>
  <c r="AB22" i="1"/>
  <c r="AA18" i="1"/>
  <c r="AB18" i="1"/>
  <c r="AA6" i="1"/>
  <c r="AB6" i="1"/>
  <c r="AA12" i="1"/>
  <c r="AB12" i="1"/>
  <c r="AA39" i="1"/>
  <c r="AB39" i="1"/>
  <c r="AA42" i="1"/>
  <c r="AB42" i="1"/>
  <c r="AA21" i="1"/>
  <c r="AB21" i="1"/>
  <c r="AH30" i="1"/>
  <c r="BF30" i="1" s="1"/>
  <c r="BG30" i="1" s="1"/>
  <c r="AI30" i="1"/>
  <c r="AH31" i="1"/>
  <c r="BF31" i="1" s="1"/>
  <c r="BG31" i="1" s="1"/>
  <c r="AI31" i="1"/>
  <c r="BH31" i="1" s="1"/>
  <c r="BI31" i="1" s="1"/>
  <c r="BK31" i="1" s="1"/>
  <c r="AH17" i="1"/>
  <c r="BF17" i="1" s="1"/>
  <c r="BG17" i="1" s="1"/>
  <c r="AI17" i="1"/>
  <c r="AH27" i="1"/>
  <c r="BF27" i="1" s="1"/>
  <c r="BG27" i="1" s="1"/>
  <c r="AI27" i="1"/>
  <c r="BH27" i="1" s="1"/>
  <c r="BI27" i="1" s="1"/>
  <c r="BK27" i="1" s="1"/>
  <c r="AH20" i="1"/>
  <c r="BF20" i="1" s="1"/>
  <c r="BG20" i="1" s="1"/>
  <c r="AI20" i="1"/>
  <c r="AH9" i="1"/>
  <c r="BF9" i="1" s="1"/>
  <c r="BG9" i="1" s="1"/>
  <c r="AI9" i="1"/>
  <c r="BH9" i="1" s="1"/>
  <c r="BI9" i="1" s="1"/>
  <c r="BK9" i="1" s="1"/>
  <c r="AH11" i="1"/>
  <c r="BF11" i="1" s="1"/>
  <c r="BG11" i="1" s="1"/>
  <c r="AI11" i="1"/>
  <c r="AH32" i="1"/>
  <c r="BF32" i="1" s="1"/>
  <c r="BG32" i="1" s="1"/>
  <c r="AI32" i="1"/>
  <c r="BH32" i="1" s="1"/>
  <c r="BI32" i="1" s="1"/>
  <c r="BK32" i="1" s="1"/>
  <c r="AH7" i="1"/>
  <c r="BF7" i="1" s="1"/>
  <c r="BG7" i="1" s="1"/>
  <c r="AI7" i="1"/>
  <c r="AH13" i="1"/>
  <c r="BF13" i="1" s="1"/>
  <c r="BG13" i="1" s="1"/>
  <c r="AI13" i="1"/>
  <c r="BH13" i="1" s="1"/>
  <c r="BI13" i="1" s="1"/>
  <c r="BK13" i="1" s="1"/>
  <c r="AH15" i="1"/>
  <c r="BF15" i="1" s="1"/>
  <c r="BG15" i="1" s="1"/>
  <c r="AI15" i="1"/>
  <c r="AH2" i="1"/>
  <c r="BF2" i="1" s="1"/>
  <c r="BG2" i="1" s="1"/>
  <c r="AI2" i="1"/>
  <c r="BH2" i="1" s="1"/>
  <c r="BI2" i="1" s="1"/>
  <c r="BK2" i="1" s="1"/>
  <c r="AH10" i="1"/>
  <c r="BF10" i="1" s="1"/>
  <c r="BG10" i="1" s="1"/>
  <c r="AI10" i="1"/>
  <c r="AH29" i="1"/>
  <c r="BF29" i="1" s="1"/>
  <c r="BG29" i="1" s="1"/>
  <c r="AI29" i="1"/>
  <c r="BH29" i="1" s="1"/>
  <c r="BI29" i="1" s="1"/>
  <c r="BK29" i="1" s="1"/>
  <c r="AH25" i="1"/>
  <c r="BF25" i="1" s="1"/>
  <c r="BG25" i="1" s="1"/>
  <c r="AI25" i="1"/>
  <c r="AH35" i="1"/>
  <c r="BF35" i="1" s="1"/>
  <c r="BG35" i="1" s="1"/>
  <c r="AI35" i="1"/>
  <c r="BH35" i="1" s="1"/>
  <c r="BI35" i="1" s="1"/>
  <c r="BK35" i="1" s="1"/>
  <c r="AH28" i="1"/>
  <c r="BF28" i="1" s="1"/>
  <c r="BG28" i="1" s="1"/>
  <c r="AI28" i="1"/>
  <c r="AH37" i="1"/>
  <c r="BF37" i="1" s="1"/>
  <c r="BG37" i="1" s="1"/>
  <c r="AI37" i="1"/>
  <c r="BH37" i="1" s="1"/>
  <c r="BI37" i="1" s="1"/>
  <c r="BK37" i="1" s="1"/>
  <c r="AH24" i="1"/>
  <c r="BF24" i="1" s="1"/>
  <c r="BG24" i="1" s="1"/>
  <c r="AI24" i="1"/>
  <c r="AH5" i="1"/>
  <c r="BF5" i="1" s="1"/>
  <c r="BG5" i="1" s="1"/>
  <c r="AI5" i="1"/>
  <c r="BH5" i="1" s="1"/>
  <c r="BI5" i="1" s="1"/>
  <c r="BK5" i="1" s="1"/>
  <c r="AH3" i="1"/>
  <c r="BF3" i="1" s="1"/>
  <c r="BG3" i="1" s="1"/>
  <c r="AI3" i="1"/>
  <c r="AH19" i="1"/>
  <c r="BF19" i="1" s="1"/>
  <c r="BG19" i="1" s="1"/>
  <c r="AI19" i="1"/>
  <c r="BH19" i="1" s="1"/>
  <c r="BI19" i="1" s="1"/>
  <c r="BK19" i="1" s="1"/>
  <c r="AH4" i="1"/>
  <c r="BF4" i="1" s="1"/>
  <c r="BG4" i="1" s="1"/>
  <c r="AI4" i="1"/>
  <c r="AH16" i="1"/>
  <c r="BF16" i="1" s="1"/>
  <c r="BG16" i="1" s="1"/>
  <c r="AI16" i="1"/>
  <c r="BH16" i="1" s="1"/>
  <c r="BI16" i="1" s="1"/>
  <c r="BK16" i="1" s="1"/>
  <c r="AH33" i="1"/>
  <c r="BF33" i="1" s="1"/>
  <c r="BG33" i="1" s="1"/>
  <c r="AI33" i="1"/>
  <c r="AH26" i="1"/>
  <c r="BF26" i="1" s="1"/>
  <c r="BG26" i="1" s="1"/>
  <c r="AI26" i="1"/>
  <c r="BH26" i="1" s="1"/>
  <c r="BI26" i="1" s="1"/>
  <c r="BK26" i="1" s="1"/>
  <c r="AH34" i="1"/>
  <c r="BF34" i="1" s="1"/>
  <c r="BG34" i="1" s="1"/>
  <c r="AI34" i="1"/>
  <c r="AH36" i="1"/>
  <c r="BF36" i="1" s="1"/>
  <c r="BG36" i="1" s="1"/>
  <c r="AI36" i="1"/>
  <c r="BH36" i="1" s="1"/>
  <c r="BI36" i="1" s="1"/>
  <c r="BK36" i="1" s="1"/>
  <c r="AH22" i="1"/>
  <c r="BF22" i="1" s="1"/>
  <c r="BG22" i="1" s="1"/>
  <c r="AI22" i="1"/>
  <c r="AH18" i="1"/>
  <c r="BF18" i="1" s="1"/>
  <c r="BG18" i="1" s="1"/>
  <c r="AI18" i="1"/>
  <c r="BH18" i="1" s="1"/>
  <c r="BI18" i="1" s="1"/>
  <c r="BK18" i="1" s="1"/>
  <c r="AH6" i="1"/>
  <c r="BF6" i="1" s="1"/>
  <c r="BG6" i="1" s="1"/>
  <c r="AI6" i="1"/>
  <c r="AH12" i="1"/>
  <c r="BF12" i="1" s="1"/>
  <c r="BG12" i="1" s="1"/>
  <c r="AI12" i="1"/>
  <c r="BH12" i="1" s="1"/>
  <c r="BI12" i="1" s="1"/>
  <c r="BK12" i="1" s="1"/>
  <c r="AH39" i="1"/>
  <c r="BF39" i="1" s="1"/>
  <c r="BG39" i="1" s="1"/>
  <c r="AI39" i="1"/>
  <c r="AH42" i="1"/>
  <c r="BF42" i="1" s="1"/>
  <c r="BG42" i="1" s="1"/>
  <c r="AI42" i="1"/>
  <c r="BH42" i="1" s="1"/>
  <c r="BI42" i="1" s="1"/>
  <c r="BK42" i="1" s="1"/>
  <c r="AH21" i="1"/>
  <c r="BF21" i="1" s="1"/>
  <c r="BG21" i="1" s="1"/>
  <c r="AI21" i="1"/>
  <c r="AH8" i="1"/>
  <c r="AI8" i="1"/>
  <c r="AA8" i="1"/>
  <c r="AB8" i="1"/>
  <c r="C27" i="1"/>
  <c r="C35" i="1"/>
  <c r="BH39" i="1" l="1"/>
  <c r="BI39" i="1" s="1"/>
  <c r="BK39" i="1" s="1"/>
  <c r="BH22" i="1"/>
  <c r="BI22" i="1" s="1"/>
  <c r="BK22" i="1" s="1"/>
  <c r="BH34" i="1"/>
  <c r="BI34" i="1" s="1"/>
  <c r="BK34" i="1" s="1"/>
  <c r="BH33" i="1"/>
  <c r="BI33" i="1" s="1"/>
  <c r="BK33" i="1" s="1"/>
  <c r="BH4" i="1"/>
  <c r="BI4" i="1" s="1"/>
  <c r="BK4" i="1" s="1"/>
  <c r="BH3" i="1"/>
  <c r="BI3" i="1" s="1"/>
  <c r="BK3" i="1" s="1"/>
  <c r="BH24" i="1"/>
  <c r="BI24" i="1" s="1"/>
  <c r="BK24" i="1" s="1"/>
  <c r="BH28" i="1"/>
  <c r="BI28" i="1" s="1"/>
  <c r="BK28" i="1" s="1"/>
  <c r="BH25" i="1"/>
  <c r="BI25" i="1" s="1"/>
  <c r="BK25" i="1" s="1"/>
  <c r="BH10" i="1"/>
  <c r="BI10" i="1" s="1"/>
  <c r="BK10" i="1" s="1"/>
  <c r="BH15" i="1"/>
  <c r="BI15" i="1" s="1"/>
  <c r="BK15" i="1" s="1"/>
  <c r="BH7" i="1"/>
  <c r="BI7" i="1" s="1"/>
  <c r="BK7" i="1" s="1"/>
  <c r="BH11" i="1"/>
  <c r="BI11" i="1" s="1"/>
  <c r="BK11" i="1" s="1"/>
  <c r="BH20" i="1"/>
  <c r="BI20" i="1" s="1"/>
  <c r="BK20" i="1" s="1"/>
  <c r="BH17" i="1"/>
  <c r="BI17" i="1" s="1"/>
  <c r="BK17" i="1" s="1"/>
  <c r="BH30" i="1"/>
  <c r="BI30" i="1" s="1"/>
  <c r="BK30" i="1" s="1"/>
  <c r="BH21" i="1"/>
  <c r="BI21" i="1" s="1"/>
  <c r="BK21" i="1" s="1"/>
  <c r="BH6" i="1"/>
  <c r="BI6" i="1" s="1"/>
  <c r="BK6" i="1" s="1"/>
  <c r="AJ20" i="1"/>
  <c r="O12" i="1"/>
  <c r="O18" i="1"/>
  <c r="O36" i="1"/>
  <c r="O26" i="1"/>
  <c r="O3" i="1"/>
  <c r="O24" i="1"/>
  <c r="O11" i="1"/>
  <c r="O20" i="1"/>
  <c r="O27" i="1"/>
  <c r="O17" i="1"/>
  <c r="O2" i="1"/>
  <c r="O7" i="1"/>
  <c r="O32" i="1"/>
  <c r="O9" i="1"/>
  <c r="V22" i="1"/>
  <c r="V29" i="1"/>
  <c r="V7" i="1"/>
  <c r="V32" i="1"/>
  <c r="V9" i="1"/>
  <c r="AC4" i="1"/>
  <c r="AC3" i="1"/>
  <c r="AC24" i="1"/>
  <c r="O30" i="1"/>
  <c r="O22" i="1"/>
  <c r="O34" i="1"/>
  <c r="O31" i="1"/>
  <c r="AJ5" i="1"/>
  <c r="AC17" i="1"/>
  <c r="AC30" i="1"/>
  <c r="AJ12" i="1"/>
  <c r="V15" i="1"/>
  <c r="AJ21" i="1"/>
  <c r="AJ6" i="1"/>
  <c r="O33" i="1"/>
  <c r="V12" i="1"/>
  <c r="AC39" i="1"/>
  <c r="V20" i="1"/>
  <c r="AC2" i="1"/>
  <c r="AJ35" i="1"/>
  <c r="AJ31" i="1"/>
  <c r="V13" i="1"/>
  <c r="AJ28" i="1"/>
  <c r="AJ10" i="1"/>
  <c r="AJ13" i="1"/>
  <c r="AC33" i="1"/>
  <c r="AJ8" i="1"/>
  <c r="AJ19" i="1"/>
  <c r="AJ2" i="1"/>
  <c r="AJ32" i="1"/>
  <c r="V18" i="1"/>
  <c r="V19" i="1"/>
  <c r="V2" i="1"/>
  <c r="O37" i="1"/>
  <c r="AJ42" i="1"/>
  <c r="AJ37" i="1"/>
  <c r="AC25" i="1"/>
  <c r="AJ39" i="1"/>
  <c r="AJ22" i="1"/>
  <c r="AJ29" i="1"/>
  <c r="AJ30" i="1"/>
  <c r="AC22" i="1"/>
  <c r="AC9" i="1"/>
  <c r="AC31" i="1"/>
  <c r="V39" i="1"/>
  <c r="V6" i="1"/>
  <c r="AJ34" i="1"/>
  <c r="AJ17" i="1"/>
  <c r="AC21" i="1"/>
  <c r="AC28" i="1"/>
  <c r="AC10" i="1"/>
  <c r="AC11" i="1"/>
  <c r="V21" i="1"/>
  <c r="V33" i="1"/>
  <c r="V37" i="1"/>
  <c r="V35" i="1"/>
  <c r="V31" i="1"/>
  <c r="O10" i="1"/>
  <c r="AJ7" i="1"/>
  <c r="AJ16" i="1"/>
  <c r="AC18" i="1"/>
  <c r="AC26" i="1"/>
  <c r="AC37" i="1"/>
  <c r="AC7" i="1"/>
  <c r="V16" i="1"/>
  <c r="V4" i="1"/>
  <c r="V28" i="1"/>
  <c r="V27" i="1"/>
  <c r="V17" i="1"/>
  <c r="O39" i="1"/>
  <c r="O19" i="1"/>
  <c r="O5" i="1"/>
  <c r="O29" i="1"/>
  <c r="AJ18" i="1"/>
  <c r="AJ26" i="1"/>
  <c r="AJ33" i="1"/>
  <c r="AJ3" i="1"/>
  <c r="AJ25" i="1"/>
  <c r="AJ15" i="1"/>
  <c r="AJ11" i="1"/>
  <c r="AJ9" i="1"/>
  <c r="AC6" i="1"/>
  <c r="AC36" i="1"/>
  <c r="AC35" i="1"/>
  <c r="AC15" i="1"/>
  <c r="AC13" i="1"/>
  <c r="AC32" i="1"/>
  <c r="V34" i="1"/>
  <c r="V3" i="1"/>
  <c r="V24" i="1"/>
  <c r="O28" i="1"/>
  <c r="O25" i="1"/>
  <c r="V25" i="1"/>
  <c r="O21" i="1"/>
  <c r="AC8" i="1"/>
  <c r="AJ36" i="1"/>
  <c r="AJ4" i="1"/>
  <c r="AJ24" i="1"/>
  <c r="AJ27" i="1"/>
  <c r="AC42" i="1"/>
  <c r="AC12" i="1"/>
  <c r="AC34" i="1"/>
  <c r="AC16" i="1"/>
  <c r="AC5" i="1"/>
  <c r="AC29" i="1"/>
  <c r="AC20" i="1"/>
  <c r="AC27" i="1"/>
  <c r="V42" i="1"/>
  <c r="V36" i="1"/>
  <c r="V26" i="1"/>
  <c r="V5" i="1"/>
  <c r="V10" i="1"/>
  <c r="V11" i="1"/>
  <c r="V30" i="1"/>
  <c r="O6" i="1"/>
  <c r="O16" i="1"/>
  <c r="O4" i="1"/>
  <c r="O35" i="1"/>
  <c r="O15" i="1"/>
  <c r="O13" i="1"/>
  <c r="AC19" i="1"/>
  <c r="BJ7" i="1" l="1"/>
  <c r="BJ12" i="1"/>
  <c r="BJ39" i="1"/>
  <c r="BJ4" i="1"/>
  <c r="BJ9" i="1"/>
  <c r="BJ28" i="1"/>
  <c r="BJ27" i="1"/>
  <c r="BJ36" i="1"/>
  <c r="BJ11" i="1"/>
  <c r="BJ33" i="1"/>
  <c r="BJ16" i="1"/>
  <c r="BJ30" i="1"/>
  <c r="BJ32" i="1"/>
  <c r="BJ6" i="1"/>
  <c r="BJ15" i="1"/>
  <c r="BJ26" i="1"/>
  <c r="BJ17" i="1"/>
  <c r="BJ29" i="1"/>
  <c r="BJ2" i="1"/>
  <c r="BJ13" i="1"/>
  <c r="BJ31" i="1"/>
  <c r="BJ21" i="1"/>
  <c r="BJ3" i="1"/>
  <c r="BJ42" i="1"/>
  <c r="BJ24" i="1"/>
  <c r="BJ25" i="1"/>
  <c r="BJ18" i="1"/>
  <c r="BJ34" i="1"/>
  <c r="BJ22" i="1"/>
  <c r="BJ37" i="1"/>
  <c r="BJ19" i="1"/>
  <c r="BJ10" i="1"/>
  <c r="BJ35" i="1"/>
  <c r="BJ5" i="1"/>
  <c r="BJ20" i="1"/>
  <c r="C7" i="3"/>
  <c r="C3" i="3"/>
  <c r="H5" i="3" l="1"/>
  <c r="H4" i="3"/>
  <c r="H3" i="3"/>
  <c r="C8" i="1"/>
  <c r="C14" i="1"/>
  <c r="C17" i="1"/>
  <c r="C31" i="1"/>
  <c r="C7" i="1"/>
  <c r="C11" i="1"/>
  <c r="C13" i="1"/>
  <c r="C32" i="1"/>
  <c r="C20" i="1"/>
  <c r="C2" i="1"/>
  <c r="C15" i="1"/>
  <c r="C29" i="1"/>
  <c r="C25" i="1"/>
  <c r="C9" i="1"/>
  <c r="C28" i="1"/>
  <c r="C5" i="1"/>
  <c r="C3" i="1"/>
  <c r="C16" i="1"/>
  <c r="C22" i="1"/>
  <c r="C19" i="1"/>
  <c r="C37" i="1"/>
  <c r="C24" i="1"/>
  <c r="C33" i="1"/>
  <c r="C18" i="1"/>
  <c r="C26" i="1"/>
  <c r="C34" i="1"/>
  <c r="C36" i="1"/>
  <c r="C10" i="1"/>
  <c r="C12" i="1"/>
  <c r="C6" i="1"/>
  <c r="C39" i="1"/>
  <c r="C42" i="1"/>
  <c r="C4" i="1"/>
  <c r="C21" i="1"/>
  <c r="C30" i="1"/>
  <c r="H6" i="3" l="1"/>
  <c r="AI14" i="1"/>
  <c r="AH14" i="1"/>
  <c r="AJ14" i="1" l="1"/>
  <c r="C8" i="3"/>
  <c r="C9" i="3" s="1"/>
  <c r="C2" i="3"/>
  <c r="C4" i="3" s="1"/>
  <c r="AB14" i="1" l="1"/>
  <c r="AA14" i="1"/>
  <c r="U14" i="1"/>
  <c r="T14" i="1"/>
  <c r="N14" i="1"/>
  <c r="M14" i="1"/>
  <c r="BH14" i="1" l="1"/>
  <c r="BI14" i="1" s="1"/>
  <c r="BF14" i="1"/>
  <c r="BG14" i="1" s="1"/>
  <c r="O14" i="1"/>
  <c r="V14" i="1"/>
  <c r="AC14" i="1"/>
  <c r="U8" i="1"/>
  <c r="BH8" i="1" s="1"/>
  <c r="BI8" i="1" s="1"/>
  <c r="T8" i="1"/>
  <c r="N8" i="1"/>
  <c r="M8" i="1"/>
  <c r="BK14" i="1" l="1"/>
  <c r="BJ14" i="1"/>
  <c r="BF8" i="1"/>
  <c r="BG8" i="1" s="1"/>
  <c r="BK8" i="1" s="1"/>
  <c r="V8" i="1"/>
  <c r="O8" i="1"/>
  <c r="BJ8" i="1" l="1"/>
</calcChain>
</file>

<file path=xl/sharedStrings.xml><?xml version="1.0" encoding="utf-8"?>
<sst xmlns="http://schemas.openxmlformats.org/spreadsheetml/2006/main" count="623" uniqueCount="182">
  <si>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</si>
  <si>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</si>
  <si>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</si>
  <si>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</si>
  <si>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</si>
  <si>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</si>
  <si>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</si>
  <si>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</si>
  <si>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</si>
  <si>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אסיה</t>
  </si>
  <si>
    <t>שחר</t>
  </si>
  <si>
    <t>טאי</t>
  </si>
  <si>
    <t>דנה</t>
  </si>
  <si>
    <t>מירב</t>
  </si>
  <si>
    <t>שגית</t>
  </si>
  <si>
    <t>עדן</t>
  </si>
  <si>
    <t>בר</t>
  </si>
  <si>
    <t>עדי</t>
  </si>
  <si>
    <t>קארין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</si>
  <si>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</si>
  <si>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</si>
  <si>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</si>
  <si>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</si>
  <si>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</si>
  <si>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</si>
  <si>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</si>
  <si>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</si>
  <si>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</si>
  <si>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</si>
  <si>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</si>
  <si>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</si>
  <si>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</si>
  <si>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</si>
  <si>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</si>
  <si>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</si>
  <si>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</si>
  <si>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</si>
  <si>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</si>
  <si>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</si>
  <si>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</si>
  <si>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</si>
  <si>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</si>
  <si>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</si>
  <si>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</si>
  <si>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</si>
  <si>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</si>
  <si>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</si>
  <si>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</si>
  <si>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</si>
  <si>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</si>
  <si>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</si>
  <si>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</si>
  <si>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</si>
  <si>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</si>
  <si>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</si>
  <si>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</si>
  <si>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</si>
  <si>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</si>
  <si>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</si>
  <si>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</si>
  <si>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קקצ נוב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</si>
  <si>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</si>
  <si>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</si>
  <si>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</si>
  <si>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</si>
  <si>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</si>
  <si>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</si>
  <si>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</si>
  <si>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שני</t>
  </si>
  <si>
    <t>סופיה</t>
  </si>
  <si>
    <t>מאיה</t>
  </si>
  <si>
    <t>לירון</t>
  </si>
  <si>
    <t>כלנית</t>
  </si>
  <si>
    <t>נילי</t>
  </si>
  <si>
    <t>שר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</si>
  <si>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</si>
  <si>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</si>
  <si>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</si>
  <si>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</si>
  <si>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</si>
  <si>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</si>
  <si>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</si>
  <si>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</si>
  <si>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ניצן</t>
  </si>
  <si>
    <t>לבדוק מה מצב הפטור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</si>
  <si>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</si>
  <si>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</si>
  <si>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</si>
  <si>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</si>
  <si>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</si>
  <si>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</si>
  <si>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</si>
  <si>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</si>
  <si>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</si>
  <si>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</si>
  <si>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</si>
  <si>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</si>
  <si>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</si>
  <si>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</si>
  <si>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</si>
  <si>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</si>
  <si>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</si>
  <si>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</si>
  <si>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</si>
  <si>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</si>
  <si>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</si>
  <si>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</si>
  <si>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</si>
  <si>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</si>
  <si>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</si>
  <si>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</si>
  <si>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</si>
  <si>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</si>
  <si>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</si>
  <si>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</si>
  <si>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</si>
  <si>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</si>
  <si>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</si>
  <si>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</si>
  <si>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</si>
  <si>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</si>
  <si>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</si>
  <si>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</si>
  <si>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</si>
  <si>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</si>
  <si>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</si>
  <si>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</si>
  <si>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עומר</t>
  </si>
  <si>
    <t>קקצ ינואר</t>
  </si>
  <si>
    <t>גילי</t>
  </si>
  <si>
    <t>אולי פטור שמירות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</si>
  <si>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</si>
  <si>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</si>
  <si>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</si>
  <si>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</si>
  <si>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</si>
  <si>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</si>
  <si>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</si>
  <si>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</si>
  <si>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</si>
  <si>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</si>
  <si>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</si>
  <si>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חודש הסתגלות, צריכה פנקס מטווחים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</si>
  <si>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</si>
  <si>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</si>
  <si>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</si>
  <si>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</si>
  <si>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</si>
  <si>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</si>
  <si>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</si>
  <si>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</si>
  <si>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</si>
  <si>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</si>
  <si>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</si>
  <si>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</si>
  <si>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</si>
  <si>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אופק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</si>
  <si>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</si>
  <si>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</si>
  <si>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</si>
  <si>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</si>
  <si>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</si>
  <si>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</si>
  <si>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</si>
  <si>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</si>
  <si>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</si>
  <si>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רומי</t>
  </si>
  <si>
    <t>רבקה</t>
  </si>
  <si>
    <t>נילי 11 פטור שמירות?, מאי פטור שמירות? גילי פטור שמירות? רומי אחודה? מה עם ליאור אחודה, אסי, סול אלגרבלי. שר?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</si>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</sst>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/>
    <xf numFmtId="0" fontId="8" fillId="0" borderId="6" xfId="0" applyFont="1" applyBorder="1"/>
    <xf numFmtId="0" fontId="8" fillId="0" borderId="7" xfId="0" applyFont="1" applyBorder="1"/>
    <xf numFmtId="0" fontId="8" fillId="3" borderId="22" xfId="0" applyFont="1" applyFill="1" applyBorder="1" applyAlignment="1">
      <alignment horizont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 vertical="center"/>
    </xf>
    <xf numFmtId="0" fontId="10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0" fillId="0" borderId="2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0" fillId="0" borderId="0" xfId="0" applyFont="1"/>
    <xf numFmtId="0" fontId="0" fillId="0" borderId="21" xfId="0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164" fontId="0" fillId="0" borderId="26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0" fillId="0" borderId="2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2" borderId="22" xfId="0" applyFont="1" applyFill="1" applyBorder="1" applyAlignment="1">
      <alignment horizontal="center"/>
    </xf>
    <xf numFmtId="10" fontId="8" fillId="2" borderId="10" xfId="0" applyNumberFormat="1" applyFont="1" applyFill="1" applyBorder="1" applyAlignment="1">
      <alignment horizontal="center"/>
    </xf>
    <xf numFmtId="10" fontId="8" fillId="2" borderId="22" xfId="0" applyNumberFormat="1" applyFont="1" applyFill="1" applyBorder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N81"/>
  <sheetViews>
    <sheetView rightToLeft="1" tabSelected="1" zoomScaleNormal="100" zoomScaleSheetLayoutView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7.140625" style="72" customWidth="1"/>
    <col min="2" max="2" width="8" style="44" bestFit="1" customWidth="1"/>
    <col min="3" max="3" width="12.140625" style="44" hidden="1" customWidth="1"/>
    <col min="4" max="4" width="8" style="44" customWidth="1"/>
    <col min="5" max="5" width="9.5703125" style="44" customWidth="1"/>
    <col min="6" max="6" width="11.28515625" style="44" customWidth="1"/>
    <col min="7" max="7" width="11.28515625" style="44" hidden="1" customWidth="1"/>
    <col min="8" max="8" width="6.85546875" style="73" hidden="1" customWidth="1"/>
    <col min="9" max="10" width="8.5703125" style="73" hidden="1" customWidth="1"/>
    <col min="11" max="12" width="9.28515625" style="73" hidden="1" customWidth="1"/>
    <col min="13" max="14" width="12.140625" style="73" hidden="1" customWidth="1"/>
    <col min="15" max="15" width="6.7109375" style="73" hidden="1" customWidth="1"/>
    <col min="16" max="16" width="13" style="71" hidden="1" customWidth="1"/>
    <col min="17" max="17" width="15.85546875" style="71" hidden="1" customWidth="1"/>
    <col min="18" max="18" width="13" style="71" hidden="1" customWidth="1"/>
    <col min="19" max="19" width="16.28515625" style="71" hidden="1" customWidth="1"/>
    <col min="20" max="21" width="9.28515625" style="71" hidden="1" customWidth="1"/>
    <col min="22" max="22" width="6.42578125" style="71" hidden="1" customWidth="1"/>
    <col min="23" max="23" width="13" style="71" hidden="1" customWidth="1"/>
    <col min="24" max="24" width="13.7109375" style="71" hidden="1" customWidth="1"/>
    <col min="25" max="25" width="13" style="71" hidden="1" customWidth="1"/>
    <col min="26" max="26" width="8.85546875" style="71" hidden="1" customWidth="1"/>
    <col min="27" max="27" width="7.5703125" style="71" hidden="1" customWidth="1"/>
    <col min="28" max="28" width="8.85546875" style="71" hidden="1" customWidth="1"/>
    <col min="29" max="32" width="8.42578125" style="71" hidden="1" customWidth="1"/>
    <col min="33" max="33" width="13" style="71" hidden="1" customWidth="1"/>
    <col min="34" max="36" width="8.42578125" style="71" hidden="1" customWidth="1"/>
    <col min="37" max="45" width="8.42578125" style="71" customWidth="1"/>
    <col min="46" max="46" width="8.42578125" style="71" hidden="1" customWidth="1"/>
    <col min="47" max="47" width="13" style="71" hidden="1" customWidth="1"/>
    <col min="48" max="52" width="8.42578125" style="71" customWidth="1"/>
    <col min="53" max="53" width="8.42578125" style="71" hidden="1" customWidth="1"/>
    <col min="54" max="54" width="13" style="71" hidden="1" customWidth="1"/>
    <col min="55" max="57" width="8.42578125" style="71" customWidth="1"/>
    <col min="58" max="58" width="9.140625" style="44"/>
    <col min="59" max="59" width="11" style="44" bestFit="1" customWidth="1"/>
    <col min="60" max="16384" width="9.140625" style="44"/>
  </cols>
  <sheetData>
    <row r="1" spans="1:66" ht="60.75" thickBot="1" x14ac:dyDescent="0.3">
      <c r="A1" s="38" t="s">
        <v>0</v>
      </c>
      <c r="B1" s="39" t="s">
        <v>1</v>
      </c>
      <c r="C1" s="39" t="s">
        <v>99</v>
      </c>
      <c r="D1" s="39" t="s">
        <v>3</v>
      </c>
      <c r="E1" s="39" t="s">
        <v>4</v>
      </c>
      <c r="F1" s="108" t="s">
        <v>176</v>
      </c>
      <c r="G1" s="40" t="s">
        <v>59</v>
      </c>
      <c r="H1" s="40" t="s">
        <v>2</v>
      </c>
      <c r="I1" s="38" t="s">
        <v>44</v>
      </c>
      <c r="J1" s="39" t="s">
        <v>45</v>
      </c>
      <c r="K1" s="39" t="s">
        <v>46</v>
      </c>
      <c r="L1" s="39" t="s">
        <v>47</v>
      </c>
      <c r="M1" s="41" t="s">
        <v>57</v>
      </c>
      <c r="N1" s="41" t="s">
        <v>58</v>
      </c>
      <c r="O1" s="42" t="s">
        <v>56</v>
      </c>
      <c r="P1" s="38" t="s">
        <v>35</v>
      </c>
      <c r="Q1" s="39" t="s">
        <v>36</v>
      </c>
      <c r="R1" s="39" t="s">
        <v>37</v>
      </c>
      <c r="S1" s="39" t="s">
        <v>38</v>
      </c>
      <c r="T1" s="41" t="s">
        <v>39</v>
      </c>
      <c r="U1" s="41" t="s">
        <v>40</v>
      </c>
      <c r="V1" s="42" t="s">
        <v>55</v>
      </c>
      <c r="W1" s="38" t="s">
        <v>51</v>
      </c>
      <c r="X1" s="39" t="s">
        <v>52</v>
      </c>
      <c r="Y1" s="39" t="s">
        <v>53</v>
      </c>
      <c r="Z1" s="39" t="s">
        <v>54</v>
      </c>
      <c r="AA1" s="41" t="s">
        <v>48</v>
      </c>
      <c r="AB1" s="41" t="s">
        <v>49</v>
      </c>
      <c r="AC1" s="42" t="s">
        <v>50</v>
      </c>
      <c r="AD1" s="38" t="s">
        <v>76</v>
      </c>
      <c r="AE1" s="39" t="s">
        <v>77</v>
      </c>
      <c r="AF1" s="39" t="s">
        <v>78</v>
      </c>
      <c r="AG1" s="39" t="s">
        <v>79</v>
      </c>
      <c r="AH1" s="41" t="s">
        <v>80</v>
      </c>
      <c r="AI1" s="41" t="s">
        <v>81</v>
      </c>
      <c r="AJ1" s="42" t="s">
        <v>82</v>
      </c>
      <c r="AK1" s="38" t="s">
        <v>133</v>
      </c>
      <c r="AL1" s="39" t="s">
        <v>134</v>
      </c>
      <c r="AM1" s="39" t="s">
        <v>135</v>
      </c>
      <c r="AN1" s="39" t="s">
        <v>136</v>
      </c>
      <c r="AO1" s="41" t="s">
        <v>137</v>
      </c>
      <c r="AP1" s="41" t="s">
        <v>138</v>
      </c>
      <c r="AQ1" s="42" t="s">
        <v>139</v>
      </c>
      <c r="AR1" s="81" t="s">
        <v>147</v>
      </c>
      <c r="AS1" s="82" t="s">
        <v>148</v>
      </c>
      <c r="AT1" s="82" t="s">
        <v>149</v>
      </c>
      <c r="AU1" s="82" t="s">
        <v>150</v>
      </c>
      <c r="AV1" s="83" t="s">
        <v>151</v>
      </c>
      <c r="AW1" s="83" t="s">
        <v>152</v>
      </c>
      <c r="AX1" s="84" t="s">
        <v>153</v>
      </c>
      <c r="AY1" s="81" t="s">
        <v>169</v>
      </c>
      <c r="AZ1" s="82" t="s">
        <v>170</v>
      </c>
      <c r="BA1" s="82" t="s">
        <v>171</v>
      </c>
      <c r="BB1" s="82" t="s">
        <v>172</v>
      </c>
      <c r="BC1" s="83" t="s">
        <v>173</v>
      </c>
      <c r="BD1" s="83" t="s">
        <v>174</v>
      </c>
      <c r="BE1" s="84" t="s">
        <v>175</v>
      </c>
      <c r="BF1" s="106" t="s">
        <v>178</v>
      </c>
      <c r="BG1" s="106" t="s">
        <v>180</v>
      </c>
      <c r="BH1" s="106" t="s">
        <v>179</v>
      </c>
      <c r="BI1" s="106" t="s">
        <v>181</v>
      </c>
      <c r="BJ1" s="43" t="s">
        <v>146</v>
      </c>
      <c r="BK1" s="106" t="s">
        <v>177</v>
      </c>
      <c r="BL1" s="43" t="s">
        <v>161</v>
      </c>
      <c r="BM1" s="43" t="s">
        <v>162</v>
      </c>
      <c r="BN1" s="106" t="s">
        <v>163</v>
      </c>
    </row>
    <row r="2" spans="1:66" x14ac:dyDescent="0.25">
      <c r="A2" s="45">
        <v>209</v>
      </c>
      <c r="B2" s="46" t="s">
        <v>8</v>
      </c>
      <c r="C2" s="46" t="str">
        <f>B2&amp;" "&amp;A2</f>
        <v>יובל 209</v>
      </c>
      <c r="D2" s="47" t="s">
        <v>6</v>
      </c>
      <c r="E2" s="47" t="s">
        <v>7</v>
      </c>
      <c r="F2" s="104">
        <v>42917</v>
      </c>
      <c r="G2" s="58">
        <v>43437</v>
      </c>
      <c r="H2" s="49"/>
      <c r="I2" s="50"/>
      <c r="J2" s="51"/>
      <c r="K2" s="51">
        <v>2</v>
      </c>
      <c r="L2" s="51">
        <v>1</v>
      </c>
      <c r="M2" s="52">
        <f>I2*3+K2</f>
        <v>2</v>
      </c>
      <c r="N2" s="52">
        <f>J2*3+L2</f>
        <v>1</v>
      </c>
      <c r="O2" s="53">
        <f>N2+M2</f>
        <v>3</v>
      </c>
      <c r="P2" s="45"/>
      <c r="Q2" s="47">
        <v>1</v>
      </c>
      <c r="R2" s="47">
        <v>2</v>
      </c>
      <c r="S2" s="47"/>
      <c r="T2" s="52">
        <f>P2*3+R2</f>
        <v>2</v>
      </c>
      <c r="U2" s="52">
        <f>Q2*3+S2</f>
        <v>3</v>
      </c>
      <c r="V2" s="54">
        <f>U2+T2</f>
        <v>5</v>
      </c>
      <c r="W2" s="45">
        <v>1</v>
      </c>
      <c r="X2" s="47"/>
      <c r="Y2" s="47"/>
      <c r="Z2" s="47"/>
      <c r="AA2" s="55">
        <f>W2*3+Y2</f>
        <v>3</v>
      </c>
      <c r="AB2" s="55">
        <f>X2*3+Z2</f>
        <v>0</v>
      </c>
      <c r="AC2" s="56">
        <f>AB2+AA2</f>
        <v>3</v>
      </c>
      <c r="AD2" s="45"/>
      <c r="AE2" s="47"/>
      <c r="AF2" s="47">
        <v>3</v>
      </c>
      <c r="AG2" s="47"/>
      <c r="AH2" s="52">
        <f>AD2*3+AF2</f>
        <v>3</v>
      </c>
      <c r="AI2" s="52">
        <f>AE2*3+AG2</f>
        <v>0</v>
      </c>
      <c r="AJ2" s="54">
        <f>AI2+AH2</f>
        <v>3</v>
      </c>
      <c r="AK2" s="45"/>
      <c r="AL2" s="47"/>
      <c r="AM2" s="47"/>
      <c r="AN2" s="47">
        <v>1</v>
      </c>
      <c r="AO2" s="52">
        <f>AK2*3+AM2</f>
        <v>0</v>
      </c>
      <c r="AP2" s="52">
        <f>AL2*3+AN2</f>
        <v>1</v>
      </c>
      <c r="AQ2" s="54">
        <f>AP2+AO2</f>
        <v>1</v>
      </c>
      <c r="AR2" s="45"/>
      <c r="AS2" s="47"/>
      <c r="AT2" s="47">
        <v>1</v>
      </c>
      <c r="AU2" s="47"/>
      <c r="AV2" s="52">
        <f>AR2*3+AT2</f>
        <v>1</v>
      </c>
      <c r="AW2" s="52">
        <f>AS2*3+AU2</f>
        <v>0</v>
      </c>
      <c r="AX2" s="54">
        <f>AW2+AV2</f>
        <v>1</v>
      </c>
      <c r="AY2" s="45">
        <v>1</v>
      </c>
      <c r="AZ2" s="47"/>
      <c r="BA2" s="47"/>
      <c r="BB2" s="47"/>
      <c r="BC2" s="52">
        <f>AY2*3+BA2</f>
        <v>3</v>
      </c>
      <c r="BD2" s="52">
        <f>AZ2*3+BB2</f>
        <v>0</v>
      </c>
      <c r="BE2" s="54">
        <f>BD2+BC2</f>
        <v>3</v>
      </c>
      <c r="BF2" s="57">
        <f>SUM(AO2,AH2,AA2,T2,M2,AV2,BC2)</f>
        <v>14</v>
      </c>
      <c r="BG2" s="140">
        <f ca="1">BF2/(TODAY()-F2)</f>
        <v>8.7499999999999994E-2</v>
      </c>
      <c r="BH2" s="57">
        <f>SUM(AP2,AI2,AB2,U2,N2,AW2,BD2)</f>
        <v>5</v>
      </c>
      <c r="BI2" s="140">
        <f ca="1">BH2/(TODAY()-F2)</f>
        <v>3.125E-2</v>
      </c>
      <c r="BJ2" s="57">
        <f>SUM(AQ2,AJ2,AC2,V2,O2,AX2,BE2)</f>
        <v>19</v>
      </c>
      <c r="BK2" s="140">
        <f ca="1">BI2+BG2</f>
        <v>0.11874999999999999</v>
      </c>
      <c r="BL2" s="57">
        <f>SUM(AR2,AK2,AD2,W2,P2,P2,I2,AY2)</f>
        <v>2</v>
      </c>
      <c r="BM2" s="57">
        <f>SUM(AS2,AL2,AE2,X2,Q2,Q2,J2,AZ2)</f>
        <v>2</v>
      </c>
      <c r="BN2" s="57">
        <f>BM2+BL2</f>
        <v>4</v>
      </c>
    </row>
    <row r="3" spans="1:66" x14ac:dyDescent="0.25">
      <c r="A3" s="45">
        <v>679</v>
      </c>
      <c r="B3" s="46" t="s">
        <v>5</v>
      </c>
      <c r="C3" s="46" t="str">
        <f>B3&amp;" "&amp;A3</f>
        <v>מאי 679</v>
      </c>
      <c r="D3" s="47" t="s">
        <v>6</v>
      </c>
      <c r="E3" s="47" t="s">
        <v>7</v>
      </c>
      <c r="F3" s="104">
        <v>42917</v>
      </c>
      <c r="G3" s="60">
        <v>43360</v>
      </c>
      <c r="H3" s="49"/>
      <c r="I3" s="50"/>
      <c r="J3" s="51">
        <v>1</v>
      </c>
      <c r="K3" s="51">
        <v>2</v>
      </c>
      <c r="L3" s="51"/>
      <c r="M3" s="52">
        <f>I3*3+K3</f>
        <v>2</v>
      </c>
      <c r="N3" s="52">
        <f>J3*3+L3</f>
        <v>3</v>
      </c>
      <c r="O3" s="53">
        <f>N3+M3</f>
        <v>5</v>
      </c>
      <c r="P3" s="45">
        <v>1</v>
      </c>
      <c r="Q3" s="47"/>
      <c r="R3" s="47">
        <v>1</v>
      </c>
      <c r="S3" s="47">
        <v>1</v>
      </c>
      <c r="T3" s="52">
        <f>P3*3+R3</f>
        <v>4</v>
      </c>
      <c r="U3" s="52">
        <f>Q3*3+S3</f>
        <v>1</v>
      </c>
      <c r="V3" s="54">
        <f>U3+T3</f>
        <v>5</v>
      </c>
      <c r="W3" s="45"/>
      <c r="X3" s="47">
        <v>1</v>
      </c>
      <c r="Y3" s="47">
        <v>2</v>
      </c>
      <c r="Z3" s="47"/>
      <c r="AA3" s="55">
        <f>W3*3+Y3</f>
        <v>2</v>
      </c>
      <c r="AB3" s="55">
        <f>X3*3+Z3</f>
        <v>3</v>
      </c>
      <c r="AC3" s="56">
        <f>AB3+AA3</f>
        <v>5</v>
      </c>
      <c r="AD3" s="45"/>
      <c r="AE3" s="47"/>
      <c r="AF3" s="47">
        <v>2</v>
      </c>
      <c r="AG3" s="47"/>
      <c r="AH3" s="52">
        <f>AD3*3+AF3</f>
        <v>2</v>
      </c>
      <c r="AI3" s="52">
        <f>AE3*3+AG3</f>
        <v>0</v>
      </c>
      <c r="AJ3" s="54">
        <f>AI3+AH3</f>
        <v>2</v>
      </c>
      <c r="AK3" s="45">
        <v>1</v>
      </c>
      <c r="AL3" s="47"/>
      <c r="AM3" s="47"/>
      <c r="AN3" s="47">
        <v>2</v>
      </c>
      <c r="AO3" s="52">
        <f>AK3*3+AM3</f>
        <v>3</v>
      </c>
      <c r="AP3" s="52">
        <f>AL3*3+AN3</f>
        <v>2</v>
      </c>
      <c r="AQ3" s="54">
        <f>AP3+AO3</f>
        <v>5</v>
      </c>
      <c r="AR3" s="45"/>
      <c r="AS3" s="47"/>
      <c r="AT3" s="47"/>
      <c r="AU3" s="47"/>
      <c r="AV3" s="52">
        <f>AR3*3+AT3</f>
        <v>0</v>
      </c>
      <c r="AW3" s="52">
        <f>AS3*3+AU3</f>
        <v>0</v>
      </c>
      <c r="AX3" s="54">
        <f>AW3+AV3</f>
        <v>0</v>
      </c>
      <c r="AY3" s="45"/>
      <c r="AZ3" s="47"/>
      <c r="BA3" s="47"/>
      <c r="BB3" s="47"/>
      <c r="BC3" s="52">
        <f>AY3*3+BA3</f>
        <v>0</v>
      </c>
      <c r="BD3" s="52">
        <f>AZ3*3+BB3</f>
        <v>0</v>
      </c>
      <c r="BE3" s="54">
        <f>BD3+BC3</f>
        <v>0</v>
      </c>
      <c r="BF3" s="57">
        <f>SUM(AO3,AH3,AA3,T3,M3,AV3,BC3)</f>
        <v>13</v>
      </c>
      <c r="BG3" s="140">
        <f ca="1">BF3/(TODAY()-F3)</f>
        <v>8.1250000000000003E-2</v>
      </c>
      <c r="BH3" s="57">
        <f>SUM(AP3,AI3,AB3,U3,N3,AW3,BD3)</f>
        <v>9</v>
      </c>
      <c r="BI3" s="140">
        <f ca="1">BH3/(TODAY()-F3)</f>
        <v>5.6250000000000001E-2</v>
      </c>
      <c r="BJ3" s="57">
        <f>SUM(AQ3,AJ3,AC3,V3,O3,AX3,BE3)</f>
        <v>22</v>
      </c>
      <c r="BK3" s="140">
        <f ca="1">BI3+BG3</f>
        <v>0.13750000000000001</v>
      </c>
      <c r="BL3" s="57">
        <f>SUM(AR3,AK3,AD3,W3,P3,P3,I3,AY3)</f>
        <v>3</v>
      </c>
      <c r="BM3" s="57">
        <f>SUM(AS3,AL3,AE3,X3,Q3,Q3,J3,AZ3)</f>
        <v>2</v>
      </c>
      <c r="BN3" s="57">
        <f>BM3+BL3</f>
        <v>5</v>
      </c>
    </row>
    <row r="4" spans="1:66" x14ac:dyDescent="0.25">
      <c r="A4" s="45">
        <v>679</v>
      </c>
      <c r="B4" s="46" t="s">
        <v>14</v>
      </c>
      <c r="C4" s="46" t="str">
        <f>B4&amp;" "&amp;A4</f>
        <v>שגית 679</v>
      </c>
      <c r="D4" s="47" t="s">
        <v>7</v>
      </c>
      <c r="E4" s="47" t="s">
        <v>7</v>
      </c>
      <c r="F4" s="104">
        <v>42917</v>
      </c>
      <c r="G4" s="60">
        <v>43297</v>
      </c>
      <c r="H4" s="49"/>
      <c r="I4" s="50"/>
      <c r="J4" s="51">
        <v>1</v>
      </c>
      <c r="K4" s="51"/>
      <c r="L4" s="51">
        <v>1</v>
      </c>
      <c r="M4" s="52">
        <f>I4*3+K4</f>
        <v>0</v>
      </c>
      <c r="N4" s="52">
        <f>J4*3+L4</f>
        <v>4</v>
      </c>
      <c r="O4" s="53">
        <f>N4+M4</f>
        <v>4</v>
      </c>
      <c r="P4" s="45"/>
      <c r="Q4" s="47">
        <v>1</v>
      </c>
      <c r="R4" s="47"/>
      <c r="S4" s="47">
        <v>1</v>
      </c>
      <c r="T4" s="52">
        <f>P4*3+R4</f>
        <v>0</v>
      </c>
      <c r="U4" s="52">
        <f>Q4*3+S4</f>
        <v>4</v>
      </c>
      <c r="V4" s="54">
        <f>U4+T4</f>
        <v>4</v>
      </c>
      <c r="W4" s="45"/>
      <c r="X4" s="47"/>
      <c r="Y4" s="47"/>
      <c r="Z4" s="47">
        <v>2</v>
      </c>
      <c r="AA4" s="55">
        <f>W4*3+Y4</f>
        <v>0</v>
      </c>
      <c r="AB4" s="55">
        <f>X4*3+Z4</f>
        <v>2</v>
      </c>
      <c r="AC4" s="56">
        <f>AB4+AA4</f>
        <v>2</v>
      </c>
      <c r="AD4" s="45"/>
      <c r="AE4" s="47"/>
      <c r="AF4" s="47"/>
      <c r="AG4" s="47">
        <v>3</v>
      </c>
      <c r="AH4" s="52">
        <f>AD4*3+AF4</f>
        <v>0</v>
      </c>
      <c r="AI4" s="52">
        <f>AE4*3+AG4</f>
        <v>3</v>
      </c>
      <c r="AJ4" s="54">
        <f>AI4+AH4</f>
        <v>3</v>
      </c>
      <c r="AK4" s="45"/>
      <c r="AL4" s="47">
        <v>1</v>
      </c>
      <c r="AM4" s="47"/>
      <c r="AN4" s="47">
        <v>1</v>
      </c>
      <c r="AO4" s="52">
        <f>AK4*3+AM4</f>
        <v>0</v>
      </c>
      <c r="AP4" s="52">
        <f>AL4*3+AN4</f>
        <v>4</v>
      </c>
      <c r="AQ4" s="54">
        <f>AP4+AO4</f>
        <v>4</v>
      </c>
      <c r="AR4" s="45"/>
      <c r="AS4" s="47">
        <v>1</v>
      </c>
      <c r="AT4" s="47"/>
      <c r="AU4" s="47">
        <v>2</v>
      </c>
      <c r="AV4" s="52">
        <f>AR4*3+AT4</f>
        <v>0</v>
      </c>
      <c r="AW4" s="52">
        <f>AS4*3+AU4</f>
        <v>5</v>
      </c>
      <c r="AX4" s="54">
        <f>AW4+AV4</f>
        <v>5</v>
      </c>
      <c r="AY4" s="45"/>
      <c r="AZ4" s="47"/>
      <c r="BA4" s="47"/>
      <c r="BB4" s="47"/>
      <c r="BC4" s="52">
        <f>AY4*3+BA4</f>
        <v>0</v>
      </c>
      <c r="BD4" s="52">
        <f>AZ4*3+BB4</f>
        <v>0</v>
      </c>
      <c r="BE4" s="54">
        <f>BD4+BC4</f>
        <v>0</v>
      </c>
      <c r="BF4" s="57">
        <f>SUM(AO4,AH4,AA4,T4,M4,AV4,BC4)</f>
        <v>0</v>
      </c>
      <c r="BG4" s="140">
        <f ca="1">BF4/(TODAY()-F4)</f>
        <v>0</v>
      </c>
      <c r="BH4" s="57">
        <f>SUM(AP4,AI4,AB4,U4,N4,AW4,BD4)</f>
        <v>22</v>
      </c>
      <c r="BI4" s="140">
        <f ca="1">BH4/(TODAY()-F4)</f>
        <v>0.13750000000000001</v>
      </c>
      <c r="BJ4" s="57">
        <f>SUM(AQ4,AJ4,AC4,V4,O4,AX4,BE4)</f>
        <v>22</v>
      </c>
      <c r="BK4" s="140">
        <f ca="1">BI4+BG4</f>
        <v>0.13750000000000001</v>
      </c>
      <c r="BL4" s="57">
        <f>SUM(AR4,AK4,AD4,W4,P4,P4,I4,AY4)</f>
        <v>0</v>
      </c>
      <c r="BM4" s="57">
        <f>SUM(AS4,AL4,AE4,X4,Q4,Q4,J4,AZ4)</f>
        <v>5</v>
      </c>
      <c r="BN4" s="57">
        <f>BM4+BL4</f>
        <v>5</v>
      </c>
    </row>
    <row r="5" spans="1:66" x14ac:dyDescent="0.25">
      <c r="A5" s="45">
        <v>679</v>
      </c>
      <c r="B5" s="46" t="s">
        <v>24</v>
      </c>
      <c r="C5" s="46" t="str">
        <f>B5&amp;" "&amp;A5</f>
        <v>הדס 679</v>
      </c>
      <c r="D5" s="47" t="s">
        <v>7</v>
      </c>
      <c r="E5" s="47" t="s">
        <v>7</v>
      </c>
      <c r="F5" s="104">
        <v>42917</v>
      </c>
      <c r="G5" s="60">
        <v>43360</v>
      </c>
      <c r="H5" s="49"/>
      <c r="I5" s="50"/>
      <c r="J5" s="51"/>
      <c r="K5" s="51"/>
      <c r="L5" s="51">
        <v>1</v>
      </c>
      <c r="M5" s="52">
        <f>I5*3+K5</f>
        <v>0</v>
      </c>
      <c r="N5" s="52">
        <f>J5*3+L5</f>
        <v>1</v>
      </c>
      <c r="O5" s="53">
        <f>N5+M5</f>
        <v>1</v>
      </c>
      <c r="P5" s="45"/>
      <c r="Q5" s="47">
        <v>1</v>
      </c>
      <c r="R5" s="47"/>
      <c r="S5" s="47">
        <v>1</v>
      </c>
      <c r="T5" s="52">
        <f>P5*3+R5</f>
        <v>0</v>
      </c>
      <c r="U5" s="52">
        <f>Q5*3+S5</f>
        <v>4</v>
      </c>
      <c r="V5" s="54">
        <f>U5+T5</f>
        <v>4</v>
      </c>
      <c r="W5" s="45"/>
      <c r="X5" s="47">
        <v>1</v>
      </c>
      <c r="Y5" s="47"/>
      <c r="Z5" s="47">
        <v>4</v>
      </c>
      <c r="AA5" s="55">
        <f>W5*3+Y5</f>
        <v>0</v>
      </c>
      <c r="AB5" s="55">
        <f>X5*3+Z5</f>
        <v>7</v>
      </c>
      <c r="AC5" s="56">
        <f>AB5+AA5</f>
        <v>7</v>
      </c>
      <c r="AD5" s="45"/>
      <c r="AE5" s="47">
        <v>1</v>
      </c>
      <c r="AF5" s="47"/>
      <c r="AG5" s="47">
        <v>1</v>
      </c>
      <c r="AH5" s="52">
        <f>AD5*3+AF5</f>
        <v>0</v>
      </c>
      <c r="AI5" s="52">
        <f>AE5*3+AG5</f>
        <v>4</v>
      </c>
      <c r="AJ5" s="54">
        <f>AI5+AH5</f>
        <v>4</v>
      </c>
      <c r="AK5" s="45"/>
      <c r="AL5" s="47"/>
      <c r="AM5" s="47"/>
      <c r="AN5" s="47">
        <v>1</v>
      </c>
      <c r="AO5" s="52">
        <f>AK5*3+AM5</f>
        <v>0</v>
      </c>
      <c r="AP5" s="52">
        <f>AL5*3+AN5</f>
        <v>1</v>
      </c>
      <c r="AQ5" s="54">
        <f>AP5+AO5</f>
        <v>1</v>
      </c>
      <c r="AR5" s="45"/>
      <c r="AS5" s="47">
        <v>1</v>
      </c>
      <c r="AT5" s="47"/>
      <c r="AU5" s="47">
        <v>1</v>
      </c>
      <c r="AV5" s="52">
        <f>AR5*3+AT5</f>
        <v>0</v>
      </c>
      <c r="AW5" s="52">
        <f>AS5*3+AU5</f>
        <v>4</v>
      </c>
      <c r="AX5" s="54">
        <f>AW5+AV5</f>
        <v>4</v>
      </c>
      <c r="AY5" s="45"/>
      <c r="AZ5" s="47"/>
      <c r="BA5" s="47"/>
      <c r="BB5" s="47"/>
      <c r="BC5" s="52">
        <f>AY5*3+BA5</f>
        <v>0</v>
      </c>
      <c r="BD5" s="52">
        <f>AZ5*3+BB5</f>
        <v>0</v>
      </c>
      <c r="BE5" s="54">
        <f>BD5+BC5</f>
        <v>0</v>
      </c>
      <c r="BF5" s="57">
        <f>SUM(AO5,AH5,AA5,T5,M5,AV5,BC5)</f>
        <v>0</v>
      </c>
      <c r="BG5" s="140">
        <f ca="1">BF5/(TODAY()-F5)</f>
        <v>0</v>
      </c>
      <c r="BH5" s="57">
        <f>SUM(AP5,AI5,AB5,U5,N5,AW5,BD5)</f>
        <v>21</v>
      </c>
      <c r="BI5" s="140">
        <f ca="1">BH5/(TODAY()-F5)</f>
        <v>0.13125000000000001</v>
      </c>
      <c r="BJ5" s="57">
        <f>SUM(AQ5,AJ5,AC5,V5,O5,AX5,BE5)</f>
        <v>21</v>
      </c>
      <c r="BK5" s="140">
        <f ca="1">BI5+BG5</f>
        <v>0.13125000000000001</v>
      </c>
      <c r="BL5" s="57">
        <f>SUM(AR5,AK5,AD5,W5,P5,P5,I5,AY5)</f>
        <v>0</v>
      </c>
      <c r="BM5" s="57">
        <f>SUM(AS5,AL5,AE5,X5,Q5,Q5,J5,AZ5)</f>
        <v>5</v>
      </c>
      <c r="BN5" s="57">
        <f>BM5+BL5</f>
        <v>5</v>
      </c>
    </row>
    <row r="6" spans="1:66" x14ac:dyDescent="0.25">
      <c r="A6" s="45" t="s">
        <v>21</v>
      </c>
      <c r="B6" s="46" t="s">
        <v>25</v>
      </c>
      <c r="C6" s="46" t="str">
        <f>B6&amp;" "&amp;A6</f>
        <v>מורז מפאוג</v>
      </c>
      <c r="D6" s="47" t="s">
        <v>6</v>
      </c>
      <c r="E6" s="47" t="s">
        <v>7</v>
      </c>
      <c r="F6" s="104">
        <v>42917</v>
      </c>
      <c r="G6" s="60">
        <v>43416</v>
      </c>
      <c r="H6" s="49"/>
      <c r="I6" s="50">
        <v>1</v>
      </c>
      <c r="J6" s="51"/>
      <c r="K6" s="51">
        <v>1</v>
      </c>
      <c r="L6" s="51"/>
      <c r="M6" s="52">
        <f>I6*3+K6</f>
        <v>4</v>
      </c>
      <c r="N6" s="52">
        <f>J6*3+L6</f>
        <v>0</v>
      </c>
      <c r="O6" s="53">
        <f>N6+M6</f>
        <v>4</v>
      </c>
      <c r="P6" s="45">
        <v>1</v>
      </c>
      <c r="Q6" s="47"/>
      <c r="R6" s="47">
        <v>2</v>
      </c>
      <c r="S6" s="47"/>
      <c r="T6" s="52">
        <f>P6*3+R6</f>
        <v>5</v>
      </c>
      <c r="U6" s="52">
        <f>Q6*3+S6</f>
        <v>0</v>
      </c>
      <c r="V6" s="54">
        <f>U6+T6</f>
        <v>5</v>
      </c>
      <c r="W6" s="45"/>
      <c r="X6" s="47"/>
      <c r="Y6" s="47">
        <v>1</v>
      </c>
      <c r="Z6" s="47">
        <v>2</v>
      </c>
      <c r="AA6" s="55">
        <f>W6*3+Y6</f>
        <v>1</v>
      </c>
      <c r="AB6" s="55">
        <f>X6*3+Z6</f>
        <v>2</v>
      </c>
      <c r="AC6" s="56">
        <f>AB6+AA6</f>
        <v>3</v>
      </c>
      <c r="AD6" s="45">
        <v>1</v>
      </c>
      <c r="AE6" s="47"/>
      <c r="AF6" s="47"/>
      <c r="AG6" s="47"/>
      <c r="AH6" s="52">
        <f>AD6*3+AF6</f>
        <v>3</v>
      </c>
      <c r="AI6" s="52">
        <f>AE6*3+AG6</f>
        <v>0</v>
      </c>
      <c r="AJ6" s="54">
        <f>AI6+AH6</f>
        <v>3</v>
      </c>
      <c r="AK6" s="45"/>
      <c r="AL6" s="47"/>
      <c r="AM6" s="47"/>
      <c r="AN6" s="47"/>
      <c r="AO6" s="52">
        <f>AK6*3+AM6</f>
        <v>0</v>
      </c>
      <c r="AP6" s="52">
        <f>AL6*3+AN6</f>
        <v>0</v>
      </c>
      <c r="AQ6" s="54">
        <f>AP6+AO6</f>
        <v>0</v>
      </c>
      <c r="AR6" s="45"/>
      <c r="AS6" s="47">
        <v>1</v>
      </c>
      <c r="AT6" s="47">
        <v>1</v>
      </c>
      <c r="AU6" s="47"/>
      <c r="AV6" s="52">
        <f>AR6*3+AT6</f>
        <v>1</v>
      </c>
      <c r="AW6" s="52">
        <f>AS6*3+AU6</f>
        <v>3</v>
      </c>
      <c r="AX6" s="54">
        <f>AW6+AV6</f>
        <v>4</v>
      </c>
      <c r="AY6" s="45"/>
      <c r="AZ6" s="47"/>
      <c r="BA6" s="47"/>
      <c r="BB6" s="47"/>
      <c r="BC6" s="52">
        <f>AY6*3+BA6</f>
        <v>0</v>
      </c>
      <c r="BD6" s="52">
        <f>AZ6*3+BB6</f>
        <v>0</v>
      </c>
      <c r="BE6" s="54">
        <f>BD6+BC6</f>
        <v>0</v>
      </c>
      <c r="BF6" s="57">
        <f>SUM(AO6,AH6,AA6,T6,M6,AV6,BC6)</f>
        <v>14</v>
      </c>
      <c r="BG6" s="140">
        <f ca="1">BF6/(TODAY()-F6)</f>
        <v>8.7499999999999994E-2</v>
      </c>
      <c r="BH6" s="57">
        <f>SUM(AP6,AI6,AB6,U6,N6,AW6,BD6)</f>
        <v>5</v>
      </c>
      <c r="BI6" s="140">
        <f ca="1">BH6/(TODAY()-F6)</f>
        <v>3.125E-2</v>
      </c>
      <c r="BJ6" s="57">
        <f>SUM(AQ6,AJ6,AC6,V6,O6,AX6,BE6)</f>
        <v>19</v>
      </c>
      <c r="BK6" s="140">
        <f ca="1">BI6+BG6</f>
        <v>0.11874999999999999</v>
      </c>
      <c r="BL6" s="57">
        <f>SUM(AR6,AK6,AD6,W6,P6,P6,I6,AY6)</f>
        <v>4</v>
      </c>
      <c r="BM6" s="57">
        <f>SUM(AS6,AL6,AE6,X6,Q6,Q6,J6,AZ6)</f>
        <v>1</v>
      </c>
      <c r="BN6" s="57">
        <f>BM6+BL6</f>
        <v>5</v>
      </c>
    </row>
    <row r="7" spans="1:66" x14ac:dyDescent="0.25">
      <c r="A7" s="45">
        <v>11</v>
      </c>
      <c r="B7" s="46" t="s">
        <v>15</v>
      </c>
      <c r="C7" s="46" t="str">
        <f>B7&amp;" "&amp;A7</f>
        <v>עדן 11</v>
      </c>
      <c r="D7" s="47" t="s">
        <v>6</v>
      </c>
      <c r="E7" s="47" t="s">
        <v>7</v>
      </c>
      <c r="F7" s="104">
        <v>42917</v>
      </c>
      <c r="G7" s="60">
        <v>43490</v>
      </c>
      <c r="H7" s="49" t="s">
        <v>60</v>
      </c>
      <c r="I7" s="50">
        <v>1</v>
      </c>
      <c r="J7" s="51"/>
      <c r="K7" s="51">
        <v>4</v>
      </c>
      <c r="L7" s="51"/>
      <c r="M7" s="52">
        <f>I7*3+K7</f>
        <v>7</v>
      </c>
      <c r="N7" s="52">
        <f>J7*3+L7</f>
        <v>0</v>
      </c>
      <c r="O7" s="53">
        <f>N7+M7</f>
        <v>7</v>
      </c>
      <c r="P7" s="45"/>
      <c r="Q7" s="47"/>
      <c r="R7" s="47">
        <v>3</v>
      </c>
      <c r="S7" s="47"/>
      <c r="T7" s="52">
        <f>P7*3+R7</f>
        <v>3</v>
      </c>
      <c r="U7" s="52">
        <f>Q7*3+S7</f>
        <v>0</v>
      </c>
      <c r="V7" s="54">
        <f>U7+T7</f>
        <v>3</v>
      </c>
      <c r="W7" s="45">
        <v>1</v>
      </c>
      <c r="X7" s="47">
        <v>1</v>
      </c>
      <c r="Y7" s="47"/>
      <c r="Z7" s="47">
        <v>1</v>
      </c>
      <c r="AA7" s="55">
        <f>W7*3+Y7</f>
        <v>3</v>
      </c>
      <c r="AB7" s="55">
        <f>X7*3+Z7</f>
        <v>4</v>
      </c>
      <c r="AC7" s="56">
        <f>AB7+AA7</f>
        <v>7</v>
      </c>
      <c r="AD7" s="45"/>
      <c r="AE7" s="47"/>
      <c r="AF7" s="47">
        <v>1</v>
      </c>
      <c r="AG7" s="47"/>
      <c r="AH7" s="52">
        <f>AD7*3+AF7</f>
        <v>1</v>
      </c>
      <c r="AI7" s="52">
        <f>AE7*3+AG7</f>
        <v>0</v>
      </c>
      <c r="AJ7" s="54">
        <f>AI7+AH7</f>
        <v>1</v>
      </c>
      <c r="AK7" s="45"/>
      <c r="AL7" s="47"/>
      <c r="AM7" s="47">
        <v>2</v>
      </c>
      <c r="AN7" s="47"/>
      <c r="AO7" s="52">
        <f>AK7*3+AM7</f>
        <v>2</v>
      </c>
      <c r="AP7" s="52">
        <f>AL7*3+AN7</f>
        <v>0</v>
      </c>
      <c r="AQ7" s="54">
        <f>AP7+AO7</f>
        <v>2</v>
      </c>
      <c r="AR7" s="45">
        <v>1</v>
      </c>
      <c r="AS7" s="47"/>
      <c r="AT7" s="47"/>
      <c r="AU7" s="47"/>
      <c r="AV7" s="52">
        <f>AR7*3+AT7</f>
        <v>3</v>
      </c>
      <c r="AW7" s="52">
        <f>AS7*3+AU7</f>
        <v>0</v>
      </c>
      <c r="AX7" s="54">
        <f>AW7+AV7</f>
        <v>3</v>
      </c>
      <c r="AY7" s="45"/>
      <c r="AZ7" s="47"/>
      <c r="BA7" s="47"/>
      <c r="BB7" s="47"/>
      <c r="BC7" s="52">
        <f>AY7*3+BA7</f>
        <v>0</v>
      </c>
      <c r="BD7" s="52">
        <f>AZ7*3+BB7</f>
        <v>0</v>
      </c>
      <c r="BE7" s="54">
        <f>BD7+BC7</f>
        <v>0</v>
      </c>
      <c r="BF7" s="57">
        <f>SUM(AO7,AH7,AA7,T7,M7,AV7,BC7)</f>
        <v>19</v>
      </c>
      <c r="BG7" s="140">
        <f ca="1">BF7/(TODAY()-F7)</f>
        <v>0.11874999999999999</v>
      </c>
      <c r="BH7" s="57">
        <f>SUM(AP7,AI7,AB7,U7,N7,AW7,BD7)</f>
        <v>4</v>
      </c>
      <c r="BI7" s="140">
        <f ca="1">BH7/(TODAY()-F7)</f>
        <v>2.5000000000000001E-2</v>
      </c>
      <c r="BJ7" s="57">
        <f>SUM(AQ7,AJ7,AC7,V7,O7,AX7,BE7)</f>
        <v>23</v>
      </c>
      <c r="BK7" s="140">
        <f ca="1">BI7+BG7</f>
        <v>0.14374999999999999</v>
      </c>
      <c r="BL7" s="57">
        <f>SUM(AR7,AK7,AD7,W7,P7,P7,I7,AY7)</f>
        <v>3</v>
      </c>
      <c r="BM7" s="57">
        <f>SUM(AS7,AL7,AE7,X7,Q7,Q7,J7,AZ7)</f>
        <v>1</v>
      </c>
      <c r="BN7" s="57">
        <f>BM7+BL7</f>
        <v>4</v>
      </c>
    </row>
    <row r="8" spans="1:66" x14ac:dyDescent="0.25">
      <c r="A8" s="45">
        <v>9</v>
      </c>
      <c r="B8" s="46" t="s">
        <v>8</v>
      </c>
      <c r="C8" s="46" t="str">
        <f>B8&amp;" "&amp;A8</f>
        <v>יובל 9</v>
      </c>
      <c r="D8" s="47" t="s">
        <v>6</v>
      </c>
      <c r="E8" s="47" t="s">
        <v>7</v>
      </c>
      <c r="F8" s="104">
        <v>42917</v>
      </c>
      <c r="G8" s="60">
        <v>43139</v>
      </c>
      <c r="H8" s="49"/>
      <c r="I8" s="50"/>
      <c r="J8" s="51">
        <v>1</v>
      </c>
      <c r="K8" s="51">
        <v>2</v>
      </c>
      <c r="L8" s="51"/>
      <c r="M8" s="52">
        <f>I8*3+K8</f>
        <v>2</v>
      </c>
      <c r="N8" s="52">
        <f>J8*3+L8</f>
        <v>3</v>
      </c>
      <c r="O8" s="53">
        <f>N8+M8</f>
        <v>5</v>
      </c>
      <c r="P8" s="45"/>
      <c r="Q8" s="47"/>
      <c r="R8" s="47">
        <v>3</v>
      </c>
      <c r="S8" s="47">
        <v>2</v>
      </c>
      <c r="T8" s="52">
        <f>P8*3+R8</f>
        <v>3</v>
      </c>
      <c r="U8" s="52">
        <f>Q8*3+S8</f>
        <v>2</v>
      </c>
      <c r="V8" s="54">
        <f>U8+T8</f>
        <v>5</v>
      </c>
      <c r="W8" s="45">
        <v>1</v>
      </c>
      <c r="X8" s="47"/>
      <c r="Y8" s="47">
        <v>1</v>
      </c>
      <c r="Z8" s="47"/>
      <c r="AA8" s="55">
        <f>W8*3+Y8</f>
        <v>4</v>
      </c>
      <c r="AB8" s="55">
        <f>X8*3+Z8</f>
        <v>0</v>
      </c>
      <c r="AC8" s="56">
        <f>AB8+AA8</f>
        <v>4</v>
      </c>
      <c r="AD8" s="45"/>
      <c r="AE8" s="47"/>
      <c r="AF8" s="47"/>
      <c r="AG8" s="47">
        <v>3</v>
      </c>
      <c r="AH8" s="52">
        <f>AD8*3+AF8</f>
        <v>0</v>
      </c>
      <c r="AI8" s="52">
        <f>AE8*3+AG8</f>
        <v>3</v>
      </c>
      <c r="AJ8" s="54">
        <f>AI8+AH8</f>
        <v>3</v>
      </c>
      <c r="AK8" s="45"/>
      <c r="AL8" s="47">
        <v>1</v>
      </c>
      <c r="AM8" s="47"/>
      <c r="AN8" s="47"/>
      <c r="AO8" s="52">
        <f>AK8*3+AM8</f>
        <v>0</v>
      </c>
      <c r="AP8" s="52">
        <f>AL8*3+AN8</f>
        <v>3</v>
      </c>
      <c r="AQ8" s="54">
        <f>AP8+AO8</f>
        <v>3</v>
      </c>
      <c r="AR8" s="45">
        <v>1</v>
      </c>
      <c r="AS8" s="47"/>
      <c r="AT8" s="47"/>
      <c r="AU8" s="47"/>
      <c r="AV8" s="52">
        <f>AR8*3+AT8</f>
        <v>3</v>
      </c>
      <c r="AW8" s="52">
        <f>AS8*3+AU8</f>
        <v>0</v>
      </c>
      <c r="AX8" s="54">
        <f>AW8+AV8</f>
        <v>3</v>
      </c>
      <c r="AY8" s="45"/>
      <c r="AZ8" s="47"/>
      <c r="BA8" s="47"/>
      <c r="BB8" s="47"/>
      <c r="BC8" s="52">
        <f>AY8*3+BA8</f>
        <v>0</v>
      </c>
      <c r="BD8" s="52">
        <f>AZ8*3+BB8</f>
        <v>0</v>
      </c>
      <c r="BE8" s="54">
        <f>BD8+BC8</f>
        <v>0</v>
      </c>
      <c r="BF8" s="57">
        <f>SUM(AO8,AH8,AA8,T8,M8,AV8,BC8)</f>
        <v>12</v>
      </c>
      <c r="BG8" s="140">
        <f ca="1">BF8/(TODAY()-F8)</f>
        <v>7.4999999999999997E-2</v>
      </c>
      <c r="BH8" s="57">
        <f>SUM(AP8,AI8,AB8,U8,N8,AW8,BD8)</f>
        <v>11</v>
      </c>
      <c r="BI8" s="140">
        <f ca="1">BH8/(TODAY()-F8)</f>
        <v>6.8750000000000006E-2</v>
      </c>
      <c r="BJ8" s="57">
        <f>SUM(AQ8,AJ8,AC8,V8,O8,AX8,BE8)</f>
        <v>23</v>
      </c>
      <c r="BK8" s="140">
        <f ca="1">BI8+BG8</f>
        <v>0.14374999999999999</v>
      </c>
      <c r="BL8" s="57">
        <f>SUM(AR8,AK8,AD8,W8,P8,P8,I8,AY8)</f>
        <v>2</v>
      </c>
      <c r="BM8" s="57">
        <f>SUM(AS8,AL8,AE8,X8,Q8,Q8,J8,AZ8)</f>
        <v>2</v>
      </c>
      <c r="BN8" s="57">
        <f>BM8+BL8</f>
        <v>4</v>
      </c>
    </row>
    <row r="9" spans="1:66" x14ac:dyDescent="0.25">
      <c r="A9" s="45">
        <v>11</v>
      </c>
      <c r="B9" s="46" t="s">
        <v>12</v>
      </c>
      <c r="C9" s="46" t="str">
        <f>B9&amp;" "&amp;A9</f>
        <v>דנה 11</v>
      </c>
      <c r="D9" s="47" t="s">
        <v>7</v>
      </c>
      <c r="E9" s="47" t="s">
        <v>7</v>
      </c>
      <c r="F9" s="104">
        <v>42917</v>
      </c>
      <c r="G9" s="60">
        <v>43139</v>
      </c>
      <c r="H9" s="49"/>
      <c r="I9" s="50"/>
      <c r="J9" s="51">
        <v>1</v>
      </c>
      <c r="K9" s="51"/>
      <c r="L9" s="51">
        <v>1</v>
      </c>
      <c r="M9" s="52">
        <f>I9*3+K9</f>
        <v>0</v>
      </c>
      <c r="N9" s="52">
        <f>J9*3+L9</f>
        <v>4</v>
      </c>
      <c r="O9" s="53">
        <f>N9+M9</f>
        <v>4</v>
      </c>
      <c r="P9" s="45"/>
      <c r="Q9" s="47"/>
      <c r="R9" s="47"/>
      <c r="S9" s="47">
        <v>2</v>
      </c>
      <c r="T9" s="52">
        <f>P9*3+R9</f>
        <v>0</v>
      </c>
      <c r="U9" s="52">
        <f>Q9*3+S9</f>
        <v>2</v>
      </c>
      <c r="V9" s="54">
        <f>U9+T9</f>
        <v>2</v>
      </c>
      <c r="W9" s="45"/>
      <c r="X9" s="47">
        <v>1</v>
      </c>
      <c r="Y9" s="47"/>
      <c r="Z9" s="47">
        <v>2</v>
      </c>
      <c r="AA9" s="55">
        <f>W9*3+Y9</f>
        <v>0</v>
      </c>
      <c r="AB9" s="55">
        <f>X9*3+Z9</f>
        <v>5</v>
      </c>
      <c r="AC9" s="56">
        <f>AB9+AA9</f>
        <v>5</v>
      </c>
      <c r="AD9" s="45"/>
      <c r="AE9" s="47"/>
      <c r="AF9" s="47"/>
      <c r="AG9" s="47">
        <v>3</v>
      </c>
      <c r="AH9" s="52">
        <f>AD9*3+AF9</f>
        <v>0</v>
      </c>
      <c r="AI9" s="52">
        <f>AE9*3+AG9</f>
        <v>3</v>
      </c>
      <c r="AJ9" s="54">
        <f>AI9+AH9</f>
        <v>3</v>
      </c>
      <c r="AK9" s="45"/>
      <c r="AL9" s="47"/>
      <c r="AM9" s="47"/>
      <c r="AN9" s="47">
        <v>1</v>
      </c>
      <c r="AO9" s="52">
        <f>AK9*3+AM9</f>
        <v>0</v>
      </c>
      <c r="AP9" s="52">
        <f>AL9*3+AN9</f>
        <v>1</v>
      </c>
      <c r="AQ9" s="54">
        <f>AP9+AO9</f>
        <v>1</v>
      </c>
      <c r="AR9" s="45"/>
      <c r="AS9" s="47">
        <v>1</v>
      </c>
      <c r="AT9" s="47"/>
      <c r="AU9" s="47">
        <v>2</v>
      </c>
      <c r="AV9" s="52">
        <f>AR9*3+AT9</f>
        <v>0</v>
      </c>
      <c r="AW9" s="52">
        <f>AS9*3+AU9</f>
        <v>5</v>
      </c>
      <c r="AX9" s="54">
        <f>AW9+AV9</f>
        <v>5</v>
      </c>
      <c r="AY9" s="45"/>
      <c r="AZ9" s="47">
        <v>1</v>
      </c>
      <c r="BA9" s="47"/>
      <c r="BB9" s="47"/>
      <c r="BC9" s="52">
        <f>AY9*3+BA9</f>
        <v>0</v>
      </c>
      <c r="BD9" s="52">
        <f>AZ9*3+BB9</f>
        <v>3</v>
      </c>
      <c r="BE9" s="54">
        <f>BD9+BC9</f>
        <v>3</v>
      </c>
      <c r="BF9" s="57">
        <f>SUM(AO9,AH9,AA9,T9,M9,AV9,BC9)</f>
        <v>0</v>
      </c>
      <c r="BG9" s="140">
        <f ca="1">BF9/(TODAY()-F9)</f>
        <v>0</v>
      </c>
      <c r="BH9" s="57">
        <f>SUM(AP9,AI9,AB9,U9,N9,AW9,BD9)</f>
        <v>23</v>
      </c>
      <c r="BI9" s="140">
        <f ca="1">BH9/(TODAY()-F9)</f>
        <v>0.14374999999999999</v>
      </c>
      <c r="BJ9" s="57">
        <f>SUM(AQ9,AJ9,AC9,V9,O9,AX9,BE9)</f>
        <v>23</v>
      </c>
      <c r="BK9" s="140">
        <f ca="1">BI9+BG9</f>
        <v>0.14374999999999999</v>
      </c>
      <c r="BL9" s="57">
        <f>SUM(AR9,AK9,AD9,W9,P9,P9,I9,AY9)</f>
        <v>0</v>
      </c>
      <c r="BM9" s="57">
        <f>SUM(AS9,AL9,AE9,X9,Q9,Q9,J9,AZ9)</f>
        <v>4</v>
      </c>
      <c r="BN9" s="57">
        <f>BM9+BL9</f>
        <v>4</v>
      </c>
    </row>
    <row r="10" spans="1:66" x14ac:dyDescent="0.25">
      <c r="A10" s="45">
        <v>209</v>
      </c>
      <c r="B10" s="46" t="s">
        <v>17</v>
      </c>
      <c r="C10" s="46" t="str">
        <f>B10&amp;" "&amp;A10</f>
        <v>עדי 209</v>
      </c>
      <c r="D10" s="47" t="s">
        <v>7</v>
      </c>
      <c r="E10" s="47" t="s">
        <v>7</v>
      </c>
      <c r="F10" s="104">
        <v>42917</v>
      </c>
      <c r="G10" s="58">
        <v>43421</v>
      </c>
      <c r="H10" s="49"/>
      <c r="I10" s="50"/>
      <c r="J10" s="51"/>
      <c r="K10" s="51"/>
      <c r="L10" s="51">
        <v>2</v>
      </c>
      <c r="M10" s="52">
        <f>I10*3+K10</f>
        <v>0</v>
      </c>
      <c r="N10" s="52">
        <f>J10*3+L10</f>
        <v>2</v>
      </c>
      <c r="O10" s="53">
        <f>N10+M10</f>
        <v>2</v>
      </c>
      <c r="P10" s="45"/>
      <c r="Q10" s="47">
        <v>1</v>
      </c>
      <c r="R10" s="47"/>
      <c r="S10" s="47">
        <v>2</v>
      </c>
      <c r="T10" s="52">
        <f>P10*3+R10</f>
        <v>0</v>
      </c>
      <c r="U10" s="52">
        <f>Q10*3+S10</f>
        <v>5</v>
      </c>
      <c r="V10" s="54">
        <f>U10+T10</f>
        <v>5</v>
      </c>
      <c r="W10" s="45"/>
      <c r="X10" s="47"/>
      <c r="Y10" s="47"/>
      <c r="Z10" s="47">
        <v>3</v>
      </c>
      <c r="AA10" s="55">
        <f>W10*3+Y10</f>
        <v>0</v>
      </c>
      <c r="AB10" s="55">
        <f>X10*3+Z10</f>
        <v>3</v>
      </c>
      <c r="AC10" s="56">
        <f>AB10+AA10</f>
        <v>3</v>
      </c>
      <c r="AD10" s="45"/>
      <c r="AE10" s="47">
        <v>1</v>
      </c>
      <c r="AF10" s="47"/>
      <c r="AG10" s="47">
        <v>2</v>
      </c>
      <c r="AH10" s="52">
        <f>AD10*3+AF10</f>
        <v>0</v>
      </c>
      <c r="AI10" s="52">
        <f>AE10*3+AG10</f>
        <v>5</v>
      </c>
      <c r="AJ10" s="54">
        <f>AI10+AH10</f>
        <v>5</v>
      </c>
      <c r="AK10" s="45"/>
      <c r="AL10" s="47"/>
      <c r="AM10" s="47"/>
      <c r="AN10" s="47">
        <v>2</v>
      </c>
      <c r="AO10" s="52">
        <f>AK10*3+AM10</f>
        <v>0</v>
      </c>
      <c r="AP10" s="52">
        <f>AL10*3+AN10</f>
        <v>2</v>
      </c>
      <c r="AQ10" s="54">
        <f>AP10+AO10</f>
        <v>2</v>
      </c>
      <c r="AR10" s="45"/>
      <c r="AS10" s="47">
        <v>1</v>
      </c>
      <c r="AT10" s="47"/>
      <c r="AU10" s="47">
        <v>1</v>
      </c>
      <c r="AV10" s="52">
        <f>AR10*3+AT10</f>
        <v>0</v>
      </c>
      <c r="AW10" s="52">
        <f>AS10*3+AU10</f>
        <v>4</v>
      </c>
      <c r="AX10" s="54">
        <f>AW10+AV10</f>
        <v>4</v>
      </c>
      <c r="AY10" s="45"/>
      <c r="AZ10" s="47"/>
      <c r="BA10" s="47"/>
      <c r="BB10" s="47"/>
      <c r="BC10" s="52">
        <f>AY10*3+BA10</f>
        <v>0</v>
      </c>
      <c r="BD10" s="52">
        <f>AZ10*3+BB10</f>
        <v>0</v>
      </c>
      <c r="BE10" s="54">
        <f>BD10+BC10</f>
        <v>0</v>
      </c>
      <c r="BF10" s="57">
        <f>SUM(AO10,AH10,AA10,T10,M10,AV10,BC10)</f>
        <v>0</v>
      </c>
      <c r="BG10" s="140">
        <f ca="1">BF10/(TODAY()-F10)</f>
        <v>0</v>
      </c>
      <c r="BH10" s="57">
        <f>SUM(AP10,AI10,AB10,U10,N10,AW10,BD10)</f>
        <v>21</v>
      </c>
      <c r="BI10" s="140">
        <f ca="1">BH10/(TODAY()-F10)</f>
        <v>0.13125000000000001</v>
      </c>
      <c r="BJ10" s="57">
        <f>SUM(AQ10,AJ10,AC10,V10,O10,AX10,BE10)</f>
        <v>21</v>
      </c>
      <c r="BK10" s="140">
        <f ca="1">BI10+BG10</f>
        <v>0.13125000000000001</v>
      </c>
      <c r="BL10" s="57">
        <f>SUM(AR10,AK10,AD10,W10,P10,P10,I10,AY10)</f>
        <v>0</v>
      </c>
      <c r="BM10" s="57">
        <f>SUM(AS10,AL10,AE10,X10,Q10,Q10,J10,AZ10)</f>
        <v>4</v>
      </c>
      <c r="BN10" s="57">
        <f>BM10+BL10</f>
        <v>4</v>
      </c>
    </row>
    <row r="11" spans="1:66" x14ac:dyDescent="0.25">
      <c r="A11" s="45">
        <v>11</v>
      </c>
      <c r="B11" s="46" t="s">
        <v>11</v>
      </c>
      <c r="C11" s="46" t="str">
        <f>B11&amp;" "&amp;A11</f>
        <v>טאי 11</v>
      </c>
      <c r="D11" s="47" t="s">
        <v>6</v>
      </c>
      <c r="E11" s="47" t="s">
        <v>7</v>
      </c>
      <c r="F11" s="104">
        <v>42917</v>
      </c>
      <c r="G11" s="58">
        <v>43360</v>
      </c>
      <c r="H11" s="49"/>
      <c r="I11" s="50">
        <v>1</v>
      </c>
      <c r="J11" s="51"/>
      <c r="K11" s="51">
        <v>1</v>
      </c>
      <c r="L11" s="51">
        <v>1</v>
      </c>
      <c r="M11" s="52">
        <f>I11*3+K11</f>
        <v>4</v>
      </c>
      <c r="N11" s="52">
        <f>J11*3+L11</f>
        <v>1</v>
      </c>
      <c r="O11" s="53">
        <f>N11+M11</f>
        <v>5</v>
      </c>
      <c r="P11" s="45">
        <v>1</v>
      </c>
      <c r="Q11" s="47"/>
      <c r="R11" s="47"/>
      <c r="S11" s="47">
        <v>1</v>
      </c>
      <c r="T11" s="52">
        <f>P11*3+R11</f>
        <v>3</v>
      </c>
      <c r="U11" s="52">
        <f>Q11*3+S11</f>
        <v>1</v>
      </c>
      <c r="V11" s="54">
        <f>U11+T11</f>
        <v>4</v>
      </c>
      <c r="W11" s="45"/>
      <c r="X11" s="47"/>
      <c r="Y11" s="47">
        <v>2</v>
      </c>
      <c r="Z11" s="47"/>
      <c r="AA11" s="55">
        <f>W11*3+Y11</f>
        <v>2</v>
      </c>
      <c r="AB11" s="55">
        <f>X11*3+Z11</f>
        <v>0</v>
      </c>
      <c r="AC11" s="56">
        <f>AB11+AA11</f>
        <v>2</v>
      </c>
      <c r="AD11" s="45">
        <v>1</v>
      </c>
      <c r="AE11" s="47"/>
      <c r="AF11" s="47">
        <v>1</v>
      </c>
      <c r="AG11" s="47"/>
      <c r="AH11" s="52">
        <f>AD11*3+AF11</f>
        <v>4</v>
      </c>
      <c r="AI11" s="52">
        <f>AE11*3+AG11</f>
        <v>0</v>
      </c>
      <c r="AJ11" s="54">
        <f>AI11+AH11</f>
        <v>4</v>
      </c>
      <c r="AK11" s="45"/>
      <c r="AL11" s="47"/>
      <c r="AM11" s="47">
        <v>2</v>
      </c>
      <c r="AN11" s="47"/>
      <c r="AO11" s="52">
        <f>AK11*3+AM11</f>
        <v>2</v>
      </c>
      <c r="AP11" s="52">
        <f>AL11*3+AN11</f>
        <v>0</v>
      </c>
      <c r="AQ11" s="54">
        <f>AP11+AO11</f>
        <v>2</v>
      </c>
      <c r="AR11" s="45"/>
      <c r="AS11" s="47"/>
      <c r="AT11" s="47">
        <v>2</v>
      </c>
      <c r="AU11" s="47">
        <v>1</v>
      </c>
      <c r="AV11" s="52">
        <f>AR11*3+AT11</f>
        <v>2</v>
      </c>
      <c r="AW11" s="52">
        <f>AS11*3+AU11</f>
        <v>1</v>
      </c>
      <c r="AX11" s="54">
        <f>AW11+AV11</f>
        <v>3</v>
      </c>
      <c r="AY11" s="45"/>
      <c r="AZ11" s="47"/>
      <c r="BA11" s="47"/>
      <c r="BB11" s="47"/>
      <c r="BC11" s="52">
        <f>AY11*3+BA11</f>
        <v>0</v>
      </c>
      <c r="BD11" s="52">
        <f>AZ11*3+BB11</f>
        <v>0</v>
      </c>
      <c r="BE11" s="54">
        <f>BD11+BC11</f>
        <v>0</v>
      </c>
      <c r="BF11" s="57">
        <f>SUM(AO11,AH11,AA11,T11,M11,AV11,BC11)</f>
        <v>17</v>
      </c>
      <c r="BG11" s="140">
        <f ca="1">BF11/(TODAY()-F11)</f>
        <v>0.10625</v>
      </c>
      <c r="BH11" s="57">
        <f>SUM(AP11,AI11,AB11,U11,N11,AW11,BD11)</f>
        <v>3</v>
      </c>
      <c r="BI11" s="140">
        <f ca="1">BH11/(TODAY()-F11)</f>
        <v>1.8749999999999999E-2</v>
      </c>
      <c r="BJ11" s="57">
        <f>SUM(AQ11,AJ11,AC11,V11,O11,AX11,BE11)</f>
        <v>20</v>
      </c>
      <c r="BK11" s="140">
        <f ca="1">BI11+BG11</f>
        <v>0.125</v>
      </c>
      <c r="BL11" s="57">
        <f>SUM(AR11,AK11,AD11,W11,P11,P11,I11,AY11)</f>
        <v>4</v>
      </c>
      <c r="BM11" s="57">
        <f>SUM(AS11,AL11,AE11,X11,Q11,Q11,J11,AZ11)</f>
        <v>0</v>
      </c>
      <c r="BN11" s="57">
        <f>BM11+BL11</f>
        <v>4</v>
      </c>
    </row>
    <row r="12" spans="1:66" x14ac:dyDescent="0.25">
      <c r="A12" s="45" t="s">
        <v>21</v>
      </c>
      <c r="B12" s="46" t="s">
        <v>20</v>
      </c>
      <c r="C12" s="46" t="str">
        <f>B12&amp;" "&amp;A12</f>
        <v>שיר מפאוג</v>
      </c>
      <c r="D12" s="47" t="s">
        <v>6</v>
      </c>
      <c r="E12" s="47" t="s">
        <v>7</v>
      </c>
      <c r="F12" s="104">
        <v>42917</v>
      </c>
      <c r="G12" s="58">
        <v>43360</v>
      </c>
      <c r="H12" s="49"/>
      <c r="I12" s="50"/>
      <c r="J12" s="51"/>
      <c r="K12" s="51">
        <v>2</v>
      </c>
      <c r="L12" s="51"/>
      <c r="M12" s="52">
        <f>I12*3+K12</f>
        <v>2</v>
      </c>
      <c r="N12" s="52">
        <f>J12*3+L12</f>
        <v>0</v>
      </c>
      <c r="O12" s="53">
        <f>N12+M12</f>
        <v>2</v>
      </c>
      <c r="P12" s="45">
        <v>1</v>
      </c>
      <c r="Q12" s="47"/>
      <c r="R12" s="47"/>
      <c r="S12" s="47"/>
      <c r="T12" s="52">
        <f>P12*3+R12</f>
        <v>3</v>
      </c>
      <c r="U12" s="52">
        <f>Q12*3+S12</f>
        <v>0</v>
      </c>
      <c r="V12" s="54">
        <f>U12+T12</f>
        <v>3</v>
      </c>
      <c r="W12" s="45"/>
      <c r="X12" s="47">
        <v>1</v>
      </c>
      <c r="Y12" s="47">
        <v>2</v>
      </c>
      <c r="Z12" s="47"/>
      <c r="AA12" s="55">
        <f>W12*3+Y12</f>
        <v>2</v>
      </c>
      <c r="AB12" s="55">
        <f>X12*3+Z12</f>
        <v>3</v>
      </c>
      <c r="AC12" s="56">
        <f>AB12+AA12</f>
        <v>5</v>
      </c>
      <c r="AD12" s="45"/>
      <c r="AE12" s="47"/>
      <c r="AF12" s="47">
        <v>3</v>
      </c>
      <c r="AG12" s="47"/>
      <c r="AH12" s="52">
        <f>AD12*3+AF12</f>
        <v>3</v>
      </c>
      <c r="AI12" s="52">
        <f>AE12*3+AG12</f>
        <v>0</v>
      </c>
      <c r="AJ12" s="54">
        <f>AI12+AH12</f>
        <v>3</v>
      </c>
      <c r="AK12" s="45"/>
      <c r="AL12" s="47"/>
      <c r="AM12" s="47">
        <v>2</v>
      </c>
      <c r="AN12" s="47">
        <v>1</v>
      </c>
      <c r="AO12" s="52">
        <f>AK12*3+AM12</f>
        <v>2</v>
      </c>
      <c r="AP12" s="52">
        <f>AL12*3+AN12</f>
        <v>1</v>
      </c>
      <c r="AQ12" s="54">
        <f>AP12+AO12</f>
        <v>3</v>
      </c>
      <c r="AR12" s="45">
        <v>1</v>
      </c>
      <c r="AS12" s="47"/>
      <c r="AT12" s="47">
        <v>1</v>
      </c>
      <c r="AU12" s="47"/>
      <c r="AV12" s="52">
        <f>AR12*3+AT12</f>
        <v>4</v>
      </c>
      <c r="AW12" s="52">
        <f>AS12*3+AU12</f>
        <v>0</v>
      </c>
      <c r="AX12" s="54">
        <f>AW12+AV12</f>
        <v>4</v>
      </c>
      <c r="AY12" s="45"/>
      <c r="AZ12" s="47"/>
      <c r="BA12" s="47"/>
      <c r="BB12" s="47"/>
      <c r="BC12" s="52">
        <f>AY12*3+BA12</f>
        <v>0</v>
      </c>
      <c r="BD12" s="52">
        <f>AZ12*3+BB12</f>
        <v>0</v>
      </c>
      <c r="BE12" s="54">
        <f>BD12+BC12</f>
        <v>0</v>
      </c>
      <c r="BF12" s="57">
        <f>SUM(AO12,AH12,AA12,T12,M12,AV12,BC12)</f>
        <v>16</v>
      </c>
      <c r="BG12" s="140">
        <f ca="1">BF12/(TODAY()-F12)</f>
        <v>0.1</v>
      </c>
      <c r="BH12" s="57">
        <f>SUM(AP12,AI12,AB12,U12,N12,AW12,BD12)</f>
        <v>4</v>
      </c>
      <c r="BI12" s="140">
        <f ca="1">BH12/(TODAY()-F12)</f>
        <v>2.5000000000000001E-2</v>
      </c>
      <c r="BJ12" s="57">
        <f>SUM(AQ12,AJ12,AC12,V12,O12,AX12,BE12)</f>
        <v>20</v>
      </c>
      <c r="BK12" s="140">
        <f ca="1">BI12+BG12</f>
        <v>0.125</v>
      </c>
      <c r="BL12" s="57">
        <f>SUM(AR12,AK12,AD12,W12,P12,P12,I12,AY12)</f>
        <v>3</v>
      </c>
      <c r="BM12" s="57">
        <f>SUM(AS12,AL12,AE12,X12,Q12,Q12,J12,AZ12)</f>
        <v>1</v>
      </c>
      <c r="BN12" s="57">
        <f>BM12+BL12</f>
        <v>4</v>
      </c>
    </row>
    <row r="13" spans="1:66" x14ac:dyDescent="0.25">
      <c r="A13" s="45">
        <v>11</v>
      </c>
      <c r="B13" s="46" t="s">
        <v>10</v>
      </c>
      <c r="C13" s="46" t="str">
        <f>B13&amp;" "&amp;A13</f>
        <v>שחר 11</v>
      </c>
      <c r="D13" s="47" t="s">
        <v>6</v>
      </c>
      <c r="E13" s="47" t="s">
        <v>7</v>
      </c>
      <c r="F13" s="104">
        <v>42917</v>
      </c>
      <c r="G13" s="58">
        <v>43560</v>
      </c>
      <c r="H13" s="49" t="s">
        <v>60</v>
      </c>
      <c r="I13" s="50"/>
      <c r="J13" s="51"/>
      <c r="K13" s="51">
        <v>1</v>
      </c>
      <c r="L13" s="51"/>
      <c r="M13" s="52">
        <f>I13*3+K13</f>
        <v>1</v>
      </c>
      <c r="N13" s="52">
        <f>J13*3+L13</f>
        <v>0</v>
      </c>
      <c r="O13" s="53">
        <f>N13+M13</f>
        <v>1</v>
      </c>
      <c r="P13" s="45">
        <v>1</v>
      </c>
      <c r="Q13" s="47"/>
      <c r="R13" s="47">
        <v>2</v>
      </c>
      <c r="S13" s="47"/>
      <c r="T13" s="52">
        <f>P13*3+R13</f>
        <v>5</v>
      </c>
      <c r="U13" s="52">
        <f>Q13*3+S13</f>
        <v>0</v>
      </c>
      <c r="V13" s="54">
        <f>U13+T13</f>
        <v>5</v>
      </c>
      <c r="W13" s="45">
        <v>1</v>
      </c>
      <c r="X13" s="47"/>
      <c r="Y13" s="47">
        <v>1</v>
      </c>
      <c r="Z13" s="47"/>
      <c r="AA13" s="55">
        <f>W13*3+Y13</f>
        <v>4</v>
      </c>
      <c r="AB13" s="55">
        <f>X13*3+Z13</f>
        <v>0</v>
      </c>
      <c r="AC13" s="56">
        <f>AB13+AA13</f>
        <v>4</v>
      </c>
      <c r="AD13" s="45"/>
      <c r="AE13" s="47"/>
      <c r="AF13" s="47">
        <v>2</v>
      </c>
      <c r="AG13" s="47"/>
      <c r="AH13" s="52">
        <f>AD13*3+AF13</f>
        <v>2</v>
      </c>
      <c r="AI13" s="52">
        <f>AE13*3+AG13</f>
        <v>0</v>
      </c>
      <c r="AJ13" s="54">
        <f>AI13+AH13</f>
        <v>2</v>
      </c>
      <c r="AK13" s="45"/>
      <c r="AL13" s="47"/>
      <c r="AM13" s="47">
        <v>2</v>
      </c>
      <c r="AN13" s="47">
        <v>1</v>
      </c>
      <c r="AO13" s="52">
        <f>AK13*3+AM13</f>
        <v>2</v>
      </c>
      <c r="AP13" s="52">
        <f>AL13*3+AN13</f>
        <v>1</v>
      </c>
      <c r="AQ13" s="54">
        <f>AP13+AO13</f>
        <v>3</v>
      </c>
      <c r="AR13" s="45">
        <v>1</v>
      </c>
      <c r="AS13" s="47"/>
      <c r="AT13" s="47">
        <v>1</v>
      </c>
      <c r="AU13" s="47"/>
      <c r="AV13" s="52">
        <f>AR13*3+AT13</f>
        <v>4</v>
      </c>
      <c r="AW13" s="52">
        <f>AS13*3+AU13</f>
        <v>0</v>
      </c>
      <c r="AX13" s="54">
        <f>AW13+AV13</f>
        <v>4</v>
      </c>
      <c r="AY13" s="45"/>
      <c r="AZ13" s="47"/>
      <c r="BA13" s="47"/>
      <c r="BB13" s="47"/>
      <c r="BC13" s="52">
        <f>AY13*3+BA13</f>
        <v>0</v>
      </c>
      <c r="BD13" s="52">
        <f>AZ13*3+BB13</f>
        <v>0</v>
      </c>
      <c r="BE13" s="54">
        <f>BD13+BC13</f>
        <v>0</v>
      </c>
      <c r="BF13" s="57">
        <f>SUM(AO13,AH13,AA13,T13,M13,AV13,BC13)</f>
        <v>18</v>
      </c>
      <c r="BG13" s="140">
        <f ca="1">BF13/(TODAY()-F13)</f>
        <v>0.1125</v>
      </c>
      <c r="BH13" s="57">
        <f>SUM(AP13,AI13,AB13,U13,N13,AW13,BD13)</f>
        <v>1</v>
      </c>
      <c r="BI13" s="140">
        <f ca="1">BH13/(TODAY()-F13)</f>
        <v>6.2500000000000003E-3</v>
      </c>
      <c r="BJ13" s="57">
        <f>SUM(AQ13,AJ13,AC13,V13,O13,AX13,BE13)</f>
        <v>19</v>
      </c>
      <c r="BK13" s="140">
        <f ca="1">BI13+BG13</f>
        <v>0.11875000000000001</v>
      </c>
      <c r="BL13" s="57">
        <f>SUM(AR13,AK13,AD13,W13,P13,P13,I13,AY13)</f>
        <v>4</v>
      </c>
      <c r="BM13" s="57">
        <f>SUM(AS13,AL13,AE13,X13,Q13,Q13,J13,AZ13)</f>
        <v>0</v>
      </c>
      <c r="BN13" s="57">
        <f>BM13+BL13</f>
        <v>4</v>
      </c>
    </row>
    <row r="14" spans="1:66" x14ac:dyDescent="0.25">
      <c r="A14" s="45">
        <v>9</v>
      </c>
      <c r="B14" s="46" t="s">
        <v>16</v>
      </c>
      <c r="C14" s="46" t="str">
        <f>B14&amp;" "&amp;A14</f>
        <v>בר 9</v>
      </c>
      <c r="D14" s="47" t="s">
        <v>6</v>
      </c>
      <c r="E14" s="47" t="s">
        <v>7</v>
      </c>
      <c r="F14" s="104">
        <v>42917</v>
      </c>
      <c r="G14" s="58">
        <v>43560</v>
      </c>
      <c r="H14" s="49" t="s">
        <v>60</v>
      </c>
      <c r="I14" s="50"/>
      <c r="J14" s="51"/>
      <c r="K14" s="51"/>
      <c r="L14" s="51"/>
      <c r="M14" s="52">
        <f>I14*3+K14</f>
        <v>0</v>
      </c>
      <c r="N14" s="52">
        <f>J14*3+L14</f>
        <v>0</v>
      </c>
      <c r="O14" s="53">
        <f>N14+M14</f>
        <v>0</v>
      </c>
      <c r="P14" s="45">
        <v>1</v>
      </c>
      <c r="Q14" s="47"/>
      <c r="R14" s="47">
        <v>2</v>
      </c>
      <c r="S14" s="47"/>
      <c r="T14" s="52">
        <f>P14*3+R14</f>
        <v>5</v>
      </c>
      <c r="U14" s="52">
        <f>Q14*3+S14</f>
        <v>0</v>
      </c>
      <c r="V14" s="54">
        <f>U14+T14</f>
        <v>5</v>
      </c>
      <c r="W14" s="45"/>
      <c r="X14" s="47"/>
      <c r="Y14" s="47">
        <v>2</v>
      </c>
      <c r="Z14" s="47"/>
      <c r="AA14" s="55">
        <f>W14*3+Y14</f>
        <v>2</v>
      </c>
      <c r="AB14" s="55">
        <f>X14*3+Z14</f>
        <v>0</v>
      </c>
      <c r="AC14" s="56">
        <f>AB14+AA14</f>
        <v>2</v>
      </c>
      <c r="AD14" s="45"/>
      <c r="AE14" s="47">
        <v>1</v>
      </c>
      <c r="AF14" s="47">
        <v>2</v>
      </c>
      <c r="AG14" s="47">
        <v>1</v>
      </c>
      <c r="AH14" s="52">
        <f>AD14*3+AF14</f>
        <v>2</v>
      </c>
      <c r="AI14" s="52">
        <f>AE14*3+AG14</f>
        <v>4</v>
      </c>
      <c r="AJ14" s="54">
        <f>AI14+AH14</f>
        <v>6</v>
      </c>
      <c r="AK14" s="45">
        <v>1</v>
      </c>
      <c r="AL14" s="47"/>
      <c r="AM14" s="47"/>
      <c r="AN14" s="47"/>
      <c r="AO14" s="52">
        <f>AK14*3+AM14</f>
        <v>3</v>
      </c>
      <c r="AP14" s="52">
        <f>AL14*3+AN14</f>
        <v>0</v>
      </c>
      <c r="AQ14" s="54">
        <f>AP14+AO14</f>
        <v>3</v>
      </c>
      <c r="AR14" s="45"/>
      <c r="AS14" s="47"/>
      <c r="AT14" s="47">
        <v>3</v>
      </c>
      <c r="AU14" s="47"/>
      <c r="AV14" s="52">
        <f>AR14*3+AT14</f>
        <v>3</v>
      </c>
      <c r="AW14" s="52">
        <f>AS14*3+AU14</f>
        <v>0</v>
      </c>
      <c r="AX14" s="54">
        <f>AW14+AV14</f>
        <v>3</v>
      </c>
      <c r="AY14" s="45"/>
      <c r="AZ14" s="47"/>
      <c r="BA14" s="47"/>
      <c r="BB14" s="47"/>
      <c r="BC14" s="52">
        <f>AY14*3+BA14</f>
        <v>0</v>
      </c>
      <c r="BD14" s="52">
        <f>AZ14*3+BB14</f>
        <v>0</v>
      </c>
      <c r="BE14" s="54">
        <f>BD14+BC14</f>
        <v>0</v>
      </c>
      <c r="BF14" s="57">
        <f>SUM(AO14,AH14,AA14,T14,M14,AV14,BC14)</f>
        <v>15</v>
      </c>
      <c r="BG14" s="140">
        <f ca="1">BF14/(TODAY()-F14)</f>
        <v>9.375E-2</v>
      </c>
      <c r="BH14" s="57">
        <f>SUM(AP14,AI14,AB14,U14,N14,AW14,BD14)</f>
        <v>4</v>
      </c>
      <c r="BI14" s="140">
        <f ca="1">BH14/(TODAY()-F14)</f>
        <v>2.5000000000000001E-2</v>
      </c>
      <c r="BJ14" s="57">
        <f>SUM(AQ14,AJ14,AC14,V14,O14,AX14,BE14)</f>
        <v>19</v>
      </c>
      <c r="BK14" s="140">
        <f ca="1">BI14+BG14</f>
        <v>0.11874999999999999</v>
      </c>
      <c r="BL14" s="57">
        <f>SUM(AR14,AK14,AD14,W14,P14,P14,I14,AY14)</f>
        <v>3</v>
      </c>
      <c r="BM14" s="57">
        <f>SUM(AS14,AL14,AE14,X14,Q14,Q14,J14,AZ14)</f>
        <v>1</v>
      </c>
      <c r="BN14" s="57">
        <f>BM14+BL14</f>
        <v>4</v>
      </c>
    </row>
    <row r="15" spans="1:66" x14ac:dyDescent="0.25">
      <c r="A15" s="45">
        <v>209</v>
      </c>
      <c r="B15" s="46" t="s">
        <v>16</v>
      </c>
      <c r="C15" s="46" t="str">
        <f>B15&amp;" "&amp;A15</f>
        <v>בר 209</v>
      </c>
      <c r="D15" s="47" t="s">
        <v>6</v>
      </c>
      <c r="E15" s="47" t="s">
        <v>7</v>
      </c>
      <c r="F15" s="104">
        <v>42917</v>
      </c>
      <c r="G15" s="58">
        <v>43360</v>
      </c>
      <c r="H15" s="49"/>
      <c r="I15" s="50"/>
      <c r="J15" s="51">
        <v>1</v>
      </c>
      <c r="K15" s="51">
        <v>1</v>
      </c>
      <c r="L15" s="51"/>
      <c r="M15" s="52">
        <f>I15*3+K15</f>
        <v>1</v>
      </c>
      <c r="N15" s="52">
        <f>J15*3+L15</f>
        <v>3</v>
      </c>
      <c r="O15" s="53">
        <f>N15+M15</f>
        <v>4</v>
      </c>
      <c r="P15" s="45">
        <v>1</v>
      </c>
      <c r="Q15" s="47"/>
      <c r="R15" s="47">
        <v>2</v>
      </c>
      <c r="S15" s="47"/>
      <c r="T15" s="52">
        <f>P15*3+R15</f>
        <v>5</v>
      </c>
      <c r="U15" s="52">
        <f>Q15*3+S15</f>
        <v>0</v>
      </c>
      <c r="V15" s="54">
        <f>U15+T15</f>
        <v>5</v>
      </c>
      <c r="W15" s="45"/>
      <c r="X15" s="47"/>
      <c r="Y15" s="47">
        <v>2</v>
      </c>
      <c r="Z15" s="47"/>
      <c r="AA15" s="55">
        <f>W15*3+Y15</f>
        <v>2</v>
      </c>
      <c r="AB15" s="55">
        <f>X15*3+Z15</f>
        <v>0</v>
      </c>
      <c r="AC15" s="56">
        <f>AB15+AA15</f>
        <v>2</v>
      </c>
      <c r="AD15" s="45"/>
      <c r="AE15" s="47"/>
      <c r="AF15" s="47">
        <v>1</v>
      </c>
      <c r="AG15" s="47"/>
      <c r="AH15" s="52">
        <f>AD15*3+AF15</f>
        <v>1</v>
      </c>
      <c r="AI15" s="52">
        <f>AE15*3+AG15</f>
        <v>0</v>
      </c>
      <c r="AJ15" s="54">
        <f>AI15+AH15</f>
        <v>1</v>
      </c>
      <c r="AK15" s="45">
        <v>1</v>
      </c>
      <c r="AL15" s="47"/>
      <c r="AM15" s="47">
        <v>1</v>
      </c>
      <c r="AN15" s="47">
        <v>1</v>
      </c>
      <c r="AO15" s="52">
        <f>AK15*3+AM15</f>
        <v>4</v>
      </c>
      <c r="AP15" s="52">
        <f>AL15*3+AN15</f>
        <v>1</v>
      </c>
      <c r="AQ15" s="54">
        <f>AP15+AO15</f>
        <v>5</v>
      </c>
      <c r="AR15" s="45"/>
      <c r="AS15" s="47"/>
      <c r="AT15" s="47">
        <v>2</v>
      </c>
      <c r="AU15" s="47"/>
      <c r="AV15" s="52">
        <f>AR15*3+AT15</f>
        <v>2</v>
      </c>
      <c r="AW15" s="52">
        <f>AS15*3+AU15</f>
        <v>0</v>
      </c>
      <c r="AX15" s="54">
        <f>AW15+AV15</f>
        <v>2</v>
      </c>
      <c r="AY15" s="45"/>
      <c r="AZ15" s="47"/>
      <c r="BA15" s="47"/>
      <c r="BB15" s="47"/>
      <c r="BC15" s="52">
        <f>AY15*3+BA15</f>
        <v>0</v>
      </c>
      <c r="BD15" s="52">
        <f>AZ15*3+BB15</f>
        <v>0</v>
      </c>
      <c r="BE15" s="54">
        <f>BD15+BC15</f>
        <v>0</v>
      </c>
      <c r="BF15" s="57">
        <f>SUM(AO15,AH15,AA15,T15,M15,AV15,BC15)</f>
        <v>15</v>
      </c>
      <c r="BG15" s="140">
        <f ca="1">BF15/(TODAY()-F15)</f>
        <v>9.375E-2</v>
      </c>
      <c r="BH15" s="57">
        <f>SUM(AP15,AI15,AB15,U15,N15,AW15,BD15)</f>
        <v>4</v>
      </c>
      <c r="BI15" s="140">
        <f ca="1">BH15/(TODAY()-F15)</f>
        <v>2.5000000000000001E-2</v>
      </c>
      <c r="BJ15" s="57">
        <f>SUM(AQ15,AJ15,AC15,V15,O15,AX15,BE15)</f>
        <v>19</v>
      </c>
      <c r="BK15" s="140">
        <f ca="1">BI15+BG15</f>
        <v>0.11874999999999999</v>
      </c>
      <c r="BL15" s="57">
        <f>SUM(AR15,AK15,AD15,W15,P15,P15,I15,AY15)</f>
        <v>3</v>
      </c>
      <c r="BM15" s="57">
        <f>SUM(AS15,AL15,AE15,X15,Q15,Q15,J15,AZ15)</f>
        <v>1</v>
      </c>
      <c r="BN15" s="57">
        <f>BM15+BL15</f>
        <v>4</v>
      </c>
    </row>
    <row r="16" spans="1:66" x14ac:dyDescent="0.25">
      <c r="A16" s="45">
        <v>679</v>
      </c>
      <c r="B16" s="46" t="s">
        <v>20</v>
      </c>
      <c r="C16" s="46" t="str">
        <f>B16&amp;" "&amp;A16</f>
        <v>שיר 679</v>
      </c>
      <c r="D16" s="47" t="s">
        <v>6</v>
      </c>
      <c r="E16" s="47" t="s">
        <v>7</v>
      </c>
      <c r="F16" s="104">
        <v>42917</v>
      </c>
      <c r="G16" s="58">
        <v>43558</v>
      </c>
      <c r="H16" s="49" t="s">
        <v>61</v>
      </c>
      <c r="I16" s="50"/>
      <c r="J16" s="51"/>
      <c r="K16" s="51"/>
      <c r="L16" s="51"/>
      <c r="M16" s="52">
        <f>I16*3+K16</f>
        <v>0</v>
      </c>
      <c r="N16" s="52">
        <f>J16*3+L16</f>
        <v>0</v>
      </c>
      <c r="O16" s="53">
        <f>N16+M16</f>
        <v>0</v>
      </c>
      <c r="P16" s="45">
        <v>1</v>
      </c>
      <c r="Q16" s="47"/>
      <c r="R16" s="47"/>
      <c r="S16" s="47"/>
      <c r="T16" s="52">
        <f>P16*3+R16</f>
        <v>3</v>
      </c>
      <c r="U16" s="52">
        <f>Q16*3+S16</f>
        <v>0</v>
      </c>
      <c r="V16" s="54">
        <f>U16+T16</f>
        <v>3</v>
      </c>
      <c r="W16" s="45">
        <v>1</v>
      </c>
      <c r="X16" s="47"/>
      <c r="Y16" s="47">
        <v>1</v>
      </c>
      <c r="Z16" s="47"/>
      <c r="AA16" s="55">
        <f>W16*3+Y16</f>
        <v>4</v>
      </c>
      <c r="AB16" s="55">
        <f>X16*3+Z16</f>
        <v>0</v>
      </c>
      <c r="AC16" s="56">
        <f>AB16+AA16</f>
        <v>4</v>
      </c>
      <c r="AD16" s="45"/>
      <c r="AE16" s="47"/>
      <c r="AF16" s="47">
        <v>1</v>
      </c>
      <c r="AG16" s="47">
        <v>2</v>
      </c>
      <c r="AH16" s="52">
        <f>AD16*3+AF16</f>
        <v>1</v>
      </c>
      <c r="AI16" s="52">
        <f>AE16*3+AG16</f>
        <v>2</v>
      </c>
      <c r="AJ16" s="54">
        <f>AI16+AH16</f>
        <v>3</v>
      </c>
      <c r="AK16" s="45"/>
      <c r="AL16" s="47"/>
      <c r="AM16" s="47">
        <v>2</v>
      </c>
      <c r="AN16" s="47"/>
      <c r="AO16" s="52">
        <f>AK16*3+AM16</f>
        <v>2</v>
      </c>
      <c r="AP16" s="52">
        <f>AL16*3+AN16</f>
        <v>0</v>
      </c>
      <c r="AQ16" s="54">
        <f>AP16+AO16</f>
        <v>2</v>
      </c>
      <c r="AR16" s="45"/>
      <c r="AS16" s="47"/>
      <c r="AT16" s="47">
        <v>3</v>
      </c>
      <c r="AU16" s="47"/>
      <c r="AV16" s="52">
        <f>AR16*3+AT16</f>
        <v>3</v>
      </c>
      <c r="AW16" s="52">
        <f>AS16*3+AU16</f>
        <v>0</v>
      </c>
      <c r="AX16" s="54">
        <f>AW16+AV16</f>
        <v>3</v>
      </c>
      <c r="AY16" s="45">
        <v>1</v>
      </c>
      <c r="AZ16" s="47"/>
      <c r="BA16" s="47"/>
      <c r="BB16" s="47"/>
      <c r="BC16" s="52">
        <f>AY16*3+BA16</f>
        <v>3</v>
      </c>
      <c r="BD16" s="52">
        <f>AZ16*3+BB16</f>
        <v>0</v>
      </c>
      <c r="BE16" s="54">
        <f>BD16+BC16</f>
        <v>3</v>
      </c>
      <c r="BF16" s="57">
        <f>SUM(AO16,AH16,AA16,T16,M16,AV16,BC16)</f>
        <v>16</v>
      </c>
      <c r="BG16" s="140">
        <f ca="1">BF16/(TODAY()-F16)</f>
        <v>0.1</v>
      </c>
      <c r="BH16" s="57">
        <f>SUM(AP16,AI16,AB16,U16,N16,AW16,BD16)</f>
        <v>2</v>
      </c>
      <c r="BI16" s="140">
        <f ca="1">BH16/(TODAY()-F16)</f>
        <v>1.2500000000000001E-2</v>
      </c>
      <c r="BJ16" s="57">
        <f>SUM(AQ16,AJ16,AC16,V16,O16,AX16,BE16)</f>
        <v>18</v>
      </c>
      <c r="BK16" s="140">
        <f ca="1">BI16+BG16</f>
        <v>0.1125</v>
      </c>
      <c r="BL16" s="57">
        <f>SUM(AR16,AK16,AD16,W16,P16,P16,I16,AY16)</f>
        <v>4</v>
      </c>
      <c r="BM16" s="57">
        <f>SUM(AS16,AL16,AE16,X16,Q16,Q16,J16,AZ16)</f>
        <v>0</v>
      </c>
      <c r="BN16" s="57">
        <f>BM16+BL16</f>
        <v>4</v>
      </c>
    </row>
    <row r="17" spans="1:66" x14ac:dyDescent="0.25">
      <c r="A17" s="45">
        <v>9</v>
      </c>
      <c r="B17" s="46" t="s">
        <v>18</v>
      </c>
      <c r="C17" s="46" t="str">
        <f>B17&amp;" "&amp;A17</f>
        <v>קארין 9</v>
      </c>
      <c r="D17" s="47" t="s">
        <v>6</v>
      </c>
      <c r="E17" s="47" t="s">
        <v>7</v>
      </c>
      <c r="F17" s="104">
        <v>42917</v>
      </c>
      <c r="G17" s="58">
        <v>43490</v>
      </c>
      <c r="H17" s="49" t="s">
        <v>60</v>
      </c>
      <c r="I17" s="50"/>
      <c r="J17" s="51"/>
      <c r="K17" s="51">
        <v>2</v>
      </c>
      <c r="L17" s="51"/>
      <c r="M17" s="52">
        <f>I17*3+K17</f>
        <v>2</v>
      </c>
      <c r="N17" s="52">
        <f>J17*3+L17</f>
        <v>0</v>
      </c>
      <c r="O17" s="53">
        <f>N17+M17</f>
        <v>2</v>
      </c>
      <c r="P17" s="45"/>
      <c r="Q17" s="47"/>
      <c r="R17" s="47">
        <v>1</v>
      </c>
      <c r="S17" s="47">
        <v>2</v>
      </c>
      <c r="T17" s="52">
        <f>P17*3+R17</f>
        <v>1</v>
      </c>
      <c r="U17" s="52">
        <f>Q17*3+S17</f>
        <v>2</v>
      </c>
      <c r="V17" s="54">
        <f>U17+T17</f>
        <v>3</v>
      </c>
      <c r="W17" s="45"/>
      <c r="X17" s="47"/>
      <c r="Y17" s="47">
        <v>4</v>
      </c>
      <c r="Z17" s="47"/>
      <c r="AA17" s="55">
        <f>W17*3+Y17</f>
        <v>4</v>
      </c>
      <c r="AB17" s="55">
        <f>X17*3+Z17</f>
        <v>0</v>
      </c>
      <c r="AC17" s="56">
        <f>AB17+AA17</f>
        <v>4</v>
      </c>
      <c r="AD17" s="45"/>
      <c r="AE17" s="47">
        <v>1</v>
      </c>
      <c r="AF17" s="47">
        <v>1</v>
      </c>
      <c r="AG17" s="47">
        <v>3</v>
      </c>
      <c r="AH17" s="52">
        <f>AD17*3+AF17</f>
        <v>1</v>
      </c>
      <c r="AI17" s="52">
        <f>AE17*3+AG17</f>
        <v>6</v>
      </c>
      <c r="AJ17" s="54">
        <f>AI17+AH17</f>
        <v>7</v>
      </c>
      <c r="AK17" s="45">
        <v>1</v>
      </c>
      <c r="AL17" s="47"/>
      <c r="AM17" s="47"/>
      <c r="AN17" s="47"/>
      <c r="AO17" s="52">
        <f>AK17*3+AM17</f>
        <v>3</v>
      </c>
      <c r="AP17" s="52">
        <f>AL17*3+AN17</f>
        <v>0</v>
      </c>
      <c r="AQ17" s="54">
        <f>AP17+AO17</f>
        <v>3</v>
      </c>
      <c r="AR17" s="45"/>
      <c r="AS17" s="47"/>
      <c r="AT17" s="47">
        <v>2</v>
      </c>
      <c r="AU17" s="47"/>
      <c r="AV17" s="52">
        <f>AR17*3+AT17</f>
        <v>2</v>
      </c>
      <c r="AW17" s="52">
        <f>AS17*3+AU17</f>
        <v>0</v>
      </c>
      <c r="AX17" s="54">
        <f>AW17+AV17</f>
        <v>2</v>
      </c>
      <c r="AY17" s="45">
        <v>1</v>
      </c>
      <c r="AZ17" s="47"/>
      <c r="BA17" s="47"/>
      <c r="BB17" s="47"/>
      <c r="BC17" s="52">
        <f>AY17*3+BA17</f>
        <v>3</v>
      </c>
      <c r="BD17" s="52">
        <f>AZ17*3+BB17</f>
        <v>0</v>
      </c>
      <c r="BE17" s="54">
        <f>BD17+BC17</f>
        <v>3</v>
      </c>
      <c r="BF17" s="57">
        <f>SUM(AO17,AH17,AA17,T17,M17,AV17,BC17)</f>
        <v>16</v>
      </c>
      <c r="BG17" s="140">
        <f ca="1">BF17/(TODAY()-F17)</f>
        <v>0.1</v>
      </c>
      <c r="BH17" s="57">
        <f>SUM(AP17,AI17,AB17,U17,N17,AW17,BD17)</f>
        <v>8</v>
      </c>
      <c r="BI17" s="140">
        <f ca="1">BH17/(TODAY()-F17)</f>
        <v>0.05</v>
      </c>
      <c r="BJ17" s="57">
        <f>SUM(AQ17,AJ17,AC17,V17,O17,AX17,BE17)</f>
        <v>24</v>
      </c>
      <c r="BK17" s="140">
        <f ca="1">BI17+BG17</f>
        <v>0.15000000000000002</v>
      </c>
      <c r="BL17" s="57">
        <f>SUM(AR17,AK17,AD17,W17,P17,P17,I17,AY17)</f>
        <v>2</v>
      </c>
      <c r="BM17" s="57">
        <f>SUM(AS17,AL17,AE17,X17,Q17,Q17,J17,AZ17)</f>
        <v>1</v>
      </c>
      <c r="BN17" s="57">
        <f>BM17+BL17</f>
        <v>3</v>
      </c>
    </row>
    <row r="18" spans="1:66" x14ac:dyDescent="0.25">
      <c r="A18" s="45" t="s">
        <v>100</v>
      </c>
      <c r="B18" s="46" t="s">
        <v>68</v>
      </c>
      <c r="C18" s="46" t="str">
        <f>B18&amp;" "&amp;A18</f>
        <v>שני אחודה</v>
      </c>
      <c r="D18" s="47" t="s">
        <v>6</v>
      </c>
      <c r="E18" s="47" t="s">
        <v>7</v>
      </c>
      <c r="F18" s="104">
        <v>42948</v>
      </c>
      <c r="G18" s="58">
        <v>43139</v>
      </c>
      <c r="H18" s="49"/>
      <c r="I18" s="50"/>
      <c r="J18" s="51"/>
      <c r="K18" s="51"/>
      <c r="L18" s="51"/>
      <c r="M18" s="52">
        <f>I18*3+K18</f>
        <v>0</v>
      </c>
      <c r="N18" s="52">
        <f>J18*3+L18</f>
        <v>0</v>
      </c>
      <c r="O18" s="53">
        <f>N18+M18</f>
        <v>0</v>
      </c>
      <c r="P18" s="45"/>
      <c r="Q18" s="47"/>
      <c r="R18" s="47"/>
      <c r="S18" s="47"/>
      <c r="T18" s="52">
        <f>P18*3+R18</f>
        <v>0</v>
      </c>
      <c r="U18" s="52">
        <f>Q18*3+S18</f>
        <v>0</v>
      </c>
      <c r="V18" s="54">
        <f>U18+T18</f>
        <v>0</v>
      </c>
      <c r="W18" s="45">
        <v>1</v>
      </c>
      <c r="X18" s="47"/>
      <c r="Y18" s="47"/>
      <c r="Z18" s="47"/>
      <c r="AA18" s="55">
        <f>W18*3+Y18</f>
        <v>3</v>
      </c>
      <c r="AB18" s="55">
        <f>X18*3+Z18</f>
        <v>0</v>
      </c>
      <c r="AC18" s="56">
        <f>AB18+AA18</f>
        <v>3</v>
      </c>
      <c r="AD18" s="45"/>
      <c r="AE18" s="47"/>
      <c r="AF18" s="47">
        <v>4</v>
      </c>
      <c r="AG18" s="47"/>
      <c r="AH18" s="52">
        <f>AD18*3+AF18</f>
        <v>4</v>
      </c>
      <c r="AI18" s="52">
        <f>AE18*3+AG18</f>
        <v>0</v>
      </c>
      <c r="AJ18" s="54">
        <f>AI18+AH18</f>
        <v>4</v>
      </c>
      <c r="AK18" s="45"/>
      <c r="AL18" s="47"/>
      <c r="AM18" s="47">
        <v>1</v>
      </c>
      <c r="AN18" s="47">
        <v>1</v>
      </c>
      <c r="AO18" s="52">
        <f>AK18*3+AM18</f>
        <v>1</v>
      </c>
      <c r="AP18" s="52">
        <f>AL18*3+AN18</f>
        <v>1</v>
      </c>
      <c r="AQ18" s="54">
        <f>AP18+AO18</f>
        <v>2</v>
      </c>
      <c r="AR18" s="45">
        <v>1</v>
      </c>
      <c r="AS18" s="47">
        <v>1</v>
      </c>
      <c r="AT18" s="47">
        <v>3</v>
      </c>
      <c r="AU18" s="47"/>
      <c r="AV18" s="52">
        <f>AR18*3+AT18</f>
        <v>6</v>
      </c>
      <c r="AW18" s="52">
        <f>AS18*3+AU18</f>
        <v>3</v>
      </c>
      <c r="AX18" s="54">
        <f>AW18+AV18</f>
        <v>9</v>
      </c>
      <c r="AY18" s="45"/>
      <c r="AZ18" s="47"/>
      <c r="BA18" s="47"/>
      <c r="BB18" s="47"/>
      <c r="BC18" s="52">
        <f>AY18*3+BA18</f>
        <v>0</v>
      </c>
      <c r="BD18" s="52">
        <f>AZ18*3+BB18</f>
        <v>0</v>
      </c>
      <c r="BE18" s="54">
        <f>BD18+BC18</f>
        <v>0</v>
      </c>
      <c r="BF18" s="57">
        <f>SUM(AO18,AH18,AA18,T18,M18,AV18,BC18)</f>
        <v>14</v>
      </c>
      <c r="BG18" s="140">
        <f ca="1">BF18/(TODAY()-F18)</f>
        <v>0.10852713178294573</v>
      </c>
      <c r="BH18" s="57">
        <f>SUM(AP18,AI18,AB18,U18,N18,AW18,BD18)</f>
        <v>4</v>
      </c>
      <c r="BI18" s="140">
        <f ca="1">BH18/(TODAY()-F18)</f>
        <v>3.1007751937984496E-2</v>
      </c>
      <c r="BJ18" s="57">
        <f>SUM(AQ18,AJ18,AC18,V18,O18,AX18,BE18)</f>
        <v>18</v>
      </c>
      <c r="BK18" s="140">
        <f ca="1">BI18+BG18</f>
        <v>0.13953488372093023</v>
      </c>
      <c r="BL18" s="57">
        <f>SUM(AR18,AK18,AD18,W18,P18,P18,I18,AY18)</f>
        <v>2</v>
      </c>
      <c r="BM18" s="57">
        <f>SUM(AS18,AL18,AE18,X18,Q18,Q18,J18,AZ18)</f>
        <v>1</v>
      </c>
      <c r="BN18" s="57">
        <f>BM18+BL18</f>
        <v>3</v>
      </c>
    </row>
    <row r="19" spans="1:66" x14ac:dyDescent="0.25">
      <c r="A19" s="45">
        <v>679</v>
      </c>
      <c r="B19" s="46" t="s">
        <v>13</v>
      </c>
      <c r="C19" s="46" t="str">
        <f>B19&amp;" "&amp;A19</f>
        <v>מירב 679</v>
      </c>
      <c r="D19" s="47" t="s">
        <v>6</v>
      </c>
      <c r="E19" s="47" t="s">
        <v>7</v>
      </c>
      <c r="F19" s="104">
        <v>42917</v>
      </c>
      <c r="G19" s="58">
        <v>43421</v>
      </c>
      <c r="H19" s="49"/>
      <c r="I19" s="50">
        <v>1</v>
      </c>
      <c r="J19" s="51"/>
      <c r="K19" s="51">
        <v>3</v>
      </c>
      <c r="L19" s="51">
        <v>1</v>
      </c>
      <c r="M19" s="52">
        <f>I19*3+K19</f>
        <v>6</v>
      </c>
      <c r="N19" s="52">
        <f>J19*3+L19</f>
        <v>1</v>
      </c>
      <c r="O19" s="53">
        <f>N19+M19</f>
        <v>7</v>
      </c>
      <c r="P19" s="45"/>
      <c r="Q19" s="47"/>
      <c r="R19" s="47">
        <v>1</v>
      </c>
      <c r="S19" s="47">
        <v>1</v>
      </c>
      <c r="T19" s="52">
        <f>P19*3+R19</f>
        <v>1</v>
      </c>
      <c r="U19" s="52">
        <f>Q19*3+S19</f>
        <v>1</v>
      </c>
      <c r="V19" s="54">
        <f>U19+T19</f>
        <v>2</v>
      </c>
      <c r="W19" s="45"/>
      <c r="X19" s="47"/>
      <c r="Y19" s="47">
        <v>3</v>
      </c>
      <c r="Z19" s="47"/>
      <c r="AA19" s="55">
        <f>W19*3+Y19</f>
        <v>3</v>
      </c>
      <c r="AB19" s="55">
        <f>X19*3+Z19</f>
        <v>0</v>
      </c>
      <c r="AC19" s="56">
        <f>AB19+AA19</f>
        <v>3</v>
      </c>
      <c r="AD19" s="45">
        <v>1</v>
      </c>
      <c r="AE19" s="47">
        <v>1</v>
      </c>
      <c r="AF19" s="47">
        <v>1</v>
      </c>
      <c r="AG19" s="47">
        <v>1</v>
      </c>
      <c r="AH19" s="52">
        <f>AD19*3+AF19</f>
        <v>4</v>
      </c>
      <c r="AI19" s="52">
        <f>AE19*3+AG19</f>
        <v>4</v>
      </c>
      <c r="AJ19" s="54">
        <f>AI19+AH19</f>
        <v>8</v>
      </c>
      <c r="AK19" s="45"/>
      <c r="AL19" s="47"/>
      <c r="AM19" s="47">
        <v>1</v>
      </c>
      <c r="AN19" s="47">
        <v>1</v>
      </c>
      <c r="AO19" s="52">
        <f>AK19*3+AM19</f>
        <v>1</v>
      </c>
      <c r="AP19" s="52">
        <f>AL19*3+AN19</f>
        <v>1</v>
      </c>
      <c r="AQ19" s="54">
        <f>AP19+AO19</f>
        <v>2</v>
      </c>
      <c r="AR19" s="45"/>
      <c r="AS19" s="47"/>
      <c r="AT19" s="47"/>
      <c r="AU19" s="47"/>
      <c r="AV19" s="52">
        <f>AR19*3+AT19</f>
        <v>0</v>
      </c>
      <c r="AW19" s="52">
        <f>AS19*3+AU19</f>
        <v>0</v>
      </c>
      <c r="AX19" s="54">
        <f>AW19+AV19</f>
        <v>0</v>
      </c>
      <c r="AY19" s="45"/>
      <c r="AZ19" s="47"/>
      <c r="BA19" s="47"/>
      <c r="BB19" s="47"/>
      <c r="BC19" s="52">
        <f>AY19*3+BA19</f>
        <v>0</v>
      </c>
      <c r="BD19" s="52">
        <f>AZ19*3+BB19</f>
        <v>0</v>
      </c>
      <c r="BE19" s="54">
        <f>BD19+BC19</f>
        <v>0</v>
      </c>
      <c r="BF19" s="57">
        <f>SUM(AO19,AH19,AA19,T19,M19,AV19,BC19)</f>
        <v>15</v>
      </c>
      <c r="BG19" s="140">
        <f ca="1">BF19/(TODAY()-F19)</f>
        <v>9.375E-2</v>
      </c>
      <c r="BH19" s="57">
        <f>SUM(AP19,AI19,AB19,U19,N19,AW19,BD19)</f>
        <v>7</v>
      </c>
      <c r="BI19" s="140">
        <f ca="1">BH19/(TODAY()-F19)</f>
        <v>4.3749999999999997E-2</v>
      </c>
      <c r="BJ19" s="57">
        <f>SUM(AQ19,AJ19,AC19,V19,O19,AX19,BE19)</f>
        <v>22</v>
      </c>
      <c r="BK19" s="140">
        <f ca="1">BI19+BG19</f>
        <v>0.13750000000000001</v>
      </c>
      <c r="BL19" s="57">
        <f>SUM(AR19,AK19,AD19,W19,P19,P19,I19,AY19)</f>
        <v>2</v>
      </c>
      <c r="BM19" s="57">
        <f>SUM(AS19,AL19,AE19,X19,Q19,Q19,J19,AZ19)</f>
        <v>1</v>
      </c>
      <c r="BN19" s="57">
        <f>BM19+BL19</f>
        <v>3</v>
      </c>
    </row>
    <row r="20" spans="1:66" x14ac:dyDescent="0.25">
      <c r="A20" s="45">
        <v>11</v>
      </c>
      <c r="B20" s="46" t="s">
        <v>9</v>
      </c>
      <c r="C20" s="46" t="str">
        <f>B20&amp;" "&amp;A20</f>
        <v>אסיה 11</v>
      </c>
      <c r="D20" s="47" t="s">
        <v>7</v>
      </c>
      <c r="E20" s="47" t="s">
        <v>7</v>
      </c>
      <c r="F20" s="104">
        <v>42917</v>
      </c>
      <c r="G20" s="58">
        <v>43139</v>
      </c>
      <c r="H20" s="49"/>
      <c r="I20" s="50"/>
      <c r="J20" s="51"/>
      <c r="K20" s="51"/>
      <c r="L20" s="51">
        <v>3</v>
      </c>
      <c r="M20" s="52">
        <f>I20*3+K20</f>
        <v>0</v>
      </c>
      <c r="N20" s="52">
        <f>J20*3+L20</f>
        <v>3</v>
      </c>
      <c r="O20" s="53">
        <f>N20+M20</f>
        <v>3</v>
      </c>
      <c r="P20" s="45"/>
      <c r="Q20" s="47"/>
      <c r="R20" s="47"/>
      <c r="S20" s="47">
        <v>3</v>
      </c>
      <c r="T20" s="52">
        <f>P20*3+R20</f>
        <v>0</v>
      </c>
      <c r="U20" s="52">
        <f>Q20*3+S20</f>
        <v>3</v>
      </c>
      <c r="V20" s="54">
        <f>U20+T20</f>
        <v>3</v>
      </c>
      <c r="W20" s="45"/>
      <c r="X20" s="47"/>
      <c r="Y20" s="47"/>
      <c r="Z20" s="47"/>
      <c r="AA20" s="55">
        <f>W20*3+Y20</f>
        <v>0</v>
      </c>
      <c r="AB20" s="55">
        <f>X20*3+Z20</f>
        <v>0</v>
      </c>
      <c r="AC20" s="56">
        <f>AB20+AA20</f>
        <v>0</v>
      </c>
      <c r="AD20" s="45"/>
      <c r="AE20" s="47">
        <v>1</v>
      </c>
      <c r="AF20" s="47"/>
      <c r="AG20" s="47">
        <v>2</v>
      </c>
      <c r="AH20" s="52">
        <f>AD20*3+AF20</f>
        <v>0</v>
      </c>
      <c r="AI20" s="52">
        <f>AE20*3+AG20</f>
        <v>5</v>
      </c>
      <c r="AJ20" s="54">
        <f>AI20+AH20</f>
        <v>5</v>
      </c>
      <c r="AK20" s="45"/>
      <c r="AL20" s="47">
        <v>1</v>
      </c>
      <c r="AM20" s="47"/>
      <c r="AN20" s="47">
        <v>1</v>
      </c>
      <c r="AO20" s="52">
        <f>AK20*3+AM20</f>
        <v>0</v>
      </c>
      <c r="AP20" s="52">
        <f>AL20*3+AN20</f>
        <v>4</v>
      </c>
      <c r="AQ20" s="54">
        <f>AP20+AO20</f>
        <v>4</v>
      </c>
      <c r="AR20" s="45"/>
      <c r="AS20" s="47"/>
      <c r="AT20" s="47"/>
      <c r="AU20" s="47">
        <v>4</v>
      </c>
      <c r="AV20" s="52">
        <f>AR20*3+AT20</f>
        <v>0</v>
      </c>
      <c r="AW20" s="52">
        <f>AS20*3+AU20</f>
        <v>4</v>
      </c>
      <c r="AX20" s="54">
        <f>AW20+AV20</f>
        <v>4</v>
      </c>
      <c r="AY20" s="45"/>
      <c r="AZ20" s="47">
        <v>1</v>
      </c>
      <c r="BA20" s="47"/>
      <c r="BB20" s="47"/>
      <c r="BC20" s="52">
        <f>AY20*3+BA20</f>
        <v>0</v>
      </c>
      <c r="BD20" s="52">
        <f>AZ20*3+BB20</f>
        <v>3</v>
      </c>
      <c r="BE20" s="54">
        <f>BD20+BC20</f>
        <v>3</v>
      </c>
      <c r="BF20" s="57">
        <f>SUM(AO20,AH20,AA20,T20,M20,AV20,BC20)</f>
        <v>0</v>
      </c>
      <c r="BG20" s="140">
        <f ca="1">BF20/(TODAY()-F20)</f>
        <v>0</v>
      </c>
      <c r="BH20" s="57">
        <f>SUM(AP20,AI20,AB20,U20,N20,AW20,BD20)</f>
        <v>22</v>
      </c>
      <c r="BI20" s="140">
        <f ca="1">BH20/(TODAY()-F20)</f>
        <v>0.13750000000000001</v>
      </c>
      <c r="BJ20" s="57">
        <f>SUM(AQ20,AJ20,AC20,V20,O20,AX20,BE20)</f>
        <v>22</v>
      </c>
      <c r="BK20" s="140">
        <f ca="1">BI20+BG20</f>
        <v>0.13750000000000001</v>
      </c>
      <c r="BL20" s="57">
        <f>SUM(AR20,AK20,AD20,W20,P20,P20,I20,AY20)</f>
        <v>0</v>
      </c>
      <c r="BM20" s="57">
        <f>SUM(AS20,AL20,AE20,X20,Q20,Q20,J20,AZ20)</f>
        <v>3</v>
      </c>
      <c r="BN20" s="57">
        <f>BM20+BL20</f>
        <v>3</v>
      </c>
    </row>
    <row r="21" spans="1:66" x14ac:dyDescent="0.25">
      <c r="A21" s="45" t="s">
        <v>23</v>
      </c>
      <c r="B21" s="46" t="s">
        <v>20</v>
      </c>
      <c r="C21" s="46" t="str">
        <f>B21&amp;" "&amp;A21</f>
        <v>שיר מרחבים</v>
      </c>
      <c r="D21" s="47" t="s">
        <v>6</v>
      </c>
      <c r="E21" s="47" t="s">
        <v>7</v>
      </c>
      <c r="F21" s="104">
        <v>42917</v>
      </c>
      <c r="G21" s="58">
        <v>43524</v>
      </c>
      <c r="H21" s="49"/>
      <c r="I21" s="50">
        <v>1</v>
      </c>
      <c r="J21" s="51"/>
      <c r="K21" s="51">
        <v>2</v>
      </c>
      <c r="L21" s="51">
        <v>1</v>
      </c>
      <c r="M21" s="52">
        <f>I21*3+K21</f>
        <v>5</v>
      </c>
      <c r="N21" s="52">
        <f>J21*3+L21</f>
        <v>1</v>
      </c>
      <c r="O21" s="53">
        <f>N21+M21</f>
        <v>6</v>
      </c>
      <c r="P21" s="45"/>
      <c r="Q21" s="47"/>
      <c r="R21" s="47"/>
      <c r="S21" s="47">
        <v>1</v>
      </c>
      <c r="T21" s="52">
        <f>P21*3+R21</f>
        <v>0</v>
      </c>
      <c r="U21" s="52">
        <f>Q21*3+S21</f>
        <v>1</v>
      </c>
      <c r="V21" s="54">
        <f>U21+T21</f>
        <v>1</v>
      </c>
      <c r="W21" s="45">
        <v>1</v>
      </c>
      <c r="X21" s="47"/>
      <c r="Y21" s="47">
        <v>1</v>
      </c>
      <c r="Z21" s="47"/>
      <c r="AA21" s="55">
        <f>W21*3+Y21</f>
        <v>4</v>
      </c>
      <c r="AB21" s="55">
        <f>X21*3+Z21</f>
        <v>0</v>
      </c>
      <c r="AC21" s="56">
        <f>AB21+AA21</f>
        <v>4</v>
      </c>
      <c r="AD21" s="45"/>
      <c r="AE21" s="47"/>
      <c r="AF21" s="47">
        <v>3</v>
      </c>
      <c r="AG21" s="47">
        <v>1</v>
      </c>
      <c r="AH21" s="52">
        <f>AD21*3+AF21</f>
        <v>3</v>
      </c>
      <c r="AI21" s="52">
        <f>AE21*3+AG21</f>
        <v>1</v>
      </c>
      <c r="AJ21" s="54">
        <f>AI21+AH21</f>
        <v>4</v>
      </c>
      <c r="AK21" s="45"/>
      <c r="AL21" s="47"/>
      <c r="AM21" s="47">
        <v>2</v>
      </c>
      <c r="AN21" s="47">
        <v>1</v>
      </c>
      <c r="AO21" s="52">
        <f>AK21*3+AM21</f>
        <v>2</v>
      </c>
      <c r="AP21" s="52">
        <f>AL21*3+AN21</f>
        <v>1</v>
      </c>
      <c r="AQ21" s="54">
        <f>AP21+AO21</f>
        <v>3</v>
      </c>
      <c r="AR21" s="45">
        <v>1</v>
      </c>
      <c r="AS21" s="47"/>
      <c r="AT21" s="47"/>
      <c r="AU21" s="47"/>
      <c r="AV21" s="52">
        <f>AR21*3+AT21</f>
        <v>3</v>
      </c>
      <c r="AW21" s="52">
        <f>AS21*3+AU21</f>
        <v>0</v>
      </c>
      <c r="AX21" s="54">
        <f>AW21+AV21</f>
        <v>3</v>
      </c>
      <c r="AY21" s="45"/>
      <c r="AZ21" s="47"/>
      <c r="BA21" s="47"/>
      <c r="BB21" s="47"/>
      <c r="BC21" s="52">
        <f>AY21*3+BA21</f>
        <v>0</v>
      </c>
      <c r="BD21" s="52">
        <f>AZ21*3+BB21</f>
        <v>0</v>
      </c>
      <c r="BE21" s="54">
        <f>BD21+BC21</f>
        <v>0</v>
      </c>
      <c r="BF21" s="57">
        <f>SUM(AO21,AH21,AA21,T21,M21,AV21,BC21)</f>
        <v>17</v>
      </c>
      <c r="BG21" s="140">
        <f ca="1">BF21/(TODAY()-F21)</f>
        <v>0.10625</v>
      </c>
      <c r="BH21" s="57">
        <f>SUM(AP21,AI21,AB21,U21,N21,AW21,BD21)</f>
        <v>4</v>
      </c>
      <c r="BI21" s="140">
        <f ca="1">BH21/(TODAY()-F21)</f>
        <v>2.5000000000000001E-2</v>
      </c>
      <c r="BJ21" s="57">
        <f>SUM(AQ21,AJ21,AC21,V21,O21,AX21,BE21)</f>
        <v>21</v>
      </c>
      <c r="BK21" s="140">
        <f ca="1">BI21+BG21</f>
        <v>0.13125000000000001</v>
      </c>
      <c r="BL21" s="57">
        <f>SUM(AR21,AK21,AD21,W21,P21,P21,I21,AY21)</f>
        <v>3</v>
      </c>
      <c r="BM21" s="57">
        <f>SUM(AS21,AL21,AE21,X21,Q21,Q21,J21,AZ21)</f>
        <v>0</v>
      </c>
      <c r="BN21" s="57">
        <f>BM21+BL21</f>
        <v>3</v>
      </c>
    </row>
    <row r="22" spans="1:66" x14ac:dyDescent="0.25">
      <c r="A22" s="45" t="s">
        <v>100</v>
      </c>
      <c r="B22" s="46" t="s">
        <v>69</v>
      </c>
      <c r="C22" s="46" t="str">
        <f>B22&amp;" "&amp;A22</f>
        <v>סופיה אחודה</v>
      </c>
      <c r="D22" s="47" t="s">
        <v>7</v>
      </c>
      <c r="E22" s="47" t="s">
        <v>7</v>
      </c>
      <c r="F22" s="104">
        <v>42948</v>
      </c>
      <c r="G22" s="58">
        <v>43659</v>
      </c>
      <c r="H22" s="49"/>
      <c r="I22" s="50"/>
      <c r="J22" s="51"/>
      <c r="K22" s="51"/>
      <c r="L22" s="51"/>
      <c r="M22" s="52">
        <f>I22*3+K22</f>
        <v>0</v>
      </c>
      <c r="N22" s="52">
        <f>J22*3+L22</f>
        <v>0</v>
      </c>
      <c r="O22" s="53">
        <f>N22+M22</f>
        <v>0</v>
      </c>
      <c r="P22" s="45"/>
      <c r="Q22" s="47"/>
      <c r="R22" s="47"/>
      <c r="S22" s="47"/>
      <c r="T22" s="52">
        <f>P22*3+R22</f>
        <v>0</v>
      </c>
      <c r="U22" s="52">
        <f>Q22*3+S22</f>
        <v>0</v>
      </c>
      <c r="V22" s="54">
        <f>U22+T22</f>
        <v>0</v>
      </c>
      <c r="W22" s="45"/>
      <c r="X22" s="47"/>
      <c r="Y22" s="47"/>
      <c r="Z22" s="47"/>
      <c r="AA22" s="55">
        <f>W22*3+Y22</f>
        <v>0</v>
      </c>
      <c r="AB22" s="55">
        <f>X22*3+Z22</f>
        <v>0</v>
      </c>
      <c r="AC22" s="56">
        <f>AB22+AA22</f>
        <v>0</v>
      </c>
      <c r="AD22" s="45"/>
      <c r="AE22" s="47">
        <v>1</v>
      </c>
      <c r="AF22" s="47"/>
      <c r="AG22" s="47">
        <v>1</v>
      </c>
      <c r="AH22" s="52">
        <f>AD22*3+AF22</f>
        <v>0</v>
      </c>
      <c r="AI22" s="52">
        <f>AE22*3+AG22</f>
        <v>4</v>
      </c>
      <c r="AJ22" s="54">
        <f>AI22+AH22</f>
        <v>4</v>
      </c>
      <c r="AK22" s="45"/>
      <c r="AL22" s="47">
        <v>1</v>
      </c>
      <c r="AM22" s="47"/>
      <c r="AN22" s="47">
        <v>1</v>
      </c>
      <c r="AO22" s="52">
        <f>AK22*3+AM22</f>
        <v>0</v>
      </c>
      <c r="AP22" s="52">
        <f>AL22*3+AN22</f>
        <v>4</v>
      </c>
      <c r="AQ22" s="54">
        <f>AP22+AO22</f>
        <v>4</v>
      </c>
      <c r="AR22" s="45"/>
      <c r="AS22" s="47"/>
      <c r="AT22" s="47"/>
      <c r="AU22" s="47">
        <v>3</v>
      </c>
      <c r="AV22" s="52">
        <f>AR22*3+AT22</f>
        <v>0</v>
      </c>
      <c r="AW22" s="52">
        <f>AS22*3+AU22</f>
        <v>3</v>
      </c>
      <c r="AX22" s="54">
        <f>AW22+AV22</f>
        <v>3</v>
      </c>
      <c r="AY22" s="45"/>
      <c r="AZ22" s="47">
        <v>1</v>
      </c>
      <c r="BA22" s="47"/>
      <c r="BB22" s="47"/>
      <c r="BC22" s="52">
        <f>AY22*3+BA22</f>
        <v>0</v>
      </c>
      <c r="BD22" s="52">
        <f>AZ22*3+BB22</f>
        <v>3</v>
      </c>
      <c r="BE22" s="54">
        <f>BD22+BC22</f>
        <v>3</v>
      </c>
      <c r="BF22" s="57">
        <f>SUM(AO22,AH22,AA22,T22,M22,AV22,BC22)</f>
        <v>0</v>
      </c>
      <c r="BG22" s="140">
        <f ca="1">BF22/(TODAY()-F22)</f>
        <v>0</v>
      </c>
      <c r="BH22" s="57">
        <f>SUM(AP22,AI22,AB22,U22,N22,AW22,BD22)</f>
        <v>14</v>
      </c>
      <c r="BI22" s="140">
        <f ca="1">BH22/(TODAY()-F22)</f>
        <v>0.10852713178294573</v>
      </c>
      <c r="BJ22" s="57">
        <f>SUM(AQ22,AJ22,AC22,V22,O22,AX22,BE22)</f>
        <v>14</v>
      </c>
      <c r="BK22" s="140">
        <f ca="1">BI22+BG22</f>
        <v>0.10852713178294573</v>
      </c>
      <c r="BL22" s="57">
        <f>SUM(AR22,AK22,AD22,W22,P22,P22,I22,AY22)</f>
        <v>0</v>
      </c>
      <c r="BM22" s="57">
        <f>SUM(AS22,AL22,AE22,X22,Q22,Q22,J22,AZ22)</f>
        <v>3</v>
      </c>
      <c r="BN22" s="57">
        <f>BM22+BL22</f>
        <v>3</v>
      </c>
    </row>
    <row r="23" spans="1:66" x14ac:dyDescent="0.25">
      <c r="A23" s="45" t="s">
        <v>100</v>
      </c>
      <c r="B23" s="46" t="s">
        <v>141</v>
      </c>
      <c r="C23" s="46" t="str">
        <f>B23&amp;" "&amp;A23</f>
        <v>דיאנה אחודה</v>
      </c>
      <c r="D23" s="47" t="s">
        <v>6</v>
      </c>
      <c r="E23" s="47" t="s">
        <v>6</v>
      </c>
      <c r="F23" s="104">
        <v>43009</v>
      </c>
      <c r="G23" s="58">
        <v>43291</v>
      </c>
      <c r="H23" s="49" t="s">
        <v>142</v>
      </c>
      <c r="I23" s="50"/>
      <c r="J23" s="51"/>
      <c r="K23" s="51"/>
      <c r="L23" s="51"/>
      <c r="M23" s="52">
        <f>I23*3+K23</f>
        <v>0</v>
      </c>
      <c r="N23" s="52">
        <f>J23*3+L23</f>
        <v>0</v>
      </c>
      <c r="O23" s="53">
        <f>N23+M23</f>
        <v>0</v>
      </c>
      <c r="P23" s="45"/>
      <c r="Q23" s="47"/>
      <c r="R23" s="47"/>
      <c r="S23" s="47"/>
      <c r="T23" s="52">
        <f>P23*3+R23</f>
        <v>0</v>
      </c>
      <c r="U23" s="52">
        <f>Q23*3+S23</f>
        <v>0</v>
      </c>
      <c r="V23" s="54">
        <f>U23+T23</f>
        <v>0</v>
      </c>
      <c r="W23" s="45"/>
      <c r="X23" s="47"/>
      <c r="Y23" s="47"/>
      <c r="Z23" s="47"/>
      <c r="AA23" s="55">
        <f>W23*3+Y23</f>
        <v>0</v>
      </c>
      <c r="AB23" s="55">
        <f>X23*3+Z23</f>
        <v>0</v>
      </c>
      <c r="AC23" s="56">
        <f>AB23+AA23</f>
        <v>0</v>
      </c>
      <c r="AD23" s="45"/>
      <c r="AE23" s="47"/>
      <c r="AF23" s="47"/>
      <c r="AG23" s="47"/>
      <c r="AH23" s="52">
        <f>AD23*3+AF23</f>
        <v>0</v>
      </c>
      <c r="AI23" s="52">
        <f>AE23*3+AG23</f>
        <v>0</v>
      </c>
      <c r="AJ23" s="54">
        <f>AI23+AH23</f>
        <v>0</v>
      </c>
      <c r="AK23" s="45">
        <v>1</v>
      </c>
      <c r="AL23" s="47"/>
      <c r="AM23" s="47">
        <v>1</v>
      </c>
      <c r="AN23" s="47"/>
      <c r="AO23" s="52">
        <f>AK23*3+AM23</f>
        <v>4</v>
      </c>
      <c r="AP23" s="52">
        <f>AL23*3+AN23</f>
        <v>0</v>
      </c>
      <c r="AQ23" s="54">
        <f>AP23+AO23</f>
        <v>4</v>
      </c>
      <c r="AR23" s="45"/>
      <c r="AS23" s="47"/>
      <c r="AT23" s="47">
        <v>4</v>
      </c>
      <c r="AU23" s="47"/>
      <c r="AV23" s="52">
        <f>AR23*3+AT23</f>
        <v>4</v>
      </c>
      <c r="AW23" s="52">
        <f>AS23*3+AU23</f>
        <v>0</v>
      </c>
      <c r="AX23" s="54">
        <f>AW23+AV23</f>
        <v>4</v>
      </c>
      <c r="AY23" s="45">
        <v>1</v>
      </c>
      <c r="AZ23" s="47"/>
      <c r="BA23" s="47"/>
      <c r="BB23" s="47"/>
      <c r="BC23" s="52">
        <f>AY23*3+BA23</f>
        <v>3</v>
      </c>
      <c r="BD23" s="52">
        <f>AZ23*3+BB23</f>
        <v>0</v>
      </c>
      <c r="BE23" s="54">
        <f>BD23+BC23</f>
        <v>3</v>
      </c>
      <c r="BF23" s="57">
        <f>SUM(AO23,AH23,AA23,T23,M23,AV23,BC23)</f>
        <v>11</v>
      </c>
      <c r="BG23" s="140">
        <f ca="1">BF23/(TODAY()-F23)</f>
        <v>0.16176470588235295</v>
      </c>
      <c r="BH23" s="57">
        <f>SUM(AP23,AI23,AB23,U23,N23,AW23,BD23)</f>
        <v>0</v>
      </c>
      <c r="BI23" s="140">
        <f ca="1">BH23/(TODAY()-F23)</f>
        <v>0</v>
      </c>
      <c r="BJ23" s="57">
        <f>SUM(AQ23,AJ23,AC23,V23,O23,AX23,BE23)</f>
        <v>11</v>
      </c>
      <c r="BK23" s="140">
        <f ca="1">BI23+BG23</f>
        <v>0.16176470588235295</v>
      </c>
      <c r="BL23" s="57">
        <f>SUM(AR23,AK23,AD23,W23,P23,P23,I23,AY23)</f>
        <v>2</v>
      </c>
      <c r="BM23" s="57">
        <f>SUM(AS23,AL23,AE23,X23,Q23,Q23,J23,AZ23)</f>
        <v>0</v>
      </c>
      <c r="BN23" s="57">
        <f>BM23+BL23</f>
        <v>2</v>
      </c>
    </row>
    <row r="24" spans="1:66" x14ac:dyDescent="0.25">
      <c r="A24" s="45">
        <v>679</v>
      </c>
      <c r="B24" s="46" t="s">
        <v>75</v>
      </c>
      <c r="C24" s="46" t="str">
        <f>B24&amp;" "&amp;A24</f>
        <v>אלכס 679</v>
      </c>
      <c r="D24" s="47" t="s">
        <v>6</v>
      </c>
      <c r="E24" s="77" t="s">
        <v>7</v>
      </c>
      <c r="F24" s="104">
        <v>42979</v>
      </c>
      <c r="G24" s="58">
        <v>43661</v>
      </c>
      <c r="H24" s="49"/>
      <c r="I24" s="50"/>
      <c r="J24" s="51"/>
      <c r="K24" s="51"/>
      <c r="L24" s="51"/>
      <c r="M24" s="52">
        <f>I24*3+K24</f>
        <v>0</v>
      </c>
      <c r="N24" s="52">
        <f>J24*3+L24</f>
        <v>0</v>
      </c>
      <c r="O24" s="53">
        <f>N24+M24</f>
        <v>0</v>
      </c>
      <c r="P24" s="45"/>
      <c r="Q24" s="47"/>
      <c r="R24" s="47"/>
      <c r="S24" s="47"/>
      <c r="T24" s="52">
        <f>P24*3+R24</f>
        <v>0</v>
      </c>
      <c r="U24" s="52">
        <f>Q24*3+S24</f>
        <v>0</v>
      </c>
      <c r="V24" s="54">
        <f>U24+T24</f>
        <v>0</v>
      </c>
      <c r="W24" s="45"/>
      <c r="X24" s="47"/>
      <c r="Y24" s="47"/>
      <c r="Z24" s="47"/>
      <c r="AA24" s="55">
        <f>W24*3+Y24</f>
        <v>0</v>
      </c>
      <c r="AB24" s="55">
        <f>X24*3+Z24</f>
        <v>0</v>
      </c>
      <c r="AC24" s="56">
        <f>AB24+AA24</f>
        <v>0</v>
      </c>
      <c r="AD24" s="45">
        <v>1</v>
      </c>
      <c r="AE24" s="47"/>
      <c r="AF24" s="47"/>
      <c r="AG24" s="47"/>
      <c r="AH24" s="52">
        <f>AD24*3+AF24</f>
        <v>3</v>
      </c>
      <c r="AI24" s="52">
        <f>AE24*3+AG24</f>
        <v>0</v>
      </c>
      <c r="AJ24" s="54">
        <f>AI24+AH24</f>
        <v>3</v>
      </c>
      <c r="AK24" s="45"/>
      <c r="AL24" s="47"/>
      <c r="AM24" s="47">
        <v>4</v>
      </c>
      <c r="AN24" s="47"/>
      <c r="AO24" s="52">
        <f>AK24*3+AM24</f>
        <v>4</v>
      </c>
      <c r="AP24" s="52">
        <f>AL24*3+AN24</f>
        <v>0</v>
      </c>
      <c r="AQ24" s="54">
        <f>AP24+AO24</f>
        <v>4</v>
      </c>
      <c r="AR24" s="45"/>
      <c r="AS24" s="47"/>
      <c r="AT24" s="47">
        <v>4</v>
      </c>
      <c r="AU24" s="47"/>
      <c r="AV24" s="52">
        <f>AR24*3+AT24</f>
        <v>4</v>
      </c>
      <c r="AW24" s="52">
        <f>AS24*3+AU24</f>
        <v>0</v>
      </c>
      <c r="AX24" s="54">
        <f>AW24+AV24</f>
        <v>4</v>
      </c>
      <c r="AY24" s="45">
        <v>1</v>
      </c>
      <c r="AZ24" s="47"/>
      <c r="BA24" s="47"/>
      <c r="BB24" s="47"/>
      <c r="BC24" s="52">
        <f>AY24*3+BA24</f>
        <v>3</v>
      </c>
      <c r="BD24" s="52">
        <f>AZ24*3+BB24</f>
        <v>0</v>
      </c>
      <c r="BE24" s="54">
        <f>BD24+BC24</f>
        <v>3</v>
      </c>
      <c r="BF24" s="57">
        <f>SUM(AO24,AH24,AA24,T24,M24,AV24,BC24)</f>
        <v>14</v>
      </c>
      <c r="BG24" s="140">
        <f ca="1">BF24/(TODAY()-F24)</f>
        <v>0.14285714285714285</v>
      </c>
      <c r="BH24" s="57">
        <f>SUM(AP24,AI24,AB24,U24,N24,AW24,BD24)</f>
        <v>0</v>
      </c>
      <c r="BI24" s="140">
        <f ca="1">BH24/(TODAY()-F24)</f>
        <v>0</v>
      </c>
      <c r="BJ24" s="57">
        <f>SUM(AQ24,AJ24,AC24,V24,O24,AX24,BE24)</f>
        <v>14</v>
      </c>
      <c r="BK24" s="140">
        <f ca="1">BI24+BG24</f>
        <v>0.14285714285714285</v>
      </c>
      <c r="BL24" s="57">
        <f>SUM(AR24,AK24,AD24,W24,P24,P24,I24,AY24)</f>
        <v>2</v>
      </c>
      <c r="BM24" s="57">
        <f>SUM(AS24,AL24,AE24,X24,Q24,Q24,J24,AZ24)</f>
        <v>0</v>
      </c>
      <c r="BN24" s="57">
        <f>BM24+BL24</f>
        <v>2</v>
      </c>
    </row>
    <row r="25" spans="1:66" x14ac:dyDescent="0.25">
      <c r="A25" s="45">
        <v>474</v>
      </c>
      <c r="B25" s="46" t="s">
        <v>120</v>
      </c>
      <c r="C25" s="46" t="str">
        <f>B25&amp;" "&amp;A25</f>
        <v>יהל אור 474</v>
      </c>
      <c r="D25" s="47" t="s">
        <v>6</v>
      </c>
      <c r="E25" s="47" t="s">
        <v>7</v>
      </c>
      <c r="F25" s="104">
        <v>42948</v>
      </c>
      <c r="G25" s="58">
        <v>43748</v>
      </c>
      <c r="H25" s="49"/>
      <c r="I25" s="50"/>
      <c r="J25" s="51"/>
      <c r="K25" s="51"/>
      <c r="L25" s="51"/>
      <c r="M25" s="52">
        <f>I25*3+K25</f>
        <v>0</v>
      </c>
      <c r="N25" s="52">
        <f>J25*3+L25</f>
        <v>0</v>
      </c>
      <c r="O25" s="53">
        <f>N25+M25</f>
        <v>0</v>
      </c>
      <c r="P25" s="45"/>
      <c r="Q25" s="47"/>
      <c r="R25" s="47">
        <v>4</v>
      </c>
      <c r="S25" s="47"/>
      <c r="T25" s="52">
        <f>P25*3+R25</f>
        <v>4</v>
      </c>
      <c r="U25" s="52">
        <f>Q25*3+S25</f>
        <v>0</v>
      </c>
      <c r="V25" s="54">
        <f>U25+T25</f>
        <v>4</v>
      </c>
      <c r="W25" s="45">
        <v>1</v>
      </c>
      <c r="X25" s="47"/>
      <c r="Y25" s="47">
        <v>1</v>
      </c>
      <c r="Z25" s="47"/>
      <c r="AA25" s="55">
        <f>W25*3+Y25</f>
        <v>4</v>
      </c>
      <c r="AB25" s="55">
        <f>X25*3+Z25</f>
        <v>0</v>
      </c>
      <c r="AC25" s="56">
        <f>AB25+AA25</f>
        <v>4</v>
      </c>
      <c r="AD25" s="45"/>
      <c r="AE25" s="47"/>
      <c r="AF25" s="47">
        <v>2</v>
      </c>
      <c r="AG25" s="47">
        <v>2</v>
      </c>
      <c r="AH25" s="52">
        <f>AD25*3+AF25</f>
        <v>2</v>
      </c>
      <c r="AI25" s="52">
        <f>AE25*3+AG25</f>
        <v>2</v>
      </c>
      <c r="AJ25" s="54">
        <f>AI25+AH25</f>
        <v>4</v>
      </c>
      <c r="AK25" s="45"/>
      <c r="AL25" s="47"/>
      <c r="AM25" s="47">
        <v>2</v>
      </c>
      <c r="AN25" s="47">
        <v>1</v>
      </c>
      <c r="AO25" s="52">
        <f>AK25*3+AM25</f>
        <v>2</v>
      </c>
      <c r="AP25" s="52">
        <f>AL25*3+AN25</f>
        <v>1</v>
      </c>
      <c r="AQ25" s="54">
        <f>AP25+AO25</f>
        <v>3</v>
      </c>
      <c r="AR25" s="45">
        <v>1</v>
      </c>
      <c r="AS25" s="47"/>
      <c r="AT25" s="47"/>
      <c r="AU25" s="47"/>
      <c r="AV25" s="52">
        <f>AR25*3+AT25</f>
        <v>3</v>
      </c>
      <c r="AW25" s="52">
        <f>AS25*3+AU25</f>
        <v>0</v>
      </c>
      <c r="AX25" s="54">
        <f>AW25+AV25</f>
        <v>3</v>
      </c>
      <c r="AY25" s="45"/>
      <c r="AZ25" s="47"/>
      <c r="BA25" s="47"/>
      <c r="BB25" s="47"/>
      <c r="BC25" s="52">
        <f>AY25*3+BA25</f>
        <v>0</v>
      </c>
      <c r="BD25" s="52">
        <f>AZ25*3+BB25</f>
        <v>0</v>
      </c>
      <c r="BE25" s="54">
        <f>BD25+BC25</f>
        <v>0</v>
      </c>
      <c r="BF25" s="57">
        <f>SUM(AO25,AH25,AA25,T25,M25,AV25,BC25)</f>
        <v>15</v>
      </c>
      <c r="BG25" s="140">
        <f ca="1">BF25/(TODAY()-F25)</f>
        <v>0.11627906976744186</v>
      </c>
      <c r="BH25" s="57">
        <f>SUM(AP25,AI25,AB25,U25,N25,AW25,BD25)</f>
        <v>3</v>
      </c>
      <c r="BI25" s="140">
        <f ca="1">BH25/(TODAY()-F25)</f>
        <v>2.3255813953488372E-2</v>
      </c>
      <c r="BJ25" s="57">
        <f>SUM(AQ25,AJ25,AC25,V25,O25,AX25,BE25)</f>
        <v>18</v>
      </c>
      <c r="BK25" s="140">
        <f ca="1">BI25+BG25</f>
        <v>0.13953488372093023</v>
      </c>
      <c r="BL25" s="57">
        <f>SUM(AR25,AK25,AD25,W25,P25,P25,I25,AY25)</f>
        <v>2</v>
      </c>
      <c r="BM25" s="57">
        <f>SUM(AS25,AL25,AE25,X25,Q25,Q25,J25,AZ25)</f>
        <v>0</v>
      </c>
      <c r="BN25" s="57">
        <f>BM25+BL25</f>
        <v>2</v>
      </c>
    </row>
    <row r="26" spans="1:66" x14ac:dyDescent="0.25">
      <c r="A26" s="45" t="s">
        <v>100</v>
      </c>
      <c r="B26" s="46" t="s">
        <v>71</v>
      </c>
      <c r="C26" s="46" t="str">
        <f>B26&amp;" "&amp;A26</f>
        <v>לירון אחודה</v>
      </c>
      <c r="D26" s="47" t="s">
        <v>6</v>
      </c>
      <c r="E26" s="47" t="s">
        <v>7</v>
      </c>
      <c r="F26" s="104">
        <v>42948</v>
      </c>
      <c r="G26" s="58">
        <v>43501</v>
      </c>
      <c r="H26" s="49"/>
      <c r="I26" s="50"/>
      <c r="J26" s="51"/>
      <c r="K26" s="51"/>
      <c r="L26" s="51"/>
      <c r="M26" s="52">
        <f>I26*3+K26</f>
        <v>0</v>
      </c>
      <c r="N26" s="52">
        <f>J26*3+L26</f>
        <v>0</v>
      </c>
      <c r="O26" s="53">
        <f>N26+M26</f>
        <v>0</v>
      </c>
      <c r="P26" s="45"/>
      <c r="Q26" s="47"/>
      <c r="R26" s="47"/>
      <c r="S26" s="47"/>
      <c r="T26" s="52">
        <f>P26*3+R26</f>
        <v>0</v>
      </c>
      <c r="U26" s="52">
        <f>Q26*3+S26</f>
        <v>0</v>
      </c>
      <c r="V26" s="54">
        <f>U26+T26</f>
        <v>0</v>
      </c>
      <c r="W26" s="45"/>
      <c r="X26" s="47"/>
      <c r="Y26" s="47">
        <v>2</v>
      </c>
      <c r="Z26" s="47"/>
      <c r="AA26" s="55">
        <f>W26*3+Y26</f>
        <v>2</v>
      </c>
      <c r="AB26" s="55">
        <f>X26*3+Z26</f>
        <v>0</v>
      </c>
      <c r="AC26" s="56">
        <f>AB26+AA26</f>
        <v>2</v>
      </c>
      <c r="AD26" s="45">
        <v>1</v>
      </c>
      <c r="AE26" s="47"/>
      <c r="AF26" s="47">
        <v>2</v>
      </c>
      <c r="AG26" s="47"/>
      <c r="AH26" s="52">
        <f>AD26*3+AF26</f>
        <v>5</v>
      </c>
      <c r="AI26" s="52">
        <f>AE26*3+AG26</f>
        <v>0</v>
      </c>
      <c r="AJ26" s="54">
        <f>AI26+AH26</f>
        <v>5</v>
      </c>
      <c r="AK26" s="45"/>
      <c r="AL26" s="47"/>
      <c r="AM26" s="47">
        <v>1</v>
      </c>
      <c r="AN26" s="47">
        <v>2</v>
      </c>
      <c r="AO26" s="52">
        <f>AK26*3+AM26</f>
        <v>1</v>
      </c>
      <c r="AP26" s="52">
        <f>AL26*3+AN26</f>
        <v>2</v>
      </c>
      <c r="AQ26" s="54">
        <f>AP26+AO26</f>
        <v>3</v>
      </c>
      <c r="AR26" s="45"/>
      <c r="AS26" s="47"/>
      <c r="AT26" s="47">
        <v>3</v>
      </c>
      <c r="AU26" s="47"/>
      <c r="AV26" s="52">
        <f>AR26*3+AT26</f>
        <v>3</v>
      </c>
      <c r="AW26" s="52">
        <f>AS26*3+AU26</f>
        <v>0</v>
      </c>
      <c r="AX26" s="54">
        <f>AW26+AV26</f>
        <v>3</v>
      </c>
      <c r="AY26" s="45">
        <v>1</v>
      </c>
      <c r="AZ26" s="47"/>
      <c r="BA26" s="47"/>
      <c r="BB26" s="47"/>
      <c r="BC26" s="52">
        <f>AY26*3+BA26</f>
        <v>3</v>
      </c>
      <c r="BD26" s="52">
        <f>AZ26*3+BB26</f>
        <v>0</v>
      </c>
      <c r="BE26" s="54">
        <f>BD26+BC26</f>
        <v>3</v>
      </c>
      <c r="BF26" s="57">
        <f>SUM(AO26,AH26,AA26,T26,M26,AV26,BC26)</f>
        <v>14</v>
      </c>
      <c r="BG26" s="140">
        <f ca="1">BF26/(TODAY()-F26)</f>
        <v>0.10852713178294573</v>
      </c>
      <c r="BH26" s="57">
        <f>SUM(AP26,AI26,AB26,U26,N26,AW26,BD26)</f>
        <v>2</v>
      </c>
      <c r="BI26" s="140">
        <f ca="1">BH26/(TODAY()-F26)</f>
        <v>1.5503875968992248E-2</v>
      </c>
      <c r="BJ26" s="57">
        <f>SUM(AQ26,AJ26,AC26,V26,O26,AX26,BE26)</f>
        <v>16</v>
      </c>
      <c r="BK26" s="140">
        <f ca="1">BI26+BG26</f>
        <v>0.12403100775193798</v>
      </c>
      <c r="BL26" s="57">
        <f>SUM(AR26,AK26,AD26,W26,P26,P26,I26,AY26)</f>
        <v>2</v>
      </c>
      <c r="BM26" s="57">
        <f>SUM(AS26,AL26,AE26,X26,Q26,Q26,J26,AZ26)</f>
        <v>0</v>
      </c>
      <c r="BN26" s="57">
        <f>BM26+BL26</f>
        <v>2</v>
      </c>
    </row>
    <row r="27" spans="1:66" x14ac:dyDescent="0.25">
      <c r="A27" s="45">
        <v>9</v>
      </c>
      <c r="B27" s="46" t="s">
        <v>19</v>
      </c>
      <c r="C27" s="46" t="str">
        <f>B27&amp;" "&amp;A27</f>
        <v>שקד 9</v>
      </c>
      <c r="D27" s="47" t="s">
        <v>6</v>
      </c>
      <c r="E27" s="77" t="s">
        <v>7</v>
      </c>
      <c r="F27" s="104">
        <v>42979</v>
      </c>
      <c r="G27" s="48" t="s">
        <v>128</v>
      </c>
      <c r="H27" s="49" t="s">
        <v>128</v>
      </c>
      <c r="I27" s="50"/>
      <c r="J27" s="51"/>
      <c r="K27" s="51"/>
      <c r="L27" s="51"/>
      <c r="M27" s="52">
        <f>I27*3+K27</f>
        <v>0</v>
      </c>
      <c r="N27" s="52">
        <f>J27*3+L27</f>
        <v>0</v>
      </c>
      <c r="O27" s="53">
        <f>N27+M27</f>
        <v>0</v>
      </c>
      <c r="P27" s="45"/>
      <c r="Q27" s="47"/>
      <c r="R27" s="47"/>
      <c r="S27" s="47"/>
      <c r="T27" s="52">
        <f>P27*3+R27</f>
        <v>0</v>
      </c>
      <c r="U27" s="52">
        <f>Q27*3+S27</f>
        <v>0</v>
      </c>
      <c r="V27" s="54">
        <f>U27+T27</f>
        <v>0</v>
      </c>
      <c r="W27" s="45"/>
      <c r="X27" s="47"/>
      <c r="Y27" s="47"/>
      <c r="Z27" s="47"/>
      <c r="AA27" s="55">
        <f>W27*3+Y27</f>
        <v>0</v>
      </c>
      <c r="AB27" s="55">
        <f>X27*3+Z27</f>
        <v>0</v>
      </c>
      <c r="AC27" s="56">
        <f>AB27+AA27</f>
        <v>0</v>
      </c>
      <c r="AD27" s="45"/>
      <c r="AE27" s="47"/>
      <c r="AF27" s="47">
        <v>1</v>
      </c>
      <c r="AG27" s="47"/>
      <c r="AH27" s="52">
        <f>AD27*3+AF27</f>
        <v>1</v>
      </c>
      <c r="AI27" s="52">
        <f>AE27*3+AG27</f>
        <v>0</v>
      </c>
      <c r="AJ27" s="54">
        <f>AI27+AH27</f>
        <v>1</v>
      </c>
      <c r="AK27" s="45">
        <v>1</v>
      </c>
      <c r="AL27" s="47"/>
      <c r="AM27" s="47">
        <v>2</v>
      </c>
      <c r="AN27" s="47"/>
      <c r="AO27" s="52">
        <f>AK27*3+AM27</f>
        <v>5</v>
      </c>
      <c r="AP27" s="52">
        <f>AL27*3+AN27</f>
        <v>0</v>
      </c>
      <c r="AQ27" s="54">
        <f>AP27+AO27</f>
        <v>5</v>
      </c>
      <c r="AR27" s="45"/>
      <c r="AS27" s="47"/>
      <c r="AT27" s="47">
        <v>3</v>
      </c>
      <c r="AU27" s="47"/>
      <c r="AV27" s="52">
        <f>AR27*3+AT27</f>
        <v>3</v>
      </c>
      <c r="AW27" s="52">
        <f>AS27*3+AU27</f>
        <v>0</v>
      </c>
      <c r="AX27" s="54">
        <f>AW27+AV27</f>
        <v>3</v>
      </c>
      <c r="AY27" s="45">
        <v>1</v>
      </c>
      <c r="AZ27" s="47"/>
      <c r="BA27" s="47"/>
      <c r="BB27" s="47"/>
      <c r="BC27" s="52">
        <f>AY27*3+BA27</f>
        <v>3</v>
      </c>
      <c r="BD27" s="52">
        <f>AZ27*3+BB27</f>
        <v>0</v>
      </c>
      <c r="BE27" s="54">
        <f>BD27+BC27</f>
        <v>3</v>
      </c>
      <c r="BF27" s="57">
        <f>SUM(AO27,AH27,AA27,T27,M27,AV27,BC27)</f>
        <v>12</v>
      </c>
      <c r="BG27" s="140">
        <f ca="1">BF27/(TODAY()-F27)</f>
        <v>0.12244897959183673</v>
      </c>
      <c r="BH27" s="57">
        <f>SUM(AP27,AI27,AB27,U27,N27,AW27,BD27)</f>
        <v>0</v>
      </c>
      <c r="BI27" s="140">
        <f ca="1">BH27/(TODAY()-F27)</f>
        <v>0</v>
      </c>
      <c r="BJ27" s="57">
        <f>SUM(AQ27,AJ27,AC27,V27,O27,AX27,BE27)</f>
        <v>12</v>
      </c>
      <c r="BK27" s="140">
        <f ca="1">BI27+BG27</f>
        <v>0.12244897959183673</v>
      </c>
      <c r="BL27" s="57">
        <f>SUM(AR27,AK27,AD27,W27,P27,P27,I27,AY27)</f>
        <v>2</v>
      </c>
      <c r="BM27" s="57">
        <f>SUM(AS27,AL27,AE27,X27,Q27,Q27,J27,AZ27)</f>
        <v>0</v>
      </c>
      <c r="BN27" s="57">
        <f>BM27+BL27</f>
        <v>2</v>
      </c>
    </row>
    <row r="28" spans="1:66" x14ac:dyDescent="0.25">
      <c r="A28" s="45">
        <v>474</v>
      </c>
      <c r="B28" s="46" t="s">
        <v>5</v>
      </c>
      <c r="C28" s="46" t="str">
        <f>B28&amp;" "&amp;A28</f>
        <v>מאי 474</v>
      </c>
      <c r="D28" s="77" t="s">
        <v>7</v>
      </c>
      <c r="E28" s="77" t="s">
        <v>7</v>
      </c>
      <c r="F28" s="104">
        <v>42979</v>
      </c>
      <c r="G28" s="58">
        <v>43661</v>
      </c>
      <c r="H28" s="49"/>
      <c r="I28" s="50"/>
      <c r="J28" s="51"/>
      <c r="K28" s="51"/>
      <c r="L28" s="51"/>
      <c r="M28" s="52">
        <f>I28*3+K28</f>
        <v>0</v>
      </c>
      <c r="N28" s="52">
        <f>J28*3+L28</f>
        <v>0</v>
      </c>
      <c r="O28" s="53">
        <f>N28+M28</f>
        <v>0</v>
      </c>
      <c r="P28" s="45"/>
      <c r="Q28" s="47"/>
      <c r="R28" s="47"/>
      <c r="S28" s="47"/>
      <c r="T28" s="52">
        <f>P28*3+R28</f>
        <v>0</v>
      </c>
      <c r="U28" s="52">
        <f>Q28*3+S28</f>
        <v>0</v>
      </c>
      <c r="V28" s="54">
        <f>U28+T28</f>
        <v>0</v>
      </c>
      <c r="W28" s="45"/>
      <c r="X28" s="47"/>
      <c r="Y28" s="47"/>
      <c r="Z28" s="47"/>
      <c r="AA28" s="55">
        <f>W28*3+Y28</f>
        <v>0</v>
      </c>
      <c r="AB28" s="55">
        <f>X28*3+Z28</f>
        <v>0</v>
      </c>
      <c r="AC28" s="56">
        <f>AB28+AA28</f>
        <v>0</v>
      </c>
      <c r="AD28" s="45">
        <v>1</v>
      </c>
      <c r="AE28" s="47"/>
      <c r="AF28" s="47">
        <v>2</v>
      </c>
      <c r="AG28" s="47"/>
      <c r="AH28" s="52">
        <f>AD28*3+AF28</f>
        <v>5</v>
      </c>
      <c r="AI28" s="52">
        <f>AE28*3+AG28</f>
        <v>0</v>
      </c>
      <c r="AJ28" s="54">
        <f>AI28+AH28</f>
        <v>5</v>
      </c>
      <c r="AK28" s="45">
        <v>1</v>
      </c>
      <c r="AL28" s="47"/>
      <c r="AM28" s="47"/>
      <c r="AN28" s="47"/>
      <c r="AO28" s="52">
        <f>AK28*3+AM28</f>
        <v>3</v>
      </c>
      <c r="AP28" s="52">
        <f>AL28*3+AN28</f>
        <v>0</v>
      </c>
      <c r="AQ28" s="54">
        <f>AP28+AO28</f>
        <v>3</v>
      </c>
      <c r="AR28" s="45"/>
      <c r="AS28" s="47"/>
      <c r="AT28" s="47"/>
      <c r="AU28" s="47">
        <v>4</v>
      </c>
      <c r="AV28" s="52">
        <f>AR28*3+AT28</f>
        <v>0</v>
      </c>
      <c r="AW28" s="52">
        <f>AS28*3+AU28</f>
        <v>4</v>
      </c>
      <c r="AX28" s="54">
        <f>AW28+AV28</f>
        <v>4</v>
      </c>
      <c r="AY28" s="45"/>
      <c r="AZ28" s="47"/>
      <c r="BA28" s="47"/>
      <c r="BB28" s="47"/>
      <c r="BC28" s="52">
        <f>AY28*3+BA28</f>
        <v>0</v>
      </c>
      <c r="BD28" s="52">
        <f>AZ28*3+BB28</f>
        <v>0</v>
      </c>
      <c r="BE28" s="54">
        <f>BD28+BC28</f>
        <v>0</v>
      </c>
      <c r="BF28" s="57">
        <f>SUM(AO28,AH28,AA28,T28,M28,AV28,BC28)</f>
        <v>8</v>
      </c>
      <c r="BG28" s="140">
        <f ca="1">BF28/(TODAY()-F28)</f>
        <v>8.1632653061224483E-2</v>
      </c>
      <c r="BH28" s="57">
        <f>SUM(AP28,AI28,AB28,U28,N28,AW28,BD28)</f>
        <v>4</v>
      </c>
      <c r="BI28" s="140">
        <f ca="1">BH28/(TODAY()-F28)</f>
        <v>4.0816326530612242E-2</v>
      </c>
      <c r="BJ28" s="57">
        <f>SUM(AQ28,AJ28,AC28,V28,O28,AX28,BE28)</f>
        <v>12</v>
      </c>
      <c r="BK28" s="140">
        <f ca="1">BI28+BG28</f>
        <v>0.12244897959183673</v>
      </c>
      <c r="BL28" s="57">
        <f>SUM(AR28,AK28,AD28,W28,P28,P28,I28,AY28)</f>
        <v>2</v>
      </c>
      <c r="BM28" s="57">
        <f>SUM(AS28,AL28,AE28,X28,Q28,Q28,J28,AZ28)</f>
        <v>0</v>
      </c>
      <c r="BN28" s="57">
        <f>BM28+BL28</f>
        <v>2</v>
      </c>
    </row>
    <row r="29" spans="1:66" x14ac:dyDescent="0.25">
      <c r="A29" s="45">
        <v>209</v>
      </c>
      <c r="B29" s="46" t="s">
        <v>66</v>
      </c>
      <c r="C29" s="46" t="str">
        <f>B29&amp;" "&amp;A29</f>
        <v>שי 209</v>
      </c>
      <c r="D29" s="47" t="s">
        <v>6</v>
      </c>
      <c r="E29" s="47" t="s">
        <v>7</v>
      </c>
      <c r="F29" s="104">
        <v>42948</v>
      </c>
      <c r="G29" s="58">
        <v>43659</v>
      </c>
      <c r="H29" s="49"/>
      <c r="I29" s="50"/>
      <c r="J29" s="51"/>
      <c r="K29" s="51"/>
      <c r="L29" s="51"/>
      <c r="M29" s="52">
        <f>I29*3+K29</f>
        <v>0</v>
      </c>
      <c r="N29" s="52">
        <f>J29*3+L29</f>
        <v>0</v>
      </c>
      <c r="O29" s="53">
        <f>N29+M29</f>
        <v>0</v>
      </c>
      <c r="P29" s="45"/>
      <c r="Q29" s="47"/>
      <c r="R29" s="47"/>
      <c r="S29" s="47"/>
      <c r="T29" s="52">
        <f>P29*3+R29</f>
        <v>0</v>
      </c>
      <c r="U29" s="52">
        <f>Q29*3+S29</f>
        <v>0</v>
      </c>
      <c r="V29" s="54">
        <f>U29+T29</f>
        <v>0</v>
      </c>
      <c r="W29" s="45">
        <v>1</v>
      </c>
      <c r="X29" s="47"/>
      <c r="Y29" s="47">
        <v>1</v>
      </c>
      <c r="Z29" s="47"/>
      <c r="AA29" s="55">
        <f>W29*3+Y29</f>
        <v>4</v>
      </c>
      <c r="AB29" s="55">
        <f>X29*3+Z29</f>
        <v>0</v>
      </c>
      <c r="AC29" s="56">
        <f>AB29+AA29</f>
        <v>4</v>
      </c>
      <c r="AD29" s="45"/>
      <c r="AE29" s="47"/>
      <c r="AF29" s="47">
        <v>3</v>
      </c>
      <c r="AG29" s="47">
        <v>1</v>
      </c>
      <c r="AH29" s="52">
        <f>AD29*3+AF29</f>
        <v>3</v>
      </c>
      <c r="AI29" s="52">
        <f>AE29*3+AG29</f>
        <v>1</v>
      </c>
      <c r="AJ29" s="54">
        <f>AI29+AH29</f>
        <v>4</v>
      </c>
      <c r="AK29" s="45"/>
      <c r="AL29" s="47"/>
      <c r="AM29" s="47">
        <v>1</v>
      </c>
      <c r="AN29" s="47">
        <v>1</v>
      </c>
      <c r="AO29" s="52">
        <f>AK29*3+AM29</f>
        <v>1</v>
      </c>
      <c r="AP29" s="52">
        <f>AL29*3+AN29</f>
        <v>1</v>
      </c>
      <c r="AQ29" s="54">
        <f>AP29+AO29</f>
        <v>2</v>
      </c>
      <c r="AR29" s="45">
        <v>1</v>
      </c>
      <c r="AS29" s="47"/>
      <c r="AT29" s="47">
        <v>1</v>
      </c>
      <c r="AU29" s="47">
        <v>1</v>
      </c>
      <c r="AV29" s="52">
        <f>AR29*3+AT29</f>
        <v>4</v>
      </c>
      <c r="AW29" s="52">
        <f>AS29*3+AU29</f>
        <v>1</v>
      </c>
      <c r="AX29" s="54">
        <f>AW29+AV29</f>
        <v>5</v>
      </c>
      <c r="AY29" s="45"/>
      <c r="AZ29" s="47"/>
      <c r="BA29" s="47"/>
      <c r="BB29" s="47"/>
      <c r="BC29" s="52">
        <f>AY29*3+BA29</f>
        <v>0</v>
      </c>
      <c r="BD29" s="52">
        <f>AZ29*3+BB29</f>
        <v>0</v>
      </c>
      <c r="BE29" s="54">
        <f>BD29+BC29</f>
        <v>0</v>
      </c>
      <c r="BF29" s="57">
        <f>SUM(AO29,AH29,AA29,T29,M29,AV29,BC29)</f>
        <v>12</v>
      </c>
      <c r="BG29" s="140">
        <f ca="1">BF29/(TODAY()-F29)</f>
        <v>9.3023255813953487E-2</v>
      </c>
      <c r="BH29" s="57">
        <f>SUM(AP29,AI29,AB29,U29,N29,AW29,BD29)</f>
        <v>3</v>
      </c>
      <c r="BI29" s="140">
        <f ca="1">BH29/(TODAY()-F29)</f>
        <v>2.3255813953488372E-2</v>
      </c>
      <c r="BJ29" s="57">
        <f>SUM(AQ29,AJ29,AC29,V29,O29,AX29,BE29)</f>
        <v>15</v>
      </c>
      <c r="BK29" s="140">
        <f ca="1">BI29+BG29</f>
        <v>0.11627906976744186</v>
      </c>
      <c r="BL29" s="57">
        <f>SUM(AR29,AK29,AD29,W29,P29,P29,I29,AY29)</f>
        <v>2</v>
      </c>
      <c r="BM29" s="57">
        <f>SUM(AS29,AL29,AE29,X29,Q29,Q29,J29,AZ29)</f>
        <v>0</v>
      </c>
      <c r="BN29" s="57">
        <f>BM29+BL29</f>
        <v>2</v>
      </c>
    </row>
    <row r="30" spans="1:66" x14ac:dyDescent="0.25">
      <c r="A30" s="45">
        <v>9</v>
      </c>
      <c r="B30" s="46" t="s">
        <v>72</v>
      </c>
      <c r="C30" s="46" t="str">
        <f>B30&amp;" "&amp;A30</f>
        <v>כלנית 9</v>
      </c>
      <c r="D30" s="47" t="s">
        <v>6</v>
      </c>
      <c r="E30" s="77" t="s">
        <v>7</v>
      </c>
      <c r="F30" s="104">
        <v>42979</v>
      </c>
      <c r="G30" s="58">
        <v>43661</v>
      </c>
      <c r="H30" s="49"/>
      <c r="I30" s="50"/>
      <c r="J30" s="51"/>
      <c r="K30" s="51"/>
      <c r="L30" s="51"/>
      <c r="M30" s="52">
        <f>I30*3+K30</f>
        <v>0</v>
      </c>
      <c r="N30" s="52">
        <f>J30*3+L30</f>
        <v>0</v>
      </c>
      <c r="O30" s="53">
        <f>N30+M30</f>
        <v>0</v>
      </c>
      <c r="P30" s="45"/>
      <c r="Q30" s="47"/>
      <c r="R30" s="47"/>
      <c r="S30" s="47"/>
      <c r="T30" s="52">
        <f>P30*3+R30</f>
        <v>0</v>
      </c>
      <c r="U30" s="52">
        <f>Q30*3+S30</f>
        <v>0</v>
      </c>
      <c r="V30" s="54">
        <f>U30+T30</f>
        <v>0</v>
      </c>
      <c r="W30" s="45"/>
      <c r="X30" s="47"/>
      <c r="Y30" s="47"/>
      <c r="Z30" s="47"/>
      <c r="AA30" s="55">
        <f>W30*3+Y30</f>
        <v>0</v>
      </c>
      <c r="AB30" s="55">
        <f>X30*3+Z30</f>
        <v>0</v>
      </c>
      <c r="AC30" s="56">
        <f>AB30+AA30</f>
        <v>0</v>
      </c>
      <c r="AD30" s="45">
        <v>1</v>
      </c>
      <c r="AE30" s="47"/>
      <c r="AF30" s="47">
        <v>2</v>
      </c>
      <c r="AG30" s="47"/>
      <c r="AH30" s="52">
        <f>AD30*3+AF30</f>
        <v>5</v>
      </c>
      <c r="AI30" s="52">
        <f>AE30*3+AG30</f>
        <v>0</v>
      </c>
      <c r="AJ30" s="54">
        <f>AI30+AH30</f>
        <v>5</v>
      </c>
      <c r="AK30" s="45">
        <v>1</v>
      </c>
      <c r="AL30" s="47"/>
      <c r="AM30" s="47"/>
      <c r="AN30" s="47"/>
      <c r="AO30" s="52">
        <f>AK30*3+AM30</f>
        <v>3</v>
      </c>
      <c r="AP30" s="52">
        <f>AL30*3+AN30</f>
        <v>0</v>
      </c>
      <c r="AQ30" s="54">
        <f>AP30+AO30</f>
        <v>3</v>
      </c>
      <c r="AR30" s="45"/>
      <c r="AS30" s="47"/>
      <c r="AT30" s="47">
        <v>3</v>
      </c>
      <c r="AU30" s="47"/>
      <c r="AV30" s="52">
        <f>AR30*3+AT30</f>
        <v>3</v>
      </c>
      <c r="AW30" s="52">
        <f>AS30*3+AU30</f>
        <v>0</v>
      </c>
      <c r="AX30" s="54">
        <f>AW30+AV30</f>
        <v>3</v>
      </c>
      <c r="AY30" s="45"/>
      <c r="AZ30" s="47"/>
      <c r="BA30" s="47"/>
      <c r="BB30" s="47"/>
      <c r="BC30" s="52">
        <f>AY30*3+BA30</f>
        <v>0</v>
      </c>
      <c r="BD30" s="52">
        <f>AZ30*3+BB30</f>
        <v>0</v>
      </c>
      <c r="BE30" s="54">
        <f>BD30+BC30</f>
        <v>0</v>
      </c>
      <c r="BF30" s="57">
        <f>SUM(AO30,AH30,AA30,T30,M30,AV30,BC30)</f>
        <v>11</v>
      </c>
      <c r="BG30" s="140">
        <f ca="1">BF30/(TODAY()-F30)</f>
        <v>0.11224489795918367</v>
      </c>
      <c r="BH30" s="57">
        <f>SUM(AP30,AI30,AB30,U30,N30,AW30,BD30)</f>
        <v>0</v>
      </c>
      <c r="BI30" s="140">
        <f ca="1">BH30/(TODAY()-F30)</f>
        <v>0</v>
      </c>
      <c r="BJ30" s="57">
        <f>SUM(AQ30,AJ30,AC30,V30,O30,AX30,BE30)</f>
        <v>11</v>
      </c>
      <c r="BK30" s="140">
        <f ca="1">BI30+BG30</f>
        <v>0.11224489795918367</v>
      </c>
      <c r="BL30" s="57">
        <f>SUM(AR30,AK30,AD30,W30,P30,P30,I30,AY30)</f>
        <v>2</v>
      </c>
      <c r="BM30" s="57">
        <f>SUM(AS30,AL30,AE30,X30,Q30,Q30,J30,AZ30)</f>
        <v>0</v>
      </c>
      <c r="BN30" s="57">
        <f>BM30+BL30</f>
        <v>2</v>
      </c>
    </row>
    <row r="31" spans="1:66" x14ac:dyDescent="0.25">
      <c r="A31" s="45">
        <v>9</v>
      </c>
      <c r="B31" s="88" t="s">
        <v>155</v>
      </c>
      <c r="C31" s="46" t="str">
        <f>B31&amp;" "&amp;A31</f>
        <v>מעין 9</v>
      </c>
      <c r="D31" s="47" t="s">
        <v>6</v>
      </c>
      <c r="E31" s="77" t="s">
        <v>7</v>
      </c>
      <c r="F31" s="104">
        <v>42979</v>
      </c>
      <c r="G31" s="60">
        <v>43661</v>
      </c>
      <c r="H31" s="49"/>
      <c r="I31" s="50"/>
      <c r="J31" s="51"/>
      <c r="K31" s="51"/>
      <c r="L31" s="51"/>
      <c r="M31" s="52">
        <f>I31*3+K31</f>
        <v>0</v>
      </c>
      <c r="N31" s="52">
        <f>J31*3+L31</f>
        <v>0</v>
      </c>
      <c r="O31" s="53">
        <f>N31+M31</f>
        <v>0</v>
      </c>
      <c r="P31" s="45"/>
      <c r="Q31" s="47"/>
      <c r="R31" s="47"/>
      <c r="S31" s="47"/>
      <c r="T31" s="52">
        <f>P31*3+R31</f>
        <v>0</v>
      </c>
      <c r="U31" s="52">
        <f>Q31*3+S31</f>
        <v>0</v>
      </c>
      <c r="V31" s="54">
        <f>U31+T31</f>
        <v>0</v>
      </c>
      <c r="W31" s="45"/>
      <c r="X31" s="47"/>
      <c r="Y31" s="47"/>
      <c r="Z31" s="47"/>
      <c r="AA31" s="55">
        <f>W31*3+Y31</f>
        <v>0</v>
      </c>
      <c r="AB31" s="55">
        <f>X31*3+Z31</f>
        <v>0</v>
      </c>
      <c r="AC31" s="56">
        <f>AB31+AA31</f>
        <v>0</v>
      </c>
      <c r="AD31" s="45">
        <v>1</v>
      </c>
      <c r="AE31" s="47"/>
      <c r="AF31" s="47">
        <v>3</v>
      </c>
      <c r="AG31" s="47"/>
      <c r="AH31" s="52">
        <f>AD31*3+AF31</f>
        <v>6</v>
      </c>
      <c r="AI31" s="52">
        <f>AE31*3+AG31</f>
        <v>0</v>
      </c>
      <c r="AJ31" s="54">
        <f>AI31+AH31</f>
        <v>6</v>
      </c>
      <c r="AK31" s="45"/>
      <c r="AL31" s="47"/>
      <c r="AM31" s="47">
        <v>1</v>
      </c>
      <c r="AN31" s="47"/>
      <c r="AO31" s="52">
        <f>AK31*3+AM31</f>
        <v>1</v>
      </c>
      <c r="AP31" s="52">
        <f>AL31*3+AN31</f>
        <v>0</v>
      </c>
      <c r="AQ31" s="54">
        <f>AP31+AO31</f>
        <v>1</v>
      </c>
      <c r="AR31" s="45">
        <v>1</v>
      </c>
      <c r="AS31" s="47"/>
      <c r="AT31" s="47">
        <v>1</v>
      </c>
      <c r="AU31" s="47"/>
      <c r="AV31" s="52">
        <f>AR31*3+AT31</f>
        <v>4</v>
      </c>
      <c r="AW31" s="52">
        <f>AS31*3+AU31</f>
        <v>0</v>
      </c>
      <c r="AX31" s="54">
        <f>AW31+AV31</f>
        <v>4</v>
      </c>
      <c r="AY31" s="45"/>
      <c r="AZ31" s="47"/>
      <c r="BA31" s="47"/>
      <c r="BB31" s="47"/>
      <c r="BC31" s="52">
        <f>AY31*3+BA31</f>
        <v>0</v>
      </c>
      <c r="BD31" s="52">
        <f>AZ31*3+BB31</f>
        <v>0</v>
      </c>
      <c r="BE31" s="54">
        <f>BD31+BC31</f>
        <v>0</v>
      </c>
      <c r="BF31" s="57">
        <f>SUM(AO31,AH31,AA31,T31,M31,AV31,BC31)</f>
        <v>11</v>
      </c>
      <c r="BG31" s="140">
        <f ca="1">BF31/(TODAY()-F31)</f>
        <v>0.11224489795918367</v>
      </c>
      <c r="BH31" s="57">
        <f>SUM(AP31,AI31,AB31,U31,N31,AW31,BD31)</f>
        <v>0</v>
      </c>
      <c r="BI31" s="140">
        <f ca="1">BH31/(TODAY()-F31)</f>
        <v>0</v>
      </c>
      <c r="BJ31" s="57">
        <f>SUM(AQ31,AJ31,AC31,V31,O31,AX31,BE31)</f>
        <v>11</v>
      </c>
      <c r="BK31" s="140">
        <f ca="1">BI31+BG31</f>
        <v>0.11224489795918367</v>
      </c>
      <c r="BL31" s="57">
        <f>SUM(AR31,AK31,AD31,W31,P31,P31,I31,AY31)</f>
        <v>2</v>
      </c>
      <c r="BM31" s="57">
        <f>SUM(AS31,AL31,AE31,X31,Q31,Q31,J31,AZ31)</f>
        <v>0</v>
      </c>
      <c r="BN31" s="57">
        <f>BM31+BL31</f>
        <v>2</v>
      </c>
    </row>
    <row r="32" spans="1:66" x14ac:dyDescent="0.25">
      <c r="A32" s="45">
        <v>11</v>
      </c>
      <c r="B32" s="46" t="s">
        <v>73</v>
      </c>
      <c r="C32" s="46" t="str">
        <f>B32&amp;" "&amp;A32</f>
        <v>נילי 11</v>
      </c>
      <c r="D32" s="77" t="s">
        <v>7</v>
      </c>
      <c r="E32" s="47" t="s">
        <v>7</v>
      </c>
      <c r="F32" s="104">
        <v>42979</v>
      </c>
      <c r="G32" s="60">
        <v>43661</v>
      </c>
      <c r="H32" s="49"/>
      <c r="I32" s="50"/>
      <c r="J32" s="51"/>
      <c r="K32" s="51"/>
      <c r="L32" s="51"/>
      <c r="M32" s="52">
        <f>I32*3+K32</f>
        <v>0</v>
      </c>
      <c r="N32" s="52">
        <f>J32*3+L32</f>
        <v>0</v>
      </c>
      <c r="O32" s="53">
        <f>N32+M32</f>
        <v>0</v>
      </c>
      <c r="P32" s="45"/>
      <c r="Q32" s="47"/>
      <c r="R32" s="47"/>
      <c r="S32" s="47"/>
      <c r="T32" s="52">
        <f>P32*3+R32</f>
        <v>0</v>
      </c>
      <c r="U32" s="52">
        <f>Q32*3+S32</f>
        <v>0</v>
      </c>
      <c r="V32" s="54">
        <f>U32+T32</f>
        <v>0</v>
      </c>
      <c r="W32" s="45"/>
      <c r="X32" s="47"/>
      <c r="Y32" s="47"/>
      <c r="Z32" s="47"/>
      <c r="AA32" s="55">
        <f>W32*3+Y32</f>
        <v>0</v>
      </c>
      <c r="AB32" s="55">
        <f>X32*3+Z32</f>
        <v>0</v>
      </c>
      <c r="AC32" s="56">
        <f>AB32+AA32</f>
        <v>0</v>
      </c>
      <c r="AD32" s="45">
        <v>1</v>
      </c>
      <c r="AE32" s="47"/>
      <c r="AF32" s="47">
        <v>1</v>
      </c>
      <c r="AG32" s="47"/>
      <c r="AH32" s="52">
        <f>AD32*3+AF32</f>
        <v>4</v>
      </c>
      <c r="AI32" s="52">
        <f>AE32*3+AG32</f>
        <v>0</v>
      </c>
      <c r="AJ32" s="54">
        <f>AI32+AH32</f>
        <v>4</v>
      </c>
      <c r="AK32" s="45"/>
      <c r="AL32" s="47"/>
      <c r="AM32" s="47">
        <v>1</v>
      </c>
      <c r="AN32" s="47">
        <v>2</v>
      </c>
      <c r="AO32" s="52">
        <f>AK32*3+AM32</f>
        <v>1</v>
      </c>
      <c r="AP32" s="52">
        <f>AL32*3+AN32</f>
        <v>2</v>
      </c>
      <c r="AQ32" s="54">
        <f>AP32+AO32</f>
        <v>3</v>
      </c>
      <c r="AR32" s="45"/>
      <c r="AS32" s="47">
        <v>1</v>
      </c>
      <c r="AT32" s="47"/>
      <c r="AU32" s="47">
        <v>1</v>
      </c>
      <c r="AV32" s="52">
        <f>AR32*3+AT32</f>
        <v>0</v>
      </c>
      <c r="AW32" s="52">
        <f>AS32*3+AU32</f>
        <v>4</v>
      </c>
      <c r="AX32" s="54">
        <f>AW32+AV32</f>
        <v>4</v>
      </c>
      <c r="AY32" s="45"/>
      <c r="AZ32" s="47"/>
      <c r="BA32" s="47"/>
      <c r="BB32" s="47"/>
      <c r="BC32" s="52">
        <f>AY32*3+BA32</f>
        <v>0</v>
      </c>
      <c r="BD32" s="52">
        <f>AZ32*3+BB32</f>
        <v>0</v>
      </c>
      <c r="BE32" s="54">
        <f>BD32+BC32</f>
        <v>0</v>
      </c>
      <c r="BF32" s="57">
        <f>SUM(AO32,AH32,AA32,T32,M32,AV32,BC32)</f>
        <v>5</v>
      </c>
      <c r="BG32" s="140">
        <f ca="1">BF32/(TODAY()-F32)</f>
        <v>5.1020408163265307E-2</v>
      </c>
      <c r="BH32" s="57">
        <f>SUM(AP32,AI32,AB32,U32,N32,AW32,BD32)</f>
        <v>6</v>
      </c>
      <c r="BI32" s="140">
        <f ca="1">BH32/(TODAY()-F32)</f>
        <v>6.1224489795918366E-2</v>
      </c>
      <c r="BJ32" s="57">
        <f>SUM(AQ32,AJ32,AC32,V32,O32,AX32,BE32)</f>
        <v>11</v>
      </c>
      <c r="BK32" s="140">
        <f ca="1">BI32+BG32</f>
        <v>0.11224489795918367</v>
      </c>
      <c r="BL32" s="57">
        <f>SUM(AR32,AK32,AD32,W32,P32,P32,I32,AY32)</f>
        <v>1</v>
      </c>
      <c r="BM32" s="57">
        <f>SUM(AS32,AL32,AE32,X32,Q32,Q32,J32,AZ32)</f>
        <v>1</v>
      </c>
      <c r="BN32" s="57">
        <f>BM32+BL32</f>
        <v>2</v>
      </c>
    </row>
    <row r="33" spans="1:66" x14ac:dyDescent="0.25">
      <c r="A33" s="45" t="s">
        <v>100</v>
      </c>
      <c r="B33" s="46" t="s">
        <v>67</v>
      </c>
      <c r="C33" s="46" t="str">
        <f>B33&amp;" "&amp;A33</f>
        <v>דקל אחודה</v>
      </c>
      <c r="D33" s="47" t="s">
        <v>6</v>
      </c>
      <c r="E33" s="47" t="s">
        <v>7</v>
      </c>
      <c r="F33" s="104">
        <v>42948</v>
      </c>
      <c r="G33" s="60">
        <v>43692</v>
      </c>
      <c r="H33" s="49"/>
      <c r="I33" s="50"/>
      <c r="J33" s="51"/>
      <c r="K33" s="51"/>
      <c r="L33" s="51"/>
      <c r="M33" s="52">
        <f>I33*3+K33</f>
        <v>0</v>
      </c>
      <c r="N33" s="52">
        <f>J33*3+L33</f>
        <v>0</v>
      </c>
      <c r="O33" s="53">
        <f>N33+M33</f>
        <v>0</v>
      </c>
      <c r="P33" s="45"/>
      <c r="Q33" s="47"/>
      <c r="R33" s="47"/>
      <c r="S33" s="47"/>
      <c r="T33" s="52">
        <f>P33*3+R33</f>
        <v>0</v>
      </c>
      <c r="U33" s="52">
        <f>Q33*3+S33</f>
        <v>0</v>
      </c>
      <c r="V33" s="54">
        <f>U33+T33</f>
        <v>0</v>
      </c>
      <c r="W33" s="45">
        <v>1</v>
      </c>
      <c r="X33" s="47"/>
      <c r="Y33" s="47"/>
      <c r="Z33" s="47"/>
      <c r="AA33" s="55">
        <f>W33*3+Y33</f>
        <v>3</v>
      </c>
      <c r="AB33" s="55">
        <f>X33*3+Z33</f>
        <v>0</v>
      </c>
      <c r="AC33" s="56">
        <f>AB33+AA33</f>
        <v>3</v>
      </c>
      <c r="AD33" s="45">
        <v>1</v>
      </c>
      <c r="AE33" s="47"/>
      <c r="AF33" s="47">
        <v>1</v>
      </c>
      <c r="AG33" s="47"/>
      <c r="AH33" s="52">
        <f>AD33*3+AF33</f>
        <v>4</v>
      </c>
      <c r="AI33" s="52">
        <f>AE33*3+AG33</f>
        <v>0</v>
      </c>
      <c r="AJ33" s="54">
        <f>AI33+AH33</f>
        <v>4</v>
      </c>
      <c r="AK33" s="45"/>
      <c r="AL33" s="47"/>
      <c r="AM33" s="47"/>
      <c r="AN33" s="47">
        <v>1</v>
      </c>
      <c r="AO33" s="52">
        <f>AK33*3+AM33</f>
        <v>0</v>
      </c>
      <c r="AP33" s="52">
        <f>AL33*3+AN33</f>
        <v>1</v>
      </c>
      <c r="AQ33" s="54">
        <f>AP33+AO33</f>
        <v>1</v>
      </c>
      <c r="AR33" s="45"/>
      <c r="AS33" s="47"/>
      <c r="AT33" s="47">
        <v>4</v>
      </c>
      <c r="AU33" s="47"/>
      <c r="AV33" s="52">
        <f>AR33*3+AT33</f>
        <v>4</v>
      </c>
      <c r="AW33" s="52">
        <f>AS33*3+AU33</f>
        <v>0</v>
      </c>
      <c r="AX33" s="54">
        <f>AW33+AV33</f>
        <v>4</v>
      </c>
      <c r="AY33" s="45"/>
      <c r="AZ33" s="47"/>
      <c r="BA33" s="47"/>
      <c r="BB33" s="47"/>
      <c r="BC33" s="52">
        <f>AY33*3+BA33</f>
        <v>0</v>
      </c>
      <c r="BD33" s="52">
        <f>AZ33*3+BB33</f>
        <v>0</v>
      </c>
      <c r="BE33" s="54">
        <f>BD33+BC33</f>
        <v>0</v>
      </c>
      <c r="BF33" s="57">
        <f>SUM(AO33,AH33,AA33,T33,M33,AV33,BC33)</f>
        <v>11</v>
      </c>
      <c r="BG33" s="140">
        <f ca="1">BF33/(TODAY()-F33)</f>
        <v>8.5271317829457363E-2</v>
      </c>
      <c r="BH33" s="57">
        <f>SUM(AP33,AI33,AB33,U33,N33,AW33,BD33)</f>
        <v>1</v>
      </c>
      <c r="BI33" s="140">
        <f ca="1">BH33/(TODAY()-F33)</f>
        <v>7.7519379844961239E-3</v>
      </c>
      <c r="BJ33" s="57">
        <f>SUM(AQ33,AJ33,AC33,V33,O33,AX33,BE33)</f>
        <v>12</v>
      </c>
      <c r="BK33" s="140">
        <f ca="1">BI33+BG33</f>
        <v>9.3023255813953487E-2</v>
      </c>
      <c r="BL33" s="57">
        <f>SUM(AR33,AK33,AD33,W33,P33,P33,I33,AY33)</f>
        <v>2</v>
      </c>
      <c r="BM33" s="57">
        <f>SUM(AS33,AL33,AE33,X33,Q33,Q33,J33,AZ33)</f>
        <v>0</v>
      </c>
      <c r="BN33" s="57">
        <f>BM33+BL33</f>
        <v>2</v>
      </c>
    </row>
    <row r="34" spans="1:66" x14ac:dyDescent="0.25">
      <c r="A34" s="45" t="s">
        <v>100</v>
      </c>
      <c r="B34" s="46" t="s">
        <v>70</v>
      </c>
      <c r="C34" s="46" t="str">
        <f>B34&amp;" "&amp;A34</f>
        <v>מאיה אחודה</v>
      </c>
      <c r="D34" s="47" t="s">
        <v>6</v>
      </c>
      <c r="E34" s="77" t="s">
        <v>7</v>
      </c>
      <c r="F34" s="104">
        <v>42948</v>
      </c>
      <c r="G34" s="60">
        <v>43437</v>
      </c>
      <c r="H34" s="49" t="s">
        <v>61</v>
      </c>
      <c r="I34" s="50"/>
      <c r="J34" s="51"/>
      <c r="K34" s="51"/>
      <c r="L34" s="51"/>
      <c r="M34" s="52">
        <f>I34*3+K34</f>
        <v>0</v>
      </c>
      <c r="N34" s="52">
        <f>J34*3+L34</f>
        <v>0</v>
      </c>
      <c r="O34" s="53">
        <f>N34+M34</f>
        <v>0</v>
      </c>
      <c r="P34" s="45"/>
      <c r="Q34" s="47"/>
      <c r="R34" s="47"/>
      <c r="S34" s="47"/>
      <c r="T34" s="52">
        <f>P34*3+R34</f>
        <v>0</v>
      </c>
      <c r="U34" s="52">
        <f>Q34*3+S34</f>
        <v>0</v>
      </c>
      <c r="V34" s="54">
        <f>U34+T34</f>
        <v>0</v>
      </c>
      <c r="W34" s="45"/>
      <c r="X34" s="47"/>
      <c r="Y34" s="47">
        <v>2</v>
      </c>
      <c r="Z34" s="47"/>
      <c r="AA34" s="55">
        <f>W34*3+Y34</f>
        <v>2</v>
      </c>
      <c r="AB34" s="55">
        <f>X34*3+Z34</f>
        <v>0</v>
      </c>
      <c r="AC34" s="56">
        <f>AB34+AA34</f>
        <v>2</v>
      </c>
      <c r="AD34" s="45">
        <v>1</v>
      </c>
      <c r="AE34" s="47"/>
      <c r="AF34" s="47">
        <v>2</v>
      </c>
      <c r="AG34" s="47"/>
      <c r="AH34" s="52">
        <f>AD34*3+AF34</f>
        <v>5</v>
      </c>
      <c r="AI34" s="52">
        <f>AE34*3+AG34</f>
        <v>0</v>
      </c>
      <c r="AJ34" s="54">
        <f>AI34+AH34</f>
        <v>5</v>
      </c>
      <c r="AK34" s="45"/>
      <c r="AL34" s="47"/>
      <c r="AM34" s="47">
        <v>1</v>
      </c>
      <c r="AN34" s="47"/>
      <c r="AO34" s="52">
        <f>AK34*3+AM34</f>
        <v>1</v>
      </c>
      <c r="AP34" s="52">
        <f>AL34*3+AN34</f>
        <v>0</v>
      </c>
      <c r="AQ34" s="54">
        <f>AP34+AO34</f>
        <v>1</v>
      </c>
      <c r="AR34" s="45">
        <v>1</v>
      </c>
      <c r="AS34" s="47"/>
      <c r="AT34" s="47"/>
      <c r="AU34" s="47">
        <v>1</v>
      </c>
      <c r="AV34" s="52">
        <f>AR34*3+AT34</f>
        <v>3</v>
      </c>
      <c r="AW34" s="52">
        <f>AS34*3+AU34</f>
        <v>1</v>
      </c>
      <c r="AX34" s="54">
        <f>AW34+AV34</f>
        <v>4</v>
      </c>
      <c r="AY34" s="45"/>
      <c r="AZ34" s="47"/>
      <c r="BA34" s="47"/>
      <c r="BB34" s="47"/>
      <c r="BC34" s="52">
        <f>AY34*3+BA34</f>
        <v>0</v>
      </c>
      <c r="BD34" s="52">
        <f>AZ34*3+BB34</f>
        <v>0</v>
      </c>
      <c r="BE34" s="54">
        <f>BD34+BC34</f>
        <v>0</v>
      </c>
      <c r="BF34" s="57">
        <f>SUM(AO34,AH34,AA34,T34,M34,AV34,BC34)</f>
        <v>11</v>
      </c>
      <c r="BG34" s="140">
        <f ca="1">BF34/(TODAY()-F34)</f>
        <v>8.5271317829457363E-2</v>
      </c>
      <c r="BH34" s="57">
        <f>SUM(AP34,AI34,AB34,U34,N34,AW34,BD34)</f>
        <v>1</v>
      </c>
      <c r="BI34" s="140">
        <f ca="1">BH34/(TODAY()-F34)</f>
        <v>7.7519379844961239E-3</v>
      </c>
      <c r="BJ34" s="57">
        <f>SUM(AQ34,AJ34,AC34,V34,O34,AX34,BE34)</f>
        <v>12</v>
      </c>
      <c r="BK34" s="140">
        <f ca="1">BI34+BG34</f>
        <v>9.3023255813953487E-2</v>
      </c>
      <c r="BL34" s="57">
        <f>SUM(AR34,AK34,AD34,W34,P34,P34,I34,AY34)</f>
        <v>2</v>
      </c>
      <c r="BM34" s="57">
        <f>SUM(AS34,AL34,AE34,X34,Q34,Q34,J34,AZ34)</f>
        <v>0</v>
      </c>
      <c r="BN34" s="57">
        <f>BM34+BL34</f>
        <v>2</v>
      </c>
    </row>
    <row r="35" spans="1:66" x14ac:dyDescent="0.25">
      <c r="A35" s="45">
        <v>474</v>
      </c>
      <c r="B35" s="46" t="s">
        <v>127</v>
      </c>
      <c r="C35" s="46" t="str">
        <f>B35&amp;" "&amp;A35</f>
        <v>עומר 474</v>
      </c>
      <c r="D35" s="47" t="s">
        <v>6</v>
      </c>
      <c r="E35" s="77" t="s">
        <v>7</v>
      </c>
      <c r="F35" s="104">
        <v>42979</v>
      </c>
      <c r="G35" s="59" t="s">
        <v>128</v>
      </c>
      <c r="H35" s="49" t="s">
        <v>128</v>
      </c>
      <c r="I35" s="50"/>
      <c r="J35" s="51"/>
      <c r="K35" s="51"/>
      <c r="L35" s="51"/>
      <c r="M35" s="52">
        <f>I35*3+K35</f>
        <v>0</v>
      </c>
      <c r="N35" s="52">
        <f>J35*3+L35</f>
        <v>0</v>
      </c>
      <c r="O35" s="53">
        <f>N35+M35</f>
        <v>0</v>
      </c>
      <c r="P35" s="45"/>
      <c r="Q35" s="47"/>
      <c r="R35" s="47"/>
      <c r="S35" s="47"/>
      <c r="T35" s="52">
        <f>P35*3+R35</f>
        <v>0</v>
      </c>
      <c r="U35" s="52">
        <f>Q35*3+S35</f>
        <v>0</v>
      </c>
      <c r="V35" s="54">
        <f>U35+T35</f>
        <v>0</v>
      </c>
      <c r="W35" s="45"/>
      <c r="X35" s="47"/>
      <c r="Y35" s="47"/>
      <c r="Z35" s="47"/>
      <c r="AA35" s="55">
        <f>W35*3+Y35</f>
        <v>0</v>
      </c>
      <c r="AB35" s="55">
        <f>X35*3+Z35</f>
        <v>0</v>
      </c>
      <c r="AC35" s="56">
        <f>AB35+AA35</f>
        <v>0</v>
      </c>
      <c r="AD35" s="45">
        <v>1</v>
      </c>
      <c r="AE35" s="47"/>
      <c r="AF35" s="47">
        <v>1</v>
      </c>
      <c r="AG35" s="47"/>
      <c r="AH35" s="52">
        <f>AD35*3+AF35</f>
        <v>4</v>
      </c>
      <c r="AI35" s="52">
        <f>AE35*3+AG35</f>
        <v>0</v>
      </c>
      <c r="AJ35" s="54">
        <f>AI35+AH35</f>
        <v>4</v>
      </c>
      <c r="AK35" s="45"/>
      <c r="AL35" s="47"/>
      <c r="AM35" s="47">
        <v>2</v>
      </c>
      <c r="AN35" s="47"/>
      <c r="AO35" s="52">
        <f>AK35*3+AM35</f>
        <v>2</v>
      </c>
      <c r="AP35" s="52">
        <f>AL35*3+AN35</f>
        <v>0</v>
      </c>
      <c r="AQ35" s="54">
        <f>AP35+AO35</f>
        <v>2</v>
      </c>
      <c r="AR35" s="45"/>
      <c r="AS35" s="47"/>
      <c r="AT35" s="47"/>
      <c r="AU35" s="47"/>
      <c r="AV35" s="52">
        <f>AR35*3+AT35</f>
        <v>0</v>
      </c>
      <c r="AW35" s="52">
        <f>AS35*3+AU35</f>
        <v>0</v>
      </c>
      <c r="AX35" s="54">
        <f>AW35+AV35</f>
        <v>0</v>
      </c>
      <c r="AY35" s="45">
        <v>1</v>
      </c>
      <c r="AZ35" s="47"/>
      <c r="BA35" s="47"/>
      <c r="BB35" s="47"/>
      <c r="BC35" s="52">
        <f>AY35*3+BA35</f>
        <v>3</v>
      </c>
      <c r="BD35" s="52">
        <f>AZ35*3+BB35</f>
        <v>0</v>
      </c>
      <c r="BE35" s="54">
        <f>BD35+BC35</f>
        <v>3</v>
      </c>
      <c r="BF35" s="57">
        <f>SUM(AO35,AH35,AA35,T35,M35,AV35,BC35)</f>
        <v>9</v>
      </c>
      <c r="BG35" s="140">
        <f ca="1">BF35/(TODAY()-F35)</f>
        <v>9.1836734693877556E-2</v>
      </c>
      <c r="BH35" s="57">
        <f>SUM(AP35,AI35,AB35,U35,N35,AW35,BD35)</f>
        <v>0</v>
      </c>
      <c r="BI35" s="140">
        <f ca="1">BH35/(TODAY()-F35)</f>
        <v>0</v>
      </c>
      <c r="BJ35" s="57">
        <f>SUM(AQ35,AJ35,AC35,V35,O35,AX35,BE35)</f>
        <v>9</v>
      </c>
      <c r="BK35" s="140">
        <f ca="1">BI35+BG35</f>
        <v>9.1836734693877556E-2</v>
      </c>
      <c r="BL35" s="57">
        <f>SUM(AR35,AK35,AD35,W35,P35,P35,I35,AY35)</f>
        <v>2</v>
      </c>
      <c r="BM35" s="57">
        <f>SUM(AS35,AL35,AE35,X35,Q35,Q35,J35,AZ35)</f>
        <v>0</v>
      </c>
      <c r="BN35" s="57">
        <f>BM35+BL35</f>
        <v>2</v>
      </c>
    </row>
    <row r="36" spans="1:66" x14ac:dyDescent="0.25">
      <c r="A36" s="45" t="s">
        <v>100</v>
      </c>
      <c r="B36" s="46" t="s">
        <v>83</v>
      </c>
      <c r="C36" s="46" t="str">
        <f>B36&amp;" "&amp;A36</f>
        <v>ניצן אחודה</v>
      </c>
      <c r="D36" s="47" t="s">
        <v>7</v>
      </c>
      <c r="E36" s="47" t="s">
        <v>7</v>
      </c>
      <c r="F36" s="104">
        <v>42948</v>
      </c>
      <c r="G36" s="60">
        <v>43139</v>
      </c>
      <c r="H36" s="49" t="s">
        <v>84</v>
      </c>
      <c r="I36" s="50"/>
      <c r="J36" s="51"/>
      <c r="K36" s="51"/>
      <c r="L36" s="51"/>
      <c r="M36" s="52">
        <f>I36*3+K36</f>
        <v>0</v>
      </c>
      <c r="N36" s="52">
        <f>J36*3+L36</f>
        <v>0</v>
      </c>
      <c r="O36" s="53">
        <f>N36+M36</f>
        <v>0</v>
      </c>
      <c r="P36" s="45"/>
      <c r="Q36" s="47"/>
      <c r="R36" s="47"/>
      <c r="S36" s="47"/>
      <c r="T36" s="52">
        <f>P36*3+R36</f>
        <v>0</v>
      </c>
      <c r="U36" s="52">
        <f>Q36*3+S36</f>
        <v>0</v>
      </c>
      <c r="V36" s="54">
        <f>U36+T36</f>
        <v>0</v>
      </c>
      <c r="W36" s="45"/>
      <c r="X36" s="47"/>
      <c r="Y36" s="47"/>
      <c r="Z36" s="47"/>
      <c r="AA36" s="55">
        <f>W36*3+Y36</f>
        <v>0</v>
      </c>
      <c r="AB36" s="55">
        <f>X36*3+Z36</f>
        <v>0</v>
      </c>
      <c r="AC36" s="56">
        <f>AB36+AA36</f>
        <v>0</v>
      </c>
      <c r="AD36" s="45"/>
      <c r="AE36" s="47"/>
      <c r="AF36" s="47"/>
      <c r="AG36" s="47">
        <v>1</v>
      </c>
      <c r="AH36" s="52">
        <f>AD36*3+AF36</f>
        <v>0</v>
      </c>
      <c r="AI36" s="52">
        <f>AE36*3+AG36</f>
        <v>1</v>
      </c>
      <c r="AJ36" s="54">
        <f>AI36+AH36</f>
        <v>1</v>
      </c>
      <c r="AK36" s="45"/>
      <c r="AL36" s="47">
        <v>1</v>
      </c>
      <c r="AM36" s="47"/>
      <c r="AN36" s="47">
        <v>2</v>
      </c>
      <c r="AO36" s="52">
        <f>AK36*3+AM36</f>
        <v>0</v>
      </c>
      <c r="AP36" s="52">
        <f>AL36*3+AN36</f>
        <v>5</v>
      </c>
      <c r="AQ36" s="54">
        <f>AP36+AO36</f>
        <v>5</v>
      </c>
      <c r="AR36" s="45"/>
      <c r="AS36" s="47">
        <v>1</v>
      </c>
      <c r="AT36" s="47"/>
      <c r="AU36" s="47">
        <v>2</v>
      </c>
      <c r="AV36" s="52">
        <f>AR36*3+AT36</f>
        <v>0</v>
      </c>
      <c r="AW36" s="52">
        <f>AS36*3+AU36</f>
        <v>5</v>
      </c>
      <c r="AX36" s="54">
        <f>AW36+AV36</f>
        <v>5</v>
      </c>
      <c r="AY36" s="45"/>
      <c r="AZ36" s="47"/>
      <c r="BA36" s="47"/>
      <c r="BB36" s="47"/>
      <c r="BC36" s="52">
        <f>AY36*3+BA36</f>
        <v>0</v>
      </c>
      <c r="BD36" s="52">
        <f>AZ36*3+BB36</f>
        <v>0</v>
      </c>
      <c r="BE36" s="54">
        <f>BD36+BC36</f>
        <v>0</v>
      </c>
      <c r="BF36" s="57">
        <f>SUM(AO36,AH36,AA36,T36,M36,AV36,BC36)</f>
        <v>0</v>
      </c>
      <c r="BG36" s="140">
        <f ca="1">BF36/(TODAY()-F36)</f>
        <v>0</v>
      </c>
      <c r="BH36" s="57">
        <f>SUM(AP36,AI36,AB36,U36,N36,AW36,BD36)</f>
        <v>11</v>
      </c>
      <c r="BI36" s="140">
        <f ca="1">BH36/(TODAY()-F36)</f>
        <v>8.5271317829457363E-2</v>
      </c>
      <c r="BJ36" s="57">
        <f>SUM(AQ36,AJ36,AC36,V36,O36,AX36,BE36)</f>
        <v>11</v>
      </c>
      <c r="BK36" s="140">
        <f ca="1">BI36+BG36</f>
        <v>8.5271317829457363E-2</v>
      </c>
      <c r="BL36" s="57">
        <f>SUM(AR36,AK36,AD36,W36,P36,P36,I36,AY36)</f>
        <v>0</v>
      </c>
      <c r="BM36" s="57">
        <f>SUM(AS36,AL36,AE36,X36,Q36,Q36,J36,AZ36)</f>
        <v>2</v>
      </c>
      <c r="BN36" s="57">
        <f>BM36+BL36</f>
        <v>2</v>
      </c>
    </row>
    <row r="37" spans="1:66" x14ac:dyDescent="0.25">
      <c r="A37" s="45">
        <v>679</v>
      </c>
      <c r="B37" s="46" t="s">
        <v>22</v>
      </c>
      <c r="C37" s="46" t="str">
        <f>B37&amp;" "&amp;A37</f>
        <v>אופיר 679</v>
      </c>
      <c r="D37" s="47" t="s">
        <v>6</v>
      </c>
      <c r="E37" s="77" t="s">
        <v>7</v>
      </c>
      <c r="F37" s="104">
        <v>42979</v>
      </c>
      <c r="G37" s="58">
        <v>43692</v>
      </c>
      <c r="H37" s="49"/>
      <c r="I37" s="50"/>
      <c r="J37" s="51"/>
      <c r="K37" s="51"/>
      <c r="L37" s="51"/>
      <c r="M37" s="52">
        <f>I37*3+K37</f>
        <v>0</v>
      </c>
      <c r="N37" s="52">
        <f>J37*3+L37</f>
        <v>0</v>
      </c>
      <c r="O37" s="53">
        <f>N37+M37</f>
        <v>0</v>
      </c>
      <c r="P37" s="45"/>
      <c r="Q37" s="47"/>
      <c r="R37" s="47"/>
      <c r="S37" s="47"/>
      <c r="T37" s="52">
        <f>P37*3+R37</f>
        <v>0</v>
      </c>
      <c r="U37" s="52">
        <f>Q37*3+S37</f>
        <v>0</v>
      </c>
      <c r="V37" s="54">
        <f>U37+T37</f>
        <v>0</v>
      </c>
      <c r="W37" s="45"/>
      <c r="X37" s="47"/>
      <c r="Y37" s="47"/>
      <c r="Z37" s="47"/>
      <c r="AA37" s="55">
        <f>W37*3+Y37</f>
        <v>0</v>
      </c>
      <c r="AB37" s="55">
        <f>X37*3+Z37</f>
        <v>0</v>
      </c>
      <c r="AC37" s="56">
        <f>AB37+AA37</f>
        <v>0</v>
      </c>
      <c r="AD37" s="45"/>
      <c r="AE37" s="47"/>
      <c r="AF37" s="47">
        <v>2</v>
      </c>
      <c r="AG37" s="47"/>
      <c r="AH37" s="52">
        <f>AD37*3+AF37</f>
        <v>2</v>
      </c>
      <c r="AI37" s="52">
        <f>AE37*3+AG37</f>
        <v>0</v>
      </c>
      <c r="AJ37" s="54">
        <f>AI37+AH37</f>
        <v>2</v>
      </c>
      <c r="AK37" s="45"/>
      <c r="AL37" s="47"/>
      <c r="AM37" s="47">
        <v>5</v>
      </c>
      <c r="AN37" s="47"/>
      <c r="AO37" s="52">
        <f>AK37*3+AM37</f>
        <v>5</v>
      </c>
      <c r="AP37" s="52">
        <f>AL37*3+AN37</f>
        <v>0</v>
      </c>
      <c r="AQ37" s="54">
        <f>AP37+AO37</f>
        <v>5</v>
      </c>
      <c r="AR37" s="45">
        <v>1</v>
      </c>
      <c r="AS37" s="47"/>
      <c r="AT37" s="47">
        <v>3</v>
      </c>
      <c r="AU37" s="47">
        <v>2</v>
      </c>
      <c r="AV37" s="52">
        <f>AR37*3+AT37</f>
        <v>6</v>
      </c>
      <c r="AW37" s="52">
        <f>AS37*3+AU37</f>
        <v>2</v>
      </c>
      <c r="AX37" s="54">
        <f>AW37+AV37</f>
        <v>8</v>
      </c>
      <c r="AY37" s="45"/>
      <c r="AZ37" s="47"/>
      <c r="BA37" s="47"/>
      <c r="BB37" s="47"/>
      <c r="BC37" s="52">
        <f>AY37*3+BA37</f>
        <v>0</v>
      </c>
      <c r="BD37" s="52">
        <f>AZ37*3+BB37</f>
        <v>0</v>
      </c>
      <c r="BE37" s="54">
        <f>BD37+BC37</f>
        <v>0</v>
      </c>
      <c r="BF37" s="57">
        <f>SUM(AO37,AH37,AA37,T37,M37,AV37,BC37)</f>
        <v>13</v>
      </c>
      <c r="BG37" s="140">
        <f ca="1">BF37/(TODAY()-F37)</f>
        <v>0.1326530612244898</v>
      </c>
      <c r="BH37" s="57">
        <f>SUM(AP37,AI37,AB37,U37,N37,AW37,BD37)</f>
        <v>2</v>
      </c>
      <c r="BI37" s="140">
        <f ca="1">BH37/(TODAY()-F37)</f>
        <v>2.0408163265306121E-2</v>
      </c>
      <c r="BJ37" s="57">
        <f>SUM(AQ37,AJ37,AC37,V37,O37,AX37,BE37)</f>
        <v>15</v>
      </c>
      <c r="BK37" s="140">
        <f ca="1">BI37+BG37</f>
        <v>0.15306122448979592</v>
      </c>
      <c r="BL37" s="57">
        <f>SUM(AR37,AK37,AD37,W37,P37,P37,I37,AY37)</f>
        <v>1</v>
      </c>
      <c r="BM37" s="57">
        <f>SUM(AS37,AL37,AE37,X37,Q37,Q37,J37,AZ37)</f>
        <v>0</v>
      </c>
      <c r="BN37" s="57">
        <f>BM37+BL37</f>
        <v>1</v>
      </c>
    </row>
    <row r="38" spans="1:66" x14ac:dyDescent="0.25">
      <c r="A38" s="45">
        <v>209</v>
      </c>
      <c r="B38" s="46" t="s">
        <v>129</v>
      </c>
      <c r="C38" s="46" t="str">
        <f>B38&amp;" "&amp;A38</f>
        <v>גילי 209</v>
      </c>
      <c r="D38" s="47" t="s">
        <v>7</v>
      </c>
      <c r="E38" s="77" t="s">
        <v>7</v>
      </c>
      <c r="F38" s="104">
        <v>43009</v>
      </c>
      <c r="G38" s="58" t="s">
        <v>98</v>
      </c>
      <c r="H38" s="49" t="s">
        <v>130</v>
      </c>
      <c r="I38" s="50"/>
      <c r="J38" s="51"/>
      <c r="K38" s="51"/>
      <c r="L38" s="51"/>
      <c r="M38" s="52">
        <f>I38*3+K38</f>
        <v>0</v>
      </c>
      <c r="N38" s="52">
        <f>J38*3+L38</f>
        <v>0</v>
      </c>
      <c r="O38" s="53">
        <f>N38+M38</f>
        <v>0</v>
      </c>
      <c r="P38" s="45"/>
      <c r="Q38" s="47"/>
      <c r="R38" s="47"/>
      <c r="S38" s="47"/>
      <c r="T38" s="52">
        <f>P38*3+R38</f>
        <v>0</v>
      </c>
      <c r="U38" s="52">
        <f>Q38*3+S38</f>
        <v>0</v>
      </c>
      <c r="V38" s="54">
        <f>U38+T38</f>
        <v>0</v>
      </c>
      <c r="W38" s="45"/>
      <c r="X38" s="47"/>
      <c r="Y38" s="47"/>
      <c r="Z38" s="47"/>
      <c r="AA38" s="55">
        <f>W38*3+Y38</f>
        <v>0</v>
      </c>
      <c r="AB38" s="55">
        <f>X38*3+Z38</f>
        <v>0</v>
      </c>
      <c r="AC38" s="56">
        <f>AB38+AA38</f>
        <v>0</v>
      </c>
      <c r="AD38" s="45"/>
      <c r="AE38" s="47"/>
      <c r="AF38" s="47"/>
      <c r="AG38" s="47"/>
      <c r="AH38" s="52">
        <f>AD38*3+AF38</f>
        <v>0</v>
      </c>
      <c r="AI38" s="52">
        <f>AE38*3+AG38</f>
        <v>0</v>
      </c>
      <c r="AJ38" s="54">
        <f>AI38+AH38</f>
        <v>0</v>
      </c>
      <c r="AK38" s="45"/>
      <c r="AL38" s="47">
        <v>1</v>
      </c>
      <c r="AM38" s="47"/>
      <c r="AN38" s="47"/>
      <c r="AO38" s="52">
        <f>AK38*3+AM38</f>
        <v>0</v>
      </c>
      <c r="AP38" s="52">
        <f>AL38*3+AN38</f>
        <v>3</v>
      </c>
      <c r="AQ38" s="54">
        <f>AP38+AO38</f>
        <v>3</v>
      </c>
      <c r="AR38" s="45"/>
      <c r="AS38" s="47"/>
      <c r="AT38" s="47"/>
      <c r="AU38" s="47">
        <v>4</v>
      </c>
      <c r="AV38" s="52">
        <f>AR38*3+AT38</f>
        <v>0</v>
      </c>
      <c r="AW38" s="52">
        <f>AS38*3+AU38</f>
        <v>4</v>
      </c>
      <c r="AX38" s="54">
        <f>AW38+AV38</f>
        <v>4</v>
      </c>
      <c r="AY38" s="45"/>
      <c r="AZ38" s="47"/>
      <c r="BA38" s="47"/>
      <c r="BB38" s="47"/>
      <c r="BC38" s="52">
        <f>AY38*3+BA38</f>
        <v>0</v>
      </c>
      <c r="BD38" s="52">
        <f>AZ38*3+BB38</f>
        <v>0</v>
      </c>
      <c r="BE38" s="54">
        <f>BD38+BC38</f>
        <v>0</v>
      </c>
      <c r="BF38" s="57">
        <f>SUM(AO38,AH38,AA38,T38,M38,AV38,BC38)</f>
        <v>0</v>
      </c>
      <c r="BG38" s="140">
        <f ca="1">BF38/(TODAY()-F38)</f>
        <v>0</v>
      </c>
      <c r="BH38" s="57">
        <f>SUM(AP38,AI38,AB38,U38,N38,AW38,BD38)</f>
        <v>7</v>
      </c>
      <c r="BI38" s="140">
        <f ca="1">BH38/(TODAY()-F38)</f>
        <v>0.10294117647058823</v>
      </c>
      <c r="BJ38" s="57">
        <f>SUM(AQ38,AJ38,AC38,V38,O38,AX38,BE38)</f>
        <v>7</v>
      </c>
      <c r="BK38" s="140">
        <f ca="1">BI38+BG38</f>
        <v>0.10294117647058823</v>
      </c>
      <c r="BL38" s="57">
        <f>SUM(AR38,AK38,AD38,W38,P38,P38,I38,AY38)</f>
        <v>0</v>
      </c>
      <c r="BM38" s="57">
        <f>SUM(AS38,AL38,AE38,X38,Q38,Q38,J38,AZ38)</f>
        <v>1</v>
      </c>
      <c r="BN38" s="57">
        <f>BM38+BL38</f>
        <v>1</v>
      </c>
    </row>
    <row r="39" spans="1:66" x14ac:dyDescent="0.25">
      <c r="A39" s="45" t="s">
        <v>21</v>
      </c>
      <c r="B39" s="46" t="s">
        <v>74</v>
      </c>
      <c r="C39" s="46" t="str">
        <f>B39&amp;" "&amp;A39</f>
        <v>שר מפאוג</v>
      </c>
      <c r="D39" s="47" t="s">
        <v>6</v>
      </c>
      <c r="E39" s="77" t="s">
        <v>7</v>
      </c>
      <c r="F39" s="104">
        <v>42979</v>
      </c>
      <c r="G39" s="58">
        <v>43560</v>
      </c>
      <c r="H39" s="49"/>
      <c r="I39" s="50"/>
      <c r="J39" s="51"/>
      <c r="K39" s="51"/>
      <c r="L39" s="51"/>
      <c r="M39" s="52">
        <f>I39*3+K39</f>
        <v>0</v>
      </c>
      <c r="N39" s="52">
        <f>J39*3+L39</f>
        <v>0</v>
      </c>
      <c r="O39" s="53">
        <f>N39+M39</f>
        <v>0</v>
      </c>
      <c r="P39" s="45"/>
      <c r="Q39" s="47"/>
      <c r="R39" s="47"/>
      <c r="S39" s="47"/>
      <c r="T39" s="52">
        <f>P39*3+R39</f>
        <v>0</v>
      </c>
      <c r="U39" s="52">
        <f>Q39*3+S39</f>
        <v>0</v>
      </c>
      <c r="V39" s="54">
        <f>U39+T39</f>
        <v>0</v>
      </c>
      <c r="W39" s="45"/>
      <c r="X39" s="47"/>
      <c r="Y39" s="47"/>
      <c r="Z39" s="47"/>
      <c r="AA39" s="55">
        <f>W39*3+Y39</f>
        <v>0</v>
      </c>
      <c r="AB39" s="55">
        <f>X39*3+Z39</f>
        <v>0</v>
      </c>
      <c r="AC39" s="56">
        <f>AB39+AA39</f>
        <v>0</v>
      </c>
      <c r="AD39" s="45"/>
      <c r="AE39" s="47"/>
      <c r="AF39" s="47">
        <v>2</v>
      </c>
      <c r="AG39" s="47"/>
      <c r="AH39" s="52">
        <f>AD39*3+AF39</f>
        <v>2</v>
      </c>
      <c r="AI39" s="52">
        <f>AE39*3+AG39</f>
        <v>0</v>
      </c>
      <c r="AJ39" s="54">
        <f>AI39+AH39</f>
        <v>2</v>
      </c>
      <c r="AK39" s="45">
        <v>1</v>
      </c>
      <c r="AL39" s="47"/>
      <c r="AM39" s="47">
        <v>2</v>
      </c>
      <c r="AN39" s="47"/>
      <c r="AO39" s="52">
        <f>AK39*3+AM39</f>
        <v>5</v>
      </c>
      <c r="AP39" s="52">
        <f>AL39*3+AN39</f>
        <v>0</v>
      </c>
      <c r="AQ39" s="54">
        <f>AP39+AO39</f>
        <v>5</v>
      </c>
      <c r="AR39" s="45"/>
      <c r="AS39" s="47"/>
      <c r="AT39" s="47">
        <v>3</v>
      </c>
      <c r="AU39" s="47"/>
      <c r="AV39" s="52">
        <f>AR39*3+AT39</f>
        <v>3</v>
      </c>
      <c r="AW39" s="52">
        <f>AS39*3+AU39</f>
        <v>0</v>
      </c>
      <c r="AX39" s="54">
        <f>AW39+AV39</f>
        <v>3</v>
      </c>
      <c r="AY39" s="45"/>
      <c r="AZ39" s="47"/>
      <c r="BA39" s="47"/>
      <c r="BB39" s="47"/>
      <c r="BC39" s="52">
        <f>AY39*3+BA39</f>
        <v>0</v>
      </c>
      <c r="BD39" s="52">
        <f>AZ39*3+BB39</f>
        <v>0</v>
      </c>
      <c r="BE39" s="54">
        <f>BD39+BC39</f>
        <v>0</v>
      </c>
      <c r="BF39" s="57">
        <f>SUM(AO39,AH39,AA39,T39,M39,AV39,BC39)</f>
        <v>10</v>
      </c>
      <c r="BG39" s="140">
        <f ca="1">BF39/(TODAY()-F39)</f>
        <v>0.10204081632653061</v>
      </c>
      <c r="BH39" s="57">
        <f>SUM(AP39,AI39,AB39,U39,N39,AW39,BD39)</f>
        <v>0</v>
      </c>
      <c r="BI39" s="140">
        <f ca="1">BH39/(TODAY()-F39)</f>
        <v>0</v>
      </c>
      <c r="BJ39" s="57">
        <f>SUM(AQ39,AJ39,AC39,V39,O39,AX39,BE39)</f>
        <v>10</v>
      </c>
      <c r="BK39" s="140">
        <f ca="1">BI39+BG39</f>
        <v>0.10204081632653061</v>
      </c>
      <c r="BL39" s="57">
        <f>SUM(AR39,AK39,AD39,W39,P39,P39,I39,AY39)</f>
        <v>1</v>
      </c>
      <c r="BM39" s="57">
        <f>SUM(AS39,AL39,AE39,X39,Q39,Q39,J39,AZ39)</f>
        <v>0</v>
      </c>
      <c r="BN39" s="57">
        <f>BM39+BL39</f>
        <v>1</v>
      </c>
    </row>
    <row r="40" spans="1:66" x14ac:dyDescent="0.25">
      <c r="A40" s="92">
        <v>209</v>
      </c>
      <c r="B40" s="99" t="s">
        <v>165</v>
      </c>
      <c r="C40" s="93" t="str">
        <f>B40&amp;" "&amp;A40</f>
        <v>ולריה 209</v>
      </c>
      <c r="D40" s="101" t="s">
        <v>6</v>
      </c>
      <c r="E40" s="101" t="s">
        <v>6</v>
      </c>
      <c r="F40" s="104">
        <v>43040</v>
      </c>
      <c r="G40" s="107" t="s">
        <v>98</v>
      </c>
      <c r="H40" s="95"/>
      <c r="I40" s="96"/>
      <c r="J40" s="97"/>
      <c r="K40" s="97"/>
      <c r="L40" s="97"/>
      <c r="M40" s="52">
        <f>I40*3+K40</f>
        <v>0</v>
      </c>
      <c r="N40" s="52">
        <f>J40*3+L40</f>
        <v>0</v>
      </c>
      <c r="O40" s="53">
        <f>N40+M40</f>
        <v>0</v>
      </c>
      <c r="P40" s="92"/>
      <c r="Q40" s="94"/>
      <c r="R40" s="94"/>
      <c r="S40" s="94"/>
      <c r="T40" s="52">
        <f>P40*3+R40</f>
        <v>0</v>
      </c>
      <c r="U40" s="52">
        <f>Q40*3+S40</f>
        <v>0</v>
      </c>
      <c r="V40" s="54">
        <f>U40+T40</f>
        <v>0</v>
      </c>
      <c r="W40" s="45"/>
      <c r="X40" s="47"/>
      <c r="Y40" s="47"/>
      <c r="Z40" s="47"/>
      <c r="AA40" s="55">
        <f>W40*3+Y40</f>
        <v>0</v>
      </c>
      <c r="AB40" s="55">
        <f>X40*3+Z40</f>
        <v>0</v>
      </c>
      <c r="AC40" s="56">
        <f>AB40+AA40</f>
        <v>0</v>
      </c>
      <c r="AD40" s="92"/>
      <c r="AE40" s="94"/>
      <c r="AF40" s="94"/>
      <c r="AG40" s="94"/>
      <c r="AH40" s="52">
        <f>AD40*3+AF40</f>
        <v>0</v>
      </c>
      <c r="AI40" s="52">
        <f>AE40*3+AG40</f>
        <v>0</v>
      </c>
      <c r="AJ40" s="54">
        <f>AI40+AH40</f>
        <v>0</v>
      </c>
      <c r="AK40" s="92"/>
      <c r="AL40" s="94"/>
      <c r="AM40" s="94"/>
      <c r="AN40" s="94"/>
      <c r="AO40" s="52">
        <f>AK40*3+AM40</f>
        <v>0</v>
      </c>
      <c r="AP40" s="52">
        <f>AL40*3+AN40</f>
        <v>0</v>
      </c>
      <c r="AQ40" s="54">
        <f>AP40+AO40</f>
        <v>0</v>
      </c>
      <c r="AR40" s="92"/>
      <c r="AS40" s="94"/>
      <c r="AT40" s="94"/>
      <c r="AU40" s="94"/>
      <c r="AV40" s="52">
        <f>AR40*3+AT40</f>
        <v>0</v>
      </c>
      <c r="AW40" s="52">
        <f>AS40*3+AU40</f>
        <v>0</v>
      </c>
      <c r="AX40" s="54">
        <f>AW40+AV40</f>
        <v>0</v>
      </c>
      <c r="AY40" s="92">
        <v>1</v>
      </c>
      <c r="AZ40" s="94"/>
      <c r="BA40" s="94"/>
      <c r="BB40" s="94"/>
      <c r="BC40" s="52">
        <f>AY40*3+BA40</f>
        <v>3</v>
      </c>
      <c r="BD40" s="52">
        <f>AZ40*3+BB40</f>
        <v>0</v>
      </c>
      <c r="BE40" s="54">
        <f>BD40+BC40</f>
        <v>3</v>
      </c>
      <c r="BF40" s="57">
        <f>SUM(AO40,AH40,AA40,T40,M40,AV40,BC40)</f>
        <v>3</v>
      </c>
      <c r="BG40" s="140">
        <f ca="1">BF40/(TODAY()-F40)</f>
        <v>8.1081081081081086E-2</v>
      </c>
      <c r="BH40" s="57">
        <f>SUM(AP40,AI40,AB40,U40,N40,AW40,BD40)</f>
        <v>0</v>
      </c>
      <c r="BI40" s="140">
        <f ca="1">BH40/(TODAY()-F40)</f>
        <v>0</v>
      </c>
      <c r="BJ40" s="57">
        <f>SUM(AQ40,AJ40,AC40,V40,O40,AX40,BE40)</f>
        <v>3</v>
      </c>
      <c r="BK40" s="140">
        <f ca="1">BI40+BG40</f>
        <v>8.1081081081081086E-2</v>
      </c>
      <c r="BL40" s="57">
        <f>SUM(AR40,AK40,AD40,W40,P40,P40,I40,AY40)</f>
        <v>1</v>
      </c>
      <c r="BM40" s="57">
        <f>SUM(AS40,AL40,AE40,X40,Q40,Q40,J40,AZ40)</f>
        <v>0</v>
      </c>
      <c r="BN40" s="57">
        <f>BM40+BL40</f>
        <v>1</v>
      </c>
    </row>
    <row r="41" spans="1:66" x14ac:dyDescent="0.25">
      <c r="A41" s="98" t="s">
        <v>21</v>
      </c>
      <c r="B41" s="99" t="s">
        <v>167</v>
      </c>
      <c r="C41" s="93" t="str">
        <f>B41&amp;" "&amp;A41</f>
        <v>רבקה מפאוג</v>
      </c>
      <c r="D41" s="101" t="s">
        <v>6</v>
      </c>
      <c r="E41" s="101" t="s">
        <v>6</v>
      </c>
      <c r="F41" s="104">
        <v>43040</v>
      </c>
      <c r="G41" s="107" t="s">
        <v>98</v>
      </c>
      <c r="H41" s="95"/>
      <c r="I41" s="96"/>
      <c r="J41" s="97"/>
      <c r="K41" s="97"/>
      <c r="L41" s="97"/>
      <c r="M41" s="52">
        <f>I41*3+K41</f>
        <v>0</v>
      </c>
      <c r="N41" s="52">
        <f>J41*3+L41</f>
        <v>0</v>
      </c>
      <c r="O41" s="53">
        <f>N41+M41</f>
        <v>0</v>
      </c>
      <c r="P41" s="92"/>
      <c r="Q41" s="94"/>
      <c r="R41" s="94"/>
      <c r="S41" s="94"/>
      <c r="T41" s="52">
        <f>P41*3+R41</f>
        <v>0</v>
      </c>
      <c r="U41" s="52">
        <f>Q41*3+S41</f>
        <v>0</v>
      </c>
      <c r="V41" s="54">
        <f>U41+T41</f>
        <v>0</v>
      </c>
      <c r="W41" s="45"/>
      <c r="X41" s="47"/>
      <c r="Y41" s="47"/>
      <c r="Z41" s="47"/>
      <c r="AA41" s="55">
        <f>W41*3+Y41</f>
        <v>0</v>
      </c>
      <c r="AB41" s="55">
        <f>X41*3+Z41</f>
        <v>0</v>
      </c>
      <c r="AC41" s="56">
        <f>AB41+AA41</f>
        <v>0</v>
      </c>
      <c r="AD41" s="92"/>
      <c r="AE41" s="94"/>
      <c r="AF41" s="94"/>
      <c r="AG41" s="94"/>
      <c r="AH41" s="52">
        <f>AD41*3+AF41</f>
        <v>0</v>
      </c>
      <c r="AI41" s="52">
        <f>AE41*3+AG41</f>
        <v>0</v>
      </c>
      <c r="AJ41" s="54">
        <f>AI41+AH41</f>
        <v>0</v>
      </c>
      <c r="AK41" s="92"/>
      <c r="AL41" s="94"/>
      <c r="AM41" s="94"/>
      <c r="AN41" s="94"/>
      <c r="AO41" s="52">
        <f>AK41*3+AM41</f>
        <v>0</v>
      </c>
      <c r="AP41" s="52">
        <f>AL41*3+AN41</f>
        <v>0</v>
      </c>
      <c r="AQ41" s="54">
        <f>AP41+AO41</f>
        <v>0</v>
      </c>
      <c r="AR41" s="92"/>
      <c r="AS41" s="94"/>
      <c r="AT41" s="94"/>
      <c r="AU41" s="94"/>
      <c r="AV41" s="52">
        <f>AR41*3+AT41</f>
        <v>0</v>
      </c>
      <c r="AW41" s="52">
        <f>AS41*3+AU41</f>
        <v>0</v>
      </c>
      <c r="AX41" s="54">
        <f>AW41+AV41</f>
        <v>0</v>
      </c>
      <c r="AY41" s="92">
        <v>1</v>
      </c>
      <c r="AZ41" s="94"/>
      <c r="BA41" s="94"/>
      <c r="BB41" s="94"/>
      <c r="BC41" s="52">
        <f>AY41*3+BA41</f>
        <v>3</v>
      </c>
      <c r="BD41" s="52">
        <f>AZ41*3+BB41</f>
        <v>0</v>
      </c>
      <c r="BE41" s="54">
        <f>BD41+BC41</f>
        <v>3</v>
      </c>
      <c r="BF41" s="57">
        <f>SUM(AO41,AH41,AA41,T41,M41,AV41,BC41)</f>
        <v>3</v>
      </c>
      <c r="BG41" s="140">
        <f ca="1">BF41/(TODAY()-F41)</f>
        <v>8.1081081081081086E-2</v>
      </c>
      <c r="BH41" s="57">
        <f>SUM(AP41,AI41,AB41,U41,N41,AW41,BD41)</f>
        <v>0</v>
      </c>
      <c r="BI41" s="140">
        <f ca="1">BH41/(TODAY()-F41)</f>
        <v>0</v>
      </c>
      <c r="BJ41" s="57">
        <f>SUM(AQ41,AJ41,AC41,V41,O41,AX41,BE41)</f>
        <v>3</v>
      </c>
      <c r="BK41" s="140">
        <f ca="1">BI41+BG41</f>
        <v>8.1081081081081086E-2</v>
      </c>
      <c r="BL41" s="57">
        <f>SUM(AR41,AK41,AD41,W41,P41,P41,I41,AY41)</f>
        <v>1</v>
      </c>
      <c r="BM41" s="57">
        <f>SUM(AS41,AL41,AE41,X41,Q41,Q41,J41,AZ41)</f>
        <v>0</v>
      </c>
      <c r="BN41" s="57">
        <f>BM41+BL41</f>
        <v>1</v>
      </c>
    </row>
    <row r="42" spans="1:66" x14ac:dyDescent="0.25">
      <c r="A42" s="92" t="s">
        <v>23</v>
      </c>
      <c r="B42" s="99" t="s">
        <v>157</v>
      </c>
      <c r="C42" s="93" t="str">
        <f>B42&amp;" "&amp;A42</f>
        <v>רותם מרחבים</v>
      </c>
      <c r="D42" s="94" t="s">
        <v>6</v>
      </c>
      <c r="E42" s="101" t="s">
        <v>6</v>
      </c>
      <c r="F42" s="104">
        <v>43040</v>
      </c>
      <c r="G42" s="105" t="s">
        <v>98</v>
      </c>
      <c r="H42" s="95"/>
      <c r="I42" s="96"/>
      <c r="J42" s="97"/>
      <c r="K42" s="97"/>
      <c r="L42" s="97"/>
      <c r="M42" s="52">
        <f>I42*3+K42</f>
        <v>0</v>
      </c>
      <c r="N42" s="52">
        <f>J42*3+L42</f>
        <v>0</v>
      </c>
      <c r="O42" s="53">
        <f>N42+M42</f>
        <v>0</v>
      </c>
      <c r="P42" s="92"/>
      <c r="Q42" s="94"/>
      <c r="R42" s="94"/>
      <c r="S42" s="94"/>
      <c r="T42" s="52">
        <f>P42*3+R42</f>
        <v>0</v>
      </c>
      <c r="U42" s="52">
        <f>Q42*3+S42</f>
        <v>0</v>
      </c>
      <c r="V42" s="54">
        <f>U42+T42</f>
        <v>0</v>
      </c>
      <c r="W42" s="45"/>
      <c r="X42" s="47"/>
      <c r="Y42" s="47"/>
      <c r="Z42" s="47"/>
      <c r="AA42" s="55">
        <f>W42*3+Y42</f>
        <v>0</v>
      </c>
      <c r="AB42" s="55">
        <f>X42*3+Z42</f>
        <v>0</v>
      </c>
      <c r="AC42" s="56">
        <f>AB42+AA42</f>
        <v>0</v>
      </c>
      <c r="AD42" s="92"/>
      <c r="AE42" s="94"/>
      <c r="AF42" s="94"/>
      <c r="AG42" s="94"/>
      <c r="AH42" s="52">
        <f>AD42*3+AF42</f>
        <v>0</v>
      </c>
      <c r="AI42" s="52">
        <f>AE42*3+AG42</f>
        <v>0</v>
      </c>
      <c r="AJ42" s="54">
        <f>AI42+AH42</f>
        <v>0</v>
      </c>
      <c r="AK42" s="92"/>
      <c r="AL42" s="94"/>
      <c r="AM42" s="94"/>
      <c r="AN42" s="94"/>
      <c r="AO42" s="52">
        <f>AK42*3+AM42</f>
        <v>0</v>
      </c>
      <c r="AP42" s="52">
        <f>AL42*3+AN42</f>
        <v>0</v>
      </c>
      <c r="AQ42" s="54">
        <f>AP42+AO42</f>
        <v>0</v>
      </c>
      <c r="AR42" s="92"/>
      <c r="AS42" s="94"/>
      <c r="AT42" s="94">
        <v>2</v>
      </c>
      <c r="AU42" s="94"/>
      <c r="AV42" s="52">
        <f>AR42*3+AT42</f>
        <v>2</v>
      </c>
      <c r="AW42" s="52">
        <f>AS42*3+AU42</f>
        <v>0</v>
      </c>
      <c r="AX42" s="54">
        <f>AW42+AV42</f>
        <v>2</v>
      </c>
      <c r="AY42" s="92"/>
      <c r="AZ42" s="94"/>
      <c r="BA42" s="94"/>
      <c r="BB42" s="94"/>
      <c r="BC42" s="52">
        <f>AY42*3+BA42</f>
        <v>0</v>
      </c>
      <c r="BD42" s="52">
        <f>AZ42*3+BB42</f>
        <v>0</v>
      </c>
      <c r="BE42" s="54">
        <f>BD42+BC42</f>
        <v>0</v>
      </c>
      <c r="BF42" s="57">
        <f>SUM(AO42,AH42,AA42,T42,M42,AV42,BC42)</f>
        <v>2</v>
      </c>
      <c r="BG42" s="140">
        <f ca="1">BF42/(TODAY()-F42)</f>
        <v>5.4054054054054057E-2</v>
      </c>
      <c r="BH42" s="57">
        <f>SUM(AP42,AI42,AB42,U42,N42,AW42,BD42)</f>
        <v>0</v>
      </c>
      <c r="BI42" s="140">
        <f ca="1">BH42/(TODAY()-F42)</f>
        <v>0</v>
      </c>
      <c r="BJ42" s="57">
        <f>SUM(AQ42,AJ42,AC42,V42,O42,AX42,BE42)</f>
        <v>2</v>
      </c>
      <c r="BK42" s="140">
        <f ca="1">BI42+BG42</f>
        <v>5.4054054054054057E-2</v>
      </c>
      <c r="BL42" s="57">
        <f>SUM(AR42,AK42,AD42,W42,P42,P42,I42,AY42)</f>
        <v>0</v>
      </c>
      <c r="BM42" s="57">
        <f>SUM(AS42,AL42,AE42,X42,Q42,Q42,J42,AZ42)</f>
        <v>0</v>
      </c>
      <c r="BN42" s="57">
        <f>BM42+BL42</f>
        <v>0</v>
      </c>
    </row>
    <row r="43" spans="1:66" x14ac:dyDescent="0.25">
      <c r="A43" s="98" t="s">
        <v>23</v>
      </c>
      <c r="B43" s="99" t="s">
        <v>156</v>
      </c>
      <c r="C43" s="93" t="str">
        <f>B43&amp;" "&amp;A43</f>
        <v>אופק מרחבים</v>
      </c>
      <c r="D43" s="101" t="s">
        <v>7</v>
      </c>
      <c r="E43" s="101" t="s">
        <v>6</v>
      </c>
      <c r="F43" s="104">
        <v>43040</v>
      </c>
      <c r="G43" s="105" t="s">
        <v>98</v>
      </c>
      <c r="H43" s="95"/>
      <c r="I43" s="96"/>
      <c r="J43" s="97"/>
      <c r="K43" s="97"/>
      <c r="L43" s="97"/>
      <c r="M43" s="52">
        <f>I43*3+K43</f>
        <v>0</v>
      </c>
      <c r="N43" s="52">
        <f>J43*3+L43</f>
        <v>0</v>
      </c>
      <c r="O43" s="53">
        <f>N43+M43</f>
        <v>0</v>
      </c>
      <c r="P43" s="92"/>
      <c r="Q43" s="94"/>
      <c r="R43" s="94"/>
      <c r="S43" s="94"/>
      <c r="T43" s="52">
        <f>P43*3+R43</f>
        <v>0</v>
      </c>
      <c r="U43" s="52">
        <f>Q43*3+S43</f>
        <v>0</v>
      </c>
      <c r="V43" s="54">
        <f>U43+T43</f>
        <v>0</v>
      </c>
      <c r="W43" s="45"/>
      <c r="X43" s="47"/>
      <c r="Y43" s="47"/>
      <c r="Z43" s="47"/>
      <c r="AA43" s="55">
        <f>W43*3+Y43</f>
        <v>0</v>
      </c>
      <c r="AB43" s="55">
        <f>X43*3+Z43</f>
        <v>0</v>
      </c>
      <c r="AC43" s="56">
        <f>AB43+AA43</f>
        <v>0</v>
      </c>
      <c r="AD43" s="92"/>
      <c r="AE43" s="94"/>
      <c r="AF43" s="94"/>
      <c r="AG43" s="94"/>
      <c r="AH43" s="52">
        <f>AD43*3+AF43</f>
        <v>0</v>
      </c>
      <c r="AI43" s="52">
        <f>AE43*3+AG43</f>
        <v>0</v>
      </c>
      <c r="AJ43" s="54">
        <f>AI43+AH43</f>
        <v>0</v>
      </c>
      <c r="AK43" s="92"/>
      <c r="AL43" s="94"/>
      <c r="AM43" s="94"/>
      <c r="AN43" s="94"/>
      <c r="AO43" s="52">
        <f>AK43*3+AM43</f>
        <v>0</v>
      </c>
      <c r="AP43" s="52">
        <f>AL43*3+AN43</f>
        <v>0</v>
      </c>
      <c r="AQ43" s="54">
        <f>AP43+AO43</f>
        <v>0</v>
      </c>
      <c r="AR43" s="92"/>
      <c r="AS43" s="94"/>
      <c r="AT43" s="94"/>
      <c r="AU43" s="94">
        <v>1</v>
      </c>
      <c r="AV43" s="52">
        <f>AR43*3+AT43</f>
        <v>0</v>
      </c>
      <c r="AW43" s="52">
        <f>AS43*3+AU43</f>
        <v>1</v>
      </c>
      <c r="AX43" s="54">
        <f>AW43+AV43</f>
        <v>1</v>
      </c>
      <c r="AY43" s="92"/>
      <c r="AZ43" s="94"/>
      <c r="BA43" s="94"/>
      <c r="BB43" s="94"/>
      <c r="BC43" s="52">
        <f>AY43*3+BA43</f>
        <v>0</v>
      </c>
      <c r="BD43" s="52">
        <f>AZ43*3+BB43</f>
        <v>0</v>
      </c>
      <c r="BE43" s="54">
        <f>BD43+BC43</f>
        <v>0</v>
      </c>
      <c r="BF43" s="57">
        <f>SUM(AO43,AH43,AA43,T43,M43,AV43,BC43)</f>
        <v>0</v>
      </c>
      <c r="BG43" s="140">
        <f ca="1">BF43/(TODAY()-F43)</f>
        <v>0</v>
      </c>
      <c r="BH43" s="57">
        <f>SUM(AP43,AI43,AB43,U43,N43,AW43,BD43)</f>
        <v>1</v>
      </c>
      <c r="BI43" s="140">
        <f ca="1">BH43/(TODAY()-F43)</f>
        <v>2.7027027027027029E-2</v>
      </c>
      <c r="BJ43" s="57">
        <f>SUM(AQ43,AJ43,AC43,V43,O43,AX43,BE43)</f>
        <v>1</v>
      </c>
      <c r="BK43" s="140">
        <f ca="1">BI43+BG43</f>
        <v>2.7027027027027029E-2</v>
      </c>
      <c r="BL43" s="57">
        <f>SUM(AR43,AK43,AD43,W43,P43,P43,I43,AY43)</f>
        <v>0</v>
      </c>
      <c r="BM43" s="57">
        <f>SUM(AS43,AL43,AE43,X43,Q43,Q43,J43,AZ43)</f>
        <v>0</v>
      </c>
      <c r="BN43" s="57">
        <f>BM43+BL43</f>
        <v>0</v>
      </c>
    </row>
    <row r="44" spans="1:66" x14ac:dyDescent="0.25">
      <c r="A44" s="92">
        <v>9</v>
      </c>
      <c r="B44" s="99" t="s">
        <v>164</v>
      </c>
      <c r="C44" s="93" t="str">
        <f>B44&amp;" "&amp;A44</f>
        <v>ירדן 9</v>
      </c>
      <c r="D44" s="101" t="s">
        <v>6</v>
      </c>
      <c r="E44" s="101" t="s">
        <v>6</v>
      </c>
      <c r="F44" s="104">
        <v>43040</v>
      </c>
      <c r="G44" s="107" t="s">
        <v>98</v>
      </c>
      <c r="H44" s="95"/>
      <c r="I44" s="96"/>
      <c r="J44" s="97"/>
      <c r="K44" s="97"/>
      <c r="L44" s="97"/>
      <c r="M44" s="52">
        <f>I44*3+K44</f>
        <v>0</v>
      </c>
      <c r="N44" s="52">
        <f>J44*3+L44</f>
        <v>0</v>
      </c>
      <c r="O44" s="53">
        <f>N44+M44</f>
        <v>0</v>
      </c>
      <c r="P44" s="92"/>
      <c r="Q44" s="94"/>
      <c r="R44" s="94"/>
      <c r="S44" s="94"/>
      <c r="T44" s="52">
        <f>P44*3+R44</f>
        <v>0</v>
      </c>
      <c r="U44" s="52">
        <f>Q44*3+S44</f>
        <v>0</v>
      </c>
      <c r="V44" s="54">
        <f>U44+T44</f>
        <v>0</v>
      </c>
      <c r="W44" s="92"/>
      <c r="X44" s="94"/>
      <c r="Y44" s="94"/>
      <c r="Z44" s="94"/>
      <c r="AA44" s="55">
        <f>W44*3+Y44</f>
        <v>0</v>
      </c>
      <c r="AB44" s="55">
        <f>X44*3+Z44</f>
        <v>0</v>
      </c>
      <c r="AC44" s="56">
        <f>AB44+AA44</f>
        <v>0</v>
      </c>
      <c r="AD44" s="92"/>
      <c r="AE44" s="94"/>
      <c r="AF44" s="94"/>
      <c r="AG44" s="94"/>
      <c r="AH44" s="52">
        <f>AD44*3+AF44</f>
        <v>0</v>
      </c>
      <c r="AI44" s="52">
        <f>AE44*3+AG44</f>
        <v>0</v>
      </c>
      <c r="AJ44" s="54">
        <f>AI44+AH44</f>
        <v>0</v>
      </c>
      <c r="AK44" s="92"/>
      <c r="AL44" s="94"/>
      <c r="AM44" s="94"/>
      <c r="AN44" s="94"/>
      <c r="AO44" s="52">
        <f>AK44*3+AM44</f>
        <v>0</v>
      </c>
      <c r="AP44" s="52">
        <f>AL44*3+AN44</f>
        <v>0</v>
      </c>
      <c r="AQ44" s="54">
        <f>AP44+AO44</f>
        <v>0</v>
      </c>
      <c r="AR44" s="92"/>
      <c r="AS44" s="94"/>
      <c r="AT44" s="94"/>
      <c r="AU44" s="94"/>
      <c r="AV44" s="52">
        <f>AR44*3+AT44</f>
        <v>0</v>
      </c>
      <c r="AW44" s="52">
        <f>AS44*3+AU44</f>
        <v>0</v>
      </c>
      <c r="AX44" s="54">
        <f>AW44+AV44</f>
        <v>0</v>
      </c>
      <c r="AY44" s="92"/>
      <c r="AZ44" s="94"/>
      <c r="BA44" s="94"/>
      <c r="BB44" s="94"/>
      <c r="BC44" s="52">
        <f>AY44*3+BA44</f>
        <v>0</v>
      </c>
      <c r="BD44" s="52">
        <f>AZ44*3+BB44</f>
        <v>0</v>
      </c>
      <c r="BE44" s="54">
        <f>BD44+BC44</f>
        <v>0</v>
      </c>
      <c r="BF44" s="57">
        <f>SUM(AO44,AH44,AA44,T44,M44,AV44,BC44)</f>
        <v>0</v>
      </c>
      <c r="BG44" s="140">
        <f ca="1">BF44/(TODAY()-F44)</f>
        <v>0</v>
      </c>
      <c r="BH44" s="57">
        <f>SUM(AP44,AI44,AB44,U44,N44,AW44,BD44)</f>
        <v>0</v>
      </c>
      <c r="BI44" s="140">
        <f ca="1">BH44/(TODAY()-F44)</f>
        <v>0</v>
      </c>
      <c r="BJ44" s="57">
        <f>SUM(AQ44,AJ44,AC44,V44,O44,AX44,BE44)</f>
        <v>0</v>
      </c>
      <c r="BK44" s="140">
        <f ca="1">BI44+BG44</f>
        <v>0</v>
      </c>
      <c r="BL44" s="57">
        <f>SUM(AR44,AK44,AD44,W44,P44,P44,I44,AY44)</f>
        <v>0</v>
      </c>
      <c r="BM44" s="57">
        <f>SUM(AS44,AL44,AE44,X44,Q44,Q44,J44,AZ44)</f>
        <v>0</v>
      </c>
      <c r="BN44" s="57">
        <f>BM44+BL44</f>
        <v>0</v>
      </c>
    </row>
    <row r="45" spans="1:66" ht="15.75" thickBot="1" x14ac:dyDescent="0.3">
      <c r="A45" s="110" t="s">
        <v>100</v>
      </c>
      <c r="B45" s="111" t="s">
        <v>166</v>
      </c>
      <c r="C45" s="62" t="str">
        <f>B45&amp;" "&amp;A45</f>
        <v>רומי אחודה</v>
      </c>
      <c r="D45" s="112" t="s">
        <v>6</v>
      </c>
      <c r="E45" s="112" t="s">
        <v>6</v>
      </c>
      <c r="F45" s="138">
        <v>43040</v>
      </c>
      <c r="G45" s="109" t="s">
        <v>98</v>
      </c>
      <c r="H45" s="64"/>
      <c r="I45" s="65"/>
      <c r="J45" s="66"/>
      <c r="K45" s="66"/>
      <c r="L45" s="66"/>
      <c r="M45" s="68">
        <f>I45*3+K45</f>
        <v>0</v>
      </c>
      <c r="N45" s="68">
        <f>J45*3+L45</f>
        <v>0</v>
      </c>
      <c r="O45" s="67">
        <f>N45+M45</f>
        <v>0</v>
      </c>
      <c r="P45" s="61"/>
      <c r="Q45" s="63"/>
      <c r="R45" s="63"/>
      <c r="S45" s="63"/>
      <c r="T45" s="68">
        <f>P45*3+R45</f>
        <v>0</v>
      </c>
      <c r="U45" s="68">
        <f>Q45*3+S45</f>
        <v>0</v>
      </c>
      <c r="V45" s="69">
        <f>U45+T45</f>
        <v>0</v>
      </c>
      <c r="W45" s="61"/>
      <c r="X45" s="63"/>
      <c r="Y45" s="63"/>
      <c r="Z45" s="63"/>
      <c r="AA45" s="68">
        <f>W45*3+Y45</f>
        <v>0</v>
      </c>
      <c r="AB45" s="68">
        <f>X45*3+Z45</f>
        <v>0</v>
      </c>
      <c r="AC45" s="69">
        <f>AB45+AA45</f>
        <v>0</v>
      </c>
      <c r="AD45" s="61"/>
      <c r="AE45" s="63"/>
      <c r="AF45" s="63"/>
      <c r="AG45" s="63"/>
      <c r="AH45" s="68">
        <f>AD45*3+AF45</f>
        <v>0</v>
      </c>
      <c r="AI45" s="68">
        <f>AE45*3+AG45</f>
        <v>0</v>
      </c>
      <c r="AJ45" s="69">
        <f>AI45+AH45</f>
        <v>0</v>
      </c>
      <c r="AK45" s="61"/>
      <c r="AL45" s="63"/>
      <c r="AM45" s="63"/>
      <c r="AN45" s="63"/>
      <c r="AO45" s="68">
        <f>AK45*3+AM45</f>
        <v>0</v>
      </c>
      <c r="AP45" s="68">
        <f>AL45*3+AN45</f>
        <v>0</v>
      </c>
      <c r="AQ45" s="69">
        <f>AP45+AO45</f>
        <v>0</v>
      </c>
      <c r="AR45" s="61"/>
      <c r="AS45" s="63"/>
      <c r="AT45" s="63"/>
      <c r="AU45" s="63"/>
      <c r="AV45" s="68">
        <f>AR45*3+AT45</f>
        <v>0</v>
      </c>
      <c r="AW45" s="68">
        <f>AS45*3+AU45</f>
        <v>0</v>
      </c>
      <c r="AX45" s="69">
        <f>AW45+AV45</f>
        <v>0</v>
      </c>
      <c r="AY45" s="61"/>
      <c r="AZ45" s="63"/>
      <c r="BA45" s="63"/>
      <c r="BB45" s="63"/>
      <c r="BC45" s="68">
        <f>AY45*3+BA45</f>
        <v>0</v>
      </c>
      <c r="BD45" s="68">
        <f>AZ45*3+BB45</f>
        <v>0</v>
      </c>
      <c r="BE45" s="69">
        <f>BD45+BC45</f>
        <v>0</v>
      </c>
      <c r="BF45" s="139">
        <f>SUM(AO45,AH45,AA45,T45,M45,AV45,BC45)</f>
        <v>0</v>
      </c>
      <c r="BG45" s="141">
        <f ca="1">BF45/(TODAY()-F45)</f>
        <v>0</v>
      </c>
      <c r="BH45" s="139">
        <f>SUM(AP45,AI45,AB45,U45,N45,AW45,BD45)</f>
        <v>0</v>
      </c>
      <c r="BI45" s="141">
        <f ca="1">BH45/(TODAY()-F45)</f>
        <v>0</v>
      </c>
      <c r="BJ45" s="139">
        <f>SUM(AQ45,AJ45,AC45,V45,O45,AX45,BE45)</f>
        <v>0</v>
      </c>
      <c r="BK45" s="141">
        <f ca="1">BI45+BG45</f>
        <v>0</v>
      </c>
      <c r="BL45" s="139">
        <f>SUM(AR45,AK45,AD45,W45,P45,P45,I45,AY45)</f>
        <v>0</v>
      </c>
      <c r="BM45" s="139">
        <f>SUM(AS45,AL45,AE45,X45,Q45,Q45,J45,AZ45)</f>
        <v>0</v>
      </c>
      <c r="BN45" s="139">
        <f>BM45+BL45</f>
        <v>0</v>
      </c>
    </row>
    <row r="46" spans="1:66" x14ac:dyDescent="0.25">
      <c r="A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66" ht="31.5" x14ac:dyDescent="0.5">
      <c r="A47" s="44"/>
      <c r="C47" s="70" t="s">
        <v>168</v>
      </c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66" x14ac:dyDescent="0.25">
      <c r="A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A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</row>
    <row r="50" spans="1:57" x14ac:dyDescent="0.25">
      <c r="A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</row>
    <row r="51" spans="1:57" x14ac:dyDescent="0.25">
      <c r="A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</row>
    <row r="52" spans="1:57" x14ac:dyDescent="0.25">
      <c r="A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</row>
    <row r="54" spans="1:57" x14ac:dyDescent="0.25">
      <c r="A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</row>
    <row r="55" spans="1:57" x14ac:dyDescent="0.25">
      <c r="A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</row>
    <row r="56" spans="1:57" x14ac:dyDescent="0.25">
      <c r="A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</row>
    <row r="57" spans="1:57" x14ac:dyDescent="0.25">
      <c r="A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</row>
    <row r="58" spans="1:57" x14ac:dyDescent="0.25">
      <c r="A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</row>
    <row r="59" spans="1:57" x14ac:dyDescent="0.25">
      <c r="A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</row>
    <row r="60" spans="1:57" x14ac:dyDescent="0.25">
      <c r="A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</row>
    <row r="61" spans="1:57" x14ac:dyDescent="0.25">
      <c r="A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</row>
    <row r="62" spans="1:57" x14ac:dyDescent="0.25">
      <c r="A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</row>
    <row r="63" spans="1:57" x14ac:dyDescent="0.25">
      <c r="A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</row>
    <row r="64" spans="1:57" x14ac:dyDescent="0.25">
      <c r="A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</row>
    <row r="65" spans="1:57" x14ac:dyDescent="0.25">
      <c r="A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</row>
    <row r="66" spans="1:57" x14ac:dyDescent="0.25">
      <c r="A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</row>
    <row r="67" spans="1:57" x14ac:dyDescent="0.25">
      <c r="A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</row>
    <row r="68" spans="1:57" x14ac:dyDescent="0.25">
      <c r="A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</row>
    <row r="69" spans="1:57" x14ac:dyDescent="0.25">
      <c r="A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</row>
    <row r="70" spans="1:57" x14ac:dyDescent="0.25">
      <c r="A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</row>
    <row r="71" spans="1:57" x14ac:dyDescent="0.25">
      <c r="A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</row>
    <row r="72" spans="1:57" x14ac:dyDescent="0.25">
      <c r="A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</row>
    <row r="73" spans="1:57" x14ac:dyDescent="0.25">
      <c r="A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</row>
    <row r="74" spans="1:57" x14ac:dyDescent="0.25">
      <c r="A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</row>
    <row r="75" spans="1:57" x14ac:dyDescent="0.25">
      <c r="A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</row>
    <row r="76" spans="1:57" x14ac:dyDescent="0.25">
      <c r="A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</row>
    <row r="77" spans="1:57" x14ac:dyDescent="0.25">
      <c r="A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</row>
    <row r="78" spans="1:57" x14ac:dyDescent="0.25">
      <c r="A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</row>
    <row r="79" spans="1:57" x14ac:dyDescent="0.25">
      <c r="A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</row>
    <row r="80" spans="1:57" x14ac:dyDescent="0.25">
      <c r="A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</row>
    <row r="81" spans="1:57" x14ac:dyDescent="0.25">
      <c r="A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</row>
  </sheetData>
  <autoFilter ref="A1:BN45" xr:uid="{0CA1E2CF-5745-4FF0-9026-717FD868CE4E}">
    <sortState ref="A2:BN45">
      <sortCondition descending="1" ref="BN1:BN45"/>
    </sortState>
  </autoFilter>
  <conditionalFormatting sqref="E110:G1048576 E2:F2 G27:G28 E31:G36 E14:E30 E3:G12 G13:G24 F14 F16 F18 F20 F22 F24 F26 F28 E37:F37 F30:F36 E38:G45">
    <cfRule type="cellIs" dxfId="9" priority="33" operator="equal">
      <formula>"לא"</formula>
    </cfRule>
  </conditionalFormatting>
  <conditionalFormatting sqref="D110:D1048576 D2:D12 D14:D45">
    <cfRule type="cellIs" dxfId="8" priority="32" operator="equal">
      <formula>"כן"</formula>
    </cfRule>
  </conditionalFormatting>
  <conditionalFormatting sqref="P46:V67">
    <cfRule type="cellIs" dxfId="7" priority="26" operator="notEqual">
      <formula>0</formula>
    </cfRule>
  </conditionalFormatting>
  <conditionalFormatting sqref="E13">
    <cfRule type="cellIs" dxfId="6" priority="18" operator="equal">
      <formula>"לא"</formula>
    </cfRule>
  </conditionalFormatting>
  <conditionalFormatting sqref="D13">
    <cfRule type="cellIs" dxfId="5" priority="17" operator="equal">
      <formula>"כן"</formula>
    </cfRule>
  </conditionalFormatting>
  <conditionalFormatting sqref="G2">
    <cfRule type="cellIs" dxfId="4" priority="15" operator="equal">
      <formula>"לא"</formula>
    </cfRule>
  </conditionalFormatting>
  <conditionalFormatting sqref="G25 G30">
    <cfRule type="cellIs" dxfId="3" priority="14" operator="equal">
      <formula>"לא"</formula>
    </cfRule>
  </conditionalFormatting>
  <conditionalFormatting sqref="G26 G29">
    <cfRule type="cellIs" dxfId="2" priority="12" operator="equal">
      <formula>"לא"</formula>
    </cfRule>
  </conditionalFormatting>
  <conditionalFormatting sqref="G37">
    <cfRule type="cellIs" dxfId="1" priority="11" operator="equal">
      <formula>"לא"</formula>
    </cfRule>
  </conditionalFormatting>
  <conditionalFormatting sqref="F13 F15 F17 F19 F21 F23 F25 F27 F2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zoomScale="120" zoomScaleNormal="120" workbookViewId="0">
      <selection activeCell="K23" sqref="K2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34</v>
      </c>
      <c r="C3" s="9"/>
      <c r="D3" s="9"/>
      <c r="E3" s="9"/>
      <c r="F3" s="10"/>
      <c r="G3" s="118">
        <v>3</v>
      </c>
      <c r="H3" s="118"/>
      <c r="I3" s="119"/>
    </row>
    <row r="4" spans="2:11" x14ac:dyDescent="0.25">
      <c r="B4" s="8" t="s">
        <v>31</v>
      </c>
      <c r="C4" s="11"/>
      <c r="D4" s="11"/>
      <c r="E4" s="12"/>
      <c r="F4" s="75"/>
      <c r="G4" s="120" t="s">
        <v>108</v>
      </c>
      <c r="H4" s="124"/>
      <c r="I4" s="125"/>
    </row>
    <row r="5" spans="2:11" x14ac:dyDescent="0.25">
      <c r="B5" s="8" t="s">
        <v>32</v>
      </c>
      <c r="C5" s="11"/>
      <c r="D5" s="10"/>
      <c r="E5" s="10"/>
      <c r="F5" s="32"/>
      <c r="G5" s="120" t="s">
        <v>113</v>
      </c>
      <c r="H5" s="124"/>
      <c r="I5" s="125"/>
    </row>
    <row r="6" spans="2:11" x14ac:dyDescent="0.25">
      <c r="B6" s="8" t="s">
        <v>33</v>
      </c>
      <c r="C6" s="10"/>
      <c r="D6" s="11"/>
      <c r="E6" s="9"/>
      <c r="F6" s="76"/>
      <c r="G6" s="116" t="s">
        <v>144</v>
      </c>
      <c r="H6" s="126"/>
      <c r="I6" s="127"/>
    </row>
    <row r="7" spans="2:11" ht="15.75" thickBot="1" x14ac:dyDescent="0.3">
      <c r="B7" s="8" t="s">
        <v>140</v>
      </c>
      <c r="C7" s="9"/>
      <c r="D7" s="9"/>
      <c r="E7" s="13"/>
      <c r="F7" s="74"/>
      <c r="G7" s="120" t="s">
        <v>92</v>
      </c>
      <c r="H7" s="124"/>
      <c r="I7" s="125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34</v>
      </c>
      <c r="C9" s="9">
        <v>2</v>
      </c>
      <c r="D9" s="9">
        <v>2</v>
      </c>
      <c r="E9" s="9">
        <v>3</v>
      </c>
      <c r="F9" s="10">
        <v>3</v>
      </c>
      <c r="G9" s="118">
        <v>2</v>
      </c>
      <c r="H9" s="118"/>
      <c r="I9" s="119"/>
    </row>
    <row r="10" spans="2:11" x14ac:dyDescent="0.25">
      <c r="B10" s="8" t="s">
        <v>31</v>
      </c>
      <c r="C10" s="76" t="s">
        <v>101</v>
      </c>
      <c r="D10" s="86" t="s">
        <v>111</v>
      </c>
      <c r="E10" s="75" t="s">
        <v>95</v>
      </c>
      <c r="F10" s="75" t="s">
        <v>90</v>
      </c>
      <c r="G10" s="116" t="s">
        <v>123</v>
      </c>
      <c r="H10" s="116"/>
      <c r="I10" s="117"/>
      <c r="K10" s="100"/>
    </row>
    <row r="11" spans="2:11" x14ac:dyDescent="0.25">
      <c r="B11" s="8" t="s">
        <v>32</v>
      </c>
      <c r="C11" s="76" t="s">
        <v>103</v>
      </c>
      <c r="D11" s="76" t="s">
        <v>109</v>
      </c>
      <c r="E11" s="76" t="s">
        <v>88</v>
      </c>
      <c r="F11" s="86" t="s">
        <v>112</v>
      </c>
      <c r="G11" s="120" t="s">
        <v>112</v>
      </c>
      <c r="H11" s="120"/>
      <c r="I11" s="121"/>
    </row>
    <row r="12" spans="2:11" x14ac:dyDescent="0.25">
      <c r="B12" s="103" t="s">
        <v>33</v>
      </c>
      <c r="C12" s="75" t="s">
        <v>90</v>
      </c>
      <c r="D12" s="75" t="s">
        <v>89</v>
      </c>
      <c r="E12" s="75" t="s">
        <v>104</v>
      </c>
      <c r="F12" s="75" t="s">
        <v>114</v>
      </c>
      <c r="G12" s="116" t="s">
        <v>91</v>
      </c>
      <c r="H12" s="116"/>
      <c r="I12" s="117"/>
    </row>
    <row r="13" spans="2:11" ht="15.75" thickBot="1" x14ac:dyDescent="0.3">
      <c r="B13" s="8" t="s">
        <v>140</v>
      </c>
      <c r="C13" s="85" t="s">
        <v>122</v>
      </c>
      <c r="D13" s="89" t="s">
        <v>125</v>
      </c>
      <c r="E13" s="75" t="s">
        <v>143</v>
      </c>
      <c r="F13" s="75" t="s">
        <v>122</v>
      </c>
      <c r="G13" s="120" t="s">
        <v>118</v>
      </c>
      <c r="H13" s="118"/>
      <c r="I13" s="119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34</v>
      </c>
      <c r="C15" s="9">
        <v>2</v>
      </c>
      <c r="D15" s="9">
        <v>2</v>
      </c>
      <c r="E15" s="9">
        <v>3</v>
      </c>
      <c r="F15" s="10">
        <v>3</v>
      </c>
      <c r="G15" s="118">
        <v>3</v>
      </c>
      <c r="H15" s="118"/>
      <c r="I15" s="119"/>
    </row>
    <row r="16" spans="2:11" x14ac:dyDescent="0.25">
      <c r="B16" s="8" t="s">
        <v>31</v>
      </c>
      <c r="C16" s="86" t="s">
        <v>116</v>
      </c>
      <c r="D16" s="76" t="s">
        <v>103</v>
      </c>
      <c r="E16" s="76" t="s">
        <v>92</v>
      </c>
      <c r="F16" s="76" t="s">
        <v>102</v>
      </c>
      <c r="G16" s="120" t="s">
        <v>88</v>
      </c>
      <c r="H16" s="118"/>
      <c r="I16" s="119"/>
    </row>
    <row r="17" spans="2:9" x14ac:dyDescent="0.25">
      <c r="B17" s="8" t="s">
        <v>32</v>
      </c>
      <c r="C17" s="76" t="s">
        <v>102</v>
      </c>
      <c r="D17" s="76" t="s">
        <v>144</v>
      </c>
      <c r="E17" s="75" t="s">
        <v>95</v>
      </c>
      <c r="F17" s="75" t="s">
        <v>160</v>
      </c>
      <c r="G17" s="116" t="s">
        <v>101</v>
      </c>
      <c r="H17" s="116"/>
      <c r="I17" s="117"/>
    </row>
    <row r="18" spans="2:9" x14ac:dyDescent="0.25">
      <c r="B18" s="8" t="s">
        <v>33</v>
      </c>
      <c r="C18" s="75" t="s">
        <v>124</v>
      </c>
      <c r="D18" s="75" t="s">
        <v>114</v>
      </c>
      <c r="E18" s="89" t="s">
        <v>104</v>
      </c>
      <c r="F18" s="75" t="s">
        <v>91</v>
      </c>
      <c r="G18" s="120" t="s">
        <v>119</v>
      </c>
      <c r="H18" s="120"/>
      <c r="I18" s="121"/>
    </row>
    <row r="19" spans="2:9" ht="15.75" thickBot="1" x14ac:dyDescent="0.3">
      <c r="B19" s="8" t="s">
        <v>140</v>
      </c>
      <c r="C19" s="85" t="s">
        <v>93</v>
      </c>
      <c r="D19" s="89" t="s">
        <v>154</v>
      </c>
      <c r="E19" s="102" t="s">
        <v>96</v>
      </c>
      <c r="F19" s="89" t="s">
        <v>93</v>
      </c>
      <c r="G19" s="120" t="s">
        <v>122</v>
      </c>
      <c r="H19" s="118"/>
      <c r="I19" s="119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34</v>
      </c>
      <c r="C21" s="9">
        <v>2</v>
      </c>
      <c r="D21" s="9">
        <v>2</v>
      </c>
      <c r="E21" s="9">
        <v>3</v>
      </c>
      <c r="F21" s="10">
        <v>3</v>
      </c>
      <c r="G21" s="118">
        <v>2</v>
      </c>
      <c r="H21" s="118"/>
      <c r="I21" s="119"/>
    </row>
    <row r="22" spans="2:9" x14ac:dyDescent="0.25">
      <c r="B22" s="8" t="s">
        <v>31</v>
      </c>
      <c r="C22" s="86" t="s">
        <v>102</v>
      </c>
      <c r="D22" s="86" t="s">
        <v>94</v>
      </c>
      <c r="E22" s="76" t="s">
        <v>92</v>
      </c>
      <c r="F22" s="89" t="s">
        <v>115</v>
      </c>
      <c r="G22" s="116" t="s">
        <v>109</v>
      </c>
      <c r="H22" s="122"/>
      <c r="I22" s="123"/>
    </row>
    <row r="23" spans="2:9" x14ac:dyDescent="0.25">
      <c r="B23" s="8" t="s">
        <v>32</v>
      </c>
      <c r="C23" s="76" t="s">
        <v>103</v>
      </c>
      <c r="D23" s="76" t="s">
        <v>144</v>
      </c>
      <c r="E23" s="75" t="s">
        <v>95</v>
      </c>
      <c r="F23" s="86" t="s">
        <v>122</v>
      </c>
      <c r="G23" s="116" t="s">
        <v>94</v>
      </c>
      <c r="H23" s="116"/>
      <c r="I23" s="117"/>
    </row>
    <row r="24" spans="2:9" x14ac:dyDescent="0.25">
      <c r="B24" s="8" t="s">
        <v>33</v>
      </c>
      <c r="C24" s="75" t="s">
        <v>160</v>
      </c>
      <c r="D24" s="89" t="s">
        <v>113</v>
      </c>
      <c r="E24" s="89" t="s">
        <v>93</v>
      </c>
      <c r="F24" s="75" t="s">
        <v>91</v>
      </c>
      <c r="G24" s="120" t="s">
        <v>124</v>
      </c>
      <c r="H24" s="118"/>
      <c r="I24" s="119"/>
    </row>
    <row r="25" spans="2:9" ht="15.75" thickBot="1" x14ac:dyDescent="0.3">
      <c r="B25" s="8" t="s">
        <v>140</v>
      </c>
      <c r="C25" s="102" t="s">
        <v>96</v>
      </c>
      <c r="D25" s="87" t="s">
        <v>143</v>
      </c>
      <c r="E25" s="102" t="s">
        <v>132</v>
      </c>
      <c r="F25" s="75" t="s">
        <v>160</v>
      </c>
      <c r="G25" s="120" t="s">
        <v>145</v>
      </c>
      <c r="H25" s="120"/>
      <c r="I25" s="121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34</v>
      </c>
      <c r="C27" s="9">
        <v>2</v>
      </c>
      <c r="D27" s="9">
        <v>2</v>
      </c>
      <c r="E27" s="9">
        <v>3</v>
      </c>
      <c r="F27" s="10">
        <v>3</v>
      </c>
      <c r="G27" s="118">
        <v>3</v>
      </c>
      <c r="H27" s="118"/>
      <c r="I27" s="119"/>
    </row>
    <row r="28" spans="2:9" x14ac:dyDescent="0.25">
      <c r="B28" s="8" t="s">
        <v>31</v>
      </c>
      <c r="C28" s="89" t="s">
        <v>90</v>
      </c>
      <c r="D28" s="90" t="s">
        <v>122</v>
      </c>
      <c r="E28" s="75" t="s">
        <v>132</v>
      </c>
      <c r="F28" s="76" t="s">
        <v>102</v>
      </c>
      <c r="G28" s="120" t="s">
        <v>126</v>
      </c>
      <c r="H28" s="118"/>
      <c r="I28" s="119"/>
    </row>
    <row r="29" spans="2:9" x14ac:dyDescent="0.25">
      <c r="B29" s="8" t="s">
        <v>32</v>
      </c>
      <c r="C29" s="86" t="s">
        <v>123</v>
      </c>
      <c r="D29" s="76" t="s">
        <v>109</v>
      </c>
      <c r="E29" s="76" t="s">
        <v>92</v>
      </c>
      <c r="F29" s="85" t="s">
        <v>89</v>
      </c>
      <c r="G29" s="120" t="s">
        <v>106</v>
      </c>
      <c r="H29" s="120"/>
      <c r="I29" s="121"/>
    </row>
    <row r="30" spans="2:9" x14ac:dyDescent="0.25">
      <c r="B30" s="8" t="s">
        <v>33</v>
      </c>
      <c r="C30" s="76" t="s">
        <v>144</v>
      </c>
      <c r="D30" s="75" t="s">
        <v>160</v>
      </c>
      <c r="E30" s="89" t="s">
        <v>93</v>
      </c>
      <c r="F30" s="75" t="s">
        <v>91</v>
      </c>
      <c r="G30" s="116" t="s">
        <v>116</v>
      </c>
      <c r="H30" s="116"/>
      <c r="I30" s="117"/>
    </row>
    <row r="31" spans="2:9" ht="15.75" thickBot="1" x14ac:dyDescent="0.3">
      <c r="B31" s="8" t="s">
        <v>140</v>
      </c>
      <c r="C31" s="75" t="s">
        <v>107</v>
      </c>
      <c r="D31" s="85" t="s">
        <v>159</v>
      </c>
      <c r="E31" s="87" t="s">
        <v>143</v>
      </c>
      <c r="F31" s="75" t="s">
        <v>122</v>
      </c>
      <c r="G31" s="113" t="s">
        <v>154</v>
      </c>
      <c r="H31" s="114"/>
      <c r="I31" s="115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34</v>
      </c>
      <c r="C33" s="9">
        <v>2</v>
      </c>
      <c r="D33" s="9">
        <v>2</v>
      </c>
      <c r="E33" s="9">
        <v>3</v>
      </c>
      <c r="F33" s="10">
        <v>3</v>
      </c>
      <c r="G33" s="118">
        <v>2</v>
      </c>
      <c r="H33" s="118"/>
      <c r="I33" s="119"/>
    </row>
    <row r="34" spans="2:9" x14ac:dyDescent="0.25">
      <c r="B34" s="8" t="s">
        <v>31</v>
      </c>
      <c r="C34" s="85" t="s">
        <v>112</v>
      </c>
      <c r="D34" s="86" t="s">
        <v>114</v>
      </c>
      <c r="E34" s="75" t="s">
        <v>115</v>
      </c>
      <c r="F34" s="75" t="s">
        <v>104</v>
      </c>
      <c r="G34" s="116" t="s">
        <v>111</v>
      </c>
      <c r="H34" s="116"/>
      <c r="I34" s="117"/>
    </row>
    <row r="35" spans="2:9" x14ac:dyDescent="0.25">
      <c r="B35" s="8" t="s">
        <v>32</v>
      </c>
      <c r="C35" s="86" t="s">
        <v>111</v>
      </c>
      <c r="D35" s="86" t="s">
        <v>123</v>
      </c>
      <c r="E35" s="76" t="s">
        <v>92</v>
      </c>
      <c r="F35" s="86" t="s">
        <v>158</v>
      </c>
      <c r="G35" s="116" t="s">
        <v>107</v>
      </c>
      <c r="H35" s="116"/>
      <c r="I35" s="117"/>
    </row>
    <row r="36" spans="2:9" x14ac:dyDescent="0.25">
      <c r="B36" s="8" t="s">
        <v>33</v>
      </c>
      <c r="C36" s="76" t="s">
        <v>144</v>
      </c>
      <c r="D36" s="89" t="s">
        <v>113</v>
      </c>
      <c r="E36" s="75" t="s">
        <v>132</v>
      </c>
      <c r="F36" s="75" t="s">
        <v>118</v>
      </c>
      <c r="G36" s="120" t="s">
        <v>91</v>
      </c>
      <c r="H36" s="120"/>
      <c r="I36" s="121"/>
    </row>
    <row r="37" spans="2:9" ht="15.75" thickBot="1" x14ac:dyDescent="0.3">
      <c r="B37" s="15" t="s">
        <v>140</v>
      </c>
      <c r="C37" s="91" t="s">
        <v>96</v>
      </c>
      <c r="D37" s="87" t="s">
        <v>159</v>
      </c>
      <c r="E37" s="87" t="s">
        <v>89</v>
      </c>
      <c r="F37" s="87" t="s">
        <v>143</v>
      </c>
      <c r="G37" s="113" t="s">
        <v>125</v>
      </c>
      <c r="H37" s="114"/>
      <c r="I37" s="115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topLeftCell="A13" zoomScale="160" zoomScaleNormal="160" workbookViewId="0">
      <selection activeCell="B2" sqref="B2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34</v>
      </c>
      <c r="B2" s="28"/>
      <c r="C2" s="28"/>
      <c r="D2" s="28"/>
      <c r="E2" s="29">
        <v>3</v>
      </c>
      <c r="F2" s="124">
        <v>3</v>
      </c>
      <c r="G2" s="124"/>
      <c r="H2" s="125"/>
    </row>
    <row r="3" spans="1:8" x14ac:dyDescent="0.25">
      <c r="A3" s="27" t="s">
        <v>31</v>
      </c>
      <c r="B3" s="31"/>
      <c r="C3" s="31"/>
      <c r="D3" s="32"/>
      <c r="E3" s="32" t="s">
        <v>102</v>
      </c>
      <c r="F3" s="124" t="s">
        <v>110</v>
      </c>
      <c r="G3" s="124"/>
      <c r="H3" s="125"/>
    </row>
    <row r="4" spans="1:8" x14ac:dyDescent="0.25">
      <c r="A4" s="27" t="s">
        <v>32</v>
      </c>
      <c r="B4" s="31"/>
      <c r="C4" s="29"/>
      <c r="D4" s="29"/>
      <c r="E4" s="28" t="s">
        <v>125</v>
      </c>
      <c r="F4" s="132" t="s">
        <v>89</v>
      </c>
      <c r="G4" s="133"/>
      <c r="H4" s="134"/>
    </row>
    <row r="5" spans="1:8" x14ac:dyDescent="0.25">
      <c r="A5" s="27" t="s">
        <v>33</v>
      </c>
      <c r="B5" s="29"/>
      <c r="C5" s="31"/>
      <c r="D5" s="28"/>
      <c r="E5" s="29" t="s">
        <v>118</v>
      </c>
      <c r="F5" s="135" t="s">
        <v>121</v>
      </c>
      <c r="G5" s="135"/>
      <c r="H5" s="136"/>
    </row>
    <row r="6" spans="1:8" ht="15.75" thickBot="1" x14ac:dyDescent="0.3">
      <c r="A6" s="27" t="s">
        <v>86</v>
      </c>
      <c r="B6" s="28"/>
      <c r="C6" s="28"/>
      <c r="D6" s="33"/>
      <c r="E6" s="29" t="s">
        <v>132</v>
      </c>
      <c r="F6" s="120" t="s">
        <v>131</v>
      </c>
      <c r="G6" s="124"/>
      <c r="H6" s="125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34</v>
      </c>
      <c r="B8" s="28">
        <v>2</v>
      </c>
      <c r="C8" s="28">
        <v>2</v>
      </c>
      <c r="D8" s="28">
        <v>3</v>
      </c>
      <c r="E8" s="29">
        <v>3</v>
      </c>
      <c r="F8" s="124">
        <v>2</v>
      </c>
      <c r="G8" s="124"/>
      <c r="H8" s="125"/>
    </row>
    <row r="9" spans="1:8" x14ac:dyDescent="0.25">
      <c r="A9" s="27" t="s">
        <v>31</v>
      </c>
      <c r="B9" s="17" t="s">
        <v>118</v>
      </c>
      <c r="C9" s="18" t="s">
        <v>106</v>
      </c>
      <c r="D9" s="19" t="s">
        <v>124</v>
      </c>
      <c r="E9" s="18" t="s">
        <v>118</v>
      </c>
      <c r="F9" s="126" t="s">
        <v>109</v>
      </c>
      <c r="G9" s="126"/>
      <c r="H9" s="127"/>
    </row>
    <row r="10" spans="1:8" x14ac:dyDescent="0.25">
      <c r="A10" s="27" t="s">
        <v>32</v>
      </c>
      <c r="B10" s="18" t="s">
        <v>102</v>
      </c>
      <c r="C10" s="21" t="s">
        <v>94</v>
      </c>
      <c r="D10" s="31" t="s">
        <v>101</v>
      </c>
      <c r="E10" s="28" t="s">
        <v>104</v>
      </c>
      <c r="F10" s="126" t="s">
        <v>123</v>
      </c>
      <c r="G10" s="126"/>
      <c r="H10" s="127"/>
    </row>
    <row r="11" spans="1:8" x14ac:dyDescent="0.25">
      <c r="A11" s="27" t="s">
        <v>33</v>
      </c>
      <c r="B11" s="22" t="s">
        <v>124</v>
      </c>
      <c r="C11" s="18" t="s">
        <v>113</v>
      </c>
      <c r="D11" s="21" t="s">
        <v>89</v>
      </c>
      <c r="E11" s="30" t="s">
        <v>107</v>
      </c>
      <c r="F11" s="124" t="s">
        <v>105</v>
      </c>
      <c r="G11" s="124"/>
      <c r="H11" s="125"/>
    </row>
    <row r="12" spans="1:8" ht="15.75" thickBot="1" x14ac:dyDescent="0.3">
      <c r="A12" s="27" t="s">
        <v>86</v>
      </c>
      <c r="B12" s="28" t="s">
        <v>122</v>
      </c>
      <c r="C12" s="28" t="s">
        <v>93</v>
      </c>
      <c r="D12" s="33" t="s">
        <v>96</v>
      </c>
      <c r="E12" s="28" t="s">
        <v>131</v>
      </c>
      <c r="F12" s="124" t="s">
        <v>132</v>
      </c>
      <c r="G12" s="124"/>
      <c r="H12" s="125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34</v>
      </c>
      <c r="B14" s="28">
        <v>2</v>
      </c>
      <c r="C14" s="28">
        <v>2</v>
      </c>
      <c r="D14" s="28">
        <v>3</v>
      </c>
      <c r="E14" s="29">
        <v>3</v>
      </c>
      <c r="F14" s="124">
        <v>3</v>
      </c>
      <c r="G14" s="124"/>
      <c r="H14" s="125"/>
    </row>
    <row r="15" spans="1:8" x14ac:dyDescent="0.25">
      <c r="A15" s="27" t="s">
        <v>31</v>
      </c>
      <c r="B15" s="19" t="s">
        <v>118</v>
      </c>
      <c r="C15" s="31" t="s">
        <v>114</v>
      </c>
      <c r="D15" s="19" t="s">
        <v>104</v>
      </c>
      <c r="E15" s="17" t="s">
        <v>107</v>
      </c>
      <c r="F15" s="124" t="s">
        <v>115</v>
      </c>
      <c r="G15" s="124"/>
      <c r="H15" s="125"/>
    </row>
    <row r="16" spans="1:8" x14ac:dyDescent="0.25">
      <c r="A16" s="27" t="s">
        <v>32</v>
      </c>
      <c r="B16" s="31" t="s">
        <v>107</v>
      </c>
      <c r="C16" s="18" t="s">
        <v>111</v>
      </c>
      <c r="D16" s="29" t="s">
        <v>145</v>
      </c>
      <c r="E16" s="29" t="s">
        <v>145</v>
      </c>
      <c r="F16" s="124" t="s">
        <v>90</v>
      </c>
      <c r="G16" s="124"/>
      <c r="H16" s="125"/>
    </row>
    <row r="17" spans="1:8" x14ac:dyDescent="0.25">
      <c r="A17" s="27" t="s">
        <v>33</v>
      </c>
      <c r="B17" s="18" t="s">
        <v>94</v>
      </c>
      <c r="C17" s="19" t="s">
        <v>106</v>
      </c>
      <c r="D17" s="31" t="s">
        <v>91</v>
      </c>
      <c r="E17" s="18" t="s">
        <v>126</v>
      </c>
      <c r="F17" s="126" t="s">
        <v>103</v>
      </c>
      <c r="G17" s="126"/>
      <c r="H17" s="127"/>
    </row>
    <row r="18" spans="1:8" ht="15.75" thickBot="1" x14ac:dyDescent="0.3">
      <c r="A18" s="27" t="s">
        <v>86</v>
      </c>
      <c r="B18" s="28" t="s">
        <v>131</v>
      </c>
      <c r="C18" s="28" t="s">
        <v>93</v>
      </c>
      <c r="D18" s="28" t="s">
        <v>122</v>
      </c>
      <c r="E18" s="28" t="s">
        <v>96</v>
      </c>
      <c r="F18" s="124" t="s">
        <v>143</v>
      </c>
      <c r="G18" s="124"/>
      <c r="H18" s="125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34</v>
      </c>
      <c r="B20" s="28">
        <v>2</v>
      </c>
      <c r="C20" s="28">
        <v>2</v>
      </c>
      <c r="D20" s="28">
        <v>3</v>
      </c>
      <c r="E20" s="29">
        <v>3</v>
      </c>
      <c r="F20" s="124">
        <v>2</v>
      </c>
      <c r="G20" s="124"/>
      <c r="H20" s="125"/>
    </row>
    <row r="21" spans="1:8" x14ac:dyDescent="0.25">
      <c r="A21" s="27" t="s">
        <v>31</v>
      </c>
      <c r="B21" s="18" t="s">
        <v>89</v>
      </c>
      <c r="C21" s="31" t="s">
        <v>125</v>
      </c>
      <c r="D21" s="28" t="s">
        <v>105</v>
      </c>
      <c r="E21" s="31" t="s">
        <v>112</v>
      </c>
      <c r="F21" s="126" t="s">
        <v>119</v>
      </c>
      <c r="G21" s="126"/>
      <c r="H21" s="127"/>
    </row>
    <row r="22" spans="1:8" x14ac:dyDescent="0.25">
      <c r="A22" s="27" t="s">
        <v>32</v>
      </c>
      <c r="B22" s="18" t="s">
        <v>123</v>
      </c>
      <c r="C22" s="76" t="s">
        <v>116</v>
      </c>
      <c r="D22" s="18" t="s">
        <v>113</v>
      </c>
      <c r="E22" s="19" t="s">
        <v>114</v>
      </c>
      <c r="F22" s="116" t="s">
        <v>102</v>
      </c>
      <c r="G22" s="126"/>
      <c r="H22" s="127"/>
    </row>
    <row r="23" spans="1:8" x14ac:dyDescent="0.25">
      <c r="A23" s="27" t="s">
        <v>33</v>
      </c>
      <c r="B23" s="29" t="s">
        <v>112</v>
      </c>
      <c r="C23" s="29" t="s">
        <v>91</v>
      </c>
      <c r="D23" s="19" t="s">
        <v>126</v>
      </c>
      <c r="E23" s="31" t="s">
        <v>94</v>
      </c>
      <c r="F23" s="124" t="s">
        <v>117</v>
      </c>
      <c r="G23" s="124"/>
      <c r="H23" s="125"/>
    </row>
    <row r="24" spans="1:8" x14ac:dyDescent="0.25">
      <c r="A24" s="27" t="s">
        <v>86</v>
      </c>
      <c r="B24" s="28" t="s">
        <v>132</v>
      </c>
      <c r="C24" s="28" t="s">
        <v>88</v>
      </c>
      <c r="D24" s="28" t="s">
        <v>93</v>
      </c>
      <c r="E24" s="36" t="s">
        <v>122</v>
      </c>
      <c r="F24" s="124" t="s">
        <v>95</v>
      </c>
      <c r="G24" s="124"/>
      <c r="H24" s="125"/>
    </row>
    <row r="25" spans="1:8" ht="15.75" thickBot="1" x14ac:dyDescent="0.3">
      <c r="A25" s="27" t="s">
        <v>85</v>
      </c>
      <c r="B25" s="20" t="s">
        <v>87</v>
      </c>
      <c r="C25" s="20" t="s">
        <v>87</v>
      </c>
      <c r="D25" s="20" t="s">
        <v>87</v>
      </c>
      <c r="E25" s="37" t="s">
        <v>132</v>
      </c>
      <c r="F25" s="130" t="s">
        <v>87</v>
      </c>
      <c r="G25" s="130"/>
      <c r="H25" s="131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34</v>
      </c>
      <c r="B27" s="28">
        <v>2</v>
      </c>
      <c r="C27" s="28">
        <v>2</v>
      </c>
      <c r="D27" s="28">
        <v>3</v>
      </c>
      <c r="E27" s="29">
        <v>3</v>
      </c>
      <c r="F27" s="124">
        <v>3</v>
      </c>
      <c r="G27" s="124"/>
      <c r="H27" s="125"/>
    </row>
    <row r="28" spans="1:8" x14ac:dyDescent="0.25">
      <c r="A28" s="27" t="s">
        <v>31</v>
      </c>
      <c r="B28" s="31" t="s">
        <v>123</v>
      </c>
      <c r="C28" s="19" t="s">
        <v>124</v>
      </c>
      <c r="D28" s="19" t="s">
        <v>114</v>
      </c>
      <c r="E28" s="19" t="s">
        <v>126</v>
      </c>
      <c r="F28" s="124" t="s">
        <v>108</v>
      </c>
      <c r="G28" s="124"/>
      <c r="H28" s="125"/>
    </row>
    <row r="29" spans="1:8" x14ac:dyDescent="0.25">
      <c r="A29" s="27" t="s">
        <v>32</v>
      </c>
      <c r="B29" s="19" t="s">
        <v>106</v>
      </c>
      <c r="C29" s="22" t="s">
        <v>111</v>
      </c>
      <c r="D29" s="31" t="s">
        <v>101</v>
      </c>
      <c r="E29" s="32" t="s">
        <v>89</v>
      </c>
      <c r="F29" s="124" t="s">
        <v>113</v>
      </c>
      <c r="G29" s="124"/>
      <c r="H29" s="125"/>
    </row>
    <row r="30" spans="1:8" x14ac:dyDescent="0.25">
      <c r="A30" s="27" t="s">
        <v>33</v>
      </c>
      <c r="B30" s="18" t="s">
        <v>103</v>
      </c>
      <c r="C30" s="22" t="s">
        <v>125</v>
      </c>
      <c r="D30" s="16" t="s">
        <v>94</v>
      </c>
      <c r="E30" s="18" t="s">
        <v>104</v>
      </c>
      <c r="F30" s="126" t="s">
        <v>144</v>
      </c>
      <c r="G30" s="126"/>
      <c r="H30" s="127"/>
    </row>
    <row r="31" spans="1:8" x14ac:dyDescent="0.25">
      <c r="A31" s="27" t="s">
        <v>86</v>
      </c>
      <c r="B31" s="28" t="s">
        <v>97</v>
      </c>
      <c r="C31" s="28" t="s">
        <v>88</v>
      </c>
      <c r="D31" s="28" t="s">
        <v>96</v>
      </c>
      <c r="E31" s="28" t="s">
        <v>93</v>
      </c>
      <c r="F31" s="124" t="s">
        <v>92</v>
      </c>
      <c r="G31" s="124"/>
      <c r="H31" s="125"/>
    </row>
    <row r="32" spans="1:8" ht="15.75" thickBot="1" x14ac:dyDescent="0.3">
      <c r="A32" s="35" t="s">
        <v>85</v>
      </c>
      <c r="B32" s="20" t="s">
        <v>87</v>
      </c>
      <c r="C32" s="20" t="s">
        <v>87</v>
      </c>
      <c r="D32" s="20" t="s">
        <v>143</v>
      </c>
      <c r="E32" s="34" t="s">
        <v>122</v>
      </c>
      <c r="F32" s="128" t="s">
        <v>87</v>
      </c>
      <c r="G32" s="128"/>
      <c r="H32" s="129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H30"/>
  <sheetViews>
    <sheetView rightToLeft="1" topLeftCell="A4" zoomScale="130" zoomScaleNormal="130" workbookViewId="0">
      <selection activeCell="F26" sqref="F26:H26"/>
    </sheetView>
  </sheetViews>
  <sheetFormatPr defaultRowHeight="15" x14ac:dyDescent="0.25"/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34</v>
      </c>
      <c r="B2" s="78">
        <v>2</v>
      </c>
      <c r="C2" s="78">
        <v>2</v>
      </c>
      <c r="D2" s="78">
        <v>3</v>
      </c>
      <c r="E2" s="10">
        <v>3</v>
      </c>
      <c r="F2" s="118">
        <v>2</v>
      </c>
      <c r="G2" s="118"/>
      <c r="H2" s="119"/>
    </row>
    <row r="3" spans="1:8" x14ac:dyDescent="0.25">
      <c r="A3" s="8" t="s">
        <v>31</v>
      </c>
      <c r="B3" s="79"/>
      <c r="C3" s="79"/>
      <c r="D3" s="12"/>
      <c r="E3" s="12"/>
      <c r="F3" s="122"/>
      <c r="G3" s="122"/>
      <c r="H3" s="123"/>
    </row>
    <row r="4" spans="1:8" x14ac:dyDescent="0.25">
      <c r="A4" s="8" t="s">
        <v>32</v>
      </c>
      <c r="B4" s="79"/>
      <c r="C4" s="10"/>
      <c r="D4" s="10"/>
      <c r="E4" s="78"/>
      <c r="F4" s="122"/>
      <c r="G4" s="122"/>
      <c r="H4" s="123"/>
    </row>
    <row r="5" spans="1:8" x14ac:dyDescent="0.25">
      <c r="A5" s="8" t="s">
        <v>33</v>
      </c>
      <c r="B5" s="10"/>
      <c r="C5" s="79"/>
      <c r="D5" s="78"/>
      <c r="E5" s="10"/>
      <c r="F5" s="118"/>
      <c r="G5" s="118"/>
      <c r="H5" s="119"/>
    </row>
    <row r="6" spans="1:8" ht="15.75" thickBot="1" x14ac:dyDescent="0.3">
      <c r="A6" s="8" t="s">
        <v>140</v>
      </c>
      <c r="B6" s="78"/>
      <c r="C6" s="78"/>
      <c r="D6" s="13"/>
      <c r="E6" s="10"/>
      <c r="F6" s="120"/>
      <c r="G6" s="118"/>
      <c r="H6" s="119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34</v>
      </c>
      <c r="B8" s="78">
        <v>2</v>
      </c>
      <c r="C8" s="78">
        <v>2</v>
      </c>
      <c r="D8" s="78">
        <v>3</v>
      </c>
      <c r="E8" s="10">
        <v>3</v>
      </c>
      <c r="F8" s="118">
        <v>3</v>
      </c>
      <c r="G8" s="118"/>
      <c r="H8" s="119"/>
    </row>
    <row r="9" spans="1:8" x14ac:dyDescent="0.25">
      <c r="A9" s="8" t="s">
        <v>31</v>
      </c>
      <c r="B9" s="79"/>
      <c r="C9" s="79"/>
      <c r="D9" s="12"/>
      <c r="E9" s="12"/>
      <c r="F9" s="118"/>
      <c r="G9" s="118"/>
      <c r="H9" s="119"/>
    </row>
    <row r="10" spans="1:8" x14ac:dyDescent="0.25">
      <c r="A10" s="8" t="s">
        <v>32</v>
      </c>
      <c r="B10" s="79"/>
      <c r="C10" s="10"/>
      <c r="D10" s="10"/>
      <c r="E10" s="78"/>
      <c r="F10" s="118"/>
      <c r="G10" s="118"/>
      <c r="H10" s="119"/>
    </row>
    <row r="11" spans="1:8" x14ac:dyDescent="0.25">
      <c r="A11" s="8" t="s">
        <v>33</v>
      </c>
      <c r="B11" s="10"/>
      <c r="C11" s="79"/>
      <c r="D11" s="78"/>
      <c r="E11" s="10"/>
      <c r="F11" s="122"/>
      <c r="G11" s="122"/>
      <c r="H11" s="123"/>
    </row>
    <row r="12" spans="1:8" ht="15.75" thickBot="1" x14ac:dyDescent="0.3">
      <c r="A12" s="8" t="s">
        <v>140</v>
      </c>
      <c r="B12" s="78"/>
      <c r="C12" s="78"/>
      <c r="D12" s="13"/>
      <c r="E12" s="10"/>
      <c r="F12" s="118"/>
      <c r="G12" s="118"/>
      <c r="H12" s="119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34</v>
      </c>
      <c r="B14" s="78">
        <v>2</v>
      </c>
      <c r="C14" s="78">
        <v>2</v>
      </c>
      <c r="D14" s="78">
        <v>3</v>
      </c>
      <c r="E14" s="10">
        <v>3</v>
      </c>
      <c r="F14" s="118">
        <v>2</v>
      </c>
      <c r="G14" s="118"/>
      <c r="H14" s="119"/>
    </row>
    <row r="15" spans="1:8" x14ac:dyDescent="0.25">
      <c r="A15" s="8" t="s">
        <v>31</v>
      </c>
      <c r="B15" s="79"/>
      <c r="C15" s="79"/>
      <c r="D15" s="12"/>
      <c r="E15" s="12"/>
      <c r="F15" s="122"/>
      <c r="G15" s="122"/>
      <c r="H15" s="123"/>
    </row>
    <row r="16" spans="1:8" x14ac:dyDescent="0.25">
      <c r="A16" s="8" t="s">
        <v>32</v>
      </c>
      <c r="B16" s="79"/>
      <c r="C16" s="10"/>
      <c r="D16" s="10"/>
      <c r="E16" s="78"/>
      <c r="F16" s="122"/>
      <c r="G16" s="122"/>
      <c r="H16" s="123"/>
    </row>
    <row r="17" spans="1:8" x14ac:dyDescent="0.25">
      <c r="A17" s="8" t="s">
        <v>33</v>
      </c>
      <c r="B17" s="10"/>
      <c r="C17" s="79"/>
      <c r="D17" s="78"/>
      <c r="E17" s="10"/>
      <c r="F17" s="118"/>
      <c r="G17" s="118"/>
      <c r="H17" s="119"/>
    </row>
    <row r="18" spans="1:8" ht="15.75" thickBot="1" x14ac:dyDescent="0.3">
      <c r="A18" s="8" t="s">
        <v>140</v>
      </c>
      <c r="B18" s="78"/>
      <c r="C18" s="78"/>
      <c r="D18" s="13"/>
      <c r="E18" s="10"/>
      <c r="F18" s="118"/>
      <c r="G18" s="118"/>
      <c r="H18" s="119"/>
    </row>
    <row r="19" spans="1:8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8" x14ac:dyDescent="0.25">
      <c r="A20" s="8" t="s">
        <v>34</v>
      </c>
      <c r="B20" s="78">
        <v>2</v>
      </c>
      <c r="C20" s="78">
        <v>2</v>
      </c>
      <c r="D20" s="78">
        <v>3</v>
      </c>
      <c r="E20" s="10">
        <v>3</v>
      </c>
      <c r="F20" s="118">
        <v>3</v>
      </c>
      <c r="G20" s="118"/>
      <c r="H20" s="119"/>
    </row>
    <row r="21" spans="1:8" x14ac:dyDescent="0.25">
      <c r="A21" s="8" t="s">
        <v>31</v>
      </c>
      <c r="B21" s="79"/>
      <c r="C21" s="79"/>
      <c r="D21" s="12"/>
      <c r="E21" s="12"/>
      <c r="F21" s="118"/>
      <c r="G21" s="118"/>
      <c r="H21" s="119"/>
    </row>
    <row r="22" spans="1:8" x14ac:dyDescent="0.25">
      <c r="A22" s="8" t="s">
        <v>32</v>
      </c>
      <c r="B22" s="79"/>
      <c r="C22" s="10"/>
      <c r="D22" s="10"/>
      <c r="E22" s="78"/>
      <c r="F22" s="118"/>
      <c r="G22" s="118"/>
      <c r="H22" s="119"/>
    </row>
    <row r="23" spans="1:8" x14ac:dyDescent="0.25">
      <c r="A23" s="8" t="s">
        <v>33</v>
      </c>
      <c r="B23" s="10"/>
      <c r="C23" s="79"/>
      <c r="D23" s="78"/>
      <c r="E23" s="10"/>
      <c r="F23" s="122"/>
      <c r="G23" s="122"/>
      <c r="H23" s="123"/>
    </row>
    <row r="24" spans="1:8" ht="15.75" thickBot="1" x14ac:dyDescent="0.3">
      <c r="A24" s="8" t="s">
        <v>140</v>
      </c>
      <c r="B24" s="80"/>
      <c r="C24" s="80"/>
      <c r="D24" s="80"/>
      <c r="E24" s="14"/>
      <c r="F24" s="114"/>
      <c r="G24" s="114"/>
      <c r="H24" s="115"/>
    </row>
    <row r="25" spans="1:8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34</v>
      </c>
      <c r="B26" s="78">
        <v>2</v>
      </c>
      <c r="C26" s="78">
        <v>2</v>
      </c>
      <c r="D26" s="78">
        <v>3</v>
      </c>
      <c r="E26" s="10">
        <v>3</v>
      </c>
      <c r="F26" s="118">
        <v>2</v>
      </c>
      <c r="G26" s="118"/>
      <c r="H26" s="119"/>
    </row>
    <row r="27" spans="1:8" x14ac:dyDescent="0.25">
      <c r="A27" s="8" t="s">
        <v>31</v>
      </c>
      <c r="B27" s="79"/>
      <c r="C27" s="79"/>
      <c r="D27" s="12"/>
      <c r="E27" s="12"/>
      <c r="F27" s="118"/>
      <c r="G27" s="118"/>
      <c r="H27" s="119"/>
    </row>
    <row r="28" spans="1:8" x14ac:dyDescent="0.25">
      <c r="A28" s="8" t="s">
        <v>32</v>
      </c>
      <c r="B28" s="79"/>
      <c r="C28" s="10"/>
      <c r="D28" s="10"/>
      <c r="E28" s="78"/>
      <c r="F28" s="118"/>
      <c r="G28" s="118"/>
      <c r="H28" s="119"/>
    </row>
    <row r="29" spans="1:8" x14ac:dyDescent="0.25">
      <c r="A29" s="8" t="s">
        <v>33</v>
      </c>
      <c r="B29" s="10"/>
      <c r="C29" s="79"/>
      <c r="D29" s="78"/>
      <c r="E29" s="10"/>
      <c r="F29" s="122"/>
      <c r="G29" s="122"/>
      <c r="H29" s="123"/>
    </row>
    <row r="30" spans="1:8" ht="15.75" thickBot="1" x14ac:dyDescent="0.3">
      <c r="A30" s="15" t="s">
        <v>140</v>
      </c>
      <c r="B30" s="80"/>
      <c r="C30" s="80"/>
      <c r="D30" s="80"/>
      <c r="E30" s="14"/>
      <c r="F30" s="114"/>
      <c r="G30" s="114"/>
      <c r="H30" s="115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H81"/>
  <sheetViews>
    <sheetView rightToLeft="1" zoomScale="130" zoomScaleNormal="130" workbookViewId="0">
      <selection activeCell="G1" sqref="G1:G1048576"/>
    </sheetView>
  </sheetViews>
  <sheetFormatPr defaultRowHeight="15" x14ac:dyDescent="0.25"/>
  <cols>
    <col min="1" max="1" width="7.140625" style="72" customWidth="1"/>
    <col min="2" max="2" width="8" style="44" bestFit="1" customWidth="1"/>
    <col min="3" max="7" width="8.42578125" style="71" customWidth="1"/>
    <col min="8" max="8" width="13" style="71" customWidth="1"/>
  </cols>
  <sheetData>
    <row r="1" spans="1:8" ht="60.75" thickBot="1" x14ac:dyDescent="0.3">
      <c r="A1" s="38" t="s">
        <v>0</v>
      </c>
      <c r="B1" s="39" t="s">
        <v>1</v>
      </c>
      <c r="C1" s="38" t="s">
        <v>133</v>
      </c>
      <c r="D1" s="39" t="s">
        <v>134</v>
      </c>
      <c r="E1" s="39" t="s">
        <v>135</v>
      </c>
      <c r="F1" s="39" t="s">
        <v>135</v>
      </c>
      <c r="G1" s="39" t="s">
        <v>136</v>
      </c>
      <c r="H1" s="39" t="s">
        <v>136</v>
      </c>
    </row>
    <row r="2" spans="1:8" x14ac:dyDescent="0.25">
      <c r="A2" s="45">
        <v>9</v>
      </c>
      <c r="B2" s="46" t="s">
        <v>16</v>
      </c>
      <c r="C2" s="45">
        <v>1</v>
      </c>
      <c r="D2" s="47"/>
      <c r="E2" s="47"/>
      <c r="F2" s="47"/>
      <c r="G2" s="47"/>
      <c r="H2" s="47"/>
    </row>
    <row r="3" spans="1:8" x14ac:dyDescent="0.25">
      <c r="A3" s="45">
        <v>9</v>
      </c>
      <c r="B3" s="46" t="s">
        <v>8</v>
      </c>
      <c r="C3" s="45"/>
      <c r="D3" s="47">
        <v>1</v>
      </c>
      <c r="E3" s="47"/>
      <c r="F3" s="47"/>
      <c r="G3" s="47"/>
      <c r="H3" s="47"/>
    </row>
    <row r="4" spans="1:8" x14ac:dyDescent="0.25">
      <c r="A4" s="45">
        <v>9</v>
      </c>
      <c r="B4" s="88" t="s">
        <v>164</v>
      </c>
      <c r="C4" s="45"/>
      <c r="D4" s="47"/>
      <c r="E4" s="47"/>
      <c r="F4" s="47"/>
      <c r="G4" s="47"/>
      <c r="H4" s="47"/>
    </row>
    <row r="5" spans="1:8" x14ac:dyDescent="0.25">
      <c r="A5" s="45">
        <v>9</v>
      </c>
      <c r="B5" s="46" t="s">
        <v>72</v>
      </c>
      <c r="C5" s="45">
        <v>1</v>
      </c>
      <c r="D5" s="47"/>
      <c r="E5" s="47"/>
      <c r="F5" s="47"/>
      <c r="G5" s="47"/>
      <c r="H5" s="47"/>
    </row>
    <row r="6" spans="1:8" x14ac:dyDescent="0.25">
      <c r="A6" s="45">
        <v>9</v>
      </c>
      <c r="B6" s="88" t="s">
        <v>155</v>
      </c>
      <c r="C6" s="45"/>
      <c r="D6" s="47"/>
      <c r="E6" s="47">
        <v>1</v>
      </c>
      <c r="F6" s="47">
        <v>1</v>
      </c>
      <c r="G6" s="47"/>
      <c r="H6" s="47"/>
    </row>
    <row r="7" spans="1:8" x14ac:dyDescent="0.25">
      <c r="A7" s="45">
        <v>9</v>
      </c>
      <c r="B7" s="46" t="s">
        <v>18</v>
      </c>
      <c r="C7" s="45">
        <v>1</v>
      </c>
      <c r="D7" s="47"/>
      <c r="E7" s="47"/>
      <c r="F7" s="47"/>
      <c r="G7" s="47"/>
      <c r="H7" s="47"/>
    </row>
    <row r="8" spans="1:8" x14ac:dyDescent="0.25">
      <c r="A8" s="45">
        <v>9</v>
      </c>
      <c r="B8" s="46" t="s">
        <v>19</v>
      </c>
      <c r="C8" s="45">
        <v>1</v>
      </c>
      <c r="D8" s="47"/>
      <c r="E8" s="47">
        <v>2</v>
      </c>
      <c r="F8" s="47">
        <v>2</v>
      </c>
      <c r="G8" s="47"/>
      <c r="H8" s="47"/>
    </row>
    <row r="9" spans="1:8" x14ac:dyDescent="0.25">
      <c r="A9" s="45">
        <v>11</v>
      </c>
      <c r="B9" s="46" t="s">
        <v>9</v>
      </c>
      <c r="C9" s="45"/>
      <c r="D9" s="47">
        <v>1</v>
      </c>
      <c r="E9" s="47"/>
      <c r="F9" s="47"/>
      <c r="G9" s="47">
        <v>1</v>
      </c>
      <c r="H9" s="47">
        <v>1</v>
      </c>
    </row>
    <row r="10" spans="1:8" x14ac:dyDescent="0.25">
      <c r="A10" s="45">
        <v>11</v>
      </c>
      <c r="B10" s="46" t="s">
        <v>12</v>
      </c>
      <c r="C10" s="45"/>
      <c r="D10" s="47"/>
      <c r="E10" s="47"/>
      <c r="F10" s="47"/>
      <c r="G10" s="47">
        <v>1</v>
      </c>
      <c r="H10" s="47">
        <v>2</v>
      </c>
    </row>
    <row r="11" spans="1:8" x14ac:dyDescent="0.25">
      <c r="A11" s="45">
        <v>11</v>
      </c>
      <c r="B11" s="46" t="s">
        <v>11</v>
      </c>
      <c r="C11" s="45"/>
      <c r="D11" s="47"/>
      <c r="E11" s="47">
        <v>2</v>
      </c>
      <c r="F11" s="47">
        <v>2</v>
      </c>
      <c r="G11" s="47"/>
      <c r="H11" s="47"/>
    </row>
    <row r="12" spans="1:8" x14ac:dyDescent="0.25">
      <c r="A12" s="45">
        <v>11</v>
      </c>
      <c r="B12" s="46" t="s">
        <v>73</v>
      </c>
      <c r="C12" s="45"/>
      <c r="D12" s="47"/>
      <c r="E12" s="47">
        <v>1</v>
      </c>
      <c r="F12" s="47">
        <v>1</v>
      </c>
      <c r="G12" s="47">
        <v>2</v>
      </c>
      <c r="H12" s="47">
        <v>2</v>
      </c>
    </row>
    <row r="13" spans="1:8" x14ac:dyDescent="0.25">
      <c r="A13" s="45">
        <v>11</v>
      </c>
      <c r="B13" s="46" t="s">
        <v>15</v>
      </c>
      <c r="C13" s="45"/>
      <c r="D13" s="47"/>
      <c r="E13" s="47">
        <v>2</v>
      </c>
      <c r="F13" s="47">
        <v>2</v>
      </c>
      <c r="G13" s="47"/>
      <c r="H13" s="47"/>
    </row>
    <row r="14" spans="1:8" x14ac:dyDescent="0.25">
      <c r="A14" s="45">
        <v>11</v>
      </c>
      <c r="B14" s="46" t="s">
        <v>10</v>
      </c>
      <c r="C14" s="45"/>
      <c r="D14" s="47"/>
      <c r="E14" s="47">
        <v>2</v>
      </c>
      <c r="F14" s="47">
        <v>2</v>
      </c>
      <c r="G14" s="47">
        <v>1</v>
      </c>
      <c r="H14" s="47">
        <v>1</v>
      </c>
    </row>
    <row r="15" spans="1:8" x14ac:dyDescent="0.25">
      <c r="A15" s="45">
        <v>209</v>
      </c>
      <c r="B15" s="46" t="s">
        <v>16</v>
      </c>
      <c r="C15" s="45">
        <v>1</v>
      </c>
      <c r="D15" s="47"/>
      <c r="E15" s="47">
        <v>1</v>
      </c>
      <c r="F15" s="47">
        <v>1</v>
      </c>
      <c r="G15" s="47">
        <v>1</v>
      </c>
      <c r="H15" s="47">
        <v>1</v>
      </c>
    </row>
    <row r="16" spans="1:8" x14ac:dyDescent="0.25">
      <c r="A16" s="45">
        <v>209</v>
      </c>
      <c r="B16" s="46" t="s">
        <v>129</v>
      </c>
      <c r="C16" s="45"/>
      <c r="D16" s="47">
        <v>1</v>
      </c>
      <c r="E16" s="47"/>
      <c r="F16" s="47"/>
      <c r="G16" s="47"/>
      <c r="H16" s="47"/>
    </row>
    <row r="17" spans="1:8" x14ac:dyDescent="0.25">
      <c r="A17" s="45">
        <v>209</v>
      </c>
      <c r="B17" s="88" t="s">
        <v>165</v>
      </c>
      <c r="C17" s="45"/>
      <c r="D17" s="47"/>
      <c r="E17" s="47"/>
      <c r="F17" s="47"/>
      <c r="G17" s="47"/>
      <c r="H17" s="47"/>
    </row>
    <row r="18" spans="1:8" x14ac:dyDescent="0.25">
      <c r="A18" s="45">
        <v>209</v>
      </c>
      <c r="B18" s="46" t="s">
        <v>8</v>
      </c>
      <c r="C18" s="45"/>
      <c r="D18" s="47"/>
      <c r="E18" s="47"/>
      <c r="F18" s="47"/>
      <c r="G18" s="47">
        <v>1</v>
      </c>
      <c r="H18" s="47">
        <v>1</v>
      </c>
    </row>
    <row r="19" spans="1:8" x14ac:dyDescent="0.25">
      <c r="A19" s="45">
        <v>209</v>
      </c>
      <c r="B19" s="46" t="s">
        <v>17</v>
      </c>
      <c r="C19" s="45"/>
      <c r="D19" s="47"/>
      <c r="E19" s="47"/>
      <c r="F19" s="47"/>
      <c r="G19" s="47">
        <v>2</v>
      </c>
      <c r="H19" s="47">
        <v>2</v>
      </c>
    </row>
    <row r="20" spans="1:8" x14ac:dyDescent="0.25">
      <c r="A20" s="45">
        <v>209</v>
      </c>
      <c r="B20" s="46" t="s">
        <v>66</v>
      </c>
      <c r="C20" s="45"/>
      <c r="D20" s="47"/>
      <c r="E20" s="47">
        <v>1</v>
      </c>
      <c r="F20" s="47">
        <v>1</v>
      </c>
      <c r="G20" s="47">
        <v>1</v>
      </c>
      <c r="H20" s="47">
        <v>1</v>
      </c>
    </row>
    <row r="21" spans="1:8" x14ac:dyDescent="0.25">
      <c r="A21" s="45">
        <v>474</v>
      </c>
      <c r="B21" s="46" t="s">
        <v>120</v>
      </c>
      <c r="C21" s="45"/>
      <c r="D21" s="47"/>
      <c r="E21" s="47">
        <v>2</v>
      </c>
      <c r="F21" s="47">
        <v>2</v>
      </c>
      <c r="G21" s="47">
        <v>1</v>
      </c>
      <c r="H21" s="47">
        <v>1</v>
      </c>
    </row>
    <row r="22" spans="1:8" x14ac:dyDescent="0.25">
      <c r="A22" s="45">
        <v>474</v>
      </c>
      <c r="B22" s="46" t="s">
        <v>5</v>
      </c>
      <c r="C22" s="45">
        <v>1</v>
      </c>
      <c r="D22" s="47"/>
      <c r="E22" s="47"/>
      <c r="F22" s="47"/>
      <c r="G22" s="47"/>
      <c r="H22" s="47"/>
    </row>
    <row r="23" spans="1:8" x14ac:dyDescent="0.25">
      <c r="A23" s="45">
        <v>474</v>
      </c>
      <c r="B23" s="46" t="s">
        <v>127</v>
      </c>
      <c r="C23" s="45"/>
      <c r="D23" s="47"/>
      <c r="E23" s="47">
        <v>2</v>
      </c>
      <c r="F23" s="47">
        <v>2</v>
      </c>
      <c r="G23" s="47"/>
      <c r="H23" s="47"/>
    </row>
    <row r="24" spans="1:8" x14ac:dyDescent="0.25">
      <c r="A24" s="45">
        <v>679</v>
      </c>
      <c r="B24" s="46" t="s">
        <v>22</v>
      </c>
      <c r="C24" s="45"/>
      <c r="D24" s="47"/>
      <c r="E24" s="47">
        <v>5</v>
      </c>
      <c r="F24" s="47">
        <v>3</v>
      </c>
      <c r="G24" s="47"/>
      <c r="H24" s="47"/>
    </row>
    <row r="25" spans="1:8" x14ac:dyDescent="0.25">
      <c r="A25" s="45">
        <v>679</v>
      </c>
      <c r="B25" s="46" t="s">
        <v>75</v>
      </c>
      <c r="C25" s="45"/>
      <c r="D25" s="47"/>
      <c r="E25" s="47">
        <v>4</v>
      </c>
      <c r="F25" s="47">
        <v>4</v>
      </c>
      <c r="G25" s="47"/>
      <c r="H25" s="47"/>
    </row>
    <row r="26" spans="1:8" x14ac:dyDescent="0.25">
      <c r="A26" s="45">
        <v>679</v>
      </c>
      <c r="B26" s="46" t="s">
        <v>24</v>
      </c>
      <c r="C26" s="45"/>
      <c r="D26" s="47"/>
      <c r="E26" s="47"/>
      <c r="F26" s="47"/>
      <c r="G26" s="47">
        <v>1</v>
      </c>
      <c r="H26" s="47">
        <v>1</v>
      </c>
    </row>
    <row r="27" spans="1:8" x14ac:dyDescent="0.25">
      <c r="A27" s="45">
        <v>679</v>
      </c>
      <c r="B27" s="46" t="s">
        <v>5</v>
      </c>
      <c r="C27" s="45">
        <v>1</v>
      </c>
      <c r="D27" s="47"/>
      <c r="E27" s="47"/>
      <c r="F27" s="47"/>
      <c r="G27" s="47">
        <v>2</v>
      </c>
      <c r="H27" s="47">
        <v>1</v>
      </c>
    </row>
    <row r="28" spans="1:8" x14ac:dyDescent="0.25">
      <c r="A28" s="45">
        <v>679</v>
      </c>
      <c r="B28" s="46" t="s">
        <v>13</v>
      </c>
      <c r="C28" s="45"/>
      <c r="D28" s="47"/>
      <c r="E28" s="47">
        <v>1</v>
      </c>
      <c r="F28" s="47">
        <v>1</v>
      </c>
      <c r="G28" s="47">
        <v>1</v>
      </c>
      <c r="H28" s="47"/>
    </row>
    <row r="29" spans="1:8" x14ac:dyDescent="0.25">
      <c r="A29" s="45">
        <v>679</v>
      </c>
      <c r="B29" s="46" t="s">
        <v>14</v>
      </c>
      <c r="C29" s="45"/>
      <c r="D29" s="47">
        <v>1</v>
      </c>
      <c r="E29" s="47"/>
      <c r="F29" s="47"/>
      <c r="G29" s="47">
        <v>1</v>
      </c>
      <c r="H29" s="47"/>
    </row>
    <row r="30" spans="1:8" x14ac:dyDescent="0.25">
      <c r="A30" s="45">
        <v>679</v>
      </c>
      <c r="B30" s="46" t="s">
        <v>20</v>
      </c>
      <c r="C30" s="45"/>
      <c r="D30" s="47"/>
      <c r="E30" s="47">
        <v>2</v>
      </c>
      <c r="F30" s="47">
        <v>2</v>
      </c>
      <c r="G30" s="47"/>
      <c r="H30" s="47"/>
    </row>
    <row r="31" spans="1:8" x14ac:dyDescent="0.25">
      <c r="A31" s="45" t="s">
        <v>100</v>
      </c>
      <c r="B31" s="46" t="s">
        <v>141</v>
      </c>
      <c r="C31" s="45">
        <v>1</v>
      </c>
      <c r="D31" s="47"/>
      <c r="E31" s="47">
        <v>1</v>
      </c>
      <c r="F31" s="47">
        <v>1</v>
      </c>
      <c r="G31" s="47"/>
      <c r="H31" s="47"/>
    </row>
    <row r="32" spans="1:8" x14ac:dyDescent="0.25">
      <c r="A32" s="45" t="s">
        <v>100</v>
      </c>
      <c r="B32" s="46" t="s">
        <v>67</v>
      </c>
      <c r="C32" s="45"/>
      <c r="D32" s="47"/>
      <c r="E32" s="47"/>
      <c r="F32" s="47"/>
      <c r="G32" s="47">
        <v>1</v>
      </c>
      <c r="H32" s="47">
        <v>1</v>
      </c>
    </row>
    <row r="33" spans="1:8" x14ac:dyDescent="0.25">
      <c r="A33" s="45" t="s">
        <v>100</v>
      </c>
      <c r="B33" s="46" t="s">
        <v>71</v>
      </c>
      <c r="C33" s="45"/>
      <c r="D33" s="47"/>
      <c r="E33" s="47">
        <v>1</v>
      </c>
      <c r="F33" s="47">
        <v>1</v>
      </c>
      <c r="G33" s="47">
        <v>2</v>
      </c>
      <c r="H33" s="47">
        <v>2</v>
      </c>
    </row>
    <row r="34" spans="1:8" x14ac:dyDescent="0.25">
      <c r="A34" s="45" t="s">
        <v>100</v>
      </c>
      <c r="B34" s="46" t="s">
        <v>70</v>
      </c>
      <c r="C34" s="45"/>
      <c r="D34" s="47"/>
      <c r="E34" s="47">
        <v>1</v>
      </c>
      <c r="F34" s="47">
        <v>2</v>
      </c>
      <c r="G34" s="47"/>
      <c r="H34" s="47"/>
    </row>
    <row r="35" spans="1:8" x14ac:dyDescent="0.25">
      <c r="A35" s="45" t="s">
        <v>100</v>
      </c>
      <c r="B35" s="46" t="s">
        <v>83</v>
      </c>
      <c r="C35" s="45"/>
      <c r="D35" s="47">
        <v>1</v>
      </c>
      <c r="E35" s="47"/>
      <c r="F35" s="47"/>
      <c r="G35" s="47">
        <v>2</v>
      </c>
      <c r="H35" s="47">
        <v>2</v>
      </c>
    </row>
    <row r="36" spans="1:8" x14ac:dyDescent="0.25">
      <c r="A36" s="45" t="s">
        <v>100</v>
      </c>
      <c r="B36" s="46" t="s">
        <v>69</v>
      </c>
      <c r="C36" s="45"/>
      <c r="D36" s="47">
        <v>1</v>
      </c>
      <c r="E36" s="47"/>
      <c r="F36" s="47"/>
      <c r="G36" s="47">
        <v>1</v>
      </c>
      <c r="H36" s="47">
        <v>1</v>
      </c>
    </row>
    <row r="37" spans="1:8" x14ac:dyDescent="0.25">
      <c r="A37" s="137" t="s">
        <v>100</v>
      </c>
      <c r="B37" s="88" t="s">
        <v>166</v>
      </c>
      <c r="C37" s="45"/>
      <c r="D37" s="47"/>
      <c r="E37" s="47"/>
      <c r="F37" s="47"/>
      <c r="G37" s="47"/>
      <c r="H37" s="47"/>
    </row>
    <row r="38" spans="1:8" x14ac:dyDescent="0.25">
      <c r="A38" s="45" t="s">
        <v>100</v>
      </c>
      <c r="B38" s="46" t="s">
        <v>68</v>
      </c>
      <c r="C38" s="45"/>
      <c r="D38" s="47"/>
      <c r="E38" s="47">
        <v>1</v>
      </c>
      <c r="F38" s="47">
        <v>1</v>
      </c>
      <c r="G38" s="47">
        <v>1</v>
      </c>
      <c r="H38" s="47">
        <v>1</v>
      </c>
    </row>
    <row r="39" spans="1:8" x14ac:dyDescent="0.25">
      <c r="A39" s="45" t="s">
        <v>21</v>
      </c>
      <c r="B39" s="46" t="s">
        <v>25</v>
      </c>
      <c r="C39" s="45"/>
      <c r="D39" s="47"/>
      <c r="E39" s="47"/>
      <c r="F39" s="47"/>
      <c r="G39" s="47"/>
      <c r="H39" s="47"/>
    </row>
    <row r="40" spans="1:8" x14ac:dyDescent="0.25">
      <c r="A40" s="98" t="s">
        <v>21</v>
      </c>
      <c r="B40" s="99" t="s">
        <v>167</v>
      </c>
      <c r="C40" s="92"/>
      <c r="D40" s="94"/>
      <c r="E40" s="94"/>
      <c r="F40" s="94"/>
      <c r="G40" s="94"/>
      <c r="H40" s="94"/>
    </row>
    <row r="41" spans="1:8" x14ac:dyDescent="0.25">
      <c r="A41" s="92" t="s">
        <v>21</v>
      </c>
      <c r="B41" s="93" t="s">
        <v>20</v>
      </c>
      <c r="C41" s="92"/>
      <c r="D41" s="94"/>
      <c r="E41" s="94">
        <v>2</v>
      </c>
      <c r="F41" s="94">
        <v>2</v>
      </c>
      <c r="G41" s="94">
        <v>1</v>
      </c>
      <c r="H41" s="94">
        <v>1</v>
      </c>
    </row>
    <row r="42" spans="1:8" x14ac:dyDescent="0.25">
      <c r="A42" s="92" t="s">
        <v>21</v>
      </c>
      <c r="B42" s="93" t="s">
        <v>74</v>
      </c>
      <c r="C42" s="92">
        <v>1</v>
      </c>
      <c r="D42" s="94"/>
      <c r="E42" s="94">
        <v>2</v>
      </c>
      <c r="F42" s="94">
        <v>3</v>
      </c>
      <c r="G42" s="94"/>
      <c r="H42" s="94"/>
    </row>
    <row r="43" spans="1:8" x14ac:dyDescent="0.25">
      <c r="A43" s="98" t="s">
        <v>23</v>
      </c>
      <c r="B43" s="99" t="s">
        <v>156</v>
      </c>
      <c r="C43" s="92"/>
      <c r="D43" s="94"/>
      <c r="E43" s="94"/>
      <c r="F43" s="94"/>
      <c r="G43" s="94"/>
      <c r="H43" s="94"/>
    </row>
    <row r="44" spans="1:8" x14ac:dyDescent="0.25">
      <c r="A44" s="92" t="s">
        <v>23</v>
      </c>
      <c r="B44" s="99" t="s">
        <v>157</v>
      </c>
      <c r="C44" s="92"/>
      <c r="D44" s="94"/>
      <c r="E44" s="94"/>
      <c r="F44" s="94"/>
      <c r="G44" s="94"/>
      <c r="H44" s="94"/>
    </row>
    <row r="45" spans="1:8" ht="15.75" thickBot="1" x14ac:dyDescent="0.3">
      <c r="A45" s="61" t="s">
        <v>23</v>
      </c>
      <c r="B45" s="62" t="s">
        <v>20</v>
      </c>
      <c r="C45" s="61"/>
      <c r="D45" s="63"/>
      <c r="E45" s="63">
        <v>2</v>
      </c>
      <c r="F45" s="63">
        <v>2</v>
      </c>
      <c r="G45" s="63">
        <v>1</v>
      </c>
      <c r="H45" s="63">
        <v>1</v>
      </c>
    </row>
    <row r="46" spans="1:8" x14ac:dyDescent="0.25">
      <c r="A46" s="44"/>
      <c r="C46" s="44"/>
      <c r="D46" s="44"/>
      <c r="E46" s="44"/>
      <c r="F46" s="44"/>
      <c r="G46" s="44"/>
      <c r="H46" s="44"/>
    </row>
    <row r="47" spans="1:8" x14ac:dyDescent="0.25">
      <c r="A47" s="44"/>
      <c r="C47" s="44"/>
      <c r="D47" s="44"/>
      <c r="E47" s="44"/>
      <c r="F47" s="44"/>
      <c r="G47" s="44"/>
      <c r="H47" s="44"/>
    </row>
    <row r="48" spans="1:8" x14ac:dyDescent="0.25">
      <c r="A48" s="44"/>
      <c r="C48" s="44"/>
      <c r="D48" s="44"/>
      <c r="E48" s="44"/>
      <c r="F48" s="44"/>
      <c r="G48" s="44"/>
      <c r="H48" s="44"/>
    </row>
    <row r="49" spans="1:8" x14ac:dyDescent="0.25">
      <c r="A49" s="44"/>
    </row>
    <row r="50" spans="1:8" x14ac:dyDescent="0.25">
      <c r="A50" s="44"/>
    </row>
    <row r="51" spans="1:8" x14ac:dyDescent="0.25">
      <c r="A51" s="44"/>
    </row>
    <row r="52" spans="1:8" x14ac:dyDescent="0.25">
      <c r="A52" s="44"/>
      <c r="C52" s="44"/>
      <c r="D52" s="44"/>
      <c r="E52" s="44"/>
      <c r="F52" s="44"/>
      <c r="G52" s="44"/>
      <c r="H52" s="44"/>
    </row>
    <row r="53" spans="1:8" x14ac:dyDescent="0.25">
      <c r="A53" s="44"/>
      <c r="C53" s="44"/>
      <c r="D53" s="44"/>
      <c r="E53" s="44"/>
      <c r="F53" s="44"/>
      <c r="G53" s="44"/>
      <c r="H53" s="44"/>
    </row>
    <row r="54" spans="1:8" x14ac:dyDescent="0.25">
      <c r="A54" s="44"/>
      <c r="C54" s="44"/>
      <c r="D54" s="44"/>
      <c r="E54" s="44"/>
      <c r="F54" s="44"/>
      <c r="G54" s="44"/>
      <c r="H54" s="44"/>
    </row>
    <row r="55" spans="1:8" x14ac:dyDescent="0.25">
      <c r="A55" s="44"/>
      <c r="C55" s="44"/>
      <c r="D55" s="44"/>
      <c r="E55" s="44"/>
      <c r="F55" s="44"/>
      <c r="G55" s="44"/>
      <c r="H55" s="44"/>
    </row>
    <row r="56" spans="1:8" x14ac:dyDescent="0.25">
      <c r="A56" s="44"/>
      <c r="C56" s="44"/>
      <c r="D56" s="44"/>
      <c r="E56" s="44"/>
      <c r="F56" s="44"/>
      <c r="G56" s="44"/>
      <c r="H56" s="44"/>
    </row>
    <row r="57" spans="1:8" x14ac:dyDescent="0.25">
      <c r="A57" s="44"/>
      <c r="C57" s="44"/>
      <c r="D57" s="44"/>
      <c r="E57" s="44"/>
      <c r="F57" s="44"/>
      <c r="G57" s="44"/>
      <c r="H57" s="44"/>
    </row>
    <row r="58" spans="1:8" x14ac:dyDescent="0.25">
      <c r="A58" s="44"/>
      <c r="C58" s="44"/>
      <c r="D58" s="44"/>
      <c r="E58" s="44"/>
      <c r="F58" s="44"/>
      <c r="G58" s="44"/>
      <c r="H58" s="44"/>
    </row>
    <row r="59" spans="1:8" x14ac:dyDescent="0.25">
      <c r="A59" s="44"/>
      <c r="C59" s="44"/>
      <c r="D59" s="44"/>
      <c r="E59" s="44"/>
      <c r="F59" s="44"/>
      <c r="G59" s="44"/>
      <c r="H59" s="44"/>
    </row>
    <row r="60" spans="1:8" x14ac:dyDescent="0.25">
      <c r="A60" s="44"/>
      <c r="C60" s="44"/>
      <c r="D60" s="44"/>
      <c r="E60" s="44"/>
      <c r="F60" s="44"/>
      <c r="G60" s="44"/>
      <c r="H60" s="44"/>
    </row>
    <row r="61" spans="1:8" x14ac:dyDescent="0.25">
      <c r="A61" s="44"/>
      <c r="C61" s="44"/>
      <c r="D61" s="44"/>
      <c r="E61" s="44"/>
      <c r="F61" s="44"/>
      <c r="G61" s="44"/>
      <c r="H61" s="44"/>
    </row>
    <row r="62" spans="1:8" x14ac:dyDescent="0.25">
      <c r="A62" s="44"/>
      <c r="C62" s="44"/>
      <c r="D62" s="44"/>
      <c r="E62" s="44"/>
      <c r="F62" s="44"/>
      <c r="G62" s="44"/>
      <c r="H62" s="44"/>
    </row>
    <row r="63" spans="1:8" x14ac:dyDescent="0.25">
      <c r="A63" s="44"/>
      <c r="C63" s="44"/>
      <c r="D63" s="44"/>
      <c r="E63" s="44"/>
      <c r="F63" s="44"/>
      <c r="G63" s="44"/>
      <c r="H63" s="44"/>
    </row>
    <row r="64" spans="1:8" x14ac:dyDescent="0.25">
      <c r="A64" s="44"/>
      <c r="C64" s="44"/>
      <c r="D64" s="44"/>
      <c r="E64" s="44"/>
      <c r="F64" s="44"/>
      <c r="G64" s="44"/>
      <c r="H64" s="44"/>
    </row>
    <row r="65" spans="1:8" x14ac:dyDescent="0.25">
      <c r="A65" s="44"/>
      <c r="C65" s="44"/>
      <c r="D65" s="44"/>
      <c r="E65" s="44"/>
      <c r="F65" s="44"/>
      <c r="G65" s="44"/>
      <c r="H65" s="44"/>
    </row>
    <row r="66" spans="1:8" x14ac:dyDescent="0.25">
      <c r="A66" s="44"/>
      <c r="C66" s="44"/>
      <c r="D66" s="44"/>
      <c r="E66" s="44"/>
      <c r="F66" s="44"/>
      <c r="G66" s="44"/>
      <c r="H66" s="44"/>
    </row>
    <row r="67" spans="1:8" x14ac:dyDescent="0.25">
      <c r="A67" s="44"/>
      <c r="C67" s="44"/>
      <c r="D67" s="44"/>
      <c r="E67" s="44"/>
      <c r="F67" s="44"/>
      <c r="G67" s="44"/>
      <c r="H67" s="44"/>
    </row>
    <row r="68" spans="1:8" x14ac:dyDescent="0.25">
      <c r="A68" s="44"/>
      <c r="C68" s="44"/>
      <c r="D68" s="44"/>
      <c r="E68" s="44"/>
      <c r="F68" s="44"/>
      <c r="G68" s="44"/>
      <c r="H68" s="44"/>
    </row>
    <row r="69" spans="1:8" x14ac:dyDescent="0.25">
      <c r="A69" s="44"/>
      <c r="C69" s="44"/>
      <c r="D69" s="44"/>
      <c r="E69" s="44"/>
      <c r="F69" s="44"/>
      <c r="G69" s="44"/>
      <c r="H69" s="44"/>
    </row>
    <row r="70" spans="1:8" x14ac:dyDescent="0.25">
      <c r="A70" s="44"/>
      <c r="C70" s="44"/>
      <c r="D70" s="44"/>
      <c r="E70" s="44"/>
      <c r="F70" s="44"/>
      <c r="G70" s="44"/>
      <c r="H70" s="44"/>
    </row>
    <row r="71" spans="1:8" x14ac:dyDescent="0.25">
      <c r="A71" s="44"/>
      <c r="C71" s="44"/>
      <c r="D71" s="44"/>
      <c r="E71" s="44"/>
      <c r="F71" s="44"/>
      <c r="G71" s="44"/>
      <c r="H71" s="44"/>
    </row>
    <row r="72" spans="1:8" x14ac:dyDescent="0.25">
      <c r="A72" s="44"/>
      <c r="C72" s="44"/>
      <c r="D72" s="44"/>
      <c r="E72" s="44"/>
      <c r="F72" s="44"/>
      <c r="G72" s="44"/>
      <c r="H72" s="44"/>
    </row>
    <row r="73" spans="1:8" x14ac:dyDescent="0.25">
      <c r="A73" s="44"/>
      <c r="C73" s="44"/>
      <c r="D73" s="44"/>
      <c r="E73" s="44"/>
      <c r="F73" s="44"/>
      <c r="G73" s="44"/>
      <c r="H73" s="44"/>
    </row>
    <row r="74" spans="1:8" x14ac:dyDescent="0.25">
      <c r="A74" s="44"/>
      <c r="C74" s="44"/>
      <c r="D74" s="44"/>
      <c r="E74" s="44"/>
      <c r="F74" s="44"/>
      <c r="G74" s="44"/>
      <c r="H74" s="44"/>
    </row>
    <row r="75" spans="1:8" x14ac:dyDescent="0.25">
      <c r="A75" s="44"/>
      <c r="C75" s="44"/>
      <c r="D75" s="44"/>
      <c r="E75" s="44"/>
      <c r="F75" s="44"/>
      <c r="G75" s="44"/>
      <c r="H75" s="44"/>
    </row>
    <row r="76" spans="1:8" x14ac:dyDescent="0.25">
      <c r="A76" s="44"/>
      <c r="C76" s="44"/>
      <c r="D76" s="44"/>
      <c r="E76" s="44"/>
      <c r="F76" s="44"/>
      <c r="G76" s="44"/>
      <c r="H76" s="44"/>
    </row>
    <row r="77" spans="1:8" x14ac:dyDescent="0.25">
      <c r="A77" s="44"/>
      <c r="C77" s="44"/>
      <c r="D77" s="44"/>
      <c r="E77" s="44"/>
      <c r="F77" s="44"/>
      <c r="G77" s="44"/>
      <c r="H77" s="44"/>
    </row>
    <row r="78" spans="1:8" x14ac:dyDescent="0.25">
      <c r="A78" s="44"/>
      <c r="C78" s="44"/>
      <c r="D78" s="44"/>
      <c r="E78" s="44"/>
      <c r="F78" s="44"/>
      <c r="G78" s="44"/>
      <c r="H78" s="44"/>
    </row>
    <row r="79" spans="1:8" x14ac:dyDescent="0.25">
      <c r="A79" s="44"/>
      <c r="C79" s="44"/>
      <c r="D79" s="44"/>
      <c r="E79" s="44"/>
      <c r="F79" s="44"/>
      <c r="G79" s="44"/>
      <c r="H79" s="44"/>
    </row>
    <row r="80" spans="1:8" x14ac:dyDescent="0.25">
      <c r="A80" s="44"/>
      <c r="C80" s="44"/>
      <c r="D80" s="44"/>
      <c r="E80" s="44"/>
      <c r="F80" s="44"/>
      <c r="G80" s="44"/>
      <c r="H80" s="44"/>
    </row>
    <row r="81" spans="1:8" x14ac:dyDescent="0.25">
      <c r="A81" s="44"/>
      <c r="C81" s="44"/>
      <c r="D81" s="44"/>
      <c r="E81" s="44"/>
      <c r="F81" s="44"/>
      <c r="G81" s="44"/>
      <c r="H81" s="44"/>
    </row>
  </sheetData>
  <autoFilter ref="A1:H45" xr:uid="{17DE6619-85A1-4B7F-8E9E-70041C37EE97}">
    <sortState ref="A2:H45">
      <sortCondition ref="A1:A45"/>
    </sortState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G7" sqref="G7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28</v>
      </c>
      <c r="C2" s="3">
        <f>COUNTIF(חיילים!D:D,"=כן")</f>
        <v>11</v>
      </c>
      <c r="G2" t="s">
        <v>41</v>
      </c>
      <c r="H2" t="s">
        <v>42</v>
      </c>
      <c r="I2" t="s">
        <v>43</v>
      </c>
    </row>
    <row r="3" spans="2:9" x14ac:dyDescent="0.25">
      <c r="B3" s="1" t="s">
        <v>27</v>
      </c>
      <c r="C3" s="1">
        <f>COUNTIF(חיילים!$D:D,"=לא")</f>
        <v>33</v>
      </c>
      <c r="F3" t="s">
        <v>62</v>
      </c>
      <c r="G3">
        <f>SUM(חיילים!BA:BA)</f>
        <v>0</v>
      </c>
      <c r="H3">
        <f>I3-G3</f>
        <v>40</v>
      </c>
      <c r="I3">
        <f>4*(3+3+2+2)</f>
        <v>40</v>
      </c>
    </row>
    <row r="4" spans="2:9" x14ac:dyDescent="0.25">
      <c r="B4" s="1" t="s">
        <v>26</v>
      </c>
      <c r="C4" s="2">
        <f>C3+C2</f>
        <v>44</v>
      </c>
      <c r="F4" t="s">
        <v>63</v>
      </c>
      <c r="G4">
        <f>SUM(חיילים!BB:BB)</f>
        <v>0</v>
      </c>
      <c r="H4">
        <f>I4-G4</f>
        <v>24</v>
      </c>
      <c r="I4">
        <f xml:space="preserve"> 4*4*4-I3</f>
        <v>24</v>
      </c>
    </row>
    <row r="5" spans="2:9" x14ac:dyDescent="0.25">
      <c r="F5" t="s">
        <v>64</v>
      </c>
      <c r="G5">
        <f>SUM(חיילים!AY:AY)</f>
        <v>10</v>
      </c>
      <c r="H5">
        <f t="shared" ref="H5:H6" si="0">I5-G5</f>
        <v>0</v>
      </c>
      <c r="I5">
        <f>3+3+2+2</f>
        <v>10</v>
      </c>
    </row>
    <row r="6" spans="2:9" x14ac:dyDescent="0.25">
      <c r="F6" t="s">
        <v>65</v>
      </c>
      <c r="G6">
        <f>SUM(חיילים!AZ:AZ)</f>
        <v>3</v>
      </c>
      <c r="H6">
        <f t="shared" si="0"/>
        <v>3</v>
      </c>
      <c r="I6">
        <f>4*4-I5</f>
        <v>6</v>
      </c>
    </row>
    <row r="7" spans="2:9" x14ac:dyDescent="0.25">
      <c r="B7" s="1" t="s">
        <v>29</v>
      </c>
      <c r="C7" s="1">
        <f>COUNTIF(חיילים!E:E,"=כן")</f>
        <v>37</v>
      </c>
    </row>
    <row r="8" spans="2:9" x14ac:dyDescent="0.25">
      <c r="B8" s="3" t="s">
        <v>30</v>
      </c>
      <c r="C8" s="3">
        <f>COUNTIF(חיילים!E:E,"=לא")</f>
        <v>7</v>
      </c>
    </row>
    <row r="9" spans="2:9" x14ac:dyDescent="0.25">
      <c r="B9" s="1" t="s">
        <v>26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0"/>
  <sheetViews>
    <sheetView rightToLeft="1" zoomScale="130" zoomScaleNormal="130" workbookViewId="0">
      <selection activeCell="A17" sqref="A17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34</v>
      </c>
      <c r="B2" s="78"/>
      <c r="C2" s="78"/>
      <c r="D2" s="78"/>
      <c r="E2" s="10"/>
      <c r="F2" s="118">
        <v>2</v>
      </c>
      <c r="G2" s="118"/>
      <c r="H2" s="119"/>
    </row>
    <row r="3" spans="1:8" x14ac:dyDescent="0.25">
      <c r="A3" s="8" t="s">
        <v>31</v>
      </c>
      <c r="B3" s="79"/>
      <c r="C3" s="79"/>
      <c r="D3" s="12"/>
      <c r="E3" s="12"/>
      <c r="F3" s="118"/>
      <c r="G3" s="118"/>
      <c r="H3" s="119"/>
    </row>
    <row r="4" spans="1:8" x14ac:dyDescent="0.25">
      <c r="A4" s="8" t="s">
        <v>32</v>
      </c>
      <c r="B4" s="79"/>
      <c r="C4" s="10"/>
      <c r="D4" s="10"/>
      <c r="E4" s="78"/>
      <c r="F4" s="118"/>
      <c r="G4" s="118"/>
      <c r="H4" s="119"/>
    </row>
    <row r="5" spans="1:8" x14ac:dyDescent="0.25">
      <c r="A5" s="8" t="s">
        <v>33</v>
      </c>
      <c r="B5" s="10"/>
      <c r="C5" s="79"/>
      <c r="D5" s="78"/>
      <c r="E5" s="10"/>
      <c r="F5" s="122"/>
      <c r="G5" s="122"/>
      <c r="H5" s="123"/>
    </row>
    <row r="6" spans="1:8" ht="15.75" thickBot="1" x14ac:dyDescent="0.3">
      <c r="A6" s="15" t="s">
        <v>140</v>
      </c>
      <c r="B6" s="80"/>
      <c r="C6" s="80"/>
      <c r="D6" s="80"/>
      <c r="E6" s="14"/>
      <c r="F6" s="114"/>
      <c r="G6" s="114"/>
      <c r="H6" s="115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34</v>
      </c>
      <c r="B8" s="78">
        <v>2</v>
      </c>
      <c r="C8" s="78">
        <v>2</v>
      </c>
      <c r="D8" s="78">
        <v>3</v>
      </c>
      <c r="E8" s="10">
        <v>3</v>
      </c>
      <c r="F8" s="118">
        <v>3</v>
      </c>
      <c r="G8" s="118"/>
      <c r="H8" s="119"/>
    </row>
    <row r="9" spans="1:8" x14ac:dyDescent="0.25">
      <c r="A9" s="8" t="s">
        <v>31</v>
      </c>
      <c r="B9" s="79"/>
      <c r="C9" s="79"/>
      <c r="D9" s="12"/>
      <c r="E9" s="12"/>
      <c r="F9" s="118"/>
      <c r="G9" s="118"/>
      <c r="H9" s="119"/>
    </row>
    <row r="10" spans="1:8" x14ac:dyDescent="0.25">
      <c r="A10" s="8" t="s">
        <v>32</v>
      </c>
      <c r="B10" s="79"/>
      <c r="C10" s="10"/>
      <c r="D10" s="10"/>
      <c r="E10" s="78"/>
      <c r="F10" s="118"/>
      <c r="G10" s="118"/>
      <c r="H10" s="119"/>
    </row>
    <row r="11" spans="1:8" x14ac:dyDescent="0.25">
      <c r="A11" s="8" t="s">
        <v>33</v>
      </c>
      <c r="B11" s="10"/>
      <c r="C11" s="79"/>
      <c r="D11" s="78"/>
      <c r="E11" s="10"/>
      <c r="F11" s="122"/>
      <c r="G11" s="122"/>
      <c r="H11" s="123"/>
    </row>
    <row r="12" spans="1:8" ht="15.75" thickBot="1" x14ac:dyDescent="0.3">
      <c r="A12" s="8" t="s">
        <v>140</v>
      </c>
      <c r="B12" s="78"/>
      <c r="C12" s="78"/>
      <c r="D12" s="13"/>
      <c r="E12" s="10"/>
      <c r="F12" s="118"/>
      <c r="G12" s="118"/>
      <c r="H12" s="119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34</v>
      </c>
      <c r="B14" s="78">
        <v>2</v>
      </c>
      <c r="C14" s="78">
        <v>2</v>
      </c>
      <c r="D14" s="78">
        <v>3</v>
      </c>
      <c r="E14" s="10">
        <v>3</v>
      </c>
      <c r="F14" s="118">
        <v>2</v>
      </c>
      <c r="G14" s="118"/>
      <c r="H14" s="119"/>
    </row>
    <row r="15" spans="1:8" x14ac:dyDescent="0.25">
      <c r="A15" s="8" t="s">
        <v>31</v>
      </c>
      <c r="B15" s="79"/>
      <c r="C15" s="79"/>
      <c r="D15" s="12"/>
      <c r="E15" s="12"/>
      <c r="F15" s="122"/>
      <c r="G15" s="122"/>
      <c r="H15" s="123"/>
    </row>
    <row r="16" spans="1:8" x14ac:dyDescent="0.25">
      <c r="A16" s="8" t="s">
        <v>32</v>
      </c>
      <c r="B16" s="79"/>
      <c r="C16" s="10"/>
      <c r="D16" s="10"/>
      <c r="E16" s="78"/>
      <c r="F16" s="122"/>
      <c r="G16" s="122"/>
      <c r="H16" s="123"/>
    </row>
    <row r="17" spans="1:8" x14ac:dyDescent="0.25">
      <c r="A17" s="8" t="s">
        <v>33</v>
      </c>
      <c r="B17" s="10"/>
      <c r="C17" s="79"/>
      <c r="D17" s="78"/>
      <c r="E17" s="10"/>
      <c r="F17" s="118"/>
      <c r="G17" s="118"/>
      <c r="H17" s="119"/>
    </row>
    <row r="18" spans="1:8" ht="15.75" thickBot="1" x14ac:dyDescent="0.3">
      <c r="A18" s="8" t="s">
        <v>140</v>
      </c>
      <c r="B18" s="78"/>
      <c r="C18" s="78"/>
      <c r="D18" s="13"/>
      <c r="E18" s="10"/>
      <c r="F18" s="118"/>
      <c r="G18" s="118"/>
      <c r="H18" s="119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34</v>
      </c>
      <c r="B20" s="78">
        <v>2</v>
      </c>
      <c r="C20" s="78">
        <v>2</v>
      </c>
      <c r="D20" s="78">
        <v>3</v>
      </c>
      <c r="E20" s="10">
        <v>3</v>
      </c>
      <c r="F20" s="118">
        <v>3</v>
      </c>
      <c r="G20" s="118"/>
      <c r="H20" s="119"/>
    </row>
    <row r="21" spans="1:8" x14ac:dyDescent="0.25">
      <c r="A21" s="8" t="s">
        <v>31</v>
      </c>
      <c r="B21" s="79"/>
      <c r="C21" s="79"/>
      <c r="D21" s="12"/>
      <c r="E21" s="12"/>
      <c r="F21" s="118"/>
      <c r="G21" s="118"/>
      <c r="H21" s="119"/>
    </row>
    <row r="22" spans="1:8" x14ac:dyDescent="0.25">
      <c r="A22" s="8" t="s">
        <v>32</v>
      </c>
      <c r="B22" s="79"/>
      <c r="C22" s="10"/>
      <c r="D22" s="10"/>
      <c r="E22" s="78"/>
      <c r="F22" s="118"/>
      <c r="G22" s="118"/>
      <c r="H22" s="119"/>
    </row>
    <row r="23" spans="1:8" x14ac:dyDescent="0.25">
      <c r="A23" s="8" t="s">
        <v>33</v>
      </c>
      <c r="B23" s="10"/>
      <c r="C23" s="79"/>
      <c r="D23" s="78"/>
      <c r="E23" s="10"/>
      <c r="F23" s="122"/>
      <c r="G23" s="122"/>
      <c r="H23" s="123"/>
    </row>
    <row r="24" spans="1:8" ht="15.75" thickBot="1" x14ac:dyDescent="0.3">
      <c r="A24" s="8" t="s">
        <v>140</v>
      </c>
      <c r="B24" s="80"/>
      <c r="C24" s="80"/>
      <c r="D24" s="80"/>
      <c r="E24" s="14"/>
      <c r="F24" s="114"/>
      <c r="G24" s="114"/>
      <c r="H24" s="115"/>
    </row>
    <row r="25" spans="1:8" x14ac:dyDescent="0.25">
      <c r="A25" s="5"/>
      <c r="B25" s="6">
        <f>B19+7</f>
        <v>25</v>
      </c>
      <c r="C25" s="6">
        <f>B25+1</f>
        <v>26</v>
      </c>
      <c r="D25" s="6">
        <f t="shared" ref="D25:E25" si="4">C25+1</f>
        <v>27</v>
      </c>
      <c r="E25" s="6">
        <f t="shared" si="4"/>
        <v>28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34</v>
      </c>
      <c r="B26" s="78">
        <v>2</v>
      </c>
      <c r="C26" s="78">
        <v>2</v>
      </c>
      <c r="D26" s="78">
        <v>3</v>
      </c>
      <c r="E26" s="10">
        <v>3</v>
      </c>
      <c r="F26" s="118">
        <v>2</v>
      </c>
      <c r="G26" s="118"/>
      <c r="H26" s="119"/>
    </row>
    <row r="27" spans="1:8" x14ac:dyDescent="0.25">
      <c r="A27" s="8" t="s">
        <v>31</v>
      </c>
      <c r="B27" s="79"/>
      <c r="C27" s="79"/>
      <c r="D27" s="12"/>
      <c r="E27" s="12"/>
      <c r="F27" s="118"/>
      <c r="G27" s="118"/>
      <c r="H27" s="119"/>
    </row>
    <row r="28" spans="1:8" x14ac:dyDescent="0.25">
      <c r="A28" s="8" t="s">
        <v>32</v>
      </c>
      <c r="B28" s="79"/>
      <c r="C28" s="10"/>
      <c r="D28" s="10"/>
      <c r="E28" s="78"/>
      <c r="F28" s="118"/>
      <c r="G28" s="118"/>
      <c r="H28" s="119"/>
    </row>
    <row r="29" spans="1:8" x14ac:dyDescent="0.25">
      <c r="A29" s="8" t="s">
        <v>33</v>
      </c>
      <c r="B29" s="10"/>
      <c r="C29" s="79"/>
      <c r="D29" s="78"/>
      <c r="E29" s="10"/>
      <c r="F29" s="122"/>
      <c r="G29" s="122"/>
      <c r="H29" s="123"/>
    </row>
    <row r="30" spans="1:8" ht="15.75" thickBot="1" x14ac:dyDescent="0.3">
      <c r="A30" s="15" t="s">
        <v>140</v>
      </c>
      <c r="B30" s="80"/>
      <c r="C30" s="80"/>
      <c r="D30" s="80"/>
      <c r="E30" s="14"/>
      <c r="F30" s="114"/>
      <c r="G30" s="114"/>
      <c r="H30" s="115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חיילים</vt:lpstr>
      <vt:lpstr>לוח דצמבר</vt:lpstr>
      <vt:lpstr>לוח נובמבר</vt:lpstr>
      <vt:lpstr>לוח ינואר</vt:lpstr>
      <vt:lpstr>סתם</vt:lpstr>
      <vt:lpstr>סטטיסטיקה</vt:lpstr>
      <vt:lpstr>לוח פברואר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2017-12-08T13:56:54Z</dcterms:modified>
</cp:coreProperties>
</file>