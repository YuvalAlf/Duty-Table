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528" codeName="{B1203076-2D4D-A25B-A398-973B695A806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val\Programming\CSharp\MonthlyDutyTable\"/>
    </mc:Choice>
  </mc:AlternateContent>
  <bookViews>
    <workbookView xWindow="0" yWindow="0" windowWidth="28800" windowHeight="13635" tabRatio="1000" activeTab="1" xr2:uid="{00000000-000D-0000-FFFF-FFFF00000000}"/>
  </bookViews>
  <sheets>
    <sheet name="חיילים" sheetId="1" r:id="rId1"/>
    <sheet name="לוח נובמבר" sheetId="8" r:id="rId2"/>
    <sheet name="סתם" sheetId="9" r:id="rId3"/>
    <sheet name="לוח אוקטובר" sheetId="7" r:id="rId4"/>
    <sheet name="לוח דצמבר" sheetId="10" r:id="rId5"/>
    <sheet name="סטטיסטיקה" sheetId="3" r:id="rId6"/>
  </sheets>
  <definedNames>
    <definedName name="_xlnm._FilterDatabase" localSheetId="0" hidden="1">חיילים!$A$1:$AU$42</definedName>
    <definedName name="_xlnm._FilterDatabase" localSheetId="2" hidden="1">סתם!$A$1:$J$42</definedName>
  </definedNames>
  <calcPr calcId="171027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4" i="3" l="1"/>
  <c r="N2" i="1"/>
  <c r="AO41" i="1" l="1"/>
  <c r="AP41" i="1"/>
  <c r="AH41" i="1"/>
  <c r="AI41" i="1"/>
  <c r="AA41" i="1"/>
  <c r="AB41" i="1"/>
  <c r="T41" i="1"/>
  <c r="U41" i="1"/>
  <c r="M41" i="1"/>
  <c r="N41" i="1"/>
  <c r="C41" i="1"/>
  <c r="V41" i="1" l="1"/>
  <c r="AJ41" i="1"/>
  <c r="AR41" i="1"/>
  <c r="O41" i="1"/>
  <c r="AC41" i="1"/>
  <c r="AQ41" i="1"/>
  <c r="AU41" i="1" s="1"/>
  <c r="AS41" i="1"/>
  <c r="C32" i="10"/>
  <c r="E32" i="10" s="1"/>
  <c r="F32" i="10" s="1"/>
  <c r="G32" i="10" s="1"/>
  <c r="H32" i="10" s="1"/>
  <c r="I32" i="10" s="1"/>
  <c r="H26" i="10"/>
  <c r="I26" i="10" s="1"/>
  <c r="I2" i="10"/>
  <c r="G2" i="10"/>
  <c r="C14" i="10"/>
  <c r="D14" i="10" s="1"/>
  <c r="E14" i="10" s="1"/>
  <c r="F14" i="10" s="1"/>
  <c r="G14" i="10" s="1"/>
  <c r="H14" i="10" s="1"/>
  <c r="I14" i="10" s="1"/>
  <c r="D8" i="10"/>
  <c r="E8" i="10" s="1"/>
  <c r="F8" i="10" s="1"/>
  <c r="G8" i="10" s="1"/>
  <c r="H8" i="10" s="1"/>
  <c r="I8" i="10" s="1"/>
  <c r="AT41" i="1" l="1"/>
  <c r="C20" i="10"/>
  <c r="C26" i="10" s="1"/>
  <c r="D26" i="10" s="1"/>
  <c r="E26" i="10" s="1"/>
  <c r="F26" i="10" s="1"/>
  <c r="G26" i="10" s="1"/>
  <c r="G5" i="3"/>
  <c r="G6" i="3"/>
  <c r="G4" i="3"/>
  <c r="G3" i="3"/>
  <c r="D20" i="10" l="1"/>
  <c r="E20" i="10" s="1"/>
  <c r="F20" i="10" s="1"/>
  <c r="G20" i="10" s="1"/>
  <c r="H20" i="10" s="1"/>
  <c r="I20" i="10" s="1"/>
  <c r="AO6" i="1"/>
  <c r="AP6" i="1"/>
  <c r="AO7" i="1"/>
  <c r="AP7" i="1"/>
  <c r="AO16" i="1"/>
  <c r="AP16" i="1"/>
  <c r="AO29" i="1"/>
  <c r="AP29" i="1"/>
  <c r="AO33" i="1"/>
  <c r="AP33" i="1"/>
  <c r="AO38" i="1"/>
  <c r="AP38" i="1"/>
  <c r="AO20" i="1"/>
  <c r="AP20" i="1"/>
  <c r="AO18" i="1"/>
  <c r="AP18" i="1"/>
  <c r="AO8" i="1"/>
  <c r="AP8" i="1"/>
  <c r="AO3" i="1"/>
  <c r="AP3" i="1"/>
  <c r="AO2" i="1"/>
  <c r="AP2" i="1"/>
  <c r="AO17" i="1"/>
  <c r="AP17" i="1"/>
  <c r="AO30" i="1"/>
  <c r="AP30" i="1"/>
  <c r="AO12" i="1"/>
  <c r="AP12" i="1"/>
  <c r="AO10" i="1"/>
  <c r="AP10" i="1"/>
  <c r="AO11" i="1"/>
  <c r="AP11" i="1"/>
  <c r="AO24" i="1"/>
  <c r="AP24" i="1"/>
  <c r="AO25" i="1"/>
  <c r="AP25" i="1"/>
  <c r="AO42" i="1"/>
  <c r="AP42" i="1"/>
  <c r="AO31" i="1"/>
  <c r="AP31" i="1"/>
  <c r="AO21" i="1"/>
  <c r="AP21" i="1"/>
  <c r="AO40" i="1"/>
  <c r="AP40" i="1"/>
  <c r="AO14" i="1"/>
  <c r="AP14" i="1"/>
  <c r="AO13" i="1"/>
  <c r="AP13" i="1"/>
  <c r="AO5" i="1"/>
  <c r="AP5" i="1"/>
  <c r="AO4" i="1"/>
  <c r="AP4" i="1"/>
  <c r="AO22" i="1"/>
  <c r="AP22" i="1"/>
  <c r="AO35" i="1"/>
  <c r="AP35" i="1"/>
  <c r="AO34" i="1"/>
  <c r="AP34" i="1"/>
  <c r="AO28" i="1"/>
  <c r="AP28" i="1"/>
  <c r="AO27" i="1"/>
  <c r="AP27" i="1"/>
  <c r="AO26" i="1"/>
  <c r="AP26" i="1"/>
  <c r="AO32" i="1"/>
  <c r="AP32" i="1"/>
  <c r="AO36" i="1"/>
  <c r="AP36" i="1"/>
  <c r="AO39" i="1"/>
  <c r="AP39" i="1"/>
  <c r="AO19" i="1"/>
  <c r="AP19" i="1"/>
  <c r="AO9" i="1"/>
  <c r="AP9" i="1"/>
  <c r="AO37" i="1"/>
  <c r="AP37" i="1"/>
  <c r="AO23" i="1"/>
  <c r="AP23" i="1"/>
  <c r="AO15" i="1"/>
  <c r="AP15" i="1"/>
  <c r="M42" i="1"/>
  <c r="N42" i="1"/>
  <c r="T42" i="1"/>
  <c r="U42" i="1"/>
  <c r="AA42" i="1"/>
  <c r="AB42" i="1"/>
  <c r="AH42" i="1"/>
  <c r="AI42" i="1"/>
  <c r="C42" i="1"/>
  <c r="O42" i="1" l="1"/>
  <c r="AR42" i="1"/>
  <c r="AC42" i="1"/>
  <c r="AQ37" i="1"/>
  <c r="AQ28" i="1"/>
  <c r="AQ10" i="1"/>
  <c r="AQ20" i="1"/>
  <c r="AQ15" i="1"/>
  <c r="AQ36" i="1"/>
  <c r="AQ4" i="1"/>
  <c r="AQ42" i="1"/>
  <c r="AQ2" i="1"/>
  <c r="AQ29" i="1"/>
  <c r="AQ19" i="1"/>
  <c r="AQ26" i="1"/>
  <c r="AQ35" i="1"/>
  <c r="AQ13" i="1"/>
  <c r="AQ21" i="1"/>
  <c r="AQ24" i="1"/>
  <c r="AQ30" i="1"/>
  <c r="AQ8" i="1"/>
  <c r="AQ7" i="1"/>
  <c r="AQ23" i="1"/>
  <c r="AQ9" i="1"/>
  <c r="AQ39" i="1"/>
  <c r="AQ32" i="1"/>
  <c r="AQ27" i="1"/>
  <c r="AQ34" i="1"/>
  <c r="AQ22" i="1"/>
  <c r="AQ5" i="1"/>
  <c r="AQ14" i="1"/>
  <c r="AQ40" i="1"/>
  <c r="AQ31" i="1"/>
  <c r="AS42" i="1"/>
  <c r="AT42" i="1" s="1"/>
  <c r="AQ25" i="1"/>
  <c r="AQ11" i="1"/>
  <c r="AQ12" i="1"/>
  <c r="AQ17" i="1"/>
  <c r="AQ3" i="1"/>
  <c r="AQ18" i="1"/>
  <c r="AQ38" i="1"/>
  <c r="AQ33" i="1"/>
  <c r="AQ16" i="1"/>
  <c r="AQ6" i="1"/>
  <c r="AJ42" i="1"/>
  <c r="V42" i="1"/>
  <c r="C7" i="8"/>
  <c r="D7" i="8" s="1"/>
  <c r="E7" i="8" s="1"/>
  <c r="F7" i="8" s="1"/>
  <c r="G7" i="8" s="1"/>
  <c r="H7" i="8" s="1"/>
  <c r="B13" i="8"/>
  <c r="B19" i="8" s="1"/>
  <c r="B26" i="8" s="1"/>
  <c r="C26" i="8" s="1"/>
  <c r="D26" i="8" s="1"/>
  <c r="E26" i="8" s="1"/>
  <c r="F26" i="8" s="1"/>
  <c r="H26" i="8" s="1"/>
  <c r="AU42" i="1" l="1"/>
  <c r="C13" i="8"/>
  <c r="D13" i="8" s="1"/>
  <c r="E13" i="8" s="1"/>
  <c r="F13" i="8" s="1"/>
  <c r="G13" i="8" s="1"/>
  <c r="H13" i="8" s="1"/>
  <c r="C19" i="8"/>
  <c r="D19" i="8" s="1"/>
  <c r="E19" i="8" s="1"/>
  <c r="F19" i="8" s="1"/>
  <c r="G19" i="8" s="1"/>
  <c r="H19" i="8" s="1"/>
  <c r="M29" i="1"/>
  <c r="N29" i="1"/>
  <c r="M33" i="1"/>
  <c r="N33" i="1"/>
  <c r="M7" i="1"/>
  <c r="N7" i="1"/>
  <c r="M38" i="1"/>
  <c r="N38" i="1"/>
  <c r="M20" i="1"/>
  <c r="N20" i="1"/>
  <c r="M18" i="1"/>
  <c r="N18" i="1"/>
  <c r="M8" i="1"/>
  <c r="N8" i="1"/>
  <c r="M30" i="1"/>
  <c r="N30" i="1"/>
  <c r="M2" i="1"/>
  <c r="M3" i="1"/>
  <c r="N3" i="1"/>
  <c r="M17" i="1"/>
  <c r="N17" i="1"/>
  <c r="M24" i="1"/>
  <c r="N24" i="1"/>
  <c r="M12" i="1"/>
  <c r="N12" i="1"/>
  <c r="M11" i="1"/>
  <c r="N11" i="1"/>
  <c r="M10" i="1"/>
  <c r="N10" i="1"/>
  <c r="M25" i="1"/>
  <c r="N25" i="1"/>
  <c r="M21" i="1"/>
  <c r="N21" i="1"/>
  <c r="M40" i="1"/>
  <c r="N40" i="1"/>
  <c r="M31" i="1"/>
  <c r="N31" i="1"/>
  <c r="M34" i="1"/>
  <c r="N34" i="1"/>
  <c r="M35" i="1"/>
  <c r="N35" i="1"/>
  <c r="M13" i="1"/>
  <c r="N13" i="1"/>
  <c r="M5" i="1"/>
  <c r="N5" i="1"/>
  <c r="M4" i="1"/>
  <c r="N4" i="1"/>
  <c r="M14" i="1"/>
  <c r="N14" i="1"/>
  <c r="M22" i="1"/>
  <c r="N22" i="1"/>
  <c r="M36" i="1"/>
  <c r="N36" i="1"/>
  <c r="M26" i="1"/>
  <c r="N26" i="1"/>
  <c r="M27" i="1"/>
  <c r="N27" i="1"/>
  <c r="M39" i="1"/>
  <c r="N39" i="1"/>
  <c r="M32" i="1"/>
  <c r="N32" i="1"/>
  <c r="M28" i="1"/>
  <c r="N28" i="1"/>
  <c r="M9" i="1"/>
  <c r="N9" i="1"/>
  <c r="M19" i="1"/>
  <c r="N19" i="1"/>
  <c r="M37" i="1"/>
  <c r="N37" i="1"/>
  <c r="M23" i="1"/>
  <c r="N23" i="1"/>
  <c r="M15" i="1"/>
  <c r="N15" i="1"/>
  <c r="T29" i="1"/>
  <c r="U29" i="1"/>
  <c r="T33" i="1"/>
  <c r="U33" i="1"/>
  <c r="T7" i="1"/>
  <c r="U7" i="1"/>
  <c r="T38" i="1"/>
  <c r="U38" i="1"/>
  <c r="T20" i="1"/>
  <c r="U20" i="1"/>
  <c r="T18" i="1"/>
  <c r="U18" i="1"/>
  <c r="T8" i="1"/>
  <c r="U8" i="1"/>
  <c r="T30" i="1"/>
  <c r="U30" i="1"/>
  <c r="T2" i="1"/>
  <c r="U2" i="1"/>
  <c r="T3" i="1"/>
  <c r="U3" i="1"/>
  <c r="T17" i="1"/>
  <c r="U17" i="1"/>
  <c r="T24" i="1"/>
  <c r="U24" i="1"/>
  <c r="T12" i="1"/>
  <c r="U12" i="1"/>
  <c r="T11" i="1"/>
  <c r="U11" i="1"/>
  <c r="T10" i="1"/>
  <c r="U10" i="1"/>
  <c r="T25" i="1"/>
  <c r="U25" i="1"/>
  <c r="T21" i="1"/>
  <c r="U21" i="1"/>
  <c r="T40" i="1"/>
  <c r="U40" i="1"/>
  <c r="T31" i="1"/>
  <c r="U31" i="1"/>
  <c r="T34" i="1"/>
  <c r="U34" i="1"/>
  <c r="T35" i="1"/>
  <c r="U35" i="1"/>
  <c r="T13" i="1"/>
  <c r="U13" i="1"/>
  <c r="T5" i="1"/>
  <c r="U5" i="1"/>
  <c r="T4" i="1"/>
  <c r="U4" i="1"/>
  <c r="T14" i="1"/>
  <c r="U14" i="1"/>
  <c r="T22" i="1"/>
  <c r="U22" i="1"/>
  <c r="T36" i="1"/>
  <c r="U36" i="1"/>
  <c r="T26" i="1"/>
  <c r="U26" i="1"/>
  <c r="T27" i="1"/>
  <c r="U27" i="1"/>
  <c r="T39" i="1"/>
  <c r="U39" i="1"/>
  <c r="T32" i="1"/>
  <c r="U32" i="1"/>
  <c r="T28" i="1"/>
  <c r="U28" i="1"/>
  <c r="T9" i="1"/>
  <c r="U9" i="1"/>
  <c r="T19" i="1"/>
  <c r="U19" i="1"/>
  <c r="T37" i="1"/>
  <c r="U37" i="1"/>
  <c r="T23" i="1"/>
  <c r="U23" i="1"/>
  <c r="T15" i="1"/>
  <c r="U15" i="1"/>
  <c r="AA29" i="1"/>
  <c r="AB29" i="1"/>
  <c r="AA33" i="1"/>
  <c r="AB33" i="1"/>
  <c r="AA7" i="1"/>
  <c r="AB7" i="1"/>
  <c r="AA38" i="1"/>
  <c r="AB38" i="1"/>
  <c r="AA20" i="1"/>
  <c r="AB20" i="1"/>
  <c r="AA18" i="1"/>
  <c r="AB18" i="1"/>
  <c r="AA8" i="1"/>
  <c r="AB8" i="1"/>
  <c r="AA30" i="1"/>
  <c r="AB30" i="1"/>
  <c r="AA2" i="1"/>
  <c r="AB2" i="1"/>
  <c r="AA3" i="1"/>
  <c r="AB3" i="1"/>
  <c r="AA17" i="1"/>
  <c r="AB17" i="1"/>
  <c r="AA24" i="1"/>
  <c r="AB24" i="1"/>
  <c r="AA12" i="1"/>
  <c r="AB12" i="1"/>
  <c r="AA11" i="1"/>
  <c r="AB11" i="1"/>
  <c r="AA10" i="1"/>
  <c r="AB10" i="1"/>
  <c r="AA25" i="1"/>
  <c r="AB25" i="1"/>
  <c r="AA21" i="1"/>
  <c r="AB21" i="1"/>
  <c r="AA40" i="1"/>
  <c r="AB40" i="1"/>
  <c r="AA31" i="1"/>
  <c r="AB31" i="1"/>
  <c r="AA34" i="1"/>
  <c r="AB34" i="1"/>
  <c r="AA35" i="1"/>
  <c r="AB35" i="1"/>
  <c r="AA13" i="1"/>
  <c r="AB13" i="1"/>
  <c r="AA5" i="1"/>
  <c r="AB5" i="1"/>
  <c r="AA4" i="1"/>
  <c r="AB4" i="1"/>
  <c r="AA14" i="1"/>
  <c r="AB14" i="1"/>
  <c r="AA22" i="1"/>
  <c r="AB22" i="1"/>
  <c r="AA36" i="1"/>
  <c r="AB36" i="1"/>
  <c r="AA26" i="1"/>
  <c r="AB26" i="1"/>
  <c r="AA27" i="1"/>
  <c r="AB27" i="1"/>
  <c r="AA39" i="1"/>
  <c r="AB39" i="1"/>
  <c r="AA32" i="1"/>
  <c r="AB32" i="1"/>
  <c r="AA28" i="1"/>
  <c r="AB28" i="1"/>
  <c r="AA9" i="1"/>
  <c r="AB9" i="1"/>
  <c r="AA19" i="1"/>
  <c r="AB19" i="1"/>
  <c r="AA37" i="1"/>
  <c r="AB37" i="1"/>
  <c r="AA23" i="1"/>
  <c r="AB23" i="1"/>
  <c r="AA15" i="1"/>
  <c r="AB15" i="1"/>
  <c r="AH29" i="1"/>
  <c r="AI29" i="1"/>
  <c r="AH33" i="1"/>
  <c r="AI33" i="1"/>
  <c r="AH7" i="1"/>
  <c r="AI7" i="1"/>
  <c r="AH38" i="1"/>
  <c r="AI38" i="1"/>
  <c r="AH20" i="1"/>
  <c r="AI20" i="1"/>
  <c r="AH18" i="1"/>
  <c r="AI18" i="1"/>
  <c r="AH8" i="1"/>
  <c r="AI8" i="1"/>
  <c r="AH30" i="1"/>
  <c r="AI30" i="1"/>
  <c r="AH2" i="1"/>
  <c r="AI2" i="1"/>
  <c r="AH3" i="1"/>
  <c r="AI3" i="1"/>
  <c r="AH17" i="1"/>
  <c r="AI17" i="1"/>
  <c r="AH24" i="1"/>
  <c r="AI24" i="1"/>
  <c r="AH12" i="1"/>
  <c r="AI12" i="1"/>
  <c r="AH11" i="1"/>
  <c r="AI11" i="1"/>
  <c r="AH10" i="1"/>
  <c r="AI10" i="1"/>
  <c r="AH25" i="1"/>
  <c r="AI25" i="1"/>
  <c r="AH21" i="1"/>
  <c r="AI21" i="1"/>
  <c r="AH40" i="1"/>
  <c r="AI40" i="1"/>
  <c r="AH31" i="1"/>
  <c r="AI31" i="1"/>
  <c r="AH34" i="1"/>
  <c r="AI34" i="1"/>
  <c r="AH35" i="1"/>
  <c r="AI35" i="1"/>
  <c r="AH13" i="1"/>
  <c r="AI13" i="1"/>
  <c r="AH5" i="1"/>
  <c r="AI5" i="1"/>
  <c r="AH4" i="1"/>
  <c r="AI4" i="1"/>
  <c r="AH14" i="1"/>
  <c r="AI14" i="1"/>
  <c r="AH22" i="1"/>
  <c r="AI22" i="1"/>
  <c r="AH36" i="1"/>
  <c r="AI36" i="1"/>
  <c r="AH26" i="1"/>
  <c r="AI26" i="1"/>
  <c r="AH27" i="1"/>
  <c r="AI27" i="1"/>
  <c r="AH39" i="1"/>
  <c r="AI39" i="1"/>
  <c r="AH32" i="1"/>
  <c r="AI32" i="1"/>
  <c r="AH28" i="1"/>
  <c r="AI28" i="1"/>
  <c r="AH9" i="1"/>
  <c r="AI9" i="1"/>
  <c r="AH19" i="1"/>
  <c r="AI19" i="1"/>
  <c r="AH37" i="1"/>
  <c r="AI37" i="1"/>
  <c r="AH23" i="1"/>
  <c r="AI23" i="1"/>
  <c r="AH15" i="1"/>
  <c r="AI15" i="1"/>
  <c r="AH6" i="1"/>
  <c r="AI6" i="1"/>
  <c r="AA6" i="1"/>
  <c r="AB6" i="1"/>
  <c r="C38" i="1"/>
  <c r="C40" i="1"/>
  <c r="AJ20" i="1" l="1"/>
  <c r="AR19" i="1"/>
  <c r="AR28" i="1"/>
  <c r="AR39" i="1"/>
  <c r="AR26" i="1"/>
  <c r="AR22" i="1"/>
  <c r="AR14" i="1"/>
  <c r="AR5" i="1"/>
  <c r="AR35" i="1"/>
  <c r="AR31" i="1"/>
  <c r="AR21" i="1"/>
  <c r="AR10" i="1"/>
  <c r="AR12" i="1"/>
  <c r="AR17" i="1"/>
  <c r="AR2" i="1"/>
  <c r="AR8" i="1"/>
  <c r="AR20" i="1"/>
  <c r="AR33" i="1"/>
  <c r="AS19" i="1"/>
  <c r="AS28" i="1"/>
  <c r="AS39" i="1"/>
  <c r="AS26" i="1"/>
  <c r="AS22" i="1"/>
  <c r="AS14" i="1"/>
  <c r="AS5" i="1"/>
  <c r="AS35" i="1"/>
  <c r="AS31" i="1"/>
  <c r="AS21" i="1"/>
  <c r="AS10" i="1"/>
  <c r="AS12" i="1"/>
  <c r="AS17" i="1"/>
  <c r="AS2" i="1"/>
  <c r="AS8" i="1"/>
  <c r="AS20" i="1"/>
  <c r="AS33" i="1"/>
  <c r="AS15" i="1"/>
  <c r="AS23" i="1"/>
  <c r="AS37" i="1"/>
  <c r="AS9" i="1"/>
  <c r="AS32" i="1"/>
  <c r="AS27" i="1"/>
  <c r="AS36" i="1"/>
  <c r="AS4" i="1"/>
  <c r="AS13" i="1"/>
  <c r="AS34" i="1"/>
  <c r="AS40" i="1"/>
  <c r="AS25" i="1"/>
  <c r="AS11" i="1"/>
  <c r="AS24" i="1"/>
  <c r="AS3" i="1"/>
  <c r="AS30" i="1"/>
  <c r="AS18" i="1"/>
  <c r="AS38" i="1"/>
  <c r="AS7" i="1"/>
  <c r="AS29" i="1"/>
  <c r="AR15" i="1"/>
  <c r="AR23" i="1"/>
  <c r="AR37" i="1"/>
  <c r="AR9" i="1"/>
  <c r="AR32" i="1"/>
  <c r="AR27" i="1"/>
  <c r="AR36" i="1"/>
  <c r="AR4" i="1"/>
  <c r="AR13" i="1"/>
  <c r="AR34" i="1"/>
  <c r="AR40" i="1"/>
  <c r="AR25" i="1"/>
  <c r="AR11" i="1"/>
  <c r="AR24" i="1"/>
  <c r="AR3" i="1"/>
  <c r="AR30" i="1"/>
  <c r="AR18" i="1"/>
  <c r="AR38" i="1"/>
  <c r="AR7" i="1"/>
  <c r="AR29" i="1"/>
  <c r="AR6" i="1"/>
  <c r="AS6" i="1"/>
  <c r="O19" i="1"/>
  <c r="O28" i="1"/>
  <c r="O39" i="1"/>
  <c r="O26" i="1"/>
  <c r="O5" i="1"/>
  <c r="O35" i="1"/>
  <c r="O2" i="1"/>
  <c r="O8" i="1"/>
  <c r="O20" i="1"/>
  <c r="O38" i="1"/>
  <c r="O7" i="1"/>
  <c r="O11" i="1"/>
  <c r="O24" i="1"/>
  <c r="O3" i="1"/>
  <c r="O30" i="1"/>
  <c r="O18" i="1"/>
  <c r="V32" i="1"/>
  <c r="V25" i="1"/>
  <c r="V3" i="1"/>
  <c r="V30" i="1"/>
  <c r="V18" i="1"/>
  <c r="O23" i="1"/>
  <c r="AC14" i="1"/>
  <c r="AC5" i="1"/>
  <c r="AC35" i="1"/>
  <c r="O29" i="1"/>
  <c r="O32" i="1"/>
  <c r="O27" i="1"/>
  <c r="O33" i="1"/>
  <c r="AJ13" i="1"/>
  <c r="AC7" i="1"/>
  <c r="AC29" i="1"/>
  <c r="AJ19" i="1"/>
  <c r="V12" i="1"/>
  <c r="AJ15" i="1"/>
  <c r="AJ9" i="1"/>
  <c r="O36" i="1"/>
  <c r="V19" i="1"/>
  <c r="AC37" i="1"/>
  <c r="V20" i="1"/>
  <c r="AC11" i="1"/>
  <c r="AC24" i="1"/>
  <c r="AJ40" i="1"/>
  <c r="AJ33" i="1"/>
  <c r="V17" i="1"/>
  <c r="AJ31" i="1"/>
  <c r="AJ10" i="1"/>
  <c r="AJ17" i="1"/>
  <c r="AC36" i="1"/>
  <c r="AJ6" i="1"/>
  <c r="AJ4" i="1"/>
  <c r="AJ11" i="1"/>
  <c r="AJ30" i="1"/>
  <c r="V28" i="1"/>
  <c r="V4" i="1"/>
  <c r="V11" i="1"/>
  <c r="O34" i="1"/>
  <c r="AJ23" i="1"/>
  <c r="AJ34" i="1"/>
  <c r="AC21" i="1"/>
  <c r="V2" i="1"/>
  <c r="AJ37" i="1"/>
  <c r="AJ32" i="1"/>
  <c r="AJ25" i="1"/>
  <c r="AJ29" i="1"/>
  <c r="AC32" i="1"/>
  <c r="AC18" i="1"/>
  <c r="AC33" i="1"/>
  <c r="V37" i="1"/>
  <c r="V9" i="1"/>
  <c r="AJ27" i="1"/>
  <c r="AJ7" i="1"/>
  <c r="AC15" i="1"/>
  <c r="AC31" i="1"/>
  <c r="AC10" i="1"/>
  <c r="AC2" i="1"/>
  <c r="AC8" i="1"/>
  <c r="V15" i="1"/>
  <c r="V36" i="1"/>
  <c r="V34" i="1"/>
  <c r="V40" i="1"/>
  <c r="V33" i="1"/>
  <c r="O10" i="1"/>
  <c r="AJ3" i="1"/>
  <c r="AJ22" i="1"/>
  <c r="AC28" i="1"/>
  <c r="AC26" i="1"/>
  <c r="AC34" i="1"/>
  <c r="AC3" i="1"/>
  <c r="V22" i="1"/>
  <c r="V14" i="1"/>
  <c r="V31" i="1"/>
  <c r="V38" i="1"/>
  <c r="V7" i="1"/>
  <c r="O37" i="1"/>
  <c r="O4" i="1"/>
  <c r="O13" i="1"/>
  <c r="O25" i="1"/>
  <c r="AJ28" i="1"/>
  <c r="AJ26" i="1"/>
  <c r="AJ36" i="1"/>
  <c r="AJ5" i="1"/>
  <c r="AU5" i="1" s="1"/>
  <c r="AJ21" i="1"/>
  <c r="AJ12" i="1"/>
  <c r="AJ24" i="1"/>
  <c r="AJ8" i="1"/>
  <c r="AU8" i="1" s="1"/>
  <c r="AJ18" i="1"/>
  <c r="AC9" i="1"/>
  <c r="AC39" i="1"/>
  <c r="AC40" i="1"/>
  <c r="AC12" i="1"/>
  <c r="AC17" i="1"/>
  <c r="AC30" i="1"/>
  <c r="V27" i="1"/>
  <c r="V5" i="1"/>
  <c r="V35" i="1"/>
  <c r="O31" i="1"/>
  <c r="O21" i="1"/>
  <c r="V21" i="1"/>
  <c r="O15" i="1"/>
  <c r="AC6" i="1"/>
  <c r="AJ39" i="1"/>
  <c r="AJ14" i="1"/>
  <c r="AJ35" i="1"/>
  <c r="AU35" i="1" s="1"/>
  <c r="AJ2" i="1"/>
  <c r="AJ38" i="1"/>
  <c r="AC23" i="1"/>
  <c r="AC19" i="1"/>
  <c r="AC27" i="1"/>
  <c r="AC22" i="1"/>
  <c r="AC13" i="1"/>
  <c r="AC25" i="1"/>
  <c r="AC20" i="1"/>
  <c r="AC38" i="1"/>
  <c r="V23" i="1"/>
  <c r="V39" i="1"/>
  <c r="V26" i="1"/>
  <c r="V13" i="1"/>
  <c r="V10" i="1"/>
  <c r="V24" i="1"/>
  <c r="V8" i="1"/>
  <c r="V29" i="1"/>
  <c r="O9" i="1"/>
  <c r="O22" i="1"/>
  <c r="O14" i="1"/>
  <c r="O40" i="1"/>
  <c r="O12" i="1"/>
  <c r="O17" i="1"/>
  <c r="AC4" i="1"/>
  <c r="I9" i="7"/>
  <c r="I16" i="7" s="1"/>
  <c r="I23" i="7" s="1"/>
  <c r="H9" i="7"/>
  <c r="H16" i="7" s="1"/>
  <c r="H23" i="7" s="1"/>
  <c r="G9" i="7"/>
  <c r="G16" i="7" s="1"/>
  <c r="G23" i="7" s="1"/>
  <c r="F9" i="7"/>
  <c r="F16" i="7" s="1"/>
  <c r="F23" i="7" s="1"/>
  <c r="E9" i="7"/>
  <c r="E16" i="7" s="1"/>
  <c r="E23" i="7" s="1"/>
  <c r="E30" i="7" s="1"/>
  <c r="D9" i="7"/>
  <c r="D16" i="7" s="1"/>
  <c r="D23" i="7" s="1"/>
  <c r="D30" i="7" s="1"/>
  <c r="C9" i="7"/>
  <c r="C16" i="7" s="1"/>
  <c r="C23" i="7" s="1"/>
  <c r="C30" i="7" s="1"/>
  <c r="E8" i="7"/>
  <c r="D8" i="7"/>
  <c r="C8" i="7"/>
  <c r="AU37" i="1" l="1"/>
  <c r="AU3" i="1"/>
  <c r="AU23" i="1"/>
  <c r="AU36" i="1"/>
  <c r="AU12" i="1"/>
  <c r="AU26" i="1"/>
  <c r="AU7" i="1"/>
  <c r="AU14" i="1"/>
  <c r="AU25" i="1"/>
  <c r="AU11" i="1"/>
  <c r="AU17" i="1"/>
  <c r="AU33" i="1"/>
  <c r="AU9" i="1"/>
  <c r="AU20" i="1"/>
  <c r="AU18" i="1"/>
  <c r="AU21" i="1"/>
  <c r="AU28" i="1"/>
  <c r="AU27" i="1"/>
  <c r="AU32" i="1"/>
  <c r="AU34" i="1"/>
  <c r="AU4" i="1"/>
  <c r="AU10" i="1"/>
  <c r="AU40" i="1"/>
  <c r="AU15" i="1"/>
  <c r="AU38" i="1"/>
  <c r="AU39" i="1"/>
  <c r="AU31" i="1"/>
  <c r="AU13" i="1"/>
  <c r="AU2" i="1"/>
  <c r="AU24" i="1"/>
  <c r="AU22" i="1"/>
  <c r="AU29" i="1"/>
  <c r="AU30" i="1"/>
  <c r="AU19" i="1"/>
  <c r="AT32" i="1"/>
  <c r="AT26" i="1"/>
  <c r="AT17" i="1"/>
  <c r="AT19" i="1"/>
  <c r="AT31" i="1"/>
  <c r="AT12" i="1"/>
  <c r="AT8" i="1"/>
  <c r="AT10" i="1"/>
  <c r="AT5" i="1"/>
  <c r="AT39" i="1"/>
  <c r="AT20" i="1"/>
  <c r="AT35" i="1"/>
  <c r="AT33" i="1"/>
  <c r="AT2" i="1"/>
  <c r="AT14" i="1"/>
  <c r="AT28" i="1"/>
  <c r="AT21" i="1"/>
  <c r="AT22" i="1"/>
  <c r="AT3" i="1"/>
  <c r="AT40" i="1"/>
  <c r="AT38" i="1"/>
  <c r="AT24" i="1"/>
  <c r="AT34" i="1"/>
  <c r="AT36" i="1"/>
  <c r="AT37" i="1"/>
  <c r="AT29" i="1"/>
  <c r="AT30" i="1"/>
  <c r="AT25" i="1"/>
  <c r="AT4" i="1"/>
  <c r="AT15" i="1"/>
  <c r="AT7" i="1"/>
  <c r="AT9" i="1"/>
  <c r="AT18" i="1"/>
  <c r="AT11" i="1"/>
  <c r="AT13" i="1"/>
  <c r="AT27" i="1"/>
  <c r="AT23" i="1"/>
  <c r="AT6" i="1"/>
  <c r="C7" i="3" l="1"/>
  <c r="C3" i="3"/>
  <c r="H5" i="3" l="1"/>
  <c r="H4" i="3"/>
  <c r="H3" i="3"/>
  <c r="C6" i="1"/>
  <c r="C16" i="1"/>
  <c r="C7" i="1"/>
  <c r="C33" i="1"/>
  <c r="C3" i="1"/>
  <c r="C2" i="1"/>
  <c r="C8" i="1"/>
  <c r="C17" i="1"/>
  <c r="C30" i="1"/>
  <c r="C20" i="1"/>
  <c r="C11" i="1"/>
  <c r="C24" i="1"/>
  <c r="C12" i="1"/>
  <c r="C25" i="1"/>
  <c r="C21" i="1"/>
  <c r="C18" i="1"/>
  <c r="C31" i="1"/>
  <c r="C13" i="1"/>
  <c r="C5" i="1"/>
  <c r="C22" i="1"/>
  <c r="C32" i="1"/>
  <c r="C4" i="1"/>
  <c r="C34" i="1"/>
  <c r="C35" i="1"/>
  <c r="C36" i="1"/>
  <c r="C28" i="1"/>
  <c r="C26" i="1"/>
  <c r="C27" i="1"/>
  <c r="C39" i="1"/>
  <c r="C10" i="1"/>
  <c r="C19" i="1"/>
  <c r="C9" i="1"/>
  <c r="C37" i="1"/>
  <c r="C23" i="1"/>
  <c r="C14" i="1"/>
  <c r="C15" i="1"/>
  <c r="C29" i="1"/>
  <c r="H6" i="3" l="1"/>
  <c r="AI16" i="1"/>
  <c r="AH16" i="1"/>
  <c r="AJ16" i="1" l="1"/>
  <c r="C8" i="3"/>
  <c r="C9" i="3" s="1"/>
  <c r="C2" i="3"/>
  <c r="C4" i="3" s="1"/>
  <c r="AB16" i="1" l="1"/>
  <c r="AS16" i="1" s="1"/>
  <c r="AA16" i="1"/>
  <c r="AR16" i="1" s="1"/>
  <c r="U16" i="1"/>
  <c r="T16" i="1"/>
  <c r="N16" i="1"/>
  <c r="M16" i="1"/>
  <c r="O16" i="1" l="1"/>
  <c r="AT16" i="1"/>
  <c r="V16" i="1"/>
  <c r="AC16" i="1"/>
  <c r="U6" i="1"/>
  <c r="T6" i="1"/>
  <c r="N6" i="1"/>
  <c r="M6" i="1"/>
  <c r="AU16" i="1" l="1"/>
  <c r="V6" i="1"/>
  <c r="O6" i="1"/>
  <c r="AU6" i="1" l="1"/>
</calcChain>
</file>

<file path=xl/sharedStrings.xml><?xml version="1.0" encoding="utf-8"?>
<sst xmlns="http://schemas.openxmlformats.org/spreadsheetml/2006/main" count="678" uniqueCount="166">
  <si>
    <t>חטיבה</t>
  </si>
  <si>
    <t>שם</t>
  </si>
  <si>
    <t>הערות</t>
  </si>
  <si>
    <t>פטור שמירות?</t>
  </si>
  <si>
    <t>עבר מבחן?</t>
  </si>
  <si>
    <t>מאי</t>
  </si>
  <si>
    <t>לא</t>
  </si>
  <si>
    <t>כן</t>
  </si>
  <si>
    <t>יובל</t>
  </si>
  <si>
    <t>אסיה</t>
  </si>
  <si>
    <t>סברינה</t>
  </si>
  <si>
    <t>שחר</t>
  </si>
  <si>
    <t>טאי</t>
  </si>
  <si>
    <t>דנה</t>
  </si>
  <si>
    <t>מירב</t>
  </si>
  <si>
    <t>שגית</t>
  </si>
  <si>
    <t>עדן</t>
  </si>
  <si>
    <t>בר</t>
  </si>
  <si>
    <t>עדי</t>
  </si>
  <si>
    <t>אלינה</t>
  </si>
  <si>
    <t>קארין</t>
  </si>
  <si>
    <t>שקד</t>
  </si>
  <si>
    <t>שיר</t>
  </si>
  <si>
    <t>מפאוג</t>
  </si>
  <si>
    <t>ספיר</t>
  </si>
  <si>
    <t>אופיר</t>
  </si>
  <si>
    <t>מרחבים</t>
  </si>
  <si>
    <t>הדס</t>
  </si>
  <si>
    <t>מורז</t>
  </si>
  <si>
    <t>סה"כ חיילים</t>
  </si>
  <si>
    <t>סה"כ חיילים ששומרים</t>
  </si>
  <si>
    <t>סה"כ חיילים עם פטור</t>
  </si>
  <si>
    <t>סה"כ חיילים שעברו מבחן</t>
  </si>
  <si>
    <t>סה"כ חיילים שלא עברו מבחן</t>
  </si>
  <si>
    <t>מרכז מידע</t>
  </si>
  <si>
    <t>מגמ</t>
  </si>
  <si>
    <t>משלט</t>
  </si>
  <si>
    <t>תקן שמירה</t>
  </si>
  <si>
    <t>אוגוסט שבת שמירה</t>
  </si>
  <si>
    <t>אוגוסט שבת בלי שמירה</t>
  </si>
  <si>
    <t>אוגוסט לילות שמירה</t>
  </si>
  <si>
    <t>אוגוסט לילות בלי שמירה</t>
  </si>
  <si>
    <t>אוגוסט סה"כ שמירה</t>
  </si>
  <si>
    <t>אוגוסט סה"כ בלי שמירה</t>
  </si>
  <si>
    <t>מאוייש</t>
  </si>
  <si>
    <t>לא מאוייש</t>
  </si>
  <si>
    <t>סה"כ לאייש</t>
  </si>
  <si>
    <t>יולי שבת שמירה</t>
  </si>
  <si>
    <t>יולי שבת בלי שמירה</t>
  </si>
  <si>
    <t>יולי לילות שמירה</t>
  </si>
  <si>
    <t>יולי לילות בלי שמירה</t>
  </si>
  <si>
    <t>ספטמבר סה"כ שמירה</t>
  </si>
  <si>
    <t>ספטמבר סה"כ בלי שמירה</t>
  </si>
  <si>
    <t>סה"כ ספטמבר</t>
  </si>
  <si>
    <t>סה"כ שלושה חודשים</t>
  </si>
  <si>
    <t>סה"כ שמירה שלושה חודשים</t>
  </si>
  <si>
    <t>סה"כ בלי שמירה שלושה חודשים</t>
  </si>
  <si>
    <t>ספטמבר שבת שמירה</t>
  </si>
  <si>
    <t>ספטמבר שבת בלי שמירה</t>
  </si>
  <si>
    <t>ספטמבר לילות שמירה</t>
  </si>
  <si>
    <t>ספטמבר לילות בלי שמירה</t>
  </si>
  <si>
    <t>סה"כ אוגוסט</t>
  </si>
  <si>
    <t>סה"כ יולי</t>
  </si>
  <si>
    <t>יולי סה"כ שמירה</t>
  </si>
  <si>
    <t>יולי סה"כ בלי שמירה</t>
  </si>
  <si>
    <t>תאריך שחרור</t>
  </si>
  <si>
    <t>קקצ נוב</t>
  </si>
  <si>
    <t>תש 4</t>
  </si>
  <si>
    <t>לילות שמירה  סהכ</t>
  </si>
  <si>
    <t>לילות בלי שמירות סהכ</t>
  </si>
  <si>
    <t>שבתות שמירה סהכ</t>
  </si>
  <si>
    <t>שבתות בלי שמירה סהכ</t>
  </si>
  <si>
    <t>שי</t>
  </si>
  <si>
    <t>דקל</t>
  </si>
  <si>
    <t>שני</t>
  </si>
  <si>
    <t>סופיה</t>
  </si>
  <si>
    <t>מאיה</t>
  </si>
  <si>
    <t>לירון</t>
  </si>
  <si>
    <t>תאריך הגעה לבסיס</t>
  </si>
  <si>
    <t>כלנית</t>
  </si>
  <si>
    <t>נילי</t>
  </si>
  <si>
    <t>שר</t>
  </si>
  <si>
    <t>אלכס</t>
  </si>
  <si>
    <t>מעיין</t>
  </si>
  <si>
    <t>אוקטובר שבת שמירה</t>
  </si>
  <si>
    <t>אוקטובר שבת בלי שמירה</t>
  </si>
  <si>
    <t>אוקטובר לילות שמירה</t>
  </si>
  <si>
    <t>אוקטובר לילות בלי שמירה</t>
  </si>
  <si>
    <t>אוקטובר סה"כ שמירה</t>
  </si>
  <si>
    <t>אוקטובר סה"כ בלי שמירה</t>
  </si>
  <si>
    <t>סה"כ אוקטובר</t>
  </si>
  <si>
    <t>ניצן</t>
  </si>
  <si>
    <t>לבדוק מה מצב הפטור</t>
  </si>
  <si>
    <t>תורן שומר 2</t>
  </si>
  <si>
    <t>תורן שומר 1</t>
  </si>
  <si>
    <t>-</t>
  </si>
  <si>
    <t>מאיה אחודה</t>
  </si>
  <si>
    <t>לירון אחודה</t>
  </si>
  <si>
    <t>בר 9</t>
  </si>
  <si>
    <t>שני אחודה</t>
  </si>
  <si>
    <t>דקל אחודה</t>
  </si>
  <si>
    <t>מאי 474</t>
  </si>
  <si>
    <t>אלכס 679</t>
  </si>
  <si>
    <t>נילי 11</t>
  </si>
  <si>
    <t>כלנית 9</t>
  </si>
  <si>
    <t>שר מפאוג</t>
  </si>
  <si>
    <t>מעיין 9</t>
  </si>
  <si>
    <t>אוראל 474</t>
  </si>
  <si>
    <t>?</t>
  </si>
  <si>
    <t>שם מלא</t>
  </si>
  <si>
    <t>אחודה</t>
  </si>
  <si>
    <t>עדי 209</t>
  </si>
  <si>
    <t>אופיר מרחבים</t>
  </si>
  <si>
    <t>אסיה 11</t>
  </si>
  <si>
    <t>סופיה אחודה</t>
  </si>
  <si>
    <t>אופק 474</t>
  </si>
  <si>
    <t>שיר 679</t>
  </si>
  <si>
    <t>סברינה 11</t>
  </si>
  <si>
    <t>יהל-אור 474</t>
  </si>
  <si>
    <t>מורז מפאוג</t>
  </si>
  <si>
    <t>מאי 679</t>
  </si>
  <si>
    <t>שגית 679</t>
  </si>
  <si>
    <t>שובל 679</t>
  </si>
  <si>
    <t>דנה 11</t>
  </si>
  <si>
    <t>שי 209</t>
  </si>
  <si>
    <t>בר 209</t>
  </si>
  <si>
    <t>טאי 11</t>
  </si>
  <si>
    <t>קארין 9</t>
  </si>
  <si>
    <t>הדס 679</t>
  </si>
  <si>
    <t>מירב 679</t>
  </si>
  <si>
    <t>שחר 11</t>
  </si>
  <si>
    <t>יובל 9</t>
  </si>
  <si>
    <t>יהל אור</t>
  </si>
  <si>
    <t>רם מרחבים</t>
  </si>
  <si>
    <t>ספיר מרחבים</t>
  </si>
  <si>
    <t>אופיר 679</t>
  </si>
  <si>
    <t>ניצן אחודה</t>
  </si>
  <si>
    <t>שיר מפאוג</t>
  </si>
  <si>
    <t>יובל 209</t>
  </si>
  <si>
    <t>אלינה 209</t>
  </si>
  <si>
    <t>שיר מרחבים</t>
  </si>
  <si>
    <t>עומר</t>
  </si>
  <si>
    <t>27/9/2017</t>
  </si>
  <si>
    <t>קקצ ינואר</t>
  </si>
  <si>
    <t>גילי</t>
  </si>
  <si>
    <t>ספטמבר</t>
  </si>
  <si>
    <t>אולי פטור שמירות</t>
  </si>
  <si>
    <t>עומר 474</t>
  </si>
  <si>
    <t>שקד 9</t>
  </si>
  <si>
    <t>נובמבר שבת שמירה</t>
  </si>
  <si>
    <t>נובמבר שבת בלי שמירה</t>
  </si>
  <si>
    <t>נובמבר לילות שמירה</t>
  </si>
  <si>
    <t>נובמבר לילות בלי שמירה</t>
  </si>
  <si>
    <t>נובמבר סה"כ שמירה</t>
  </si>
  <si>
    <t>נובמבר סה"כ בלי שמירה</t>
  </si>
  <si>
    <t>סה"כ נובמבר</t>
  </si>
  <si>
    <t>תורן שומר</t>
  </si>
  <si>
    <t>דיאנה</t>
  </si>
  <si>
    <t>16/10/17</t>
  </si>
  <si>
    <t>חודש הסתגלות, צריכה פנקס מטווחים</t>
  </si>
  <si>
    <t>קורס נתיב</t>
  </si>
  <si>
    <t>דיאנה אחודה</t>
  </si>
  <si>
    <t>נילי 11, פטור שמירות?, מה עם ליאור אחודה, סתיו אליהו, מתן 9 וגילי ,209</t>
  </si>
  <si>
    <t>גילי 209</t>
  </si>
  <si>
    <t>עדן 11</t>
  </si>
  <si>
    <t>סה"כ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</si>
</sst>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13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24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EFAF8"/>
        <bgColor indexed="64"/>
      </patternFill>
    </fill>
    <fill>
      <patternFill patternType="solid">
        <fgColor theme="0" tint="-4.9989318521683403E-2"/>
        <bgColor indexed="64"/>
      </patternFill>
    </fill>
  </fills>
  <borders count="4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168">
    <xf numFmtId="0" fontId="0" fillId="0" borderId="0" xfId="0"/>
    <xf numFmtId="0" fontId="2" fillId="0" borderId="0" xfId="0" applyFont="1"/>
    <xf numFmtId="0" fontId="0" fillId="0" borderId="1" xfId="0" applyBorder="1"/>
    <xf numFmtId="0" fontId="2" fillId="0" borderId="1" xfId="0" applyFont="1" applyBorder="1"/>
    <xf numFmtId="0" fontId="1" fillId="0" borderId="1" xfId="0" applyFont="1" applyBorder="1"/>
    <xf numFmtId="0" fontId="0" fillId="0" borderId="6" xfId="0" applyBorder="1"/>
    <xf numFmtId="0" fontId="0" fillId="5" borderId="23" xfId="0" applyFill="1" applyBorder="1"/>
    <xf numFmtId="0" fontId="2" fillId="0" borderId="0" xfId="0" applyFont="1" applyFill="1" applyBorder="1"/>
    <xf numFmtId="0" fontId="0" fillId="0" borderId="0" xfId="0" applyFont="1"/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6" xfId="0" applyFill="1" applyBorder="1"/>
    <xf numFmtId="0" fontId="2" fillId="0" borderId="8" xfId="0" applyFont="1" applyFill="1" applyBorder="1" applyAlignment="1">
      <alignment horizontal="center" vertical="center"/>
    </xf>
    <xf numFmtId="0" fontId="0" fillId="0" borderId="23" xfId="0" applyBorder="1"/>
    <xf numFmtId="0" fontId="0" fillId="5" borderId="28" xfId="0" applyFill="1" applyBorder="1"/>
    <xf numFmtId="0" fontId="2" fillId="0" borderId="29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0" fontId="0" fillId="0" borderId="32" xfId="0" applyFill="1" applyBorder="1"/>
    <xf numFmtId="0" fontId="2" fillId="0" borderId="17" xfId="0" applyFont="1" applyFill="1" applyBorder="1" applyAlignment="1">
      <alignment horizontal="center" vertical="center"/>
    </xf>
    <xf numFmtId="0" fontId="0" fillId="0" borderId="0" xfId="0" applyFont="1" applyFill="1" applyBorder="1"/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8" xfId="0" applyFont="1" applyFill="1" applyBorder="1" applyAlignment="1">
      <alignment horizontal="center" vertical="center"/>
    </xf>
    <xf numFmtId="0" fontId="2" fillId="0" borderId="24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/>
    </xf>
    <xf numFmtId="0" fontId="2" fillId="0" borderId="31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3" fillId="0" borderId="0" xfId="0" applyFont="1"/>
    <xf numFmtId="0" fontId="3" fillId="5" borderId="23" xfId="0" applyFont="1" applyFill="1" applyBorder="1"/>
    <xf numFmtId="0" fontId="4" fillId="0" borderId="18" xfId="0" applyFont="1" applyFill="1" applyBorder="1" applyAlignment="1">
      <alignment horizontal="center" vertical="center"/>
    </xf>
    <xf numFmtId="0" fontId="4" fillId="0" borderId="24" xfId="0" applyFont="1" applyFill="1" applyBorder="1" applyAlignment="1">
      <alignment horizontal="center" vertical="center"/>
    </xf>
    <xf numFmtId="0" fontId="3" fillId="0" borderId="6" xfId="0" applyFont="1" applyFill="1" applyBorder="1"/>
    <xf numFmtId="0" fontId="4" fillId="0" borderId="1" xfId="0" applyFont="1" applyFill="1" applyBorder="1" applyAlignment="1">
      <alignment horizontal="center" vertical="center"/>
    </xf>
    <xf numFmtId="0" fontId="4" fillId="0" borderId="2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4" fillId="0" borderId="31" xfId="0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0" fontId="4" fillId="0" borderId="9" xfId="0" applyFont="1" applyFill="1" applyBorder="1" applyAlignment="1">
      <alignment horizontal="center" vertical="center"/>
    </xf>
    <xf numFmtId="0" fontId="3" fillId="0" borderId="7" xfId="0" applyFont="1" applyFill="1" applyBorder="1"/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5" fillId="0" borderId="12" xfId="0" applyFont="1" applyBorder="1" applyAlignment="1">
      <alignment horizontal="center" vertical="center" wrapText="1"/>
    </xf>
    <xf numFmtId="0" fontId="5" fillId="0" borderId="13" xfId="0" applyFont="1" applyBorder="1" applyAlignment="1">
      <alignment horizontal="center" vertical="center" wrapText="1"/>
    </xf>
    <xf numFmtId="0" fontId="5" fillId="4" borderId="13" xfId="0" applyFont="1" applyFill="1" applyBorder="1" applyAlignment="1">
      <alignment horizontal="center" vertical="center" wrapText="1"/>
    </xf>
    <xf numFmtId="0" fontId="6" fillId="0" borderId="0" xfId="0" applyFont="1"/>
    <xf numFmtId="0" fontId="6" fillId="0" borderId="6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4" borderId="10" xfId="0" applyFont="1" applyFill="1" applyBorder="1"/>
    <xf numFmtId="0" fontId="6" fillId="0" borderId="7" xfId="0" applyFont="1" applyBorder="1" applyAlignment="1">
      <alignment horizontal="center" vertical="center"/>
    </xf>
    <xf numFmtId="0" fontId="5" fillId="0" borderId="8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4" borderId="17" xfId="0" applyFont="1" applyFill="1" applyBorder="1"/>
    <xf numFmtId="0" fontId="6" fillId="0" borderId="0" xfId="0" applyFont="1" applyAlignment="1">
      <alignment horizontal="center" vertical="center"/>
    </xf>
    <xf numFmtId="0" fontId="5" fillId="0" borderId="0" xfId="0" applyFont="1"/>
    <xf numFmtId="0" fontId="2" fillId="0" borderId="8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7" fillId="5" borderId="23" xfId="0" applyFont="1" applyFill="1" applyBorder="1"/>
    <xf numFmtId="0" fontId="8" fillId="0" borderId="18" xfId="0" applyFont="1" applyFill="1" applyBorder="1" applyAlignment="1">
      <alignment horizontal="center" vertical="center"/>
    </xf>
    <xf numFmtId="0" fontId="8" fillId="0" borderId="24" xfId="0" applyFont="1" applyFill="1" applyBorder="1" applyAlignment="1">
      <alignment horizontal="center" vertical="center"/>
    </xf>
    <xf numFmtId="0" fontId="7" fillId="0" borderId="0" xfId="0" applyFont="1"/>
    <xf numFmtId="0" fontId="7" fillId="0" borderId="6" xfId="0" applyFont="1" applyFill="1" applyBorder="1"/>
    <xf numFmtId="0" fontId="8" fillId="0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8" fillId="0" borderId="31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7" fillId="0" borderId="7" xfId="0" applyFont="1" applyFill="1" applyBorder="1"/>
    <xf numFmtId="0" fontId="8" fillId="0" borderId="10" xfId="0" applyFont="1" applyFill="1" applyBorder="1" applyAlignment="1">
      <alignment horizontal="center" vertical="center"/>
    </xf>
    <xf numFmtId="0" fontId="8" fillId="0" borderId="39" xfId="0" applyFont="1" applyFill="1" applyBorder="1" applyAlignment="1">
      <alignment horizontal="center" vertical="center"/>
    </xf>
    <xf numFmtId="0" fontId="9" fillId="0" borderId="12" xfId="0" applyFont="1" applyBorder="1" applyAlignment="1">
      <alignment horizontal="center" vertical="center" wrapText="1"/>
    </xf>
    <xf numFmtId="0" fontId="9" fillId="0" borderId="13" xfId="0" applyFont="1" applyBorder="1" applyAlignment="1">
      <alignment horizontal="center" vertical="center" wrapText="1"/>
    </xf>
    <xf numFmtId="0" fontId="9" fillId="0" borderId="14" xfId="0" applyFont="1" applyBorder="1" applyAlignment="1">
      <alignment horizontal="center" vertical="center" wrapText="1"/>
    </xf>
    <xf numFmtId="0" fontId="9" fillId="4" borderId="13" xfId="0" applyFont="1" applyFill="1" applyBorder="1" applyAlignment="1">
      <alignment horizontal="center" vertical="center" wrapText="1"/>
    </xf>
    <xf numFmtId="0" fontId="9" fillId="3" borderId="15" xfId="0" applyFont="1" applyFill="1" applyBorder="1" applyAlignment="1">
      <alignment horizontal="center" vertical="center" wrapText="1"/>
    </xf>
    <xf numFmtId="0" fontId="9" fillId="2" borderId="16" xfId="0" applyFont="1" applyFill="1" applyBorder="1" applyAlignment="1">
      <alignment horizontal="center" vertical="center" wrapText="1"/>
    </xf>
    <xf numFmtId="0" fontId="9" fillId="2" borderId="13" xfId="0" applyFont="1" applyFill="1" applyBorder="1" applyAlignment="1">
      <alignment horizontal="center" vertical="center" wrapText="1"/>
    </xf>
    <xf numFmtId="0" fontId="9" fillId="2" borderId="15" xfId="0" applyFont="1" applyFill="1" applyBorder="1" applyAlignment="1">
      <alignment horizontal="center" vertical="center" wrapText="1"/>
    </xf>
    <xf numFmtId="0" fontId="10" fillId="0" borderId="0" xfId="0" applyFont="1"/>
    <xf numFmtId="0" fontId="10" fillId="0" borderId="6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14" fontId="10" fillId="0" borderId="2" xfId="0" applyNumberFormat="1" applyFont="1" applyBorder="1" applyAlignment="1">
      <alignment horizontal="center" vertical="center"/>
    </xf>
    <xf numFmtId="0" fontId="10" fillId="0" borderId="2" xfId="0" applyFont="1" applyBorder="1" applyAlignment="1">
      <alignment horizontal="center" vertical="center"/>
    </xf>
    <xf numFmtId="0" fontId="11" fillId="0" borderId="2" xfId="0" applyFont="1" applyBorder="1"/>
    <xf numFmtId="0" fontId="10" fillId="0" borderId="6" xfId="0" applyFont="1" applyBorder="1"/>
    <xf numFmtId="0" fontId="10" fillId="0" borderId="1" xfId="0" applyFont="1" applyBorder="1"/>
    <xf numFmtId="0" fontId="10" fillId="4" borderId="10" xfId="0" applyFont="1" applyFill="1" applyBorder="1"/>
    <xf numFmtId="0" fontId="10" fillId="3" borderId="19" xfId="0" applyFont="1" applyFill="1" applyBorder="1" applyAlignment="1">
      <alignment horizontal="center"/>
    </xf>
    <xf numFmtId="0" fontId="10" fillId="3" borderId="11" xfId="0" applyFont="1" applyFill="1" applyBorder="1" applyAlignment="1">
      <alignment horizontal="center" vertical="center"/>
    </xf>
    <xf numFmtId="0" fontId="10" fillId="4" borderId="1" xfId="0" applyFont="1" applyFill="1" applyBorder="1"/>
    <xf numFmtId="0" fontId="10" fillId="3" borderId="19" xfId="0" applyFont="1" applyFill="1" applyBorder="1" applyAlignment="1">
      <alignment horizontal="center" vertical="center"/>
    </xf>
    <xf numFmtId="0" fontId="10" fillId="2" borderId="5" xfId="0" applyFont="1" applyFill="1" applyBorder="1" applyAlignment="1">
      <alignment horizontal="center" vertical="center"/>
    </xf>
    <xf numFmtId="0" fontId="10" fillId="2" borderId="11" xfId="0" applyFont="1" applyFill="1" applyBorder="1" applyAlignment="1">
      <alignment horizontal="center"/>
    </xf>
    <xf numFmtId="164" fontId="10" fillId="0" borderId="2" xfId="0" applyNumberFormat="1" applyFont="1" applyBorder="1" applyAlignment="1">
      <alignment horizontal="center" vertical="center"/>
    </xf>
    <xf numFmtId="0" fontId="10" fillId="0" borderId="4" xfId="0" applyFont="1" applyBorder="1" applyAlignment="1">
      <alignment horizontal="center" vertical="center"/>
    </xf>
    <xf numFmtId="164" fontId="10" fillId="0" borderId="4" xfId="0" applyNumberFormat="1" applyFont="1" applyBorder="1" applyAlignment="1">
      <alignment horizontal="center" vertical="center"/>
    </xf>
    <xf numFmtId="14" fontId="10" fillId="0" borderId="4" xfId="0" applyNumberFormat="1" applyFont="1" applyBorder="1" applyAlignment="1">
      <alignment horizontal="center" vertical="center"/>
    </xf>
    <xf numFmtId="0" fontId="10" fillId="0" borderId="7" xfId="0" applyFont="1" applyBorder="1" applyAlignment="1">
      <alignment horizontal="center" vertical="center"/>
    </xf>
    <xf numFmtId="0" fontId="9" fillId="0" borderId="8" xfId="0" applyFont="1" applyBorder="1" applyAlignment="1">
      <alignment horizontal="center" vertical="center"/>
    </xf>
    <xf numFmtId="0" fontId="10" fillId="0" borderId="8" xfId="0" applyFont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164" fontId="10" fillId="0" borderId="9" xfId="0" applyNumberFormat="1" applyFont="1" applyBorder="1" applyAlignment="1">
      <alignment horizontal="center" vertical="center"/>
    </xf>
    <xf numFmtId="0" fontId="11" fillId="0" borderId="9" xfId="0" applyFont="1" applyBorder="1"/>
    <xf numFmtId="0" fontId="10" fillId="0" borderId="7" xfId="0" applyFont="1" applyBorder="1"/>
    <xf numFmtId="0" fontId="10" fillId="0" borderId="8" xfId="0" applyFont="1" applyBorder="1"/>
    <xf numFmtId="0" fontId="10" fillId="4" borderId="17" xfId="0" applyFont="1" applyFill="1" applyBorder="1"/>
    <xf numFmtId="0" fontId="10" fillId="3" borderId="36" xfId="0" applyFont="1" applyFill="1" applyBorder="1" applyAlignment="1">
      <alignment horizontal="center"/>
    </xf>
    <xf numFmtId="0" fontId="10" fillId="3" borderId="37" xfId="0" applyFont="1" applyFill="1" applyBorder="1" applyAlignment="1">
      <alignment horizontal="center" vertical="center"/>
    </xf>
    <xf numFmtId="0" fontId="10" fillId="4" borderId="8" xfId="0" applyFont="1" applyFill="1" applyBorder="1"/>
    <xf numFmtId="0" fontId="10" fillId="3" borderId="36" xfId="0" applyFont="1" applyFill="1" applyBorder="1" applyAlignment="1">
      <alignment horizontal="center" vertical="center"/>
    </xf>
    <xf numFmtId="0" fontId="10" fillId="2" borderId="38" xfId="0" applyFont="1" applyFill="1" applyBorder="1" applyAlignment="1">
      <alignment horizontal="center" vertical="center"/>
    </xf>
    <xf numFmtId="0" fontId="10" fillId="2" borderId="37" xfId="0" applyFont="1" applyFill="1" applyBorder="1" applyAlignment="1">
      <alignment horizontal="center"/>
    </xf>
    <xf numFmtId="0" fontId="12" fillId="0" borderId="0" xfId="0" applyFont="1"/>
    <xf numFmtId="0" fontId="10" fillId="0" borderId="0" xfId="0" applyFont="1" applyAlignment="1">
      <alignment horizontal="center" vertical="center"/>
    </xf>
    <xf numFmtId="0" fontId="9" fillId="0" borderId="0" xfId="0" applyFont="1"/>
    <xf numFmtId="0" fontId="11" fillId="0" borderId="0" xfId="0" applyFont="1"/>
    <xf numFmtId="0" fontId="8" fillId="0" borderId="1" xfId="0" applyFont="1" applyFill="1" applyBorder="1" applyAlignment="1">
      <alignment horizontal="center" vertical="center"/>
    </xf>
    <xf numFmtId="0" fontId="8" fillId="0" borderId="19" xfId="0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vertical="center"/>
    </xf>
    <xf numFmtId="0" fontId="7" fillId="0" borderId="19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0" borderId="36" xfId="0" applyFont="1" applyFill="1" applyBorder="1" applyAlignment="1">
      <alignment horizontal="center" vertical="center"/>
    </xf>
    <xf numFmtId="0" fontId="8" fillId="0" borderId="17" xfId="0" applyFont="1" applyFill="1" applyBorder="1" applyAlignment="1">
      <alignment horizontal="center" vertical="center"/>
    </xf>
    <xf numFmtId="0" fontId="8" fillId="0" borderId="37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3" xfId="0" applyFont="1" applyFill="1" applyBorder="1" applyAlignment="1">
      <alignment horizontal="center" vertical="center"/>
    </xf>
    <xf numFmtId="0" fontId="8" fillId="0" borderId="20" xfId="0" applyFont="1" applyFill="1" applyBorder="1" applyAlignment="1">
      <alignment horizontal="center" vertical="center"/>
    </xf>
    <xf numFmtId="0" fontId="7" fillId="0" borderId="10" xfId="0" applyFont="1" applyFill="1" applyBorder="1" applyAlignment="1">
      <alignment horizontal="center" vertical="center"/>
    </xf>
    <xf numFmtId="0" fontId="7" fillId="0" borderId="1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33" xfId="0" applyFont="1" applyFill="1" applyBorder="1" applyAlignment="1">
      <alignment horizontal="center" vertical="center"/>
    </xf>
    <xf numFmtId="0" fontId="2" fillId="0" borderId="34" xfId="0" applyFont="1" applyFill="1" applyBorder="1" applyAlignment="1">
      <alignment horizontal="center" vertical="center"/>
    </xf>
    <xf numFmtId="0" fontId="2" fillId="0" borderId="35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2" fillId="0" borderId="21" xfId="0" applyFont="1" applyFill="1" applyBorder="1" applyAlignment="1">
      <alignment horizontal="center" vertical="center"/>
    </xf>
    <xf numFmtId="0" fontId="2" fillId="0" borderId="22" xfId="0" applyFont="1" applyFill="1" applyBorder="1" applyAlignment="1">
      <alignment horizontal="center" vertical="center"/>
    </xf>
    <xf numFmtId="0" fontId="2" fillId="0" borderId="19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0" fontId="0" fillId="0" borderId="20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19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/>
    </xf>
    <xf numFmtId="0" fontId="2" fillId="0" borderId="3" xfId="0" applyFont="1" applyFill="1" applyBorder="1" applyAlignment="1">
      <alignment horizontal="center"/>
    </xf>
    <xf numFmtId="0" fontId="2" fillId="0" borderId="20" xfId="0" applyFont="1" applyFill="1" applyBorder="1" applyAlignment="1">
      <alignment horizontal="center"/>
    </xf>
    <xf numFmtId="0" fontId="0" fillId="0" borderId="2" xfId="0" applyFont="1" applyFill="1" applyBorder="1" applyAlignment="1">
      <alignment horizontal="center"/>
    </xf>
    <xf numFmtId="0" fontId="0" fillId="0" borderId="3" xfId="0" applyFont="1" applyFill="1" applyBorder="1" applyAlignment="1">
      <alignment horizontal="center"/>
    </xf>
    <xf numFmtId="0" fontId="0" fillId="0" borderId="20" xfId="0" applyFont="1" applyFill="1" applyBorder="1" applyAlignment="1">
      <alignment horizontal="center"/>
    </xf>
    <xf numFmtId="0" fontId="2" fillId="0" borderId="25" xfId="0" applyFont="1" applyFill="1" applyBorder="1" applyAlignment="1">
      <alignment horizontal="center" vertical="center"/>
    </xf>
    <xf numFmtId="0" fontId="2" fillId="0" borderId="26" xfId="0" applyFont="1" applyFill="1" applyBorder="1" applyAlignment="1">
      <alignment horizontal="center" vertical="center"/>
    </xf>
    <xf numFmtId="0" fontId="2" fillId="0" borderId="27" xfId="0" applyFont="1" applyFill="1" applyBorder="1" applyAlignment="1">
      <alignment horizontal="center" vertical="center"/>
    </xf>
    <xf numFmtId="0" fontId="4" fillId="0" borderId="1" xfId="0" applyFont="1" applyFill="1" applyBorder="1" applyAlignment="1">
      <alignment horizontal="center" vertical="center"/>
    </xf>
    <xf numFmtId="0" fontId="4" fillId="0" borderId="19" xfId="0" applyFont="1" applyFill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/>
    </xf>
    <xf numFmtId="0" fontId="3" fillId="0" borderId="19" xfId="0" applyFont="1" applyFill="1" applyBorder="1" applyAlignment="1">
      <alignment horizontal="center" vertical="center"/>
    </xf>
    <xf numFmtId="0" fontId="4" fillId="0" borderId="8" xfId="0" applyFont="1" applyFill="1" applyBorder="1" applyAlignment="1">
      <alignment horizontal="center" vertical="center"/>
    </xf>
    <xf numFmtId="0" fontId="4" fillId="0" borderId="36" xfId="0" applyFont="1" applyFill="1" applyBorder="1" applyAlignment="1">
      <alignment horizontal="center" vertical="center"/>
    </xf>
  </cellXfs>
  <cellStyles count="1">
    <cellStyle name="Normal" xfId="0" builtinId="0"/>
  </cellStyles>
  <dxfs count="1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EFAF8"/>
      <color rgb="FFFDF1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U78"/>
  <sheetViews>
    <sheetView rightToLeft="1" zoomScale="115" zoomScaleNormal="115" zoomScaleSheetLayoutView="100" workbookViewId="0">
      <pane ySplit="1" topLeftCell="A2" activePane="bottomLeft" state="frozen"/>
      <selection pane="bottomLeft" activeCell="AU4" sqref="AU4"/>
    </sheetView>
  </sheetViews>
  <sheetFormatPr defaultRowHeight="15" x14ac:dyDescent="0.25"/>
  <cols>
    <col min="1" max="1" width="7.140625" style="122" customWidth="1"/>
    <col min="2" max="2" width="8" style="85" bestFit="1" customWidth="1"/>
    <col min="3" max="3" width="12.140625" style="85" hidden="1" customWidth="1"/>
    <col min="4" max="4" width="8" style="85" customWidth="1"/>
    <col min="5" max="5" width="9.5703125" style="85" customWidth="1"/>
    <col min="6" max="7" width="11.28515625" style="85" hidden="1" customWidth="1"/>
    <col min="8" max="8" width="6.85546875" style="123" hidden="1" customWidth="1"/>
    <col min="9" max="10" width="8.5703125" style="123" hidden="1" customWidth="1"/>
    <col min="11" max="12" width="9.28515625" style="123" hidden="1" customWidth="1"/>
    <col min="13" max="14" width="12.140625" style="123" hidden="1" customWidth="1"/>
    <col min="15" max="15" width="6.7109375" style="123" customWidth="1"/>
    <col min="16" max="16" width="13" style="121" hidden="1" customWidth="1"/>
    <col min="17" max="17" width="15.85546875" style="121" hidden="1" customWidth="1"/>
    <col min="18" max="18" width="13" style="121" hidden="1" customWidth="1"/>
    <col min="19" max="19" width="16.28515625" style="121" hidden="1" customWidth="1"/>
    <col min="20" max="21" width="9.28515625" style="121" hidden="1" customWidth="1"/>
    <col min="22" max="22" width="6.42578125" style="121" customWidth="1"/>
    <col min="23" max="23" width="13" style="121" hidden="1" customWidth="1"/>
    <col min="24" max="24" width="13.7109375" style="121" hidden="1" customWidth="1"/>
    <col min="25" max="25" width="13" style="121" hidden="1" customWidth="1"/>
    <col min="26" max="26" width="8.85546875" style="121" hidden="1" customWidth="1"/>
    <col min="27" max="27" width="7.5703125" style="121" hidden="1" customWidth="1"/>
    <col min="28" max="28" width="8.85546875" style="121" hidden="1" customWidth="1"/>
    <col min="29" max="29" width="8.42578125" style="121" customWidth="1"/>
    <col min="30" max="32" width="8.42578125" style="121" hidden="1" customWidth="1"/>
    <col min="33" max="33" width="13" style="121" hidden="1" customWidth="1"/>
    <col min="34" max="35" width="8.42578125" style="121" hidden="1" customWidth="1"/>
    <col min="36" max="39" width="8.42578125" style="121" customWidth="1"/>
    <col min="40" max="40" width="13" style="121" customWidth="1"/>
    <col min="41" max="43" width="8.42578125" style="121" customWidth="1"/>
    <col min="44" max="44" width="12.42578125" style="121" customWidth="1"/>
    <col min="45" max="45" width="14.42578125" style="121" customWidth="1"/>
    <col min="46" max="46" width="10.42578125" style="85" customWidth="1"/>
    <col min="47" max="16384" width="9.140625" style="85"/>
  </cols>
  <sheetData>
    <row r="1" spans="1:47" ht="60.75" thickBot="1" x14ac:dyDescent="0.3">
      <c r="A1" s="77" t="s">
        <v>0</v>
      </c>
      <c r="B1" s="78" t="s">
        <v>1</v>
      </c>
      <c r="C1" s="78" t="s">
        <v>109</v>
      </c>
      <c r="D1" s="78" t="s">
        <v>3</v>
      </c>
      <c r="E1" s="78" t="s">
        <v>4</v>
      </c>
      <c r="F1" s="79" t="s">
        <v>78</v>
      </c>
      <c r="G1" s="79" t="s">
        <v>65</v>
      </c>
      <c r="H1" s="79" t="s">
        <v>2</v>
      </c>
      <c r="I1" s="77" t="s">
        <v>47</v>
      </c>
      <c r="J1" s="78" t="s">
        <v>48</v>
      </c>
      <c r="K1" s="78" t="s">
        <v>49</v>
      </c>
      <c r="L1" s="78" t="s">
        <v>50</v>
      </c>
      <c r="M1" s="80" t="s">
        <v>63</v>
      </c>
      <c r="N1" s="80" t="s">
        <v>64</v>
      </c>
      <c r="O1" s="81" t="s">
        <v>62</v>
      </c>
      <c r="P1" s="77" t="s">
        <v>38</v>
      </c>
      <c r="Q1" s="78" t="s">
        <v>39</v>
      </c>
      <c r="R1" s="78" t="s">
        <v>40</v>
      </c>
      <c r="S1" s="78" t="s">
        <v>41</v>
      </c>
      <c r="T1" s="80" t="s">
        <v>42</v>
      </c>
      <c r="U1" s="80" t="s">
        <v>43</v>
      </c>
      <c r="V1" s="81" t="s">
        <v>61</v>
      </c>
      <c r="W1" s="77" t="s">
        <v>57</v>
      </c>
      <c r="X1" s="78" t="s">
        <v>58</v>
      </c>
      <c r="Y1" s="78" t="s">
        <v>59</v>
      </c>
      <c r="Z1" s="78" t="s">
        <v>60</v>
      </c>
      <c r="AA1" s="80" t="s">
        <v>51</v>
      </c>
      <c r="AB1" s="80" t="s">
        <v>52</v>
      </c>
      <c r="AC1" s="81" t="s">
        <v>53</v>
      </c>
      <c r="AD1" s="77" t="s">
        <v>84</v>
      </c>
      <c r="AE1" s="78" t="s">
        <v>85</v>
      </c>
      <c r="AF1" s="78" t="s">
        <v>86</v>
      </c>
      <c r="AG1" s="78" t="s">
        <v>87</v>
      </c>
      <c r="AH1" s="80" t="s">
        <v>88</v>
      </c>
      <c r="AI1" s="80" t="s">
        <v>89</v>
      </c>
      <c r="AJ1" s="81" t="s">
        <v>90</v>
      </c>
      <c r="AK1" s="77" t="s">
        <v>149</v>
      </c>
      <c r="AL1" s="78" t="s">
        <v>150</v>
      </c>
      <c r="AM1" s="78" t="s">
        <v>151</v>
      </c>
      <c r="AN1" s="78" t="s">
        <v>152</v>
      </c>
      <c r="AO1" s="80" t="s">
        <v>153</v>
      </c>
      <c r="AP1" s="80" t="s">
        <v>154</v>
      </c>
      <c r="AQ1" s="81" t="s">
        <v>155</v>
      </c>
      <c r="AR1" s="82" t="s">
        <v>55</v>
      </c>
      <c r="AS1" s="83" t="s">
        <v>56</v>
      </c>
      <c r="AT1" s="84" t="s">
        <v>54</v>
      </c>
      <c r="AU1" s="84" t="s">
        <v>165</v>
      </c>
    </row>
    <row r="2" spans="1:47" x14ac:dyDescent="0.25">
      <c r="A2" s="86">
        <v>11</v>
      </c>
      <c r="B2" s="87" t="s">
        <v>10</v>
      </c>
      <c r="C2" s="87" t="str">
        <f>B2&amp;" "&amp;A2</f>
        <v>סברינה 11</v>
      </c>
      <c r="D2" s="88" t="s">
        <v>6</v>
      </c>
      <c r="E2" s="88" t="s">
        <v>7</v>
      </c>
      <c r="F2" s="90"/>
      <c r="G2" s="101">
        <v>43515</v>
      </c>
      <c r="H2" s="91"/>
      <c r="I2" s="92">
        <v>1</v>
      </c>
      <c r="J2" s="93"/>
      <c r="K2" s="93">
        <v>4</v>
      </c>
      <c r="L2" s="93"/>
      <c r="M2" s="94">
        <f>I2*3+K2</f>
        <v>7</v>
      </c>
      <c r="N2" s="94">
        <f>J2*3+L2</f>
        <v>0</v>
      </c>
      <c r="O2" s="95">
        <f>N2+M2</f>
        <v>7</v>
      </c>
      <c r="P2" s="86">
        <v>1</v>
      </c>
      <c r="Q2" s="88"/>
      <c r="R2" s="88">
        <v>3</v>
      </c>
      <c r="S2" s="88"/>
      <c r="T2" s="94">
        <f>P2*3+R2</f>
        <v>6</v>
      </c>
      <c r="U2" s="94">
        <f>Q2*3+S2</f>
        <v>0</v>
      </c>
      <c r="V2" s="96">
        <f>U2+T2</f>
        <v>6</v>
      </c>
      <c r="W2" s="86"/>
      <c r="X2" s="88"/>
      <c r="Y2" s="88"/>
      <c r="Z2" s="88"/>
      <c r="AA2" s="97">
        <f>W2*3+Y2</f>
        <v>0</v>
      </c>
      <c r="AB2" s="97">
        <f>X2*3+Z2</f>
        <v>0</v>
      </c>
      <c r="AC2" s="98">
        <f>AB2+AA2</f>
        <v>0</v>
      </c>
      <c r="AD2" s="86"/>
      <c r="AE2" s="88">
        <v>1</v>
      </c>
      <c r="AF2" s="88">
        <v>1</v>
      </c>
      <c r="AG2" s="88">
        <v>1</v>
      </c>
      <c r="AH2" s="94">
        <f>AD2*3+AF2</f>
        <v>1</v>
      </c>
      <c r="AI2" s="94">
        <f>AE2*3+AG2</f>
        <v>4</v>
      </c>
      <c r="AJ2" s="96">
        <f>AI2+AH2</f>
        <v>5</v>
      </c>
      <c r="AK2" s="86">
        <v>1</v>
      </c>
      <c r="AL2" s="88"/>
      <c r="AM2" s="88">
        <v>1</v>
      </c>
      <c r="AN2" s="88"/>
      <c r="AO2" s="94">
        <f>AK2*3+AM2</f>
        <v>4</v>
      </c>
      <c r="AP2" s="94">
        <f>AL2*3+AN2</f>
        <v>0</v>
      </c>
      <c r="AQ2" s="96">
        <f>AP2+AO2</f>
        <v>4</v>
      </c>
      <c r="AR2" s="99">
        <f>AO2+AH2+AA2</f>
        <v>5</v>
      </c>
      <c r="AS2" s="99">
        <f>AP2+AI2+AB2</f>
        <v>4</v>
      </c>
      <c r="AT2" s="100">
        <f>AS2+AR2</f>
        <v>9</v>
      </c>
      <c r="AU2" s="100">
        <f>SUM(AQ2,AJ2,AC2,V2,O2)</f>
        <v>22</v>
      </c>
    </row>
    <row r="3" spans="1:47" x14ac:dyDescent="0.25">
      <c r="A3" s="86">
        <v>11</v>
      </c>
      <c r="B3" s="87" t="s">
        <v>16</v>
      </c>
      <c r="C3" s="87" t="str">
        <f>B3&amp;" "&amp;A3</f>
        <v>עדן 11</v>
      </c>
      <c r="D3" s="88" t="s">
        <v>6</v>
      </c>
      <c r="E3" s="88" t="s">
        <v>7</v>
      </c>
      <c r="F3" s="90"/>
      <c r="G3" s="101">
        <v>43490</v>
      </c>
      <c r="H3" s="91" t="s">
        <v>66</v>
      </c>
      <c r="I3" s="92">
        <v>1</v>
      </c>
      <c r="J3" s="93"/>
      <c r="K3" s="93">
        <v>4</v>
      </c>
      <c r="L3" s="93"/>
      <c r="M3" s="94">
        <f>I3*3+K3</f>
        <v>7</v>
      </c>
      <c r="N3" s="94">
        <f>J3*3+L3</f>
        <v>0</v>
      </c>
      <c r="O3" s="95">
        <f>N3+M3</f>
        <v>7</v>
      </c>
      <c r="P3" s="86"/>
      <c r="Q3" s="88"/>
      <c r="R3" s="88">
        <v>3</v>
      </c>
      <c r="S3" s="88"/>
      <c r="T3" s="94">
        <f>P3*3+R3</f>
        <v>3</v>
      </c>
      <c r="U3" s="94">
        <f>Q3*3+S3</f>
        <v>0</v>
      </c>
      <c r="V3" s="96">
        <f>U3+T3</f>
        <v>3</v>
      </c>
      <c r="W3" s="86">
        <v>1</v>
      </c>
      <c r="X3" s="88">
        <v>1</v>
      </c>
      <c r="Y3" s="88"/>
      <c r="Z3" s="88">
        <v>1</v>
      </c>
      <c r="AA3" s="97">
        <f>W3*3+Y3</f>
        <v>3</v>
      </c>
      <c r="AB3" s="97">
        <f>X3*3+Z3</f>
        <v>4</v>
      </c>
      <c r="AC3" s="98">
        <f>AB3+AA3</f>
        <v>7</v>
      </c>
      <c r="AD3" s="86"/>
      <c r="AE3" s="88"/>
      <c r="AF3" s="88">
        <v>1</v>
      </c>
      <c r="AG3" s="88"/>
      <c r="AH3" s="94">
        <f>AD3*3+AF3</f>
        <v>1</v>
      </c>
      <c r="AI3" s="94">
        <f>AE3*3+AG3</f>
        <v>0</v>
      </c>
      <c r="AJ3" s="96">
        <f>AI3+AH3</f>
        <v>1</v>
      </c>
      <c r="AK3" s="86"/>
      <c r="AL3" s="88"/>
      <c r="AM3" s="88">
        <v>2</v>
      </c>
      <c r="AN3" s="88"/>
      <c r="AO3" s="94">
        <f>AK3*3+AM3</f>
        <v>2</v>
      </c>
      <c r="AP3" s="94">
        <f>AL3*3+AN3</f>
        <v>0</v>
      </c>
      <c r="AQ3" s="96">
        <f>AP3+AO3</f>
        <v>2</v>
      </c>
      <c r="AR3" s="99">
        <f>AO3+AH3+AA3</f>
        <v>6</v>
      </c>
      <c r="AS3" s="99">
        <f>AP3+AI3+AB3</f>
        <v>4</v>
      </c>
      <c r="AT3" s="100">
        <f>AS3+AR3</f>
        <v>10</v>
      </c>
      <c r="AU3" s="100">
        <f>SUM(AQ3,AJ3,AC3,V3,O3)</f>
        <v>20</v>
      </c>
    </row>
    <row r="4" spans="1:47" x14ac:dyDescent="0.25">
      <c r="A4" s="86">
        <v>679</v>
      </c>
      <c r="B4" s="87" t="s">
        <v>14</v>
      </c>
      <c r="C4" s="87" t="str">
        <f>B4&amp;" "&amp;A4</f>
        <v>מירב 679</v>
      </c>
      <c r="D4" s="88" t="s">
        <v>6</v>
      </c>
      <c r="E4" s="88" t="s">
        <v>7</v>
      </c>
      <c r="F4" s="102"/>
      <c r="G4" s="103">
        <v>43421</v>
      </c>
      <c r="H4" s="91"/>
      <c r="I4" s="92">
        <v>1</v>
      </c>
      <c r="J4" s="93"/>
      <c r="K4" s="93">
        <v>3</v>
      </c>
      <c r="L4" s="93">
        <v>1</v>
      </c>
      <c r="M4" s="94">
        <f>I4*3+K4</f>
        <v>6</v>
      </c>
      <c r="N4" s="94">
        <f>J4*3+L4</f>
        <v>1</v>
      </c>
      <c r="O4" s="95">
        <f>N4+M4</f>
        <v>7</v>
      </c>
      <c r="P4" s="86"/>
      <c r="Q4" s="88"/>
      <c r="R4" s="88">
        <v>1</v>
      </c>
      <c r="S4" s="88">
        <v>1</v>
      </c>
      <c r="T4" s="94">
        <f>P4*3+R4</f>
        <v>1</v>
      </c>
      <c r="U4" s="94">
        <f>Q4*3+S4</f>
        <v>1</v>
      </c>
      <c r="V4" s="96">
        <f>U4+T4</f>
        <v>2</v>
      </c>
      <c r="W4" s="86"/>
      <c r="X4" s="88"/>
      <c r="Y4" s="88">
        <v>3</v>
      </c>
      <c r="Z4" s="88"/>
      <c r="AA4" s="97">
        <f>W4*3+Y4</f>
        <v>3</v>
      </c>
      <c r="AB4" s="97">
        <f>X4*3+Z4</f>
        <v>0</v>
      </c>
      <c r="AC4" s="98">
        <f>AB4+AA4</f>
        <v>3</v>
      </c>
      <c r="AD4" s="86"/>
      <c r="AE4" s="88">
        <v>1</v>
      </c>
      <c r="AF4" s="88">
        <v>1</v>
      </c>
      <c r="AG4" s="88">
        <v>1</v>
      </c>
      <c r="AH4" s="94">
        <f>AD4*3+AF4</f>
        <v>1</v>
      </c>
      <c r="AI4" s="94">
        <f>AE4*3+AG4</f>
        <v>4</v>
      </c>
      <c r="AJ4" s="96">
        <f>AI4+AH4</f>
        <v>5</v>
      </c>
      <c r="AK4" s="86">
        <v>1</v>
      </c>
      <c r="AL4" s="88"/>
      <c r="AM4" s="88"/>
      <c r="AN4" s="88"/>
      <c r="AO4" s="94">
        <f>AK4*3+AM4</f>
        <v>3</v>
      </c>
      <c r="AP4" s="94">
        <f>AL4*3+AN4</f>
        <v>0</v>
      </c>
      <c r="AQ4" s="96">
        <f>AP4+AO4</f>
        <v>3</v>
      </c>
      <c r="AR4" s="99">
        <f>AO4+AH4+AA4</f>
        <v>7</v>
      </c>
      <c r="AS4" s="99">
        <f>AP4+AI4+AB4</f>
        <v>4</v>
      </c>
      <c r="AT4" s="100">
        <f>AS4+AR4</f>
        <v>11</v>
      </c>
      <c r="AU4" s="100">
        <f>SUM(AQ4,AJ4,AC4,V4,O4)</f>
        <v>20</v>
      </c>
    </row>
    <row r="5" spans="1:47" x14ac:dyDescent="0.25">
      <c r="A5" s="86">
        <v>679</v>
      </c>
      <c r="B5" s="87" t="s">
        <v>5</v>
      </c>
      <c r="C5" s="87" t="str">
        <f>B5&amp;" "&amp;A5</f>
        <v>מאי 679</v>
      </c>
      <c r="D5" s="88" t="s">
        <v>6</v>
      </c>
      <c r="E5" s="88" t="s">
        <v>7</v>
      </c>
      <c r="F5" s="102"/>
      <c r="G5" s="103">
        <v>43360</v>
      </c>
      <c r="H5" s="91"/>
      <c r="I5" s="92"/>
      <c r="J5" s="93">
        <v>1</v>
      </c>
      <c r="K5" s="93">
        <v>2</v>
      </c>
      <c r="L5" s="93"/>
      <c r="M5" s="94">
        <f>I5*3+K5</f>
        <v>2</v>
      </c>
      <c r="N5" s="94">
        <f>J5*3+L5</f>
        <v>3</v>
      </c>
      <c r="O5" s="95">
        <f>N5+M5</f>
        <v>5</v>
      </c>
      <c r="P5" s="86">
        <v>1</v>
      </c>
      <c r="Q5" s="88"/>
      <c r="R5" s="88">
        <v>1</v>
      </c>
      <c r="S5" s="88">
        <v>1</v>
      </c>
      <c r="T5" s="94">
        <f>P5*3+R5</f>
        <v>4</v>
      </c>
      <c r="U5" s="94">
        <f>Q5*3+S5</f>
        <v>1</v>
      </c>
      <c r="V5" s="96">
        <f>U5+T5</f>
        <v>5</v>
      </c>
      <c r="W5" s="86"/>
      <c r="X5" s="88">
        <v>1</v>
      </c>
      <c r="Y5" s="88">
        <v>2</v>
      </c>
      <c r="Z5" s="88"/>
      <c r="AA5" s="97">
        <f>W5*3+Y5</f>
        <v>2</v>
      </c>
      <c r="AB5" s="97">
        <f>X5*3+Z5</f>
        <v>3</v>
      </c>
      <c r="AC5" s="98">
        <f>AB5+AA5</f>
        <v>5</v>
      </c>
      <c r="AD5" s="86"/>
      <c r="AE5" s="88"/>
      <c r="AF5" s="88">
        <v>2</v>
      </c>
      <c r="AG5" s="88"/>
      <c r="AH5" s="94">
        <f>AD5*3+AF5</f>
        <v>2</v>
      </c>
      <c r="AI5" s="94">
        <f>AE5*3+AG5</f>
        <v>0</v>
      </c>
      <c r="AJ5" s="96">
        <f>AI5+AH5</f>
        <v>2</v>
      </c>
      <c r="AK5" s="86">
        <v>1</v>
      </c>
      <c r="AL5" s="88"/>
      <c r="AM5" s="88"/>
      <c r="AN5" s="88"/>
      <c r="AO5" s="94">
        <f>AK5*3+AM5</f>
        <v>3</v>
      </c>
      <c r="AP5" s="94">
        <f>AL5*3+AN5</f>
        <v>0</v>
      </c>
      <c r="AQ5" s="96">
        <f>AP5+AO5</f>
        <v>3</v>
      </c>
      <c r="AR5" s="99">
        <f>AO5+AH5+AA5</f>
        <v>7</v>
      </c>
      <c r="AS5" s="99">
        <f>AP5+AI5+AB5</f>
        <v>3</v>
      </c>
      <c r="AT5" s="100">
        <f>AS5+AR5</f>
        <v>10</v>
      </c>
      <c r="AU5" s="100">
        <f>SUM(AQ5,AJ5,AC5,V5,O5)</f>
        <v>20</v>
      </c>
    </row>
    <row r="6" spans="1:47" x14ac:dyDescent="0.25">
      <c r="A6" s="86">
        <v>9</v>
      </c>
      <c r="B6" s="87" t="s">
        <v>8</v>
      </c>
      <c r="C6" s="87" t="str">
        <f>B6&amp;" "&amp;A6</f>
        <v>יובל 9</v>
      </c>
      <c r="D6" s="88" t="s">
        <v>6</v>
      </c>
      <c r="E6" s="88" t="s">
        <v>7</v>
      </c>
      <c r="F6" s="90"/>
      <c r="G6" s="103">
        <v>43139</v>
      </c>
      <c r="H6" s="91"/>
      <c r="I6" s="92"/>
      <c r="J6" s="93">
        <v>1</v>
      </c>
      <c r="K6" s="93">
        <v>2</v>
      </c>
      <c r="L6" s="93"/>
      <c r="M6" s="94">
        <f>I6*3+K6</f>
        <v>2</v>
      </c>
      <c r="N6" s="94">
        <f>J6*3+L6</f>
        <v>3</v>
      </c>
      <c r="O6" s="95">
        <f>N6+M6</f>
        <v>5</v>
      </c>
      <c r="P6" s="86"/>
      <c r="Q6" s="88"/>
      <c r="R6" s="88">
        <v>3</v>
      </c>
      <c r="S6" s="88">
        <v>2</v>
      </c>
      <c r="T6" s="94">
        <f>P6*3+R6</f>
        <v>3</v>
      </c>
      <c r="U6" s="94">
        <f>Q6*3+S6</f>
        <v>2</v>
      </c>
      <c r="V6" s="96">
        <f>U6+T6</f>
        <v>5</v>
      </c>
      <c r="W6" s="86">
        <v>1</v>
      </c>
      <c r="X6" s="88"/>
      <c r="Y6" s="88">
        <v>1</v>
      </c>
      <c r="Z6" s="88"/>
      <c r="AA6" s="97">
        <f>W6*3+Y6</f>
        <v>4</v>
      </c>
      <c r="AB6" s="97">
        <f>X6*3+Z6</f>
        <v>0</v>
      </c>
      <c r="AC6" s="98">
        <f>AB6+AA6</f>
        <v>4</v>
      </c>
      <c r="AD6" s="86"/>
      <c r="AE6" s="88"/>
      <c r="AF6" s="88"/>
      <c r="AG6" s="88">
        <v>2</v>
      </c>
      <c r="AH6" s="94">
        <f>AD6*3+AF6</f>
        <v>0</v>
      </c>
      <c r="AI6" s="94">
        <f>AE6*3+AG6</f>
        <v>2</v>
      </c>
      <c r="AJ6" s="96">
        <f>AI6+AH6</f>
        <v>2</v>
      </c>
      <c r="AK6" s="86"/>
      <c r="AL6" s="88">
        <v>1</v>
      </c>
      <c r="AM6" s="88"/>
      <c r="AN6" s="88"/>
      <c r="AO6" s="94">
        <f>AK6*3+AM6</f>
        <v>0</v>
      </c>
      <c r="AP6" s="94">
        <f>AL6*3+AN6</f>
        <v>3</v>
      </c>
      <c r="AQ6" s="96">
        <f>AP6+AO6</f>
        <v>3</v>
      </c>
      <c r="AR6" s="99">
        <f>AO6+AH6+AA6</f>
        <v>4</v>
      </c>
      <c r="AS6" s="99">
        <f>AP6+AI6+AB6</f>
        <v>5</v>
      </c>
      <c r="AT6" s="100">
        <f>AS6+AR6</f>
        <v>9</v>
      </c>
      <c r="AU6" s="100">
        <f>SUM(AQ6,AJ6,AC6,V6,O6)</f>
        <v>19</v>
      </c>
    </row>
    <row r="7" spans="1:47" x14ac:dyDescent="0.25">
      <c r="A7" s="86">
        <v>9</v>
      </c>
      <c r="B7" s="87" t="s">
        <v>20</v>
      </c>
      <c r="C7" s="87" t="str">
        <f>B7&amp;" "&amp;A7</f>
        <v>קארין 9</v>
      </c>
      <c r="D7" s="88" t="s">
        <v>6</v>
      </c>
      <c r="E7" s="88" t="s">
        <v>7</v>
      </c>
      <c r="F7" s="90"/>
      <c r="G7" s="103">
        <v>43490</v>
      </c>
      <c r="H7" s="91" t="s">
        <v>66</v>
      </c>
      <c r="I7" s="92"/>
      <c r="J7" s="93"/>
      <c r="K7" s="93">
        <v>2</v>
      </c>
      <c r="L7" s="93"/>
      <c r="M7" s="94">
        <f>I7*3+K7</f>
        <v>2</v>
      </c>
      <c r="N7" s="94">
        <f>J7*3+L7</f>
        <v>0</v>
      </c>
      <c r="O7" s="95">
        <f>N7+M7</f>
        <v>2</v>
      </c>
      <c r="P7" s="86"/>
      <c r="Q7" s="88"/>
      <c r="R7" s="88">
        <v>1</v>
      </c>
      <c r="S7" s="88">
        <v>2</v>
      </c>
      <c r="T7" s="94">
        <f>P7*3+R7</f>
        <v>1</v>
      </c>
      <c r="U7" s="94">
        <f>Q7*3+S7</f>
        <v>2</v>
      </c>
      <c r="V7" s="96">
        <f>U7+T7</f>
        <v>3</v>
      </c>
      <c r="W7" s="86"/>
      <c r="X7" s="88"/>
      <c r="Y7" s="88">
        <v>4</v>
      </c>
      <c r="Z7" s="88"/>
      <c r="AA7" s="97">
        <f>W7*3+Y7</f>
        <v>4</v>
      </c>
      <c r="AB7" s="97">
        <f>X7*3+Z7</f>
        <v>0</v>
      </c>
      <c r="AC7" s="98">
        <f>AB7+AA7</f>
        <v>4</v>
      </c>
      <c r="AD7" s="86"/>
      <c r="AE7" s="88">
        <v>1</v>
      </c>
      <c r="AF7" s="88">
        <v>1</v>
      </c>
      <c r="AG7" s="88">
        <v>2</v>
      </c>
      <c r="AH7" s="94">
        <f>AD7*3+AF7</f>
        <v>1</v>
      </c>
      <c r="AI7" s="94">
        <f>AE7*3+AG7</f>
        <v>5</v>
      </c>
      <c r="AJ7" s="96">
        <f>AI7+AH7</f>
        <v>6</v>
      </c>
      <c r="AK7" s="86">
        <v>1</v>
      </c>
      <c r="AL7" s="88"/>
      <c r="AM7" s="88"/>
      <c r="AN7" s="88"/>
      <c r="AO7" s="94">
        <f>AK7*3+AM7</f>
        <v>3</v>
      </c>
      <c r="AP7" s="94">
        <f>AL7*3+AN7</f>
        <v>0</v>
      </c>
      <c r="AQ7" s="96">
        <f>AP7+AO7</f>
        <v>3</v>
      </c>
      <c r="AR7" s="99">
        <f>AO7+AH7+AA7</f>
        <v>8</v>
      </c>
      <c r="AS7" s="99">
        <f>AP7+AI7+AB7</f>
        <v>5</v>
      </c>
      <c r="AT7" s="100">
        <f>AS7+AR7</f>
        <v>13</v>
      </c>
      <c r="AU7" s="100">
        <f>SUM(AQ7,AJ7,AC7,V7,O7)</f>
        <v>18</v>
      </c>
    </row>
    <row r="8" spans="1:47" x14ac:dyDescent="0.25">
      <c r="A8" s="86">
        <v>11</v>
      </c>
      <c r="B8" s="87" t="s">
        <v>12</v>
      </c>
      <c r="C8" s="87" t="str">
        <f>B8&amp;" "&amp;A8</f>
        <v>טאי 11</v>
      </c>
      <c r="D8" s="88" t="s">
        <v>6</v>
      </c>
      <c r="E8" s="88" t="s">
        <v>7</v>
      </c>
      <c r="F8" s="90"/>
      <c r="G8" s="103">
        <v>43360</v>
      </c>
      <c r="H8" s="91"/>
      <c r="I8" s="92">
        <v>1</v>
      </c>
      <c r="J8" s="93"/>
      <c r="K8" s="93">
        <v>1</v>
      </c>
      <c r="L8" s="93">
        <v>1</v>
      </c>
      <c r="M8" s="94">
        <f>I8*3+K8</f>
        <v>4</v>
      </c>
      <c r="N8" s="94">
        <f>J8*3+L8</f>
        <v>1</v>
      </c>
      <c r="O8" s="95">
        <f>N8+M8</f>
        <v>5</v>
      </c>
      <c r="P8" s="86">
        <v>1</v>
      </c>
      <c r="Q8" s="88"/>
      <c r="R8" s="88"/>
      <c r="S8" s="88">
        <v>1</v>
      </c>
      <c r="T8" s="94">
        <f>P8*3+R8</f>
        <v>3</v>
      </c>
      <c r="U8" s="94">
        <f>Q8*3+S8</f>
        <v>1</v>
      </c>
      <c r="V8" s="96">
        <f>U8+T8</f>
        <v>4</v>
      </c>
      <c r="W8" s="86"/>
      <c r="X8" s="88"/>
      <c r="Y8" s="88">
        <v>2</v>
      </c>
      <c r="Z8" s="88"/>
      <c r="AA8" s="97">
        <f>W8*3+Y8</f>
        <v>2</v>
      </c>
      <c r="AB8" s="97">
        <f>X8*3+Z8</f>
        <v>0</v>
      </c>
      <c r="AC8" s="98">
        <f>AB8+AA8</f>
        <v>2</v>
      </c>
      <c r="AD8" s="86">
        <v>1</v>
      </c>
      <c r="AE8" s="88"/>
      <c r="AF8" s="88">
        <v>1</v>
      </c>
      <c r="AG8" s="88"/>
      <c r="AH8" s="94">
        <f>AD8*3+AF8</f>
        <v>4</v>
      </c>
      <c r="AI8" s="94">
        <f>AE8*3+AG8</f>
        <v>0</v>
      </c>
      <c r="AJ8" s="96">
        <f>AI8+AH8</f>
        <v>4</v>
      </c>
      <c r="AK8" s="86"/>
      <c r="AL8" s="88"/>
      <c r="AM8" s="88">
        <v>2</v>
      </c>
      <c r="AN8" s="88">
        <v>1</v>
      </c>
      <c r="AO8" s="94">
        <f>AK8*3+AM8</f>
        <v>2</v>
      </c>
      <c r="AP8" s="94">
        <f>AL8*3+AN8</f>
        <v>1</v>
      </c>
      <c r="AQ8" s="96">
        <f>AP8+AO8</f>
        <v>3</v>
      </c>
      <c r="AR8" s="99">
        <f>AO8+AH8+AA8</f>
        <v>8</v>
      </c>
      <c r="AS8" s="99">
        <f>AP8+AI8+AB8</f>
        <v>1</v>
      </c>
      <c r="AT8" s="100">
        <f>AS8+AR8</f>
        <v>9</v>
      </c>
      <c r="AU8" s="100">
        <f>SUM(AQ8,AJ8,AC8,V8,O8)</f>
        <v>18</v>
      </c>
    </row>
    <row r="9" spans="1:47" x14ac:dyDescent="0.25">
      <c r="A9" s="86" t="s">
        <v>23</v>
      </c>
      <c r="B9" s="87" t="s">
        <v>28</v>
      </c>
      <c r="C9" s="87" t="str">
        <f>B9&amp;" "&amp;A9</f>
        <v>מורז מפאוג</v>
      </c>
      <c r="D9" s="88" t="s">
        <v>6</v>
      </c>
      <c r="E9" s="88" t="s">
        <v>7</v>
      </c>
      <c r="F9" s="90"/>
      <c r="G9" s="103">
        <v>43416</v>
      </c>
      <c r="H9" s="91"/>
      <c r="I9" s="92">
        <v>1</v>
      </c>
      <c r="J9" s="93"/>
      <c r="K9" s="93">
        <v>1</v>
      </c>
      <c r="L9" s="93"/>
      <c r="M9" s="94">
        <f>I9*3+K9</f>
        <v>4</v>
      </c>
      <c r="N9" s="94">
        <f>J9*3+L9</f>
        <v>0</v>
      </c>
      <c r="O9" s="95">
        <f>N9+M9</f>
        <v>4</v>
      </c>
      <c r="P9" s="86">
        <v>1</v>
      </c>
      <c r="Q9" s="88"/>
      <c r="R9" s="88">
        <v>2</v>
      </c>
      <c r="S9" s="88"/>
      <c r="T9" s="94">
        <f>P9*3+R9</f>
        <v>5</v>
      </c>
      <c r="U9" s="94">
        <f>Q9*3+S9</f>
        <v>0</v>
      </c>
      <c r="V9" s="96">
        <f>U9+T9</f>
        <v>5</v>
      </c>
      <c r="W9" s="86"/>
      <c r="X9" s="88"/>
      <c r="Y9" s="88">
        <v>1</v>
      </c>
      <c r="Z9" s="88">
        <v>2</v>
      </c>
      <c r="AA9" s="97">
        <f>W9*3+Y9</f>
        <v>1</v>
      </c>
      <c r="AB9" s="97">
        <f>X9*3+Z9</f>
        <v>2</v>
      </c>
      <c r="AC9" s="98">
        <f>AB9+AA9</f>
        <v>3</v>
      </c>
      <c r="AD9" s="86">
        <v>1</v>
      </c>
      <c r="AE9" s="88"/>
      <c r="AF9" s="88"/>
      <c r="AG9" s="88"/>
      <c r="AH9" s="94">
        <f>AD9*3+AF9</f>
        <v>3</v>
      </c>
      <c r="AI9" s="94">
        <f>AE9*3+AG9</f>
        <v>0</v>
      </c>
      <c r="AJ9" s="96">
        <f>AI9+AH9</f>
        <v>3</v>
      </c>
      <c r="AK9" s="86"/>
      <c r="AL9" s="88"/>
      <c r="AM9" s="88">
        <v>2</v>
      </c>
      <c r="AN9" s="88">
        <v>1</v>
      </c>
      <c r="AO9" s="94">
        <f>AK9*3+AM9</f>
        <v>2</v>
      </c>
      <c r="AP9" s="94">
        <f>AL9*3+AN9</f>
        <v>1</v>
      </c>
      <c r="AQ9" s="96">
        <f>AP9+AO9</f>
        <v>3</v>
      </c>
      <c r="AR9" s="99">
        <f>AO9+AH9+AA9</f>
        <v>6</v>
      </c>
      <c r="AS9" s="99">
        <f>AP9+AI9+AB9</f>
        <v>3</v>
      </c>
      <c r="AT9" s="100">
        <f>AS9+AR9</f>
        <v>9</v>
      </c>
      <c r="AU9" s="100">
        <f>SUM(AQ9,AJ9,AC9,V9,O9)</f>
        <v>18</v>
      </c>
    </row>
    <row r="10" spans="1:47" x14ac:dyDescent="0.25">
      <c r="A10" s="86">
        <v>209</v>
      </c>
      <c r="B10" s="87" t="s">
        <v>18</v>
      </c>
      <c r="C10" s="87" t="str">
        <f>B10&amp;" "&amp;A10</f>
        <v>עדי 209</v>
      </c>
      <c r="D10" s="88" t="s">
        <v>7</v>
      </c>
      <c r="E10" s="88" t="s">
        <v>7</v>
      </c>
      <c r="F10" s="90"/>
      <c r="G10" s="103">
        <v>43421</v>
      </c>
      <c r="H10" s="91"/>
      <c r="I10" s="92"/>
      <c r="J10" s="93"/>
      <c r="K10" s="93"/>
      <c r="L10" s="93">
        <v>2</v>
      </c>
      <c r="M10" s="94">
        <f>I10*3+K10</f>
        <v>0</v>
      </c>
      <c r="N10" s="94">
        <f>J10*3+L10</f>
        <v>2</v>
      </c>
      <c r="O10" s="95">
        <f>N10+M10</f>
        <v>2</v>
      </c>
      <c r="P10" s="86"/>
      <c r="Q10" s="88">
        <v>1</v>
      </c>
      <c r="R10" s="88"/>
      <c r="S10" s="88">
        <v>2</v>
      </c>
      <c r="T10" s="94">
        <f>P10*3+R10</f>
        <v>0</v>
      </c>
      <c r="U10" s="94">
        <f>Q10*3+S10</f>
        <v>5</v>
      </c>
      <c r="V10" s="96">
        <f>U10+T10</f>
        <v>5</v>
      </c>
      <c r="W10" s="86"/>
      <c r="X10" s="88"/>
      <c r="Y10" s="88"/>
      <c r="Z10" s="88">
        <v>3</v>
      </c>
      <c r="AA10" s="97">
        <f>W10*3+Y10</f>
        <v>0</v>
      </c>
      <c r="AB10" s="97">
        <f>X10*3+Z10</f>
        <v>3</v>
      </c>
      <c r="AC10" s="98">
        <f>AB10+AA10</f>
        <v>3</v>
      </c>
      <c r="AD10" s="86"/>
      <c r="AE10" s="88">
        <v>1</v>
      </c>
      <c r="AF10" s="88"/>
      <c r="AG10" s="88">
        <v>2</v>
      </c>
      <c r="AH10" s="94">
        <f>AD10*3+AF10</f>
        <v>0</v>
      </c>
      <c r="AI10" s="94">
        <f>AE10*3+AG10</f>
        <v>5</v>
      </c>
      <c r="AJ10" s="96">
        <f>AI10+AH10</f>
        <v>5</v>
      </c>
      <c r="AK10" s="86"/>
      <c r="AL10" s="88"/>
      <c r="AM10" s="88"/>
      <c r="AN10" s="88">
        <v>2</v>
      </c>
      <c r="AO10" s="94">
        <f>AK10*3+AM10</f>
        <v>0</v>
      </c>
      <c r="AP10" s="94">
        <f>AL10*3+AN10</f>
        <v>2</v>
      </c>
      <c r="AQ10" s="96">
        <f>AP10+AO10</f>
        <v>2</v>
      </c>
      <c r="AR10" s="99">
        <f>AO10+AH10+AA10</f>
        <v>0</v>
      </c>
      <c r="AS10" s="99">
        <f>AP10+AI10+AB10</f>
        <v>10</v>
      </c>
      <c r="AT10" s="100">
        <f>AS10+AR10</f>
        <v>10</v>
      </c>
      <c r="AU10" s="100">
        <f>SUM(AQ10,AJ10,AC10,V10,O10)</f>
        <v>17</v>
      </c>
    </row>
    <row r="11" spans="1:47" x14ac:dyDescent="0.25">
      <c r="A11" s="86">
        <v>209</v>
      </c>
      <c r="B11" s="87" t="s">
        <v>8</v>
      </c>
      <c r="C11" s="87" t="str">
        <f>B11&amp;" "&amp;A11</f>
        <v>יובל 209</v>
      </c>
      <c r="D11" s="88" t="s">
        <v>6</v>
      </c>
      <c r="E11" s="88" t="s">
        <v>7</v>
      </c>
      <c r="F11" s="90"/>
      <c r="G11" s="101">
        <v>43437</v>
      </c>
      <c r="H11" s="91"/>
      <c r="I11" s="92"/>
      <c r="J11" s="93"/>
      <c r="K11" s="93">
        <v>2</v>
      </c>
      <c r="L11" s="93">
        <v>1</v>
      </c>
      <c r="M11" s="94">
        <f>I11*3+K11</f>
        <v>2</v>
      </c>
      <c r="N11" s="94">
        <f>J11*3+L11</f>
        <v>1</v>
      </c>
      <c r="O11" s="95">
        <f>N11+M11</f>
        <v>3</v>
      </c>
      <c r="P11" s="86"/>
      <c r="Q11" s="88">
        <v>1</v>
      </c>
      <c r="R11" s="88">
        <v>2</v>
      </c>
      <c r="S11" s="88"/>
      <c r="T11" s="94">
        <f>P11*3+R11</f>
        <v>2</v>
      </c>
      <c r="U11" s="94">
        <f>Q11*3+S11</f>
        <v>3</v>
      </c>
      <c r="V11" s="96">
        <f>U11+T11</f>
        <v>5</v>
      </c>
      <c r="W11" s="86">
        <v>1</v>
      </c>
      <c r="X11" s="88"/>
      <c r="Y11" s="88"/>
      <c r="Z11" s="88"/>
      <c r="AA11" s="97">
        <f>W11*3+Y11</f>
        <v>3</v>
      </c>
      <c r="AB11" s="97">
        <f>X11*3+Z11</f>
        <v>0</v>
      </c>
      <c r="AC11" s="98">
        <f>AB11+AA11</f>
        <v>3</v>
      </c>
      <c r="AD11" s="86"/>
      <c r="AE11" s="88"/>
      <c r="AF11" s="88">
        <v>4</v>
      </c>
      <c r="AG11" s="88"/>
      <c r="AH11" s="94">
        <f>AD11*3+AF11</f>
        <v>4</v>
      </c>
      <c r="AI11" s="94">
        <f>AE11*3+AG11</f>
        <v>0</v>
      </c>
      <c r="AJ11" s="96">
        <f>AI11+AH11</f>
        <v>4</v>
      </c>
      <c r="AK11" s="86"/>
      <c r="AL11" s="88"/>
      <c r="AM11" s="88"/>
      <c r="AN11" s="88">
        <v>2</v>
      </c>
      <c r="AO11" s="94">
        <f>AK11*3+AM11</f>
        <v>0</v>
      </c>
      <c r="AP11" s="94">
        <f>AL11*3+AN11</f>
        <v>2</v>
      </c>
      <c r="AQ11" s="96">
        <f>AP11+AO11</f>
        <v>2</v>
      </c>
      <c r="AR11" s="99">
        <f>AO11+AH11+AA11</f>
        <v>7</v>
      </c>
      <c r="AS11" s="99">
        <f>AP11+AI11+AB11</f>
        <v>2</v>
      </c>
      <c r="AT11" s="100">
        <f>AS11+AR11</f>
        <v>9</v>
      </c>
      <c r="AU11" s="100">
        <f>SUM(AQ11,AJ11,AC11,V11,O11)</f>
        <v>17</v>
      </c>
    </row>
    <row r="12" spans="1:47" x14ac:dyDescent="0.25">
      <c r="A12" s="86">
        <v>209</v>
      </c>
      <c r="B12" s="87" t="s">
        <v>17</v>
      </c>
      <c r="C12" s="87" t="str">
        <f>B12&amp;" "&amp;A12</f>
        <v>בר 209</v>
      </c>
      <c r="D12" s="88" t="s">
        <v>6</v>
      </c>
      <c r="E12" s="88" t="s">
        <v>7</v>
      </c>
      <c r="F12" s="90"/>
      <c r="G12" s="101">
        <v>43360</v>
      </c>
      <c r="H12" s="91"/>
      <c r="I12" s="92"/>
      <c r="J12" s="93">
        <v>1</v>
      </c>
      <c r="K12" s="93">
        <v>1</v>
      </c>
      <c r="L12" s="93"/>
      <c r="M12" s="94">
        <f>I12*3+K12</f>
        <v>1</v>
      </c>
      <c r="N12" s="94">
        <f>J12*3+L12</f>
        <v>3</v>
      </c>
      <c r="O12" s="95">
        <f>N12+M12</f>
        <v>4</v>
      </c>
      <c r="P12" s="86">
        <v>1</v>
      </c>
      <c r="Q12" s="88"/>
      <c r="R12" s="88">
        <v>2</v>
      </c>
      <c r="S12" s="88"/>
      <c r="T12" s="94">
        <f>P12*3+R12</f>
        <v>5</v>
      </c>
      <c r="U12" s="94">
        <f>Q12*3+S12</f>
        <v>0</v>
      </c>
      <c r="V12" s="96">
        <f>U12+T12</f>
        <v>5</v>
      </c>
      <c r="W12" s="86"/>
      <c r="X12" s="88"/>
      <c r="Y12" s="88">
        <v>2</v>
      </c>
      <c r="Z12" s="88"/>
      <c r="AA12" s="97">
        <f>W12*3+Y12</f>
        <v>2</v>
      </c>
      <c r="AB12" s="97">
        <f>X12*3+Z12</f>
        <v>0</v>
      </c>
      <c r="AC12" s="98">
        <f>AB12+AA12</f>
        <v>2</v>
      </c>
      <c r="AD12" s="86"/>
      <c r="AE12" s="88"/>
      <c r="AF12" s="88">
        <v>1</v>
      </c>
      <c r="AG12" s="88"/>
      <c r="AH12" s="94">
        <f>AD12*3+AF12</f>
        <v>1</v>
      </c>
      <c r="AI12" s="94">
        <f>AE12*3+AG12</f>
        <v>0</v>
      </c>
      <c r="AJ12" s="96">
        <f>AI12+AH12</f>
        <v>1</v>
      </c>
      <c r="AK12" s="86">
        <v>1</v>
      </c>
      <c r="AL12" s="88"/>
      <c r="AM12" s="88"/>
      <c r="AN12" s="88">
        <v>2</v>
      </c>
      <c r="AO12" s="94">
        <f>AK12*3+AM12</f>
        <v>3</v>
      </c>
      <c r="AP12" s="94">
        <f>AL12*3+AN12</f>
        <v>2</v>
      </c>
      <c r="AQ12" s="96">
        <f>AP12+AO12</f>
        <v>5</v>
      </c>
      <c r="AR12" s="99">
        <f>AO12+AH12+AA12</f>
        <v>6</v>
      </c>
      <c r="AS12" s="99">
        <f>AP12+AI12+AB12</f>
        <v>2</v>
      </c>
      <c r="AT12" s="100">
        <f>AS12+AR12</f>
        <v>8</v>
      </c>
      <c r="AU12" s="100">
        <f>SUM(AQ12,AJ12,AC12,V12,O12)</f>
        <v>17</v>
      </c>
    </row>
    <row r="13" spans="1:47" x14ac:dyDescent="0.25">
      <c r="A13" s="86">
        <v>679</v>
      </c>
      <c r="B13" s="87" t="s">
        <v>27</v>
      </c>
      <c r="C13" s="87" t="str">
        <f>B13&amp;" "&amp;A13</f>
        <v>הדס 679</v>
      </c>
      <c r="D13" s="88" t="s">
        <v>7</v>
      </c>
      <c r="E13" s="88" t="s">
        <v>7</v>
      </c>
      <c r="F13" s="90"/>
      <c r="G13" s="101">
        <v>43360</v>
      </c>
      <c r="H13" s="91"/>
      <c r="I13" s="92"/>
      <c r="J13" s="93"/>
      <c r="K13" s="93"/>
      <c r="L13" s="93">
        <v>1</v>
      </c>
      <c r="M13" s="94">
        <f>I13*3+K13</f>
        <v>0</v>
      </c>
      <c r="N13" s="94">
        <f>J13*3+L13</f>
        <v>1</v>
      </c>
      <c r="O13" s="95">
        <f>N13+M13</f>
        <v>1</v>
      </c>
      <c r="P13" s="86"/>
      <c r="Q13" s="88">
        <v>1</v>
      </c>
      <c r="R13" s="88"/>
      <c r="S13" s="88">
        <v>1</v>
      </c>
      <c r="T13" s="94">
        <f>P13*3+R13</f>
        <v>0</v>
      </c>
      <c r="U13" s="94">
        <f>Q13*3+S13</f>
        <v>4</v>
      </c>
      <c r="V13" s="96">
        <f>U13+T13</f>
        <v>4</v>
      </c>
      <c r="W13" s="86"/>
      <c r="X13" s="88">
        <v>1</v>
      </c>
      <c r="Y13" s="88"/>
      <c r="Z13" s="88">
        <v>4</v>
      </c>
      <c r="AA13" s="97">
        <f>W13*3+Y13</f>
        <v>0</v>
      </c>
      <c r="AB13" s="97">
        <f>X13*3+Z13</f>
        <v>7</v>
      </c>
      <c r="AC13" s="98">
        <f>AB13+AA13</f>
        <v>7</v>
      </c>
      <c r="AD13" s="86"/>
      <c r="AE13" s="88">
        <v>1</v>
      </c>
      <c r="AF13" s="88"/>
      <c r="AG13" s="88">
        <v>1</v>
      </c>
      <c r="AH13" s="94">
        <f>AD13*3+AF13</f>
        <v>0</v>
      </c>
      <c r="AI13" s="94">
        <f>AE13*3+AG13</f>
        <v>4</v>
      </c>
      <c r="AJ13" s="96">
        <f>AI13+AH13</f>
        <v>4</v>
      </c>
      <c r="AK13" s="86"/>
      <c r="AL13" s="88"/>
      <c r="AM13" s="88"/>
      <c r="AN13" s="88">
        <v>1</v>
      </c>
      <c r="AO13" s="94">
        <f>AK13*3+AM13</f>
        <v>0</v>
      </c>
      <c r="AP13" s="94">
        <f>AL13*3+AN13</f>
        <v>1</v>
      </c>
      <c r="AQ13" s="96">
        <f>AP13+AO13</f>
        <v>1</v>
      </c>
      <c r="AR13" s="99">
        <f>AO13+AH13+AA13</f>
        <v>0</v>
      </c>
      <c r="AS13" s="99">
        <f>AP13+AI13+AB13</f>
        <v>12</v>
      </c>
      <c r="AT13" s="100">
        <f>AS13+AR13</f>
        <v>12</v>
      </c>
      <c r="AU13" s="100">
        <f>SUM(AQ13,AJ13,AC13,V13,O13)</f>
        <v>17</v>
      </c>
    </row>
    <row r="14" spans="1:47" x14ac:dyDescent="0.25">
      <c r="A14" s="86">
        <v>679</v>
      </c>
      <c r="B14" s="87" t="s">
        <v>15</v>
      </c>
      <c r="C14" s="87" t="str">
        <f>B14&amp;" "&amp;A14</f>
        <v>שגית 679</v>
      </c>
      <c r="D14" s="88" t="s">
        <v>7</v>
      </c>
      <c r="E14" s="88" t="s">
        <v>7</v>
      </c>
      <c r="F14" s="90"/>
      <c r="G14" s="101">
        <v>43297</v>
      </c>
      <c r="H14" s="91"/>
      <c r="I14" s="92"/>
      <c r="J14" s="93">
        <v>1</v>
      </c>
      <c r="K14" s="93"/>
      <c r="L14" s="93">
        <v>1</v>
      </c>
      <c r="M14" s="94">
        <f>I14*3+K14</f>
        <v>0</v>
      </c>
      <c r="N14" s="94">
        <f>J14*3+L14</f>
        <v>4</v>
      </c>
      <c r="O14" s="95">
        <f>N14+M14</f>
        <v>4</v>
      </c>
      <c r="P14" s="86"/>
      <c r="Q14" s="88">
        <v>1</v>
      </c>
      <c r="R14" s="88"/>
      <c r="S14" s="88">
        <v>1</v>
      </c>
      <c r="T14" s="94">
        <f>P14*3+R14</f>
        <v>0</v>
      </c>
      <c r="U14" s="94">
        <f>Q14*3+S14</f>
        <v>4</v>
      </c>
      <c r="V14" s="96">
        <f>U14+T14</f>
        <v>4</v>
      </c>
      <c r="W14" s="86"/>
      <c r="X14" s="88"/>
      <c r="Y14" s="88"/>
      <c r="Z14" s="88">
        <v>2</v>
      </c>
      <c r="AA14" s="97">
        <f>W14*3+Y14</f>
        <v>0</v>
      </c>
      <c r="AB14" s="97">
        <f>X14*3+Z14</f>
        <v>2</v>
      </c>
      <c r="AC14" s="98">
        <f>AB14+AA14</f>
        <v>2</v>
      </c>
      <c r="AD14" s="86"/>
      <c r="AE14" s="88"/>
      <c r="AF14" s="88"/>
      <c r="AG14" s="88">
        <v>4</v>
      </c>
      <c r="AH14" s="94">
        <f>AD14*3+AF14</f>
        <v>0</v>
      </c>
      <c r="AI14" s="94">
        <f>AE14*3+AG14</f>
        <v>4</v>
      </c>
      <c r="AJ14" s="96">
        <f>AI14+AH14</f>
        <v>4</v>
      </c>
      <c r="AK14" s="86"/>
      <c r="AL14" s="88">
        <v>1</v>
      </c>
      <c r="AM14" s="88"/>
      <c r="AN14" s="88"/>
      <c r="AO14" s="94">
        <f>AK14*3+AM14</f>
        <v>0</v>
      </c>
      <c r="AP14" s="94">
        <f>AL14*3+AN14</f>
        <v>3</v>
      </c>
      <c r="AQ14" s="96">
        <f>AP14+AO14</f>
        <v>3</v>
      </c>
      <c r="AR14" s="99">
        <f>AO14+AH14+AA14</f>
        <v>0</v>
      </c>
      <c r="AS14" s="99">
        <f>AP14+AI14+AB14</f>
        <v>9</v>
      </c>
      <c r="AT14" s="100">
        <f>AS14+AR14</f>
        <v>9</v>
      </c>
      <c r="AU14" s="100">
        <f>SUM(AQ14,AJ14,AC14,V14,O14)</f>
        <v>17</v>
      </c>
    </row>
    <row r="15" spans="1:47" x14ac:dyDescent="0.25">
      <c r="A15" s="86" t="s">
        <v>26</v>
      </c>
      <c r="B15" s="87" t="s">
        <v>22</v>
      </c>
      <c r="C15" s="87" t="str">
        <f>B15&amp;" "&amp;A15</f>
        <v>שיר מרחבים</v>
      </c>
      <c r="D15" s="88" t="s">
        <v>6</v>
      </c>
      <c r="E15" s="88" t="s">
        <v>7</v>
      </c>
      <c r="F15" s="90"/>
      <c r="G15" s="101">
        <v>43524</v>
      </c>
      <c r="H15" s="91"/>
      <c r="I15" s="92">
        <v>1</v>
      </c>
      <c r="J15" s="93"/>
      <c r="K15" s="93">
        <v>2</v>
      </c>
      <c r="L15" s="93">
        <v>1</v>
      </c>
      <c r="M15" s="94">
        <f>I15*3+K15</f>
        <v>5</v>
      </c>
      <c r="N15" s="94">
        <f>J15*3+L15</f>
        <v>1</v>
      </c>
      <c r="O15" s="95">
        <f>N15+M15</f>
        <v>6</v>
      </c>
      <c r="P15" s="86"/>
      <c r="Q15" s="88"/>
      <c r="R15" s="88"/>
      <c r="S15" s="88">
        <v>1</v>
      </c>
      <c r="T15" s="94">
        <f>P15*3+R15</f>
        <v>0</v>
      </c>
      <c r="U15" s="94">
        <f>Q15*3+S15</f>
        <v>1</v>
      </c>
      <c r="V15" s="96">
        <f>U15+T15</f>
        <v>1</v>
      </c>
      <c r="W15" s="86">
        <v>1</v>
      </c>
      <c r="X15" s="88"/>
      <c r="Y15" s="88">
        <v>1</v>
      </c>
      <c r="Z15" s="88"/>
      <c r="AA15" s="97">
        <f>W15*3+Y15</f>
        <v>4</v>
      </c>
      <c r="AB15" s="97">
        <f>X15*3+Z15</f>
        <v>0</v>
      </c>
      <c r="AC15" s="98">
        <f>AB15+AA15</f>
        <v>4</v>
      </c>
      <c r="AD15" s="86"/>
      <c r="AE15" s="88"/>
      <c r="AF15" s="88">
        <v>2</v>
      </c>
      <c r="AG15" s="88">
        <v>1</v>
      </c>
      <c r="AH15" s="94">
        <f>AD15*3+AF15</f>
        <v>2</v>
      </c>
      <c r="AI15" s="94">
        <f>AE15*3+AG15</f>
        <v>1</v>
      </c>
      <c r="AJ15" s="96">
        <f>AI15+AH15</f>
        <v>3</v>
      </c>
      <c r="AK15" s="86"/>
      <c r="AL15" s="88"/>
      <c r="AM15" s="88">
        <v>2</v>
      </c>
      <c r="AN15" s="88">
        <v>1</v>
      </c>
      <c r="AO15" s="94">
        <f>AK15*3+AM15</f>
        <v>2</v>
      </c>
      <c r="AP15" s="94">
        <f>AL15*3+AN15</f>
        <v>1</v>
      </c>
      <c r="AQ15" s="96">
        <f>AP15+AO15</f>
        <v>3</v>
      </c>
      <c r="AR15" s="99">
        <f>AO15+AH15+AA15</f>
        <v>8</v>
      </c>
      <c r="AS15" s="99">
        <f>AP15+AI15+AB15</f>
        <v>2</v>
      </c>
      <c r="AT15" s="100">
        <f>AS15+AR15</f>
        <v>10</v>
      </c>
      <c r="AU15" s="100">
        <f>SUM(AQ15,AJ15,AC15,V15,O15)</f>
        <v>17</v>
      </c>
    </row>
    <row r="16" spans="1:47" x14ac:dyDescent="0.25">
      <c r="A16" s="86">
        <v>9</v>
      </c>
      <c r="B16" s="87" t="s">
        <v>17</v>
      </c>
      <c r="C16" s="87" t="str">
        <f>B16&amp;" "&amp;A16</f>
        <v>בר 9</v>
      </c>
      <c r="D16" s="88" t="s">
        <v>6</v>
      </c>
      <c r="E16" s="88" t="s">
        <v>7</v>
      </c>
      <c r="F16" s="90"/>
      <c r="G16" s="101">
        <v>43560</v>
      </c>
      <c r="H16" s="91" t="s">
        <v>66</v>
      </c>
      <c r="I16" s="92"/>
      <c r="J16" s="93"/>
      <c r="K16" s="93"/>
      <c r="L16" s="93"/>
      <c r="M16" s="94">
        <f>I16*3+K16</f>
        <v>0</v>
      </c>
      <c r="N16" s="94">
        <f>J16*3+L16</f>
        <v>0</v>
      </c>
      <c r="O16" s="95">
        <f>N16+M16</f>
        <v>0</v>
      </c>
      <c r="P16" s="86">
        <v>1</v>
      </c>
      <c r="Q16" s="88"/>
      <c r="R16" s="88">
        <v>2</v>
      </c>
      <c r="S16" s="88"/>
      <c r="T16" s="94">
        <f>P16*3+R16</f>
        <v>5</v>
      </c>
      <c r="U16" s="94">
        <f>Q16*3+S16</f>
        <v>0</v>
      </c>
      <c r="V16" s="96">
        <f>U16+T16</f>
        <v>5</v>
      </c>
      <c r="W16" s="86"/>
      <c r="X16" s="88"/>
      <c r="Y16" s="88">
        <v>2</v>
      </c>
      <c r="Z16" s="88"/>
      <c r="AA16" s="97">
        <f>W16*3+Y16</f>
        <v>2</v>
      </c>
      <c r="AB16" s="97">
        <f>X16*3+Z16</f>
        <v>0</v>
      </c>
      <c r="AC16" s="98">
        <f>AB16+AA16</f>
        <v>2</v>
      </c>
      <c r="AD16" s="86"/>
      <c r="AE16" s="88">
        <v>1</v>
      </c>
      <c r="AF16" s="88">
        <v>2</v>
      </c>
      <c r="AG16" s="88">
        <v>1</v>
      </c>
      <c r="AH16" s="94">
        <f>AD16*3+AF16</f>
        <v>2</v>
      </c>
      <c r="AI16" s="94">
        <f>AE16*3+AG16</f>
        <v>4</v>
      </c>
      <c r="AJ16" s="96">
        <f>AI16+AH16</f>
        <v>6</v>
      </c>
      <c r="AK16" s="86">
        <v>1</v>
      </c>
      <c r="AL16" s="88"/>
      <c r="AM16" s="88"/>
      <c r="AN16" s="88"/>
      <c r="AO16" s="94">
        <f>AK16*3+AM16</f>
        <v>3</v>
      </c>
      <c r="AP16" s="94">
        <f>AL16*3+AN16</f>
        <v>0</v>
      </c>
      <c r="AQ16" s="96">
        <f>AP16+AO16</f>
        <v>3</v>
      </c>
      <c r="AR16" s="99">
        <f>AO16+AH16+AA16</f>
        <v>7</v>
      </c>
      <c r="AS16" s="99">
        <f>AP16+AI16+AB16</f>
        <v>4</v>
      </c>
      <c r="AT16" s="100">
        <f>AS16+AR16</f>
        <v>11</v>
      </c>
      <c r="AU16" s="100">
        <f>SUM(AQ16,AJ16,AC16,V16,O16)</f>
        <v>16</v>
      </c>
    </row>
    <row r="17" spans="1:47" x14ac:dyDescent="0.25">
      <c r="A17" s="86">
        <v>11</v>
      </c>
      <c r="B17" s="87" t="s">
        <v>11</v>
      </c>
      <c r="C17" s="87" t="str">
        <f>B17&amp;" "&amp;A17</f>
        <v>שחר 11</v>
      </c>
      <c r="D17" s="88" t="s">
        <v>6</v>
      </c>
      <c r="E17" s="88" t="s">
        <v>7</v>
      </c>
      <c r="F17" s="90"/>
      <c r="G17" s="101">
        <v>43560</v>
      </c>
      <c r="H17" s="91" t="s">
        <v>66</v>
      </c>
      <c r="I17" s="92"/>
      <c r="J17" s="93"/>
      <c r="K17" s="93">
        <v>1</v>
      </c>
      <c r="L17" s="93"/>
      <c r="M17" s="94">
        <f>I17*3+K17</f>
        <v>1</v>
      </c>
      <c r="N17" s="94">
        <f>J17*3+L17</f>
        <v>0</v>
      </c>
      <c r="O17" s="95">
        <f>N17+M17</f>
        <v>1</v>
      </c>
      <c r="P17" s="86">
        <v>1</v>
      </c>
      <c r="Q17" s="88"/>
      <c r="R17" s="88">
        <v>2</v>
      </c>
      <c r="S17" s="88"/>
      <c r="T17" s="94">
        <f>P17*3+R17</f>
        <v>5</v>
      </c>
      <c r="U17" s="94">
        <f>Q17*3+S17</f>
        <v>0</v>
      </c>
      <c r="V17" s="96">
        <f>U17+T17</f>
        <v>5</v>
      </c>
      <c r="W17" s="86">
        <v>1</v>
      </c>
      <c r="X17" s="88"/>
      <c r="Y17" s="88">
        <v>1</v>
      </c>
      <c r="Z17" s="88"/>
      <c r="AA17" s="97">
        <f>W17*3+Y17</f>
        <v>4</v>
      </c>
      <c r="AB17" s="97">
        <f>X17*3+Z17</f>
        <v>0</v>
      </c>
      <c r="AC17" s="98">
        <f>AB17+AA17</f>
        <v>4</v>
      </c>
      <c r="AD17" s="86"/>
      <c r="AE17" s="88"/>
      <c r="AF17" s="88">
        <v>3</v>
      </c>
      <c r="AG17" s="88"/>
      <c r="AH17" s="94">
        <f>AD17*3+AF17</f>
        <v>3</v>
      </c>
      <c r="AI17" s="94">
        <f>AE17*3+AG17</f>
        <v>0</v>
      </c>
      <c r="AJ17" s="96">
        <f>AI17+AH17</f>
        <v>3</v>
      </c>
      <c r="AK17" s="86"/>
      <c r="AL17" s="88"/>
      <c r="AM17" s="88">
        <v>2</v>
      </c>
      <c r="AN17" s="88">
        <v>1</v>
      </c>
      <c r="AO17" s="94">
        <f>AK17*3+AM17</f>
        <v>2</v>
      </c>
      <c r="AP17" s="94">
        <f>AL17*3+AN17</f>
        <v>1</v>
      </c>
      <c r="AQ17" s="96">
        <f>AP17+AO17</f>
        <v>3</v>
      </c>
      <c r="AR17" s="99">
        <f>AO17+AH17+AA17</f>
        <v>9</v>
      </c>
      <c r="AS17" s="99">
        <f>AP17+AI17+AB17</f>
        <v>1</v>
      </c>
      <c r="AT17" s="100">
        <f>AS17+AR17</f>
        <v>10</v>
      </c>
      <c r="AU17" s="100">
        <f>SUM(AQ17,AJ17,AC17,V17,O17)</f>
        <v>16</v>
      </c>
    </row>
    <row r="18" spans="1:47" x14ac:dyDescent="0.25">
      <c r="A18" s="86">
        <v>11</v>
      </c>
      <c r="B18" s="87" t="s">
        <v>13</v>
      </c>
      <c r="C18" s="87" t="str">
        <f>B18&amp;" "&amp;A18</f>
        <v>דנה 11</v>
      </c>
      <c r="D18" s="88" t="s">
        <v>7</v>
      </c>
      <c r="E18" s="88" t="s">
        <v>7</v>
      </c>
      <c r="F18" s="90"/>
      <c r="G18" s="101">
        <v>43139</v>
      </c>
      <c r="H18" s="91"/>
      <c r="I18" s="92"/>
      <c r="J18" s="93">
        <v>1</v>
      </c>
      <c r="K18" s="93"/>
      <c r="L18" s="93">
        <v>1</v>
      </c>
      <c r="M18" s="94">
        <f>I18*3+K18</f>
        <v>0</v>
      </c>
      <c r="N18" s="94">
        <f>J18*3+L18</f>
        <v>4</v>
      </c>
      <c r="O18" s="95">
        <f>N18+M18</f>
        <v>4</v>
      </c>
      <c r="P18" s="86"/>
      <c r="Q18" s="88"/>
      <c r="R18" s="88"/>
      <c r="S18" s="88">
        <v>2</v>
      </c>
      <c r="T18" s="94">
        <f>P18*3+R18</f>
        <v>0</v>
      </c>
      <c r="U18" s="94">
        <f>Q18*3+S18</f>
        <v>2</v>
      </c>
      <c r="V18" s="96">
        <f>U18+T18</f>
        <v>2</v>
      </c>
      <c r="W18" s="86"/>
      <c r="X18" s="88">
        <v>1</v>
      </c>
      <c r="Y18" s="88"/>
      <c r="Z18" s="88">
        <v>2</v>
      </c>
      <c r="AA18" s="97">
        <f>W18*3+Y18</f>
        <v>0</v>
      </c>
      <c r="AB18" s="97">
        <f>X18*3+Z18</f>
        <v>5</v>
      </c>
      <c r="AC18" s="98">
        <f>AB18+AA18</f>
        <v>5</v>
      </c>
      <c r="AD18" s="86"/>
      <c r="AE18" s="88"/>
      <c r="AF18" s="88"/>
      <c r="AG18" s="88">
        <v>3</v>
      </c>
      <c r="AH18" s="94">
        <f>AD18*3+AF18</f>
        <v>0</v>
      </c>
      <c r="AI18" s="94">
        <f>AE18*3+AG18</f>
        <v>3</v>
      </c>
      <c r="AJ18" s="96">
        <f>AI18+AH18</f>
        <v>3</v>
      </c>
      <c r="AK18" s="86"/>
      <c r="AL18" s="88"/>
      <c r="AM18" s="88"/>
      <c r="AN18" s="88">
        <v>2</v>
      </c>
      <c r="AO18" s="94">
        <f>AK18*3+AM18</f>
        <v>0</v>
      </c>
      <c r="AP18" s="94">
        <f>AL18*3+AN18</f>
        <v>2</v>
      </c>
      <c r="AQ18" s="96">
        <f>AP18+AO18</f>
        <v>2</v>
      </c>
      <c r="AR18" s="99">
        <f>AO18+AH18+AA18</f>
        <v>0</v>
      </c>
      <c r="AS18" s="99">
        <f>AP18+AI18+AB18</f>
        <v>10</v>
      </c>
      <c r="AT18" s="100">
        <f>AS18+AR18</f>
        <v>10</v>
      </c>
      <c r="AU18" s="100">
        <f>SUM(AQ18,AJ18,AC18,V18,O18)</f>
        <v>16</v>
      </c>
    </row>
    <row r="19" spans="1:47" x14ac:dyDescent="0.25">
      <c r="A19" s="86" t="s">
        <v>23</v>
      </c>
      <c r="B19" s="87" t="s">
        <v>22</v>
      </c>
      <c r="C19" s="87" t="str">
        <f>B19&amp;" "&amp;A19</f>
        <v>שיר מפאוג</v>
      </c>
      <c r="D19" s="88" t="s">
        <v>6</v>
      </c>
      <c r="E19" s="88" t="s">
        <v>7</v>
      </c>
      <c r="F19" s="90"/>
      <c r="G19" s="101">
        <v>43360</v>
      </c>
      <c r="H19" s="91"/>
      <c r="I19" s="92"/>
      <c r="J19" s="93"/>
      <c r="K19" s="93">
        <v>2</v>
      </c>
      <c r="L19" s="93"/>
      <c r="M19" s="94">
        <f>I19*3+K19</f>
        <v>2</v>
      </c>
      <c r="N19" s="94">
        <f>J19*3+L19</f>
        <v>0</v>
      </c>
      <c r="O19" s="95">
        <f>N19+M19</f>
        <v>2</v>
      </c>
      <c r="P19" s="86">
        <v>1</v>
      </c>
      <c r="Q19" s="88"/>
      <c r="R19" s="88"/>
      <c r="S19" s="88"/>
      <c r="T19" s="94">
        <f>P19*3+R19</f>
        <v>3</v>
      </c>
      <c r="U19" s="94">
        <f>Q19*3+S19</f>
        <v>0</v>
      </c>
      <c r="V19" s="96">
        <f>U19+T19</f>
        <v>3</v>
      </c>
      <c r="W19" s="86"/>
      <c r="X19" s="88">
        <v>1</v>
      </c>
      <c r="Y19" s="88">
        <v>2</v>
      </c>
      <c r="Z19" s="88"/>
      <c r="AA19" s="97">
        <f>W19*3+Y19</f>
        <v>2</v>
      </c>
      <c r="AB19" s="97">
        <f>X19*3+Z19</f>
        <v>3</v>
      </c>
      <c r="AC19" s="98">
        <f>AB19+AA19</f>
        <v>5</v>
      </c>
      <c r="AD19" s="86"/>
      <c r="AE19" s="88"/>
      <c r="AF19" s="88">
        <v>3</v>
      </c>
      <c r="AG19" s="88"/>
      <c r="AH19" s="94">
        <f>AD19*3+AF19</f>
        <v>3</v>
      </c>
      <c r="AI19" s="94">
        <f>AE19*3+AG19</f>
        <v>0</v>
      </c>
      <c r="AJ19" s="96">
        <f>AI19+AH19</f>
        <v>3</v>
      </c>
      <c r="AK19" s="86"/>
      <c r="AL19" s="88"/>
      <c r="AM19" s="88">
        <v>2</v>
      </c>
      <c r="AN19" s="88">
        <v>1</v>
      </c>
      <c r="AO19" s="94">
        <f>AK19*3+AM19</f>
        <v>2</v>
      </c>
      <c r="AP19" s="94">
        <f>AL19*3+AN19</f>
        <v>1</v>
      </c>
      <c r="AQ19" s="96">
        <f>AP19+AO19</f>
        <v>3</v>
      </c>
      <c r="AR19" s="99">
        <f>AO19+AH19+AA19</f>
        <v>7</v>
      </c>
      <c r="AS19" s="99">
        <f>AP19+AI19+AB19</f>
        <v>4</v>
      </c>
      <c r="AT19" s="100">
        <f>AS19+AR19</f>
        <v>11</v>
      </c>
      <c r="AU19" s="100">
        <f>SUM(AQ19,AJ19,AC19,V19,O19)</f>
        <v>16</v>
      </c>
    </row>
    <row r="20" spans="1:47" x14ac:dyDescent="0.25">
      <c r="A20" s="86">
        <v>11</v>
      </c>
      <c r="B20" s="87" t="s">
        <v>9</v>
      </c>
      <c r="C20" s="87" t="str">
        <f>B20&amp;" "&amp;A20</f>
        <v>אסיה 11</v>
      </c>
      <c r="D20" s="88" t="s">
        <v>7</v>
      </c>
      <c r="E20" s="88" t="s">
        <v>7</v>
      </c>
      <c r="F20" s="90"/>
      <c r="G20" s="101">
        <v>43139</v>
      </c>
      <c r="H20" s="91"/>
      <c r="I20" s="92"/>
      <c r="J20" s="93"/>
      <c r="K20" s="93"/>
      <c r="L20" s="93">
        <v>3</v>
      </c>
      <c r="M20" s="94">
        <f>I20*3+K20</f>
        <v>0</v>
      </c>
      <c r="N20" s="94">
        <f>J20*3+L20</f>
        <v>3</v>
      </c>
      <c r="O20" s="95">
        <f>N20+M20</f>
        <v>3</v>
      </c>
      <c r="P20" s="86"/>
      <c r="Q20" s="88"/>
      <c r="R20" s="88"/>
      <c r="S20" s="88">
        <v>3</v>
      </c>
      <c r="T20" s="94">
        <f>P20*3+R20</f>
        <v>0</v>
      </c>
      <c r="U20" s="94">
        <f>Q20*3+S20</f>
        <v>3</v>
      </c>
      <c r="V20" s="96">
        <f>U20+T20</f>
        <v>3</v>
      </c>
      <c r="W20" s="86"/>
      <c r="X20" s="88"/>
      <c r="Y20" s="88"/>
      <c r="Z20" s="88"/>
      <c r="AA20" s="97">
        <f>W20*3+Y20</f>
        <v>0</v>
      </c>
      <c r="AB20" s="97">
        <f>X20*3+Z20</f>
        <v>0</v>
      </c>
      <c r="AC20" s="98">
        <f>AB20+AA20</f>
        <v>0</v>
      </c>
      <c r="AD20" s="86"/>
      <c r="AE20" s="88">
        <v>1</v>
      </c>
      <c r="AF20" s="88"/>
      <c r="AG20" s="88">
        <v>2</v>
      </c>
      <c r="AH20" s="94">
        <f>AD20*3+AF20</f>
        <v>0</v>
      </c>
      <c r="AI20" s="94">
        <f>AE20*3+AG20</f>
        <v>5</v>
      </c>
      <c r="AJ20" s="96">
        <f>AI20+AH20</f>
        <v>5</v>
      </c>
      <c r="AK20" s="86"/>
      <c r="AL20" s="88">
        <v>1</v>
      </c>
      <c r="AM20" s="88"/>
      <c r="AN20" s="88">
        <v>1</v>
      </c>
      <c r="AO20" s="94">
        <f>AK20*3+AM20</f>
        <v>0</v>
      </c>
      <c r="AP20" s="94">
        <f>AL20*3+AN20</f>
        <v>4</v>
      </c>
      <c r="AQ20" s="96">
        <f>AP20+AO20</f>
        <v>4</v>
      </c>
      <c r="AR20" s="99">
        <f>AO20+AH20+AA20</f>
        <v>0</v>
      </c>
      <c r="AS20" s="99">
        <f>AP20+AI20+AB20</f>
        <v>9</v>
      </c>
      <c r="AT20" s="100">
        <f>AS20+AR20</f>
        <v>9</v>
      </c>
      <c r="AU20" s="100">
        <f>SUM(AQ20,AJ20,AC20,V20,O20)</f>
        <v>15</v>
      </c>
    </row>
    <row r="21" spans="1:47" x14ac:dyDescent="0.25">
      <c r="A21" s="86">
        <v>474</v>
      </c>
      <c r="B21" s="87" t="s">
        <v>132</v>
      </c>
      <c r="C21" s="87" t="str">
        <f>B21&amp;" "&amp;A21</f>
        <v>יהל אור 474</v>
      </c>
      <c r="D21" s="88" t="s">
        <v>6</v>
      </c>
      <c r="E21" s="88" t="s">
        <v>7</v>
      </c>
      <c r="F21" s="90"/>
      <c r="G21" s="101">
        <v>43748</v>
      </c>
      <c r="H21" s="91"/>
      <c r="I21" s="92"/>
      <c r="J21" s="93"/>
      <c r="K21" s="93"/>
      <c r="L21" s="93"/>
      <c r="M21" s="94">
        <f>I21*3+K21</f>
        <v>0</v>
      </c>
      <c r="N21" s="94">
        <f>J21*3+L21</f>
        <v>0</v>
      </c>
      <c r="O21" s="95">
        <f>N21+M21</f>
        <v>0</v>
      </c>
      <c r="P21" s="86"/>
      <c r="Q21" s="88"/>
      <c r="R21" s="88">
        <v>4</v>
      </c>
      <c r="S21" s="88"/>
      <c r="T21" s="94">
        <f>P21*3+R21</f>
        <v>4</v>
      </c>
      <c r="U21" s="94">
        <f>Q21*3+S21</f>
        <v>0</v>
      </c>
      <c r="V21" s="96">
        <f>U21+T21</f>
        <v>4</v>
      </c>
      <c r="W21" s="86">
        <v>1</v>
      </c>
      <c r="X21" s="88"/>
      <c r="Y21" s="88">
        <v>1</v>
      </c>
      <c r="Z21" s="88"/>
      <c r="AA21" s="97">
        <f>W21*3+Y21</f>
        <v>4</v>
      </c>
      <c r="AB21" s="97">
        <f>X21*3+Z21</f>
        <v>0</v>
      </c>
      <c r="AC21" s="98">
        <f>AB21+AA21</f>
        <v>4</v>
      </c>
      <c r="AD21" s="86"/>
      <c r="AE21" s="88"/>
      <c r="AF21" s="88">
        <v>2</v>
      </c>
      <c r="AG21" s="88">
        <v>1</v>
      </c>
      <c r="AH21" s="94">
        <f>AD21*3+AF21</f>
        <v>2</v>
      </c>
      <c r="AI21" s="94">
        <f>AE21*3+AG21</f>
        <v>1</v>
      </c>
      <c r="AJ21" s="96">
        <f>AI21+AH21</f>
        <v>3</v>
      </c>
      <c r="AK21" s="86"/>
      <c r="AL21" s="88"/>
      <c r="AM21" s="88">
        <v>2</v>
      </c>
      <c r="AN21" s="88">
        <v>1</v>
      </c>
      <c r="AO21" s="94">
        <f>AK21*3+AM21</f>
        <v>2</v>
      </c>
      <c r="AP21" s="94">
        <f>AL21*3+AN21</f>
        <v>1</v>
      </c>
      <c r="AQ21" s="96">
        <f>AP21+AO21</f>
        <v>3</v>
      </c>
      <c r="AR21" s="99">
        <f>AO21+AH21+AA21</f>
        <v>8</v>
      </c>
      <c r="AS21" s="99">
        <f>AP21+AI21+AB21</f>
        <v>2</v>
      </c>
      <c r="AT21" s="100">
        <f>AS21+AR21</f>
        <v>10</v>
      </c>
      <c r="AU21" s="100">
        <f>SUM(AQ21,AJ21,AC21,V21,O21)</f>
        <v>14</v>
      </c>
    </row>
    <row r="22" spans="1:47" x14ac:dyDescent="0.25">
      <c r="A22" s="86">
        <v>679</v>
      </c>
      <c r="B22" s="87" t="s">
        <v>22</v>
      </c>
      <c r="C22" s="87" t="str">
        <f>B22&amp;" "&amp;A22</f>
        <v>שיר 679</v>
      </c>
      <c r="D22" s="88" t="s">
        <v>6</v>
      </c>
      <c r="E22" s="88" t="s">
        <v>7</v>
      </c>
      <c r="F22" s="90"/>
      <c r="G22" s="101">
        <v>43558</v>
      </c>
      <c r="H22" s="91" t="s">
        <v>67</v>
      </c>
      <c r="I22" s="92"/>
      <c r="J22" s="93"/>
      <c r="K22" s="93"/>
      <c r="L22" s="93"/>
      <c r="M22" s="94">
        <f>I22*3+K22</f>
        <v>0</v>
      </c>
      <c r="N22" s="94">
        <f>J22*3+L22</f>
        <v>0</v>
      </c>
      <c r="O22" s="95">
        <f>N22+M22</f>
        <v>0</v>
      </c>
      <c r="P22" s="86">
        <v>1</v>
      </c>
      <c r="Q22" s="88"/>
      <c r="R22" s="88"/>
      <c r="S22" s="88"/>
      <c r="T22" s="94">
        <f>P22*3+R22</f>
        <v>3</v>
      </c>
      <c r="U22" s="94">
        <f>Q22*3+S22</f>
        <v>0</v>
      </c>
      <c r="V22" s="96">
        <f>U22+T22</f>
        <v>3</v>
      </c>
      <c r="W22" s="86">
        <v>1</v>
      </c>
      <c r="X22" s="88"/>
      <c r="Y22" s="88">
        <v>1</v>
      </c>
      <c r="Z22" s="88"/>
      <c r="AA22" s="97">
        <f>W22*3+Y22</f>
        <v>4</v>
      </c>
      <c r="AB22" s="97">
        <f>X22*3+Z22</f>
        <v>0</v>
      </c>
      <c r="AC22" s="98">
        <f>AB22+AA22</f>
        <v>4</v>
      </c>
      <c r="AD22" s="86"/>
      <c r="AE22" s="88"/>
      <c r="AF22" s="88">
        <v>1</v>
      </c>
      <c r="AG22" s="88">
        <v>2</v>
      </c>
      <c r="AH22" s="94">
        <f>AD22*3+AF22</f>
        <v>1</v>
      </c>
      <c r="AI22" s="94">
        <f>AE22*3+AG22</f>
        <v>2</v>
      </c>
      <c r="AJ22" s="96">
        <f>AI22+AH22</f>
        <v>3</v>
      </c>
      <c r="AK22" s="86"/>
      <c r="AL22" s="88"/>
      <c r="AM22" s="88">
        <v>2</v>
      </c>
      <c r="AN22" s="88">
        <v>1</v>
      </c>
      <c r="AO22" s="94">
        <f>AK22*3+AM22</f>
        <v>2</v>
      </c>
      <c r="AP22" s="94">
        <f>AL22*3+AN22</f>
        <v>1</v>
      </c>
      <c r="AQ22" s="96">
        <f>AP22+AO22</f>
        <v>3</v>
      </c>
      <c r="AR22" s="99">
        <f>AO22+AH22+AA22</f>
        <v>7</v>
      </c>
      <c r="AS22" s="99">
        <f>AP22+AI22+AB22</f>
        <v>3</v>
      </c>
      <c r="AT22" s="100">
        <f>AS22+AR22</f>
        <v>10</v>
      </c>
      <c r="AU22" s="100">
        <f>SUM(AQ22,AJ22,AC22,V22,O22)</f>
        <v>13</v>
      </c>
    </row>
    <row r="23" spans="1:47" x14ac:dyDescent="0.25">
      <c r="A23" s="86" t="s">
        <v>26</v>
      </c>
      <c r="B23" s="87" t="s">
        <v>24</v>
      </c>
      <c r="C23" s="87" t="str">
        <f>B23&amp;" "&amp;A23</f>
        <v>ספיר מרחבים</v>
      </c>
      <c r="D23" s="88" t="s">
        <v>6</v>
      </c>
      <c r="E23" s="88" t="s">
        <v>7</v>
      </c>
      <c r="F23" s="90"/>
      <c r="G23" s="101">
        <v>43479</v>
      </c>
      <c r="H23" s="91" t="s">
        <v>67</v>
      </c>
      <c r="I23" s="92"/>
      <c r="J23" s="93"/>
      <c r="K23" s="93">
        <v>1</v>
      </c>
      <c r="L23" s="93"/>
      <c r="M23" s="94">
        <f>I23*3+K23</f>
        <v>1</v>
      </c>
      <c r="N23" s="94">
        <f>J23*3+L23</f>
        <v>0</v>
      </c>
      <c r="O23" s="95">
        <f>N23+M23</f>
        <v>1</v>
      </c>
      <c r="P23" s="86">
        <v>1</v>
      </c>
      <c r="Q23" s="88"/>
      <c r="R23" s="88">
        <v>1</v>
      </c>
      <c r="S23" s="88"/>
      <c r="T23" s="94">
        <f>P23*3+R23</f>
        <v>4</v>
      </c>
      <c r="U23" s="94">
        <f>Q23*3+S23</f>
        <v>0</v>
      </c>
      <c r="V23" s="96">
        <f>U23+T23</f>
        <v>4</v>
      </c>
      <c r="W23" s="86"/>
      <c r="X23" s="88">
        <v>1</v>
      </c>
      <c r="Y23" s="88">
        <v>1</v>
      </c>
      <c r="Z23" s="88"/>
      <c r="AA23" s="97">
        <f>W23*3+Y23</f>
        <v>1</v>
      </c>
      <c r="AB23" s="97">
        <f>X23*3+Z23</f>
        <v>3</v>
      </c>
      <c r="AC23" s="98">
        <f>AB23+AA23</f>
        <v>4</v>
      </c>
      <c r="AD23" s="86"/>
      <c r="AE23" s="88"/>
      <c r="AF23" s="88">
        <v>4</v>
      </c>
      <c r="AG23" s="88"/>
      <c r="AH23" s="94">
        <f>AD23*3+AF23</f>
        <v>4</v>
      </c>
      <c r="AI23" s="94">
        <f>AE23*3+AG23</f>
        <v>0</v>
      </c>
      <c r="AJ23" s="96">
        <f>AI23+AH23</f>
        <v>4</v>
      </c>
      <c r="AK23" s="86"/>
      <c r="AL23" s="88"/>
      <c r="AM23" s="88"/>
      <c r="AN23" s="88"/>
      <c r="AO23" s="94">
        <f>AK23*3+AM23</f>
        <v>0</v>
      </c>
      <c r="AP23" s="94">
        <f>AL23*3+AN23</f>
        <v>0</v>
      </c>
      <c r="AQ23" s="96">
        <f>AP23+AO23</f>
        <v>0</v>
      </c>
      <c r="AR23" s="99">
        <f>AO23+AH23+AA23</f>
        <v>5</v>
      </c>
      <c r="AS23" s="99">
        <f>AP23+AI23+AB23</f>
        <v>3</v>
      </c>
      <c r="AT23" s="100">
        <f>AS23+AR23</f>
        <v>8</v>
      </c>
      <c r="AU23" s="100">
        <f>SUM(AQ23,AJ23,AC23,V23,O23)</f>
        <v>13</v>
      </c>
    </row>
    <row r="24" spans="1:47" x14ac:dyDescent="0.25">
      <c r="A24" s="86">
        <v>209</v>
      </c>
      <c r="B24" s="87" t="s">
        <v>19</v>
      </c>
      <c r="C24" s="87" t="str">
        <f>B24&amp;" "&amp;A24</f>
        <v>אלינה 209</v>
      </c>
      <c r="D24" s="88" t="s">
        <v>6</v>
      </c>
      <c r="E24" s="88" t="s">
        <v>7</v>
      </c>
      <c r="F24" s="102"/>
      <c r="G24" s="101">
        <v>43490</v>
      </c>
      <c r="H24" s="91" t="s">
        <v>160</v>
      </c>
      <c r="I24" s="92">
        <v>1</v>
      </c>
      <c r="J24" s="93"/>
      <c r="K24" s="93">
        <v>2</v>
      </c>
      <c r="L24" s="93"/>
      <c r="M24" s="94">
        <f>I24*3+K24</f>
        <v>5</v>
      </c>
      <c r="N24" s="94">
        <f>J24*3+L24</f>
        <v>0</v>
      </c>
      <c r="O24" s="95">
        <f>N24+M24</f>
        <v>5</v>
      </c>
      <c r="P24" s="86">
        <v>1</v>
      </c>
      <c r="Q24" s="88"/>
      <c r="R24" s="88">
        <v>1</v>
      </c>
      <c r="S24" s="88">
        <v>1</v>
      </c>
      <c r="T24" s="94">
        <f>P24*3+R24</f>
        <v>4</v>
      </c>
      <c r="U24" s="94">
        <f>Q24*3+S24</f>
        <v>1</v>
      </c>
      <c r="V24" s="96">
        <f>U24+T24</f>
        <v>5</v>
      </c>
      <c r="W24" s="86"/>
      <c r="X24" s="88"/>
      <c r="Y24" s="88">
        <v>2</v>
      </c>
      <c r="Z24" s="88"/>
      <c r="AA24" s="97">
        <f>W24*3+Y24</f>
        <v>2</v>
      </c>
      <c r="AB24" s="97">
        <f>X24*3+Z24</f>
        <v>0</v>
      </c>
      <c r="AC24" s="98">
        <f>AB24+AA24</f>
        <v>2</v>
      </c>
      <c r="AD24" s="86"/>
      <c r="AE24" s="88"/>
      <c r="AF24" s="88"/>
      <c r="AG24" s="88"/>
      <c r="AH24" s="94">
        <f>AD24*3+AF24</f>
        <v>0</v>
      </c>
      <c r="AI24" s="94">
        <f>AE24*3+AG24</f>
        <v>0</v>
      </c>
      <c r="AJ24" s="96">
        <f>AI24+AH24</f>
        <v>0</v>
      </c>
      <c r="AK24" s="86"/>
      <c r="AL24" s="88"/>
      <c r="AM24" s="88"/>
      <c r="AN24" s="88"/>
      <c r="AO24" s="94">
        <f>AK24*3+AM24</f>
        <v>0</v>
      </c>
      <c r="AP24" s="94">
        <f>AL24*3+AN24</f>
        <v>0</v>
      </c>
      <c r="AQ24" s="96">
        <f>AP24+AO24</f>
        <v>0</v>
      </c>
      <c r="AR24" s="99">
        <f>AO24+AH24+AA24</f>
        <v>2</v>
      </c>
      <c r="AS24" s="99">
        <f>AP24+AI24+AB24</f>
        <v>0</v>
      </c>
      <c r="AT24" s="100">
        <f>AS24+AR24</f>
        <v>2</v>
      </c>
      <c r="AU24" s="100">
        <f>SUM(AQ24,AJ24,AC24,V24,O24)</f>
        <v>12</v>
      </c>
    </row>
    <row r="25" spans="1:47" x14ac:dyDescent="0.25">
      <c r="A25" s="86">
        <v>209</v>
      </c>
      <c r="B25" s="87" t="s">
        <v>72</v>
      </c>
      <c r="C25" s="87" t="str">
        <f>B25&amp;" "&amp;A25</f>
        <v>שי 209</v>
      </c>
      <c r="D25" s="88" t="s">
        <v>6</v>
      </c>
      <c r="E25" s="88" t="s">
        <v>7</v>
      </c>
      <c r="F25" s="104"/>
      <c r="G25" s="101">
        <v>43659</v>
      </c>
      <c r="H25" s="91"/>
      <c r="I25" s="92"/>
      <c r="J25" s="93"/>
      <c r="K25" s="93"/>
      <c r="L25" s="93"/>
      <c r="M25" s="94">
        <f>I25*3+K25</f>
        <v>0</v>
      </c>
      <c r="N25" s="94">
        <f>J25*3+L25</f>
        <v>0</v>
      </c>
      <c r="O25" s="95">
        <f>N25+M25</f>
        <v>0</v>
      </c>
      <c r="P25" s="86"/>
      <c r="Q25" s="88"/>
      <c r="R25" s="88"/>
      <c r="S25" s="88"/>
      <c r="T25" s="94">
        <f>P25*3+R25</f>
        <v>0</v>
      </c>
      <c r="U25" s="94">
        <f>Q25*3+S25</f>
        <v>0</v>
      </c>
      <c r="V25" s="96">
        <f>U25+T25</f>
        <v>0</v>
      </c>
      <c r="W25" s="86">
        <v>1</v>
      </c>
      <c r="X25" s="88"/>
      <c r="Y25" s="88">
        <v>1</v>
      </c>
      <c r="Z25" s="88"/>
      <c r="AA25" s="97">
        <f>W25*3+Y25</f>
        <v>4</v>
      </c>
      <c r="AB25" s="97">
        <f>X25*3+Z25</f>
        <v>0</v>
      </c>
      <c r="AC25" s="98">
        <f>AB25+AA25</f>
        <v>4</v>
      </c>
      <c r="AD25" s="86"/>
      <c r="AE25" s="88"/>
      <c r="AF25" s="88">
        <v>3</v>
      </c>
      <c r="AG25" s="88">
        <v>1</v>
      </c>
      <c r="AH25" s="94">
        <f>AD25*3+AF25</f>
        <v>3</v>
      </c>
      <c r="AI25" s="94">
        <f>AE25*3+AG25</f>
        <v>1</v>
      </c>
      <c r="AJ25" s="96">
        <f>AI25+AH25</f>
        <v>4</v>
      </c>
      <c r="AK25" s="86"/>
      <c r="AL25" s="88"/>
      <c r="AM25" s="88">
        <v>1</v>
      </c>
      <c r="AN25" s="88">
        <v>1</v>
      </c>
      <c r="AO25" s="94">
        <f>AK25*3+AM25</f>
        <v>1</v>
      </c>
      <c r="AP25" s="94">
        <f>AL25*3+AN25</f>
        <v>1</v>
      </c>
      <c r="AQ25" s="96">
        <f>AP25+AO25</f>
        <v>2</v>
      </c>
      <c r="AR25" s="99">
        <f>AO25+AH25+AA25</f>
        <v>8</v>
      </c>
      <c r="AS25" s="99">
        <f>AP25+AI25+AB25</f>
        <v>2</v>
      </c>
      <c r="AT25" s="100">
        <f>AS25+AR25</f>
        <v>10</v>
      </c>
      <c r="AU25" s="100">
        <f>SUM(AQ25,AJ25,AC25,V25,O25)</f>
        <v>10</v>
      </c>
    </row>
    <row r="26" spans="1:47" x14ac:dyDescent="0.25">
      <c r="A26" s="86" t="s">
        <v>110</v>
      </c>
      <c r="B26" s="87" t="s">
        <v>77</v>
      </c>
      <c r="C26" s="87" t="str">
        <f>B26&amp;" "&amp;A26</f>
        <v>לירון אחודה</v>
      </c>
      <c r="D26" s="88" t="s">
        <v>6</v>
      </c>
      <c r="E26" s="88" t="s">
        <v>7</v>
      </c>
      <c r="F26" s="104"/>
      <c r="G26" s="101">
        <v>43501</v>
      </c>
      <c r="H26" s="91"/>
      <c r="I26" s="92"/>
      <c r="J26" s="93"/>
      <c r="K26" s="93"/>
      <c r="L26" s="93"/>
      <c r="M26" s="94">
        <f>I26*3+K26</f>
        <v>0</v>
      </c>
      <c r="N26" s="94">
        <f>J26*3+L26</f>
        <v>0</v>
      </c>
      <c r="O26" s="95">
        <f>N26+M26</f>
        <v>0</v>
      </c>
      <c r="P26" s="86"/>
      <c r="Q26" s="88"/>
      <c r="R26" s="88"/>
      <c r="S26" s="88"/>
      <c r="T26" s="94">
        <f>P26*3+R26</f>
        <v>0</v>
      </c>
      <c r="U26" s="94">
        <f>Q26*3+S26</f>
        <v>0</v>
      </c>
      <c r="V26" s="96">
        <f>U26+T26</f>
        <v>0</v>
      </c>
      <c r="W26" s="86"/>
      <c r="X26" s="88"/>
      <c r="Y26" s="88">
        <v>2</v>
      </c>
      <c r="Z26" s="88"/>
      <c r="AA26" s="97">
        <f>W26*3+Y26</f>
        <v>2</v>
      </c>
      <c r="AB26" s="97">
        <f>X26*3+Z26</f>
        <v>0</v>
      </c>
      <c r="AC26" s="98">
        <f>AB26+AA26</f>
        <v>2</v>
      </c>
      <c r="AD26" s="86">
        <v>1</v>
      </c>
      <c r="AE26" s="88"/>
      <c r="AF26" s="88">
        <v>2</v>
      </c>
      <c r="AG26" s="88"/>
      <c r="AH26" s="94">
        <f>AD26*3+AF26</f>
        <v>5</v>
      </c>
      <c r="AI26" s="94">
        <f>AE26*3+AG26</f>
        <v>0</v>
      </c>
      <c r="AJ26" s="96">
        <f>AI26+AH26</f>
        <v>5</v>
      </c>
      <c r="AK26" s="86"/>
      <c r="AL26" s="88"/>
      <c r="AM26" s="88">
        <v>1</v>
      </c>
      <c r="AN26" s="88">
        <v>2</v>
      </c>
      <c r="AO26" s="94">
        <f>AK26*3+AM26</f>
        <v>1</v>
      </c>
      <c r="AP26" s="94">
        <f>AL26*3+AN26</f>
        <v>2</v>
      </c>
      <c r="AQ26" s="96">
        <f>AP26+AO26</f>
        <v>3</v>
      </c>
      <c r="AR26" s="99">
        <f>AO26+AH26+AA26</f>
        <v>8</v>
      </c>
      <c r="AS26" s="99">
        <f>AP26+AI26+AB26</f>
        <v>2</v>
      </c>
      <c r="AT26" s="100">
        <f>AS26+AR26</f>
        <v>10</v>
      </c>
      <c r="AU26" s="100">
        <f>SUM(AQ26,AJ26,AC26,V26,O26)</f>
        <v>10</v>
      </c>
    </row>
    <row r="27" spans="1:47" x14ac:dyDescent="0.25">
      <c r="A27" s="86" t="s">
        <v>110</v>
      </c>
      <c r="B27" s="87" t="s">
        <v>76</v>
      </c>
      <c r="C27" s="87" t="str">
        <f>B27&amp;" "&amp;A27</f>
        <v>מאיה אחודה</v>
      </c>
      <c r="D27" s="88" t="s">
        <v>6</v>
      </c>
      <c r="E27" s="88" t="s">
        <v>6</v>
      </c>
      <c r="F27" s="104"/>
      <c r="G27" s="101">
        <v>43437</v>
      </c>
      <c r="H27" s="91"/>
      <c r="I27" s="92"/>
      <c r="J27" s="93"/>
      <c r="K27" s="93"/>
      <c r="L27" s="93"/>
      <c r="M27" s="94">
        <f>I27*3+K27</f>
        <v>0</v>
      </c>
      <c r="N27" s="94">
        <f>J27*3+L27</f>
        <v>0</v>
      </c>
      <c r="O27" s="95">
        <f>N27+M27</f>
        <v>0</v>
      </c>
      <c r="P27" s="86"/>
      <c r="Q27" s="88"/>
      <c r="R27" s="88"/>
      <c r="S27" s="88"/>
      <c r="T27" s="94">
        <f>P27*3+R27</f>
        <v>0</v>
      </c>
      <c r="U27" s="94">
        <f>Q27*3+S27</f>
        <v>0</v>
      </c>
      <c r="V27" s="96">
        <f>U27+T27</f>
        <v>0</v>
      </c>
      <c r="W27" s="86"/>
      <c r="X27" s="88"/>
      <c r="Y27" s="88">
        <v>2</v>
      </c>
      <c r="Z27" s="88"/>
      <c r="AA27" s="97">
        <f>W27*3+Y27</f>
        <v>2</v>
      </c>
      <c r="AB27" s="97">
        <f>X27*3+Z27</f>
        <v>0</v>
      </c>
      <c r="AC27" s="98">
        <f>AB27+AA27</f>
        <v>2</v>
      </c>
      <c r="AD27" s="86">
        <v>1</v>
      </c>
      <c r="AE27" s="88"/>
      <c r="AF27" s="88">
        <v>2</v>
      </c>
      <c r="AG27" s="88"/>
      <c r="AH27" s="94">
        <f>AD27*3+AF27</f>
        <v>5</v>
      </c>
      <c r="AI27" s="94">
        <f>AE27*3+AG27</f>
        <v>0</v>
      </c>
      <c r="AJ27" s="96">
        <f>AI27+AH27</f>
        <v>5</v>
      </c>
      <c r="AK27" s="86"/>
      <c r="AL27" s="88"/>
      <c r="AM27" s="88">
        <v>2</v>
      </c>
      <c r="AN27" s="88"/>
      <c r="AO27" s="94">
        <f>AK27*3+AM27</f>
        <v>2</v>
      </c>
      <c r="AP27" s="94">
        <f>AL27*3+AN27</f>
        <v>0</v>
      </c>
      <c r="AQ27" s="96">
        <f>AP27+AO27</f>
        <v>2</v>
      </c>
      <c r="AR27" s="99">
        <f>AO27+AH27+AA27</f>
        <v>9</v>
      </c>
      <c r="AS27" s="99">
        <f>AP27+AI27+AB27</f>
        <v>0</v>
      </c>
      <c r="AT27" s="100">
        <f>AS27+AR27</f>
        <v>9</v>
      </c>
      <c r="AU27" s="100">
        <f>SUM(AQ27,AJ27,AC27,V27,O27)</f>
        <v>9</v>
      </c>
    </row>
    <row r="28" spans="1:47" x14ac:dyDescent="0.25">
      <c r="A28" s="86" t="s">
        <v>110</v>
      </c>
      <c r="B28" s="87" t="s">
        <v>74</v>
      </c>
      <c r="C28" s="87" t="str">
        <f>B28&amp;" "&amp;A28</f>
        <v>שני אחודה</v>
      </c>
      <c r="D28" s="88" t="s">
        <v>6</v>
      </c>
      <c r="E28" s="88" t="s">
        <v>7</v>
      </c>
      <c r="F28" s="89"/>
      <c r="G28" s="101">
        <v>43139</v>
      </c>
      <c r="H28" s="91"/>
      <c r="I28" s="92"/>
      <c r="J28" s="93"/>
      <c r="K28" s="93"/>
      <c r="L28" s="93"/>
      <c r="M28" s="94">
        <f>I28*3+K28</f>
        <v>0</v>
      </c>
      <c r="N28" s="94">
        <f>J28*3+L28</f>
        <v>0</v>
      </c>
      <c r="O28" s="95">
        <f>N28+M28</f>
        <v>0</v>
      </c>
      <c r="P28" s="86"/>
      <c r="Q28" s="88"/>
      <c r="R28" s="88"/>
      <c r="S28" s="88"/>
      <c r="T28" s="94">
        <f>P28*3+R28</f>
        <v>0</v>
      </c>
      <c r="U28" s="94">
        <f>Q28*3+S28</f>
        <v>0</v>
      </c>
      <c r="V28" s="96">
        <f>U28+T28</f>
        <v>0</v>
      </c>
      <c r="W28" s="86">
        <v>1</v>
      </c>
      <c r="X28" s="88"/>
      <c r="Y28" s="88"/>
      <c r="Z28" s="88"/>
      <c r="AA28" s="97">
        <f>W28*3+Y28</f>
        <v>3</v>
      </c>
      <c r="AB28" s="97">
        <f>X28*3+Z28</f>
        <v>0</v>
      </c>
      <c r="AC28" s="98">
        <f>AB28+AA28</f>
        <v>3</v>
      </c>
      <c r="AD28" s="86"/>
      <c r="AE28" s="88"/>
      <c r="AF28" s="88">
        <v>4</v>
      </c>
      <c r="AG28" s="88"/>
      <c r="AH28" s="94">
        <f>AD28*3+AF28</f>
        <v>4</v>
      </c>
      <c r="AI28" s="94">
        <f>AE28*3+AG28</f>
        <v>0</v>
      </c>
      <c r="AJ28" s="96">
        <f>AI28+AH28</f>
        <v>4</v>
      </c>
      <c r="AK28" s="86"/>
      <c r="AL28" s="88"/>
      <c r="AM28" s="88">
        <v>1</v>
      </c>
      <c r="AN28" s="88">
        <v>1</v>
      </c>
      <c r="AO28" s="94">
        <f>AK28*3+AM28</f>
        <v>1</v>
      </c>
      <c r="AP28" s="94">
        <f>AL28*3+AN28</f>
        <v>1</v>
      </c>
      <c r="AQ28" s="96">
        <f>AP28+AO28</f>
        <v>2</v>
      </c>
      <c r="AR28" s="99">
        <f>AO28+AH28+AA28</f>
        <v>8</v>
      </c>
      <c r="AS28" s="99">
        <f>AP28+AI28+AB28</f>
        <v>1</v>
      </c>
      <c r="AT28" s="100">
        <f>AS28+AR28</f>
        <v>9</v>
      </c>
      <c r="AU28" s="100">
        <f>SUM(AQ28,AJ28,AC28,V28,O28)</f>
        <v>9</v>
      </c>
    </row>
    <row r="29" spans="1:47" x14ac:dyDescent="0.25">
      <c r="A29" s="86">
        <v>9</v>
      </c>
      <c r="B29" s="87" t="s">
        <v>79</v>
      </c>
      <c r="C29" s="87" t="str">
        <f>B29&amp;" "&amp;A29</f>
        <v>כלנית 9</v>
      </c>
      <c r="D29" s="88" t="s">
        <v>6</v>
      </c>
      <c r="E29" s="88" t="s">
        <v>6</v>
      </c>
      <c r="F29" s="89"/>
      <c r="G29" s="101">
        <v>43661</v>
      </c>
      <c r="H29" s="91"/>
      <c r="I29" s="92"/>
      <c r="J29" s="93"/>
      <c r="K29" s="93"/>
      <c r="L29" s="93"/>
      <c r="M29" s="94">
        <f>I29*3+K29</f>
        <v>0</v>
      </c>
      <c r="N29" s="94">
        <f>J29*3+L29</f>
        <v>0</v>
      </c>
      <c r="O29" s="95">
        <f>N29+M29</f>
        <v>0</v>
      </c>
      <c r="P29" s="86"/>
      <c r="Q29" s="88"/>
      <c r="R29" s="88"/>
      <c r="S29" s="88"/>
      <c r="T29" s="94">
        <f>P29*3+R29</f>
        <v>0</v>
      </c>
      <c r="U29" s="94">
        <f>Q29*3+S29</f>
        <v>0</v>
      </c>
      <c r="V29" s="96">
        <f>U29+T29</f>
        <v>0</v>
      </c>
      <c r="W29" s="86"/>
      <c r="X29" s="88"/>
      <c r="Y29" s="88"/>
      <c r="Z29" s="88"/>
      <c r="AA29" s="97">
        <f>W29*3+Y29</f>
        <v>0</v>
      </c>
      <c r="AB29" s="97">
        <f>X29*3+Z29</f>
        <v>0</v>
      </c>
      <c r="AC29" s="98">
        <f>AB29+AA29</f>
        <v>0</v>
      </c>
      <c r="AD29" s="86">
        <v>1</v>
      </c>
      <c r="AE29" s="88"/>
      <c r="AF29" s="88">
        <v>2</v>
      </c>
      <c r="AG29" s="88"/>
      <c r="AH29" s="94">
        <f>AD29*3+AF29</f>
        <v>5</v>
      </c>
      <c r="AI29" s="94">
        <f>AE29*3+AG29</f>
        <v>0</v>
      </c>
      <c r="AJ29" s="96">
        <f>AI29+AH29</f>
        <v>5</v>
      </c>
      <c r="AK29" s="86">
        <v>1</v>
      </c>
      <c r="AL29" s="88"/>
      <c r="AM29" s="88"/>
      <c r="AN29" s="88"/>
      <c r="AO29" s="94">
        <f>AK29*3+AM29</f>
        <v>3</v>
      </c>
      <c r="AP29" s="94">
        <f>AL29*3+AN29</f>
        <v>0</v>
      </c>
      <c r="AQ29" s="96">
        <f>AP29+AO29</f>
        <v>3</v>
      </c>
      <c r="AR29" s="99">
        <f>AO29+AH29+AA29</f>
        <v>8</v>
      </c>
      <c r="AS29" s="99">
        <f>AP29+AI29+AB29</f>
        <v>0</v>
      </c>
      <c r="AT29" s="100">
        <f>AS29+AR29</f>
        <v>8</v>
      </c>
      <c r="AU29" s="100">
        <f>SUM(AQ29,AJ29,AC29,V29,O29)</f>
        <v>8</v>
      </c>
    </row>
    <row r="30" spans="1:47" x14ac:dyDescent="0.25">
      <c r="A30" s="86">
        <v>11</v>
      </c>
      <c r="B30" s="87" t="s">
        <v>80</v>
      </c>
      <c r="C30" s="87" t="str">
        <f>B30&amp;" "&amp;A30</f>
        <v>נילי 11</v>
      </c>
      <c r="D30" s="88" t="s">
        <v>7</v>
      </c>
      <c r="E30" s="88" t="s">
        <v>7</v>
      </c>
      <c r="F30" s="89"/>
      <c r="G30" s="101">
        <v>43661</v>
      </c>
      <c r="H30" s="91"/>
      <c r="I30" s="92"/>
      <c r="J30" s="93"/>
      <c r="K30" s="93"/>
      <c r="L30" s="93"/>
      <c r="M30" s="94">
        <f>I30*3+K30</f>
        <v>0</v>
      </c>
      <c r="N30" s="94">
        <f>J30*3+L30</f>
        <v>0</v>
      </c>
      <c r="O30" s="95">
        <f>N30+M30</f>
        <v>0</v>
      </c>
      <c r="P30" s="86"/>
      <c r="Q30" s="88"/>
      <c r="R30" s="88"/>
      <c r="S30" s="88"/>
      <c r="T30" s="94">
        <f>P30*3+R30</f>
        <v>0</v>
      </c>
      <c r="U30" s="94">
        <f>Q30*3+S30</f>
        <v>0</v>
      </c>
      <c r="V30" s="96">
        <f>U30+T30</f>
        <v>0</v>
      </c>
      <c r="W30" s="86"/>
      <c r="X30" s="88"/>
      <c r="Y30" s="88"/>
      <c r="Z30" s="88"/>
      <c r="AA30" s="97">
        <f>W30*3+Y30</f>
        <v>0</v>
      </c>
      <c r="AB30" s="97">
        <f>X30*3+Z30</f>
        <v>0</v>
      </c>
      <c r="AC30" s="98">
        <f>AB30+AA30</f>
        <v>0</v>
      </c>
      <c r="AD30" s="86">
        <v>1</v>
      </c>
      <c r="AE30" s="88"/>
      <c r="AF30" s="88">
        <v>1</v>
      </c>
      <c r="AG30" s="88"/>
      <c r="AH30" s="94">
        <f>AD30*3+AF30</f>
        <v>4</v>
      </c>
      <c r="AI30" s="94">
        <f>AE30*3+AG30</f>
        <v>0</v>
      </c>
      <c r="AJ30" s="96">
        <f>AI30+AH30</f>
        <v>4</v>
      </c>
      <c r="AK30" s="86"/>
      <c r="AL30" s="88"/>
      <c r="AM30" s="88">
        <v>1</v>
      </c>
      <c r="AN30" s="88">
        <v>3</v>
      </c>
      <c r="AO30" s="94">
        <f>AK30*3+AM30</f>
        <v>1</v>
      </c>
      <c r="AP30" s="94">
        <f>AL30*3+AN30</f>
        <v>3</v>
      </c>
      <c r="AQ30" s="96">
        <f>AP30+AO30</f>
        <v>4</v>
      </c>
      <c r="AR30" s="99">
        <f>AO30+AH30+AA30</f>
        <v>5</v>
      </c>
      <c r="AS30" s="99">
        <f>AP30+AI30+AB30</f>
        <v>3</v>
      </c>
      <c r="AT30" s="100">
        <f>AS30+AR30</f>
        <v>8</v>
      </c>
      <c r="AU30" s="100">
        <f>SUM(AQ30,AJ30,AC30,V30,O30)</f>
        <v>8</v>
      </c>
    </row>
    <row r="31" spans="1:47" x14ac:dyDescent="0.25">
      <c r="A31" s="86">
        <v>474</v>
      </c>
      <c r="B31" s="87" t="s">
        <v>5</v>
      </c>
      <c r="C31" s="87" t="str">
        <f>B31&amp;" "&amp;A31</f>
        <v>מאי 474</v>
      </c>
      <c r="D31" s="88" t="s">
        <v>6</v>
      </c>
      <c r="E31" s="88" t="s">
        <v>6</v>
      </c>
      <c r="F31" s="89"/>
      <c r="G31" s="101">
        <v>43661</v>
      </c>
      <c r="H31" s="91"/>
      <c r="I31" s="92"/>
      <c r="J31" s="93"/>
      <c r="K31" s="93"/>
      <c r="L31" s="93"/>
      <c r="M31" s="94">
        <f>I31*3+K31</f>
        <v>0</v>
      </c>
      <c r="N31" s="94">
        <f>J31*3+L31</f>
        <v>0</v>
      </c>
      <c r="O31" s="95">
        <f>N31+M31</f>
        <v>0</v>
      </c>
      <c r="P31" s="86"/>
      <c r="Q31" s="88"/>
      <c r="R31" s="88"/>
      <c r="S31" s="88"/>
      <c r="T31" s="94">
        <f>P31*3+R31</f>
        <v>0</v>
      </c>
      <c r="U31" s="94">
        <f>Q31*3+S31</f>
        <v>0</v>
      </c>
      <c r="V31" s="96">
        <f>U31+T31</f>
        <v>0</v>
      </c>
      <c r="W31" s="86"/>
      <c r="X31" s="88"/>
      <c r="Y31" s="88"/>
      <c r="Z31" s="88"/>
      <c r="AA31" s="97">
        <f>W31*3+Y31</f>
        <v>0</v>
      </c>
      <c r="AB31" s="97">
        <f>X31*3+Z31</f>
        <v>0</v>
      </c>
      <c r="AC31" s="98">
        <f>AB31+AA31</f>
        <v>0</v>
      </c>
      <c r="AD31" s="86">
        <v>1</v>
      </c>
      <c r="AE31" s="88"/>
      <c r="AF31" s="88">
        <v>2</v>
      </c>
      <c r="AG31" s="88"/>
      <c r="AH31" s="94">
        <f>AD31*3+AF31</f>
        <v>5</v>
      </c>
      <c r="AI31" s="94">
        <f>AE31*3+AG31</f>
        <v>0</v>
      </c>
      <c r="AJ31" s="96">
        <f>AI31+AH31</f>
        <v>5</v>
      </c>
      <c r="AK31" s="86">
        <v>1</v>
      </c>
      <c r="AL31" s="88"/>
      <c r="AM31" s="88"/>
      <c r="AN31" s="88"/>
      <c r="AO31" s="94">
        <f>AK31*3+AM31</f>
        <v>3</v>
      </c>
      <c r="AP31" s="94">
        <f>AL31*3+AN31</f>
        <v>0</v>
      </c>
      <c r="AQ31" s="96">
        <f>AP31+AO31</f>
        <v>3</v>
      </c>
      <c r="AR31" s="99">
        <f>AO31+AH31+AA31</f>
        <v>8</v>
      </c>
      <c r="AS31" s="99">
        <f>AP31+AI31+AB31</f>
        <v>0</v>
      </c>
      <c r="AT31" s="100">
        <f>AS31+AR31</f>
        <v>8</v>
      </c>
      <c r="AU31" s="100">
        <f>SUM(AQ31,AJ31,AC31,V31,O31)</f>
        <v>8</v>
      </c>
    </row>
    <row r="32" spans="1:47" x14ac:dyDescent="0.25">
      <c r="A32" s="86" t="s">
        <v>110</v>
      </c>
      <c r="B32" s="87" t="s">
        <v>75</v>
      </c>
      <c r="C32" s="87" t="str">
        <f>B32&amp;" "&amp;A32</f>
        <v>סופיה אחודה</v>
      </c>
      <c r="D32" s="88" t="s">
        <v>7</v>
      </c>
      <c r="E32" s="88" t="s">
        <v>7</v>
      </c>
      <c r="F32" s="89"/>
      <c r="G32" s="103">
        <v>43659</v>
      </c>
      <c r="H32" s="91"/>
      <c r="I32" s="92"/>
      <c r="J32" s="93"/>
      <c r="K32" s="93"/>
      <c r="L32" s="93"/>
      <c r="M32" s="94">
        <f>I32*3+K32</f>
        <v>0</v>
      </c>
      <c r="N32" s="94">
        <f>J32*3+L32</f>
        <v>0</v>
      </c>
      <c r="O32" s="95">
        <f>N32+M32</f>
        <v>0</v>
      </c>
      <c r="P32" s="86"/>
      <c r="Q32" s="88"/>
      <c r="R32" s="88"/>
      <c r="S32" s="88"/>
      <c r="T32" s="94">
        <f>P32*3+R32</f>
        <v>0</v>
      </c>
      <c r="U32" s="94">
        <f>Q32*3+S32</f>
        <v>0</v>
      </c>
      <c r="V32" s="96">
        <f>U32+T32</f>
        <v>0</v>
      </c>
      <c r="W32" s="86"/>
      <c r="X32" s="88"/>
      <c r="Y32" s="88"/>
      <c r="Z32" s="88"/>
      <c r="AA32" s="97">
        <f>W32*3+Y32</f>
        <v>0</v>
      </c>
      <c r="AB32" s="97">
        <f>X32*3+Z32</f>
        <v>0</v>
      </c>
      <c r="AC32" s="98">
        <f>AB32+AA32</f>
        <v>0</v>
      </c>
      <c r="AD32" s="86"/>
      <c r="AE32" s="88">
        <v>1</v>
      </c>
      <c r="AF32" s="88"/>
      <c r="AG32" s="88">
        <v>1</v>
      </c>
      <c r="AH32" s="94">
        <f>AD32*3+AF32</f>
        <v>0</v>
      </c>
      <c r="AI32" s="94">
        <f>AE32*3+AG32</f>
        <v>4</v>
      </c>
      <c r="AJ32" s="96">
        <f>AI32+AH32</f>
        <v>4</v>
      </c>
      <c r="AK32" s="86"/>
      <c r="AL32" s="88">
        <v>1</v>
      </c>
      <c r="AM32" s="88"/>
      <c r="AN32" s="88">
        <v>1</v>
      </c>
      <c r="AO32" s="94">
        <f>AK32*3+AM32</f>
        <v>0</v>
      </c>
      <c r="AP32" s="94">
        <f>AL32*3+AN32</f>
        <v>4</v>
      </c>
      <c r="AQ32" s="96">
        <f>AP32+AO32</f>
        <v>4</v>
      </c>
      <c r="AR32" s="99">
        <f>AO32+AH32+AA32</f>
        <v>0</v>
      </c>
      <c r="AS32" s="99">
        <f>AP32+AI32+AB32</f>
        <v>8</v>
      </c>
      <c r="AT32" s="100">
        <f>AS32+AR32</f>
        <v>8</v>
      </c>
      <c r="AU32" s="100">
        <f>SUM(AQ32,AJ32,AC32,V32,O32)</f>
        <v>8</v>
      </c>
    </row>
    <row r="33" spans="1:47" x14ac:dyDescent="0.25">
      <c r="A33" s="86">
        <v>9</v>
      </c>
      <c r="B33" s="87" t="s">
        <v>83</v>
      </c>
      <c r="C33" s="87" t="str">
        <f>B33&amp;" "&amp;A33</f>
        <v>מעיין 9</v>
      </c>
      <c r="D33" s="88" t="s">
        <v>6</v>
      </c>
      <c r="E33" s="88" t="s">
        <v>6</v>
      </c>
      <c r="F33" s="89"/>
      <c r="G33" s="103">
        <v>43661</v>
      </c>
      <c r="H33" s="91"/>
      <c r="I33" s="92"/>
      <c r="J33" s="93"/>
      <c r="K33" s="93"/>
      <c r="L33" s="93"/>
      <c r="M33" s="94">
        <f>I33*3+K33</f>
        <v>0</v>
      </c>
      <c r="N33" s="94">
        <f>J33*3+L33</f>
        <v>0</v>
      </c>
      <c r="O33" s="95">
        <f>N33+M33</f>
        <v>0</v>
      </c>
      <c r="P33" s="86"/>
      <c r="Q33" s="88"/>
      <c r="R33" s="88"/>
      <c r="S33" s="88"/>
      <c r="T33" s="94">
        <f>P33*3+R33</f>
        <v>0</v>
      </c>
      <c r="U33" s="94">
        <f>Q33*3+S33</f>
        <v>0</v>
      </c>
      <c r="V33" s="96">
        <f>U33+T33</f>
        <v>0</v>
      </c>
      <c r="W33" s="86"/>
      <c r="X33" s="88"/>
      <c r="Y33" s="88"/>
      <c r="Z33" s="88"/>
      <c r="AA33" s="97">
        <f>W33*3+Y33</f>
        <v>0</v>
      </c>
      <c r="AB33" s="97">
        <f>X33*3+Z33</f>
        <v>0</v>
      </c>
      <c r="AC33" s="98">
        <f>AB33+AA33</f>
        <v>0</v>
      </c>
      <c r="AD33" s="86">
        <v>1</v>
      </c>
      <c r="AE33" s="88"/>
      <c r="AF33" s="88">
        <v>3</v>
      </c>
      <c r="AG33" s="88"/>
      <c r="AH33" s="94">
        <f>AD33*3+AF33</f>
        <v>6</v>
      </c>
      <c r="AI33" s="94">
        <f>AE33*3+AG33</f>
        <v>0</v>
      </c>
      <c r="AJ33" s="96">
        <f>AI33+AH33</f>
        <v>6</v>
      </c>
      <c r="AK33" s="86"/>
      <c r="AL33" s="88"/>
      <c r="AM33" s="88">
        <v>1</v>
      </c>
      <c r="AN33" s="88"/>
      <c r="AO33" s="94">
        <f>AK33*3+AM33</f>
        <v>1</v>
      </c>
      <c r="AP33" s="94">
        <f>AL33*3+AN33</f>
        <v>0</v>
      </c>
      <c r="AQ33" s="96">
        <f>AP33+AO33</f>
        <v>1</v>
      </c>
      <c r="AR33" s="99">
        <f>AO33+AH33+AA33</f>
        <v>7</v>
      </c>
      <c r="AS33" s="99">
        <f>AP33+AI33+AB33</f>
        <v>0</v>
      </c>
      <c r="AT33" s="100">
        <f>AS33+AR33</f>
        <v>7</v>
      </c>
      <c r="AU33" s="100">
        <f>SUM(AQ33,AJ33,AC33,V33,O33)</f>
        <v>7</v>
      </c>
    </row>
    <row r="34" spans="1:47" x14ac:dyDescent="0.25">
      <c r="A34" s="86">
        <v>679</v>
      </c>
      <c r="B34" s="87" t="s">
        <v>25</v>
      </c>
      <c r="C34" s="87" t="str">
        <f>B34&amp;" "&amp;A34</f>
        <v>אופיר 679</v>
      </c>
      <c r="D34" s="88" t="s">
        <v>6</v>
      </c>
      <c r="E34" s="88" t="s">
        <v>6</v>
      </c>
      <c r="F34" s="89"/>
      <c r="G34" s="103" t="s">
        <v>108</v>
      </c>
      <c r="H34" s="91"/>
      <c r="I34" s="92"/>
      <c r="J34" s="93"/>
      <c r="K34" s="93"/>
      <c r="L34" s="93"/>
      <c r="M34" s="94">
        <f>I34*3+K34</f>
        <v>0</v>
      </c>
      <c r="N34" s="94">
        <f>J34*3+L34</f>
        <v>0</v>
      </c>
      <c r="O34" s="95">
        <f>N34+M34</f>
        <v>0</v>
      </c>
      <c r="P34" s="86"/>
      <c r="Q34" s="88"/>
      <c r="R34" s="88"/>
      <c r="S34" s="88"/>
      <c r="T34" s="94">
        <f>P34*3+R34</f>
        <v>0</v>
      </c>
      <c r="U34" s="94">
        <f>Q34*3+S34</f>
        <v>0</v>
      </c>
      <c r="V34" s="96">
        <f>U34+T34</f>
        <v>0</v>
      </c>
      <c r="W34" s="86"/>
      <c r="X34" s="88"/>
      <c r="Y34" s="88"/>
      <c r="Z34" s="88"/>
      <c r="AA34" s="97">
        <f>W34*3+Y34</f>
        <v>0</v>
      </c>
      <c r="AB34" s="97">
        <f>X34*3+Z34</f>
        <v>0</v>
      </c>
      <c r="AC34" s="98">
        <f>AB34+AA34</f>
        <v>0</v>
      </c>
      <c r="AD34" s="86">
        <v>1</v>
      </c>
      <c r="AE34" s="88"/>
      <c r="AF34" s="88"/>
      <c r="AG34" s="88"/>
      <c r="AH34" s="94">
        <f>AD34*3+AF34</f>
        <v>3</v>
      </c>
      <c r="AI34" s="94">
        <f>AE34*3+AG34</f>
        <v>0</v>
      </c>
      <c r="AJ34" s="96">
        <f>AI34+AH34</f>
        <v>3</v>
      </c>
      <c r="AK34" s="86"/>
      <c r="AL34" s="88"/>
      <c r="AM34" s="88">
        <v>4</v>
      </c>
      <c r="AN34" s="88"/>
      <c r="AO34" s="94">
        <f>AK34*3+AM34</f>
        <v>4</v>
      </c>
      <c r="AP34" s="94">
        <f>AL34*3+AN34</f>
        <v>0</v>
      </c>
      <c r="AQ34" s="96">
        <f>AP34+AO34</f>
        <v>4</v>
      </c>
      <c r="AR34" s="99">
        <f>AO34+AH34+AA34</f>
        <v>7</v>
      </c>
      <c r="AS34" s="99">
        <f>AP34+AI34+AB34</f>
        <v>0</v>
      </c>
      <c r="AT34" s="100">
        <f>AS34+AR34</f>
        <v>7</v>
      </c>
      <c r="AU34" s="100">
        <f>SUM(AQ34,AJ34,AC34,V34,O34)</f>
        <v>7</v>
      </c>
    </row>
    <row r="35" spans="1:47" x14ac:dyDescent="0.25">
      <c r="A35" s="86">
        <v>679</v>
      </c>
      <c r="B35" s="87" t="s">
        <v>82</v>
      </c>
      <c r="C35" s="87" t="str">
        <f>B35&amp;" "&amp;A35</f>
        <v>אלכס 679</v>
      </c>
      <c r="D35" s="88" t="s">
        <v>6</v>
      </c>
      <c r="E35" s="88" t="s">
        <v>6</v>
      </c>
      <c r="F35" s="89"/>
      <c r="G35" s="103">
        <v>43661</v>
      </c>
      <c r="H35" s="91"/>
      <c r="I35" s="92"/>
      <c r="J35" s="93"/>
      <c r="K35" s="93"/>
      <c r="L35" s="93"/>
      <c r="M35" s="94">
        <f>I35*3+K35</f>
        <v>0</v>
      </c>
      <c r="N35" s="94">
        <f>J35*3+L35</f>
        <v>0</v>
      </c>
      <c r="O35" s="95">
        <f>N35+M35</f>
        <v>0</v>
      </c>
      <c r="P35" s="86"/>
      <c r="Q35" s="88"/>
      <c r="R35" s="88"/>
      <c r="S35" s="88"/>
      <c r="T35" s="94">
        <f>P35*3+R35</f>
        <v>0</v>
      </c>
      <c r="U35" s="94">
        <f>Q35*3+S35</f>
        <v>0</v>
      </c>
      <c r="V35" s="96">
        <f>U35+T35</f>
        <v>0</v>
      </c>
      <c r="W35" s="86"/>
      <c r="X35" s="88"/>
      <c r="Y35" s="88"/>
      <c r="Z35" s="88"/>
      <c r="AA35" s="97">
        <f>W35*3+Y35</f>
        <v>0</v>
      </c>
      <c r="AB35" s="97">
        <f>X35*3+Z35</f>
        <v>0</v>
      </c>
      <c r="AC35" s="98">
        <f>AB35+AA35</f>
        <v>0</v>
      </c>
      <c r="AD35" s="86">
        <v>1</v>
      </c>
      <c r="AE35" s="88"/>
      <c r="AF35" s="88"/>
      <c r="AG35" s="88"/>
      <c r="AH35" s="94">
        <f>AD35*3+AF35</f>
        <v>3</v>
      </c>
      <c r="AI35" s="94">
        <f>AE35*3+AG35</f>
        <v>0</v>
      </c>
      <c r="AJ35" s="96">
        <f>AI35+AH35</f>
        <v>3</v>
      </c>
      <c r="AK35" s="86"/>
      <c r="AL35" s="88"/>
      <c r="AM35" s="88">
        <v>4</v>
      </c>
      <c r="AN35" s="88"/>
      <c r="AO35" s="94">
        <f>AK35*3+AM35</f>
        <v>4</v>
      </c>
      <c r="AP35" s="94">
        <f>AL35*3+AN35</f>
        <v>0</v>
      </c>
      <c r="AQ35" s="96">
        <f>AP35+AO35</f>
        <v>4</v>
      </c>
      <c r="AR35" s="99">
        <f>AO35+AH35+AA35</f>
        <v>7</v>
      </c>
      <c r="AS35" s="99">
        <f>AP35+AI35+AB35</f>
        <v>0</v>
      </c>
      <c r="AT35" s="100">
        <f>AS35+AR35</f>
        <v>7</v>
      </c>
      <c r="AU35" s="100">
        <f>SUM(AQ35,AJ35,AC35,V35,O35)</f>
        <v>7</v>
      </c>
    </row>
    <row r="36" spans="1:47" x14ac:dyDescent="0.25">
      <c r="A36" s="86" t="s">
        <v>110</v>
      </c>
      <c r="B36" s="87" t="s">
        <v>73</v>
      </c>
      <c r="C36" s="87" t="str">
        <f>B36&amp;" "&amp;A36</f>
        <v>דקל אחודה</v>
      </c>
      <c r="D36" s="88" t="s">
        <v>6</v>
      </c>
      <c r="E36" s="88" t="s">
        <v>7</v>
      </c>
      <c r="F36" s="89"/>
      <c r="G36" s="103">
        <v>43692</v>
      </c>
      <c r="H36" s="91"/>
      <c r="I36" s="92"/>
      <c r="J36" s="93"/>
      <c r="K36" s="93"/>
      <c r="L36" s="93"/>
      <c r="M36" s="94">
        <f>I36*3+K36</f>
        <v>0</v>
      </c>
      <c r="N36" s="94">
        <f>J36*3+L36</f>
        <v>0</v>
      </c>
      <c r="O36" s="95">
        <f>N36+M36</f>
        <v>0</v>
      </c>
      <c r="P36" s="86"/>
      <c r="Q36" s="88"/>
      <c r="R36" s="88"/>
      <c r="S36" s="88"/>
      <c r="T36" s="94">
        <f>P36*3+R36</f>
        <v>0</v>
      </c>
      <c r="U36" s="94">
        <f>Q36*3+S36</f>
        <v>0</v>
      </c>
      <c r="V36" s="96">
        <f>U36+T36</f>
        <v>0</v>
      </c>
      <c r="W36" s="86">
        <v>1</v>
      </c>
      <c r="X36" s="88"/>
      <c r="Y36" s="88"/>
      <c r="Z36" s="88"/>
      <c r="AA36" s="97">
        <f>W36*3+Y36</f>
        <v>3</v>
      </c>
      <c r="AB36" s="97">
        <f>X36*3+Z36</f>
        <v>0</v>
      </c>
      <c r="AC36" s="98">
        <f>AB36+AA36</f>
        <v>3</v>
      </c>
      <c r="AD36" s="86">
        <v>1</v>
      </c>
      <c r="AE36" s="88"/>
      <c r="AF36" s="88">
        <v>1</v>
      </c>
      <c r="AG36" s="88"/>
      <c r="AH36" s="94">
        <f>AD36*3+AF36</f>
        <v>4</v>
      </c>
      <c r="AI36" s="94">
        <f>AE36*3+AG36</f>
        <v>0</v>
      </c>
      <c r="AJ36" s="96">
        <f>AI36+AH36</f>
        <v>4</v>
      </c>
      <c r="AK36" s="86"/>
      <c r="AL36" s="88"/>
      <c r="AM36" s="88"/>
      <c r="AN36" s="88"/>
      <c r="AO36" s="94">
        <f>AK36*3+AM36</f>
        <v>0</v>
      </c>
      <c r="AP36" s="94">
        <f>AL36*3+AN36</f>
        <v>0</v>
      </c>
      <c r="AQ36" s="96">
        <f>AP36+AO36</f>
        <v>0</v>
      </c>
      <c r="AR36" s="99">
        <f>AO36+AH36+AA36</f>
        <v>7</v>
      </c>
      <c r="AS36" s="99">
        <f>AP36+AI36+AB36</f>
        <v>0</v>
      </c>
      <c r="AT36" s="100">
        <f>AS36+AR36</f>
        <v>7</v>
      </c>
      <c r="AU36" s="100">
        <f>SUM(AQ36,AJ36,AC36,V36,O36)</f>
        <v>7</v>
      </c>
    </row>
    <row r="37" spans="1:47" x14ac:dyDescent="0.25">
      <c r="A37" s="86" t="s">
        <v>23</v>
      </c>
      <c r="B37" s="87" t="s">
        <v>81</v>
      </c>
      <c r="C37" s="87" t="str">
        <f>B37&amp;" "&amp;A37</f>
        <v>שר מפאוג</v>
      </c>
      <c r="D37" s="88" t="s">
        <v>6</v>
      </c>
      <c r="E37" s="88" t="s">
        <v>6</v>
      </c>
      <c r="F37" s="89"/>
      <c r="G37" s="101" t="s">
        <v>108</v>
      </c>
      <c r="H37" s="91"/>
      <c r="I37" s="92"/>
      <c r="J37" s="93"/>
      <c r="K37" s="93"/>
      <c r="L37" s="93"/>
      <c r="M37" s="94">
        <f>I37*3+K37</f>
        <v>0</v>
      </c>
      <c r="N37" s="94">
        <f>J37*3+L37</f>
        <v>0</v>
      </c>
      <c r="O37" s="95">
        <f>N37+M37</f>
        <v>0</v>
      </c>
      <c r="P37" s="86"/>
      <c r="Q37" s="88"/>
      <c r="R37" s="88"/>
      <c r="S37" s="88"/>
      <c r="T37" s="94">
        <f>P37*3+R37</f>
        <v>0</v>
      </c>
      <c r="U37" s="94">
        <f>Q37*3+S37</f>
        <v>0</v>
      </c>
      <c r="V37" s="96">
        <f>U37+T37</f>
        <v>0</v>
      </c>
      <c r="W37" s="86"/>
      <c r="X37" s="88"/>
      <c r="Y37" s="88"/>
      <c r="Z37" s="88"/>
      <c r="AA37" s="97">
        <f>W37*3+Y37</f>
        <v>0</v>
      </c>
      <c r="AB37" s="97">
        <f>X37*3+Z37</f>
        <v>0</v>
      </c>
      <c r="AC37" s="98">
        <f>AB37+AA37</f>
        <v>0</v>
      </c>
      <c r="AD37" s="86"/>
      <c r="AE37" s="88"/>
      <c r="AF37" s="88">
        <v>4</v>
      </c>
      <c r="AG37" s="88"/>
      <c r="AH37" s="94">
        <f>AD37*3+AF37</f>
        <v>4</v>
      </c>
      <c r="AI37" s="94">
        <f>AE37*3+AG37</f>
        <v>0</v>
      </c>
      <c r="AJ37" s="96">
        <f>AI37+AH37</f>
        <v>4</v>
      </c>
      <c r="AK37" s="86"/>
      <c r="AL37" s="88"/>
      <c r="AM37" s="88">
        <v>3</v>
      </c>
      <c r="AN37" s="88"/>
      <c r="AO37" s="94">
        <f>AK37*3+AM37</f>
        <v>3</v>
      </c>
      <c r="AP37" s="94">
        <f>AL37*3+AN37</f>
        <v>0</v>
      </c>
      <c r="AQ37" s="96">
        <f>AP37+AO37</f>
        <v>3</v>
      </c>
      <c r="AR37" s="99">
        <f>AO37+AH37+AA37</f>
        <v>7</v>
      </c>
      <c r="AS37" s="99">
        <f>AP37+AI37+AB37</f>
        <v>0</v>
      </c>
      <c r="AT37" s="100">
        <f>AS37+AR37</f>
        <v>7</v>
      </c>
      <c r="AU37" s="100">
        <f>SUM(AQ37,AJ37,AC37,V37,O37)</f>
        <v>7</v>
      </c>
    </row>
    <row r="38" spans="1:47" x14ac:dyDescent="0.25">
      <c r="A38" s="86">
        <v>9</v>
      </c>
      <c r="B38" s="87" t="s">
        <v>21</v>
      </c>
      <c r="C38" s="87" t="str">
        <f>B38&amp;" "&amp;A38</f>
        <v>שקד 9</v>
      </c>
      <c r="D38" s="88" t="s">
        <v>6</v>
      </c>
      <c r="E38" s="88" t="s">
        <v>6</v>
      </c>
      <c r="F38" s="89" t="s">
        <v>142</v>
      </c>
      <c r="G38" s="90" t="s">
        <v>143</v>
      </c>
      <c r="H38" s="91" t="s">
        <v>143</v>
      </c>
      <c r="I38" s="92"/>
      <c r="J38" s="93"/>
      <c r="K38" s="93"/>
      <c r="L38" s="93"/>
      <c r="M38" s="94">
        <f>I38*3+K38</f>
        <v>0</v>
      </c>
      <c r="N38" s="94">
        <f>J38*3+L38</f>
        <v>0</v>
      </c>
      <c r="O38" s="95">
        <f>N38+M38</f>
        <v>0</v>
      </c>
      <c r="P38" s="86"/>
      <c r="Q38" s="88"/>
      <c r="R38" s="88"/>
      <c r="S38" s="88"/>
      <c r="T38" s="94">
        <f>P38*3+R38</f>
        <v>0</v>
      </c>
      <c r="U38" s="94">
        <f>Q38*3+S38</f>
        <v>0</v>
      </c>
      <c r="V38" s="96">
        <f>U38+T38</f>
        <v>0</v>
      </c>
      <c r="W38" s="86"/>
      <c r="X38" s="88"/>
      <c r="Y38" s="88"/>
      <c r="Z38" s="88"/>
      <c r="AA38" s="97">
        <f>W38*3+Y38</f>
        <v>0</v>
      </c>
      <c r="AB38" s="97">
        <f>X38*3+Z38</f>
        <v>0</v>
      </c>
      <c r="AC38" s="98">
        <f>AB38+AA38</f>
        <v>0</v>
      </c>
      <c r="AD38" s="86"/>
      <c r="AE38" s="88"/>
      <c r="AF38" s="88">
        <v>1</v>
      </c>
      <c r="AG38" s="88"/>
      <c r="AH38" s="94">
        <f>AD38*3+AF38</f>
        <v>1</v>
      </c>
      <c r="AI38" s="94">
        <f>AE38*3+AG38</f>
        <v>0</v>
      </c>
      <c r="AJ38" s="96">
        <f>AI38+AH38</f>
        <v>1</v>
      </c>
      <c r="AK38" s="86">
        <v>1</v>
      </c>
      <c r="AL38" s="88"/>
      <c r="AM38" s="88">
        <v>2</v>
      </c>
      <c r="AN38" s="88"/>
      <c r="AO38" s="94">
        <f>AK38*3+AM38</f>
        <v>5</v>
      </c>
      <c r="AP38" s="94">
        <f>AL38*3+AN38</f>
        <v>0</v>
      </c>
      <c r="AQ38" s="96">
        <f>AP38+AO38</f>
        <v>5</v>
      </c>
      <c r="AR38" s="99">
        <f>AO38+AH38+AA38</f>
        <v>6</v>
      </c>
      <c r="AS38" s="99">
        <f>AP38+AI38+AB38</f>
        <v>0</v>
      </c>
      <c r="AT38" s="100">
        <f>AS38+AR38</f>
        <v>6</v>
      </c>
      <c r="AU38" s="100">
        <f>SUM(AQ38,AJ38,AC38,V38,O38)</f>
        <v>6</v>
      </c>
    </row>
    <row r="39" spans="1:47" x14ac:dyDescent="0.25">
      <c r="A39" s="86" t="s">
        <v>110</v>
      </c>
      <c r="B39" s="87" t="s">
        <v>91</v>
      </c>
      <c r="C39" s="87" t="str">
        <f>B39&amp;" "&amp;A39</f>
        <v>ניצן אחודה</v>
      </c>
      <c r="D39" s="88" t="s">
        <v>7</v>
      </c>
      <c r="E39" s="88" t="s">
        <v>7</v>
      </c>
      <c r="F39" s="89"/>
      <c r="G39" s="101" t="s">
        <v>108</v>
      </c>
      <c r="H39" s="91" t="s">
        <v>92</v>
      </c>
      <c r="I39" s="92"/>
      <c r="J39" s="93"/>
      <c r="K39" s="93"/>
      <c r="L39" s="93"/>
      <c r="M39" s="94">
        <f>I39*3+K39</f>
        <v>0</v>
      </c>
      <c r="N39" s="94">
        <f>J39*3+L39</f>
        <v>0</v>
      </c>
      <c r="O39" s="95">
        <f>N39+M39</f>
        <v>0</v>
      </c>
      <c r="P39" s="86"/>
      <c r="Q39" s="88"/>
      <c r="R39" s="88"/>
      <c r="S39" s="88"/>
      <c r="T39" s="94">
        <f>P39*3+R39</f>
        <v>0</v>
      </c>
      <c r="U39" s="94">
        <f>Q39*3+S39</f>
        <v>0</v>
      </c>
      <c r="V39" s="96">
        <f>U39+T39</f>
        <v>0</v>
      </c>
      <c r="W39" s="86"/>
      <c r="X39" s="88"/>
      <c r="Y39" s="88"/>
      <c r="Z39" s="88"/>
      <c r="AA39" s="97">
        <f>W39*3+Y39</f>
        <v>0</v>
      </c>
      <c r="AB39" s="97">
        <f>X39*3+Z39</f>
        <v>0</v>
      </c>
      <c r="AC39" s="98">
        <f>AB39+AA39</f>
        <v>0</v>
      </c>
      <c r="AD39" s="86"/>
      <c r="AE39" s="88"/>
      <c r="AF39" s="88"/>
      <c r="AG39" s="88">
        <v>1</v>
      </c>
      <c r="AH39" s="94">
        <f>AD39*3+AF39</f>
        <v>0</v>
      </c>
      <c r="AI39" s="94">
        <f>AE39*3+AG39</f>
        <v>1</v>
      </c>
      <c r="AJ39" s="96">
        <f>AI39+AH39</f>
        <v>1</v>
      </c>
      <c r="AK39" s="86"/>
      <c r="AL39" s="88">
        <v>1</v>
      </c>
      <c r="AM39" s="88"/>
      <c r="AN39" s="88">
        <v>2</v>
      </c>
      <c r="AO39" s="94">
        <f>AK39*3+AM39</f>
        <v>0</v>
      </c>
      <c r="AP39" s="94">
        <f>AL39*3+AN39</f>
        <v>5</v>
      </c>
      <c r="AQ39" s="96">
        <f>AP39+AO39</f>
        <v>5</v>
      </c>
      <c r="AR39" s="99">
        <f>AO39+AH39+AA39</f>
        <v>0</v>
      </c>
      <c r="AS39" s="99">
        <f>AP39+AI39+AB39</f>
        <v>6</v>
      </c>
      <c r="AT39" s="100">
        <f>AS39+AR39</f>
        <v>6</v>
      </c>
      <c r="AU39" s="100">
        <f>SUM(AQ39,AJ39,AC39,V39,O39)</f>
        <v>6</v>
      </c>
    </row>
    <row r="40" spans="1:47" x14ac:dyDescent="0.25">
      <c r="A40" s="86">
        <v>474</v>
      </c>
      <c r="B40" s="87" t="s">
        <v>141</v>
      </c>
      <c r="C40" s="87" t="str">
        <f>B40&amp;" "&amp;A40</f>
        <v>עומר 474</v>
      </c>
      <c r="D40" s="88" t="s">
        <v>6</v>
      </c>
      <c r="E40" s="88" t="s">
        <v>6</v>
      </c>
      <c r="F40" s="89" t="s">
        <v>142</v>
      </c>
      <c r="G40" s="90" t="s">
        <v>143</v>
      </c>
      <c r="H40" s="91" t="s">
        <v>143</v>
      </c>
      <c r="I40" s="92"/>
      <c r="J40" s="93"/>
      <c r="K40" s="93"/>
      <c r="L40" s="93"/>
      <c r="M40" s="94">
        <f>I40*3+K40</f>
        <v>0</v>
      </c>
      <c r="N40" s="94">
        <f>J40*3+L40</f>
        <v>0</v>
      </c>
      <c r="O40" s="95">
        <f>N40+M40</f>
        <v>0</v>
      </c>
      <c r="P40" s="86"/>
      <c r="Q40" s="88"/>
      <c r="R40" s="88"/>
      <c r="S40" s="88"/>
      <c r="T40" s="94">
        <f>P40*3+R40</f>
        <v>0</v>
      </c>
      <c r="U40" s="94">
        <f>Q40*3+S40</f>
        <v>0</v>
      </c>
      <c r="V40" s="96">
        <f>U40+T40</f>
        <v>0</v>
      </c>
      <c r="W40" s="86"/>
      <c r="X40" s="88"/>
      <c r="Y40" s="88"/>
      <c r="Z40" s="88"/>
      <c r="AA40" s="97">
        <f>W40*3+Y40</f>
        <v>0</v>
      </c>
      <c r="AB40" s="97">
        <f>X40*3+Z40</f>
        <v>0</v>
      </c>
      <c r="AC40" s="98">
        <f>AB40+AA40</f>
        <v>0</v>
      </c>
      <c r="AD40" s="86">
        <v>1</v>
      </c>
      <c r="AE40" s="88"/>
      <c r="AF40" s="88"/>
      <c r="AG40" s="88"/>
      <c r="AH40" s="94">
        <f>AD40*3+AF40</f>
        <v>3</v>
      </c>
      <c r="AI40" s="94">
        <f>AE40*3+AG40</f>
        <v>0</v>
      </c>
      <c r="AJ40" s="96">
        <f>AI40+AH40</f>
        <v>3</v>
      </c>
      <c r="AK40" s="86"/>
      <c r="AL40" s="88"/>
      <c r="AM40" s="88">
        <v>2</v>
      </c>
      <c r="AN40" s="88"/>
      <c r="AO40" s="94">
        <f>AK40*3+AM40</f>
        <v>2</v>
      </c>
      <c r="AP40" s="94">
        <f>AL40*3+AN40</f>
        <v>0</v>
      </c>
      <c r="AQ40" s="96">
        <f>AP40+AO40</f>
        <v>2</v>
      </c>
      <c r="AR40" s="99">
        <f>AO40+AH40+AA40</f>
        <v>5</v>
      </c>
      <c r="AS40" s="99">
        <f>AP40+AI40+AB40</f>
        <v>0</v>
      </c>
      <c r="AT40" s="100">
        <f>AS40+AR40</f>
        <v>5</v>
      </c>
      <c r="AU40" s="100">
        <f>SUM(AQ40,AJ40,AC40,V40,O40)</f>
        <v>5</v>
      </c>
    </row>
    <row r="41" spans="1:47" x14ac:dyDescent="0.25">
      <c r="A41" s="86" t="s">
        <v>110</v>
      </c>
      <c r="B41" s="87" t="s">
        <v>157</v>
      </c>
      <c r="C41" s="87" t="str">
        <f>B41&amp;" "&amp;A41</f>
        <v>דיאנה אחודה</v>
      </c>
      <c r="D41" s="88" t="s">
        <v>6</v>
      </c>
      <c r="E41" s="88" t="s">
        <v>6</v>
      </c>
      <c r="F41" s="89" t="s">
        <v>158</v>
      </c>
      <c r="G41" s="101">
        <v>43291</v>
      </c>
      <c r="H41" s="91" t="s">
        <v>159</v>
      </c>
      <c r="I41" s="92"/>
      <c r="J41" s="93"/>
      <c r="K41" s="93"/>
      <c r="L41" s="93"/>
      <c r="M41" s="94">
        <f>I41*3+K41</f>
        <v>0</v>
      </c>
      <c r="N41" s="94">
        <f>J41*3+L41</f>
        <v>0</v>
      </c>
      <c r="O41" s="95">
        <f>N41+M41</f>
        <v>0</v>
      </c>
      <c r="P41" s="86"/>
      <c r="Q41" s="88"/>
      <c r="R41" s="88"/>
      <c r="S41" s="88"/>
      <c r="T41" s="94">
        <f>P41*3+R41</f>
        <v>0</v>
      </c>
      <c r="U41" s="94">
        <f>Q41*3+S41</f>
        <v>0</v>
      </c>
      <c r="V41" s="96">
        <f>U41+T41</f>
        <v>0</v>
      </c>
      <c r="W41" s="86"/>
      <c r="X41" s="88"/>
      <c r="Y41" s="88"/>
      <c r="Z41" s="88"/>
      <c r="AA41" s="97">
        <f>W41*3+Y41</f>
        <v>0</v>
      </c>
      <c r="AB41" s="97">
        <f>X41*3+Z41</f>
        <v>0</v>
      </c>
      <c r="AC41" s="98">
        <f>AB41+AA41</f>
        <v>0</v>
      </c>
      <c r="AD41" s="86"/>
      <c r="AE41" s="88"/>
      <c r="AF41" s="88"/>
      <c r="AG41" s="88"/>
      <c r="AH41" s="94">
        <f>AD41*3+AF41</f>
        <v>0</v>
      </c>
      <c r="AI41" s="94">
        <f>AE41*3+AG41</f>
        <v>0</v>
      </c>
      <c r="AJ41" s="96">
        <f>AI41+AH41</f>
        <v>0</v>
      </c>
      <c r="AK41" s="86">
        <v>1</v>
      </c>
      <c r="AL41" s="88"/>
      <c r="AM41" s="88">
        <v>1</v>
      </c>
      <c r="AN41" s="88"/>
      <c r="AO41" s="94">
        <f>AK41*3+AM41</f>
        <v>4</v>
      </c>
      <c r="AP41" s="94">
        <f>AL41*3+AN41</f>
        <v>0</v>
      </c>
      <c r="AQ41" s="96">
        <f>AP41+AO41</f>
        <v>4</v>
      </c>
      <c r="AR41" s="99">
        <f>AO41+AH41+AA41</f>
        <v>4</v>
      </c>
      <c r="AS41" s="99">
        <f>AP41+AI41+AB41</f>
        <v>0</v>
      </c>
      <c r="AT41" s="100">
        <f>AS41+AR41</f>
        <v>4</v>
      </c>
      <c r="AU41" s="100">
        <f>SUM(AQ41,AJ41,AC41,V41,O41)</f>
        <v>4</v>
      </c>
    </row>
    <row r="42" spans="1:47" ht="15.75" thickBot="1" x14ac:dyDescent="0.3">
      <c r="A42" s="105">
        <v>209</v>
      </c>
      <c r="B42" s="106" t="s">
        <v>144</v>
      </c>
      <c r="C42" s="106" t="str">
        <f>B42&amp;" "&amp;A42</f>
        <v>גילי 209</v>
      </c>
      <c r="D42" s="107" t="s">
        <v>7</v>
      </c>
      <c r="E42" s="107" t="s">
        <v>6</v>
      </c>
      <c r="F42" s="108" t="s">
        <v>145</v>
      </c>
      <c r="G42" s="109" t="s">
        <v>108</v>
      </c>
      <c r="H42" s="110" t="s">
        <v>146</v>
      </c>
      <c r="I42" s="111"/>
      <c r="J42" s="112"/>
      <c r="K42" s="112"/>
      <c r="L42" s="112"/>
      <c r="M42" s="113">
        <f>I42*3+K42</f>
        <v>0</v>
      </c>
      <c r="N42" s="113">
        <f>J42*3+L42</f>
        <v>0</v>
      </c>
      <c r="O42" s="114">
        <f>N42+M42</f>
        <v>0</v>
      </c>
      <c r="P42" s="105"/>
      <c r="Q42" s="107"/>
      <c r="R42" s="107"/>
      <c r="S42" s="107"/>
      <c r="T42" s="113">
        <f>P42*3+R42</f>
        <v>0</v>
      </c>
      <c r="U42" s="113">
        <f>Q42*3+S42</f>
        <v>0</v>
      </c>
      <c r="V42" s="115">
        <f>U42+T42</f>
        <v>0</v>
      </c>
      <c r="W42" s="105"/>
      <c r="X42" s="107"/>
      <c r="Y42" s="107"/>
      <c r="Z42" s="107"/>
      <c r="AA42" s="116">
        <f>W42*3+Y42</f>
        <v>0</v>
      </c>
      <c r="AB42" s="116">
        <f>X42*3+Z42</f>
        <v>0</v>
      </c>
      <c r="AC42" s="117">
        <f>AB42+AA42</f>
        <v>0</v>
      </c>
      <c r="AD42" s="105"/>
      <c r="AE42" s="107"/>
      <c r="AF42" s="107"/>
      <c r="AG42" s="107"/>
      <c r="AH42" s="113">
        <f>AD42*3+AF42</f>
        <v>0</v>
      </c>
      <c r="AI42" s="113">
        <f>AE42*3+AG42</f>
        <v>0</v>
      </c>
      <c r="AJ42" s="115">
        <f>AI42+AH42</f>
        <v>0</v>
      </c>
      <c r="AK42" s="105"/>
      <c r="AL42" s="107">
        <v>1</v>
      </c>
      <c r="AM42" s="107"/>
      <c r="AN42" s="107"/>
      <c r="AO42" s="113">
        <f>AK42*3+AM42</f>
        <v>0</v>
      </c>
      <c r="AP42" s="113">
        <f>AL42*3+AN42</f>
        <v>3</v>
      </c>
      <c r="AQ42" s="115">
        <f>AP42+AO42</f>
        <v>3</v>
      </c>
      <c r="AR42" s="118">
        <f>AO42+AH42+AA42</f>
        <v>0</v>
      </c>
      <c r="AS42" s="118">
        <f>AP42+AI42+AB42</f>
        <v>3</v>
      </c>
      <c r="AT42" s="119">
        <f>AS42+AR42</f>
        <v>3</v>
      </c>
      <c r="AU42" s="100">
        <f>SUM(AQ42,AJ42,AC42,V42,O42)</f>
        <v>3</v>
      </c>
    </row>
    <row r="43" spans="1:47" x14ac:dyDescent="0.25">
      <c r="A43" s="85"/>
      <c r="H43" s="85"/>
      <c r="I43" s="85"/>
      <c r="J43" s="85"/>
      <c r="K43" s="85"/>
      <c r="L43" s="85"/>
      <c r="M43" s="85"/>
      <c r="N43" s="85"/>
      <c r="O43" s="85"/>
      <c r="P43" s="85"/>
      <c r="Q43" s="85"/>
      <c r="R43" s="85"/>
      <c r="S43" s="85"/>
      <c r="T43" s="85"/>
      <c r="U43" s="85"/>
      <c r="V43" s="85"/>
      <c r="W43" s="85"/>
      <c r="X43" s="85"/>
      <c r="Y43" s="85"/>
      <c r="Z43" s="85"/>
      <c r="AA43" s="85"/>
      <c r="AB43" s="85"/>
      <c r="AC43" s="85"/>
      <c r="AD43" s="85"/>
      <c r="AE43" s="85"/>
      <c r="AF43" s="85"/>
      <c r="AG43" s="85"/>
      <c r="AH43" s="85"/>
      <c r="AI43" s="85"/>
      <c r="AJ43" s="85"/>
      <c r="AK43" s="85"/>
      <c r="AL43" s="85"/>
      <c r="AM43" s="85"/>
      <c r="AN43" s="85"/>
      <c r="AO43" s="85"/>
      <c r="AP43" s="85"/>
      <c r="AQ43" s="85"/>
      <c r="AR43" s="85"/>
      <c r="AS43" s="85"/>
    </row>
    <row r="44" spans="1:47" ht="31.5" x14ac:dyDescent="0.5">
      <c r="A44" s="85"/>
      <c r="C44" s="120" t="s">
        <v>162</v>
      </c>
      <c r="H44" s="85"/>
      <c r="I44" s="85"/>
      <c r="J44" s="85"/>
      <c r="K44" s="85"/>
      <c r="L44" s="85"/>
      <c r="M44" s="85"/>
      <c r="N44" s="85"/>
      <c r="O44" s="85"/>
      <c r="P44" s="85"/>
      <c r="Q44" s="85"/>
      <c r="R44" s="85"/>
      <c r="S44" s="85"/>
      <c r="T44" s="85"/>
      <c r="U44" s="85"/>
      <c r="V44" s="85"/>
      <c r="W44" s="85"/>
      <c r="X44" s="85"/>
      <c r="Y44" s="85"/>
      <c r="Z44" s="85"/>
      <c r="AA44" s="85"/>
      <c r="AB44" s="85"/>
      <c r="AC44" s="85"/>
      <c r="AD44" s="85"/>
      <c r="AE44" s="85"/>
      <c r="AF44" s="85"/>
      <c r="AG44" s="85"/>
      <c r="AH44" s="85"/>
      <c r="AI44" s="85"/>
      <c r="AJ44" s="85"/>
      <c r="AK44" s="85"/>
      <c r="AL44" s="85"/>
      <c r="AM44" s="85"/>
      <c r="AN44" s="85"/>
      <c r="AO44" s="85"/>
      <c r="AP44" s="85"/>
      <c r="AQ44" s="85"/>
      <c r="AR44" s="85"/>
      <c r="AS44" s="85"/>
    </row>
    <row r="45" spans="1:47" x14ac:dyDescent="0.25">
      <c r="A45" s="85"/>
      <c r="H45" s="85"/>
      <c r="I45" s="85"/>
      <c r="J45" s="85"/>
      <c r="K45" s="85"/>
      <c r="L45" s="85"/>
      <c r="M45" s="85"/>
      <c r="N45" s="85"/>
      <c r="O45" s="85"/>
      <c r="P45" s="85"/>
      <c r="Q45" s="85"/>
      <c r="R45" s="85"/>
      <c r="S45" s="85"/>
      <c r="T45" s="85"/>
      <c r="U45" s="85"/>
      <c r="V45" s="85"/>
      <c r="W45" s="85"/>
      <c r="X45" s="85"/>
      <c r="Y45" s="85"/>
      <c r="Z45" s="85"/>
      <c r="AA45" s="85"/>
      <c r="AB45" s="85"/>
      <c r="AC45" s="85"/>
      <c r="AD45" s="85"/>
      <c r="AE45" s="85"/>
      <c r="AF45" s="85"/>
      <c r="AG45" s="85"/>
      <c r="AH45" s="85"/>
      <c r="AI45" s="85"/>
      <c r="AJ45" s="85"/>
      <c r="AK45" s="85"/>
      <c r="AL45" s="85"/>
      <c r="AM45" s="85"/>
      <c r="AN45" s="85"/>
      <c r="AO45" s="85"/>
      <c r="AP45" s="85"/>
      <c r="AQ45" s="85"/>
      <c r="AR45" s="85"/>
      <c r="AS45" s="85"/>
    </row>
    <row r="46" spans="1:47" x14ac:dyDescent="0.25">
      <c r="A46" s="85"/>
      <c r="H46" s="85"/>
      <c r="I46" s="85"/>
      <c r="J46" s="85"/>
      <c r="K46" s="85"/>
      <c r="L46" s="85"/>
      <c r="M46" s="85"/>
      <c r="N46" s="85"/>
      <c r="O46" s="85"/>
      <c r="P46" s="85"/>
      <c r="Q46" s="85"/>
      <c r="R46" s="85"/>
      <c r="S46" s="85"/>
      <c r="T46" s="85"/>
      <c r="U46" s="85"/>
      <c r="V46" s="85"/>
      <c r="W46" s="85"/>
      <c r="X46" s="85"/>
      <c r="Y46" s="85"/>
      <c r="Z46" s="85"/>
    </row>
    <row r="47" spans="1:47" x14ac:dyDescent="0.25">
      <c r="A47" s="85"/>
      <c r="H47" s="85"/>
      <c r="I47" s="85"/>
      <c r="J47" s="85"/>
      <c r="K47" s="85"/>
      <c r="L47" s="85"/>
      <c r="M47" s="85"/>
      <c r="N47" s="85"/>
      <c r="O47" s="85"/>
      <c r="P47" s="85"/>
      <c r="Q47" s="85"/>
      <c r="R47" s="85"/>
      <c r="S47" s="85"/>
      <c r="T47" s="85"/>
      <c r="U47" s="85"/>
      <c r="V47" s="85"/>
      <c r="W47" s="85"/>
      <c r="X47" s="85"/>
      <c r="Y47" s="85"/>
      <c r="Z47" s="85"/>
    </row>
    <row r="48" spans="1:47" x14ac:dyDescent="0.25">
      <c r="A48" s="85"/>
      <c r="H48" s="85"/>
      <c r="I48" s="85"/>
      <c r="J48" s="85"/>
      <c r="K48" s="85"/>
      <c r="L48" s="85"/>
      <c r="M48" s="85"/>
      <c r="N48" s="85"/>
      <c r="O48" s="85"/>
      <c r="P48" s="85"/>
      <c r="Q48" s="85"/>
      <c r="R48" s="85"/>
      <c r="S48" s="85"/>
      <c r="T48" s="85"/>
      <c r="U48" s="85"/>
      <c r="V48" s="85"/>
      <c r="W48" s="85"/>
      <c r="X48" s="85"/>
      <c r="Y48" s="85"/>
      <c r="Z48" s="85"/>
    </row>
    <row r="49" spans="1:45" x14ac:dyDescent="0.25">
      <c r="A49" s="85"/>
      <c r="H49" s="85"/>
      <c r="I49" s="85"/>
      <c r="J49" s="85"/>
      <c r="K49" s="85"/>
      <c r="L49" s="85"/>
      <c r="M49" s="85"/>
      <c r="N49" s="85"/>
      <c r="O49" s="85"/>
      <c r="P49" s="85"/>
      <c r="Q49" s="85"/>
      <c r="R49" s="85"/>
      <c r="S49" s="85"/>
      <c r="T49" s="85"/>
      <c r="U49" s="85"/>
      <c r="V49" s="85"/>
      <c r="W49" s="85"/>
      <c r="X49" s="85"/>
      <c r="Y49" s="85"/>
      <c r="Z49" s="85"/>
      <c r="AA49" s="85"/>
      <c r="AB49" s="85"/>
      <c r="AC49" s="85"/>
      <c r="AD49" s="85"/>
      <c r="AE49" s="85"/>
      <c r="AF49" s="85"/>
      <c r="AG49" s="85"/>
      <c r="AH49" s="85"/>
      <c r="AI49" s="85"/>
      <c r="AJ49" s="85"/>
      <c r="AK49" s="85"/>
      <c r="AL49" s="85"/>
      <c r="AM49" s="85"/>
      <c r="AN49" s="85"/>
      <c r="AO49" s="85"/>
      <c r="AP49" s="85"/>
      <c r="AQ49" s="85"/>
      <c r="AR49" s="85"/>
      <c r="AS49" s="85"/>
    </row>
    <row r="50" spans="1:45" x14ac:dyDescent="0.25">
      <c r="A50" s="85"/>
      <c r="H50" s="85"/>
      <c r="I50" s="85"/>
      <c r="J50" s="85"/>
      <c r="K50" s="85"/>
      <c r="L50" s="85"/>
      <c r="M50" s="85"/>
      <c r="N50" s="85"/>
      <c r="O50" s="85"/>
      <c r="P50" s="85"/>
      <c r="Q50" s="85"/>
      <c r="R50" s="85"/>
      <c r="S50" s="85"/>
      <c r="T50" s="85"/>
      <c r="U50" s="85"/>
      <c r="V50" s="85"/>
      <c r="W50" s="85"/>
      <c r="X50" s="85"/>
      <c r="Y50" s="85"/>
      <c r="Z50" s="85"/>
      <c r="AA50" s="85"/>
      <c r="AB50" s="85"/>
      <c r="AC50" s="85"/>
      <c r="AD50" s="85"/>
      <c r="AE50" s="85"/>
      <c r="AF50" s="85"/>
      <c r="AG50" s="85"/>
      <c r="AH50" s="85"/>
      <c r="AI50" s="85"/>
      <c r="AJ50" s="85"/>
      <c r="AK50" s="85"/>
      <c r="AL50" s="85"/>
      <c r="AM50" s="85"/>
      <c r="AN50" s="85"/>
      <c r="AO50" s="85"/>
      <c r="AP50" s="85"/>
      <c r="AQ50" s="85"/>
      <c r="AR50" s="85"/>
      <c r="AS50" s="85"/>
    </row>
    <row r="51" spans="1:45" x14ac:dyDescent="0.25">
      <c r="A51" s="85"/>
      <c r="H51" s="85"/>
      <c r="I51" s="85"/>
      <c r="J51" s="85"/>
      <c r="K51" s="85"/>
      <c r="L51" s="85"/>
      <c r="M51" s="85"/>
      <c r="N51" s="85"/>
      <c r="O51" s="85"/>
      <c r="P51" s="85"/>
      <c r="Q51" s="85"/>
      <c r="R51" s="85"/>
      <c r="S51" s="85"/>
      <c r="T51" s="85"/>
      <c r="U51" s="85"/>
      <c r="V51" s="85"/>
      <c r="W51" s="85"/>
      <c r="X51" s="85"/>
      <c r="Y51" s="85"/>
      <c r="Z51" s="85"/>
      <c r="AA51" s="85"/>
      <c r="AB51" s="85"/>
      <c r="AC51" s="85"/>
      <c r="AD51" s="85"/>
      <c r="AE51" s="85"/>
      <c r="AF51" s="85"/>
      <c r="AG51" s="85"/>
      <c r="AH51" s="85"/>
      <c r="AI51" s="85"/>
      <c r="AJ51" s="85"/>
      <c r="AK51" s="85"/>
      <c r="AL51" s="85"/>
      <c r="AM51" s="85"/>
      <c r="AN51" s="85"/>
      <c r="AO51" s="85"/>
      <c r="AP51" s="85"/>
      <c r="AQ51" s="85"/>
      <c r="AR51" s="85"/>
      <c r="AS51" s="85"/>
    </row>
    <row r="52" spans="1:45" x14ac:dyDescent="0.25">
      <c r="A52" s="85"/>
      <c r="H52" s="85"/>
      <c r="I52" s="85"/>
      <c r="J52" s="85"/>
      <c r="K52" s="85"/>
      <c r="L52" s="85"/>
      <c r="M52" s="85"/>
      <c r="N52" s="85"/>
      <c r="O52" s="85"/>
      <c r="P52" s="85"/>
      <c r="Q52" s="85"/>
      <c r="R52" s="85"/>
      <c r="S52" s="85"/>
      <c r="T52" s="85"/>
      <c r="U52" s="85"/>
      <c r="V52" s="85"/>
      <c r="W52" s="85"/>
      <c r="X52" s="85"/>
      <c r="Y52" s="85"/>
      <c r="Z52" s="85"/>
      <c r="AA52" s="85"/>
      <c r="AB52" s="85"/>
      <c r="AC52" s="85"/>
      <c r="AD52" s="85"/>
      <c r="AE52" s="85"/>
      <c r="AF52" s="85"/>
      <c r="AG52" s="85"/>
      <c r="AH52" s="85"/>
      <c r="AI52" s="85"/>
      <c r="AJ52" s="85"/>
      <c r="AK52" s="85"/>
      <c r="AL52" s="85"/>
      <c r="AM52" s="85"/>
      <c r="AN52" s="85"/>
      <c r="AO52" s="85"/>
      <c r="AP52" s="85"/>
      <c r="AQ52" s="85"/>
      <c r="AR52" s="85"/>
      <c r="AS52" s="85"/>
    </row>
    <row r="53" spans="1:45" x14ac:dyDescent="0.25">
      <c r="A53" s="85"/>
      <c r="H53" s="85"/>
      <c r="I53" s="85"/>
      <c r="J53" s="85"/>
      <c r="K53" s="85"/>
      <c r="L53" s="85"/>
      <c r="M53" s="85"/>
      <c r="N53" s="85"/>
      <c r="O53" s="85"/>
      <c r="P53" s="85"/>
      <c r="Q53" s="85"/>
      <c r="R53" s="85"/>
      <c r="S53" s="85"/>
      <c r="T53" s="85"/>
      <c r="U53" s="85"/>
      <c r="V53" s="85"/>
      <c r="W53" s="85"/>
      <c r="X53" s="85"/>
      <c r="Y53" s="85"/>
      <c r="Z53" s="85"/>
      <c r="AA53" s="85"/>
      <c r="AB53" s="85"/>
      <c r="AC53" s="85"/>
      <c r="AD53" s="85"/>
      <c r="AE53" s="85"/>
      <c r="AF53" s="85"/>
      <c r="AG53" s="85"/>
      <c r="AH53" s="85"/>
      <c r="AI53" s="85"/>
      <c r="AJ53" s="85"/>
      <c r="AK53" s="85"/>
      <c r="AL53" s="85"/>
      <c r="AM53" s="85"/>
      <c r="AN53" s="85"/>
      <c r="AO53" s="85"/>
      <c r="AP53" s="85"/>
      <c r="AQ53" s="85"/>
      <c r="AR53" s="85"/>
      <c r="AS53" s="85"/>
    </row>
    <row r="54" spans="1:45" x14ac:dyDescent="0.25">
      <c r="A54" s="85"/>
      <c r="H54" s="85"/>
      <c r="I54" s="85"/>
      <c r="J54" s="85"/>
      <c r="K54" s="85"/>
      <c r="L54" s="85"/>
      <c r="M54" s="85"/>
      <c r="N54" s="85"/>
      <c r="O54" s="85"/>
      <c r="P54" s="85"/>
      <c r="Q54" s="85"/>
      <c r="R54" s="85"/>
      <c r="S54" s="85"/>
      <c r="T54" s="85"/>
      <c r="U54" s="85"/>
      <c r="V54" s="85"/>
      <c r="W54" s="85"/>
      <c r="X54" s="85"/>
      <c r="Y54" s="85"/>
      <c r="Z54" s="85"/>
      <c r="AA54" s="85"/>
      <c r="AB54" s="85"/>
      <c r="AC54" s="85"/>
      <c r="AD54" s="85"/>
      <c r="AE54" s="85"/>
      <c r="AF54" s="85"/>
      <c r="AG54" s="85"/>
      <c r="AH54" s="85"/>
      <c r="AI54" s="85"/>
      <c r="AJ54" s="85"/>
      <c r="AK54" s="85"/>
      <c r="AL54" s="85"/>
      <c r="AM54" s="85"/>
      <c r="AN54" s="85"/>
      <c r="AO54" s="85"/>
      <c r="AP54" s="85"/>
      <c r="AQ54" s="85"/>
      <c r="AR54" s="85"/>
      <c r="AS54" s="85"/>
    </row>
    <row r="55" spans="1:45" x14ac:dyDescent="0.25">
      <c r="A55" s="85"/>
      <c r="H55" s="85"/>
      <c r="I55" s="85"/>
      <c r="J55" s="85"/>
      <c r="K55" s="85"/>
      <c r="L55" s="85"/>
      <c r="M55" s="85"/>
      <c r="N55" s="85"/>
      <c r="O55" s="85"/>
      <c r="P55" s="85"/>
      <c r="Q55" s="85"/>
      <c r="R55" s="85"/>
      <c r="S55" s="85"/>
      <c r="T55" s="85"/>
      <c r="U55" s="85"/>
      <c r="V55" s="85"/>
      <c r="W55" s="85"/>
      <c r="X55" s="85"/>
      <c r="Y55" s="85"/>
      <c r="Z55" s="85"/>
      <c r="AA55" s="85"/>
      <c r="AB55" s="85"/>
      <c r="AC55" s="85"/>
      <c r="AD55" s="85"/>
      <c r="AE55" s="85"/>
      <c r="AF55" s="85"/>
      <c r="AG55" s="85"/>
      <c r="AH55" s="85"/>
      <c r="AI55" s="85"/>
      <c r="AJ55" s="85"/>
      <c r="AK55" s="85"/>
      <c r="AL55" s="85"/>
      <c r="AM55" s="85"/>
      <c r="AN55" s="85"/>
      <c r="AO55" s="85"/>
      <c r="AP55" s="85"/>
      <c r="AQ55" s="85"/>
      <c r="AR55" s="85"/>
      <c r="AS55" s="85"/>
    </row>
    <row r="56" spans="1:45" x14ac:dyDescent="0.25">
      <c r="A56" s="85"/>
      <c r="H56" s="85"/>
      <c r="I56" s="85"/>
      <c r="J56" s="85"/>
      <c r="K56" s="85"/>
      <c r="L56" s="85"/>
      <c r="M56" s="85"/>
      <c r="N56" s="85"/>
      <c r="O56" s="85"/>
      <c r="P56" s="85"/>
      <c r="Q56" s="85"/>
      <c r="R56" s="85"/>
      <c r="S56" s="85"/>
      <c r="T56" s="85"/>
      <c r="U56" s="85"/>
      <c r="V56" s="85"/>
      <c r="W56" s="85"/>
      <c r="X56" s="85"/>
      <c r="Y56" s="85"/>
      <c r="Z56" s="85"/>
      <c r="AA56" s="85"/>
      <c r="AB56" s="85"/>
      <c r="AC56" s="85"/>
      <c r="AD56" s="85"/>
      <c r="AE56" s="85"/>
      <c r="AF56" s="85"/>
      <c r="AG56" s="85"/>
      <c r="AH56" s="85"/>
      <c r="AI56" s="85"/>
      <c r="AJ56" s="85"/>
      <c r="AK56" s="85"/>
      <c r="AL56" s="85"/>
      <c r="AM56" s="85"/>
      <c r="AN56" s="85"/>
      <c r="AO56" s="85"/>
      <c r="AP56" s="85"/>
      <c r="AQ56" s="85"/>
      <c r="AR56" s="85"/>
      <c r="AS56" s="85"/>
    </row>
    <row r="57" spans="1:45" x14ac:dyDescent="0.25">
      <c r="A57" s="85"/>
      <c r="H57" s="85"/>
      <c r="I57" s="85"/>
      <c r="J57" s="85"/>
      <c r="K57" s="85"/>
      <c r="L57" s="85"/>
      <c r="M57" s="85"/>
      <c r="N57" s="85"/>
      <c r="O57" s="85"/>
      <c r="P57" s="85"/>
      <c r="Q57" s="85"/>
      <c r="R57" s="85"/>
      <c r="S57" s="85"/>
      <c r="T57" s="85"/>
      <c r="U57" s="85"/>
      <c r="V57" s="85"/>
      <c r="W57" s="85"/>
      <c r="X57" s="85"/>
      <c r="Y57" s="85"/>
      <c r="Z57" s="85"/>
      <c r="AA57" s="85"/>
      <c r="AB57" s="85"/>
      <c r="AC57" s="85"/>
      <c r="AD57" s="85"/>
      <c r="AE57" s="85"/>
      <c r="AF57" s="85"/>
      <c r="AG57" s="85"/>
      <c r="AH57" s="85"/>
      <c r="AI57" s="85"/>
      <c r="AJ57" s="85"/>
      <c r="AK57" s="85"/>
      <c r="AL57" s="85"/>
      <c r="AM57" s="85"/>
      <c r="AN57" s="85"/>
      <c r="AO57" s="85"/>
      <c r="AP57" s="85"/>
      <c r="AQ57" s="85"/>
      <c r="AR57" s="85"/>
      <c r="AS57" s="85"/>
    </row>
    <row r="58" spans="1:45" x14ac:dyDescent="0.25">
      <c r="A58" s="85"/>
      <c r="H58" s="85"/>
      <c r="I58" s="85"/>
      <c r="J58" s="85"/>
      <c r="K58" s="85"/>
      <c r="L58" s="85"/>
      <c r="M58" s="85"/>
      <c r="N58" s="85"/>
      <c r="O58" s="85"/>
      <c r="P58" s="85"/>
      <c r="Q58" s="85"/>
      <c r="R58" s="85"/>
      <c r="S58" s="85"/>
      <c r="T58" s="85"/>
      <c r="U58" s="85"/>
      <c r="V58" s="85"/>
      <c r="W58" s="85"/>
      <c r="X58" s="85"/>
      <c r="Y58" s="85"/>
      <c r="Z58" s="85"/>
      <c r="AA58" s="85"/>
      <c r="AB58" s="85"/>
      <c r="AC58" s="85"/>
      <c r="AD58" s="85"/>
      <c r="AE58" s="85"/>
      <c r="AF58" s="85"/>
      <c r="AG58" s="85"/>
      <c r="AH58" s="85"/>
      <c r="AI58" s="85"/>
      <c r="AJ58" s="85"/>
      <c r="AK58" s="85"/>
      <c r="AL58" s="85"/>
      <c r="AM58" s="85"/>
      <c r="AN58" s="85"/>
      <c r="AO58" s="85"/>
      <c r="AP58" s="85"/>
      <c r="AQ58" s="85"/>
      <c r="AR58" s="85"/>
      <c r="AS58" s="85"/>
    </row>
    <row r="59" spans="1:45" x14ac:dyDescent="0.25">
      <c r="A59" s="85"/>
      <c r="H59" s="85"/>
      <c r="I59" s="85"/>
      <c r="J59" s="85"/>
      <c r="K59" s="85"/>
      <c r="L59" s="85"/>
      <c r="M59" s="85"/>
      <c r="N59" s="85"/>
      <c r="O59" s="85"/>
      <c r="P59" s="85"/>
      <c r="Q59" s="85"/>
      <c r="R59" s="85"/>
      <c r="S59" s="85"/>
      <c r="T59" s="85"/>
      <c r="U59" s="85"/>
      <c r="V59" s="85"/>
      <c r="W59" s="85"/>
      <c r="X59" s="85"/>
      <c r="Y59" s="85"/>
      <c r="Z59" s="85"/>
      <c r="AA59" s="85"/>
      <c r="AB59" s="85"/>
      <c r="AC59" s="85"/>
      <c r="AD59" s="85"/>
      <c r="AE59" s="85"/>
      <c r="AF59" s="85"/>
      <c r="AG59" s="85"/>
      <c r="AH59" s="85"/>
      <c r="AI59" s="85"/>
      <c r="AJ59" s="85"/>
      <c r="AK59" s="85"/>
      <c r="AL59" s="85"/>
      <c r="AM59" s="85"/>
      <c r="AN59" s="85"/>
      <c r="AO59" s="85"/>
      <c r="AP59" s="85"/>
      <c r="AQ59" s="85"/>
      <c r="AR59" s="85"/>
      <c r="AS59" s="85"/>
    </row>
    <row r="60" spans="1:45" x14ac:dyDescent="0.25">
      <c r="A60" s="85"/>
      <c r="H60" s="85"/>
      <c r="I60" s="85"/>
      <c r="J60" s="85"/>
      <c r="K60" s="85"/>
      <c r="L60" s="85"/>
      <c r="M60" s="85"/>
      <c r="N60" s="85"/>
      <c r="O60" s="85"/>
      <c r="P60" s="85"/>
      <c r="Q60" s="85"/>
      <c r="R60" s="85"/>
      <c r="S60" s="85"/>
      <c r="T60" s="85"/>
      <c r="U60" s="85"/>
      <c r="V60" s="85"/>
      <c r="W60" s="85"/>
      <c r="X60" s="85"/>
      <c r="Y60" s="85"/>
      <c r="Z60" s="85"/>
      <c r="AA60" s="85"/>
      <c r="AB60" s="85"/>
      <c r="AC60" s="85"/>
      <c r="AD60" s="85"/>
      <c r="AE60" s="85"/>
      <c r="AF60" s="85"/>
      <c r="AG60" s="85"/>
      <c r="AH60" s="85"/>
      <c r="AI60" s="85"/>
      <c r="AJ60" s="85"/>
      <c r="AK60" s="85"/>
      <c r="AL60" s="85"/>
      <c r="AM60" s="85"/>
      <c r="AN60" s="85"/>
      <c r="AO60" s="85"/>
      <c r="AP60" s="85"/>
      <c r="AQ60" s="85"/>
      <c r="AR60" s="85"/>
      <c r="AS60" s="85"/>
    </row>
    <row r="61" spans="1:45" x14ac:dyDescent="0.25">
      <c r="A61" s="85"/>
      <c r="H61" s="85"/>
      <c r="I61" s="85"/>
      <c r="J61" s="85"/>
      <c r="K61" s="85"/>
      <c r="L61" s="85"/>
      <c r="M61" s="85"/>
      <c r="N61" s="85"/>
      <c r="O61" s="85"/>
      <c r="P61" s="85"/>
      <c r="Q61" s="85"/>
      <c r="R61" s="85"/>
      <c r="S61" s="85"/>
      <c r="T61" s="85"/>
      <c r="U61" s="85"/>
      <c r="V61" s="85"/>
      <c r="W61" s="85"/>
      <c r="X61" s="85"/>
      <c r="Y61" s="85"/>
      <c r="Z61" s="85"/>
      <c r="AA61" s="85"/>
      <c r="AB61" s="85"/>
      <c r="AC61" s="85"/>
      <c r="AD61" s="85"/>
      <c r="AE61" s="85"/>
      <c r="AF61" s="85"/>
      <c r="AG61" s="85"/>
      <c r="AH61" s="85"/>
      <c r="AI61" s="85"/>
      <c r="AJ61" s="85"/>
      <c r="AK61" s="85"/>
      <c r="AL61" s="85"/>
      <c r="AM61" s="85"/>
      <c r="AN61" s="85"/>
      <c r="AO61" s="85"/>
      <c r="AP61" s="85"/>
      <c r="AQ61" s="85"/>
      <c r="AR61" s="85"/>
      <c r="AS61" s="85"/>
    </row>
    <row r="62" spans="1:45" x14ac:dyDescent="0.25">
      <c r="A62" s="85"/>
      <c r="H62" s="85"/>
      <c r="I62" s="85"/>
      <c r="J62" s="85"/>
      <c r="K62" s="85"/>
      <c r="L62" s="85"/>
      <c r="M62" s="85"/>
      <c r="N62" s="85"/>
      <c r="O62" s="85"/>
      <c r="P62" s="85"/>
      <c r="Q62" s="85"/>
      <c r="R62" s="85"/>
      <c r="S62" s="85"/>
      <c r="T62" s="85"/>
      <c r="U62" s="85"/>
      <c r="V62" s="85"/>
      <c r="W62" s="85"/>
      <c r="X62" s="85"/>
      <c r="Y62" s="85"/>
      <c r="Z62" s="85"/>
      <c r="AA62" s="85"/>
      <c r="AB62" s="85"/>
      <c r="AC62" s="85"/>
      <c r="AD62" s="85"/>
      <c r="AE62" s="85"/>
      <c r="AF62" s="85"/>
      <c r="AG62" s="85"/>
      <c r="AH62" s="85"/>
      <c r="AI62" s="85"/>
      <c r="AJ62" s="85"/>
      <c r="AK62" s="85"/>
      <c r="AL62" s="85"/>
      <c r="AM62" s="85"/>
      <c r="AN62" s="85"/>
      <c r="AO62" s="85"/>
      <c r="AP62" s="85"/>
      <c r="AQ62" s="85"/>
      <c r="AR62" s="85"/>
      <c r="AS62" s="85"/>
    </row>
    <row r="63" spans="1:45" x14ac:dyDescent="0.25">
      <c r="A63" s="85"/>
      <c r="H63" s="85"/>
      <c r="I63" s="85"/>
      <c r="J63" s="85"/>
      <c r="K63" s="85"/>
      <c r="L63" s="85"/>
      <c r="M63" s="85"/>
      <c r="N63" s="85"/>
      <c r="O63" s="85"/>
      <c r="P63" s="85"/>
      <c r="Q63" s="85"/>
      <c r="R63" s="85"/>
      <c r="S63" s="85"/>
      <c r="T63" s="85"/>
      <c r="U63" s="85"/>
      <c r="V63" s="85"/>
      <c r="W63" s="85"/>
      <c r="X63" s="85"/>
      <c r="Y63" s="85"/>
      <c r="Z63" s="85"/>
      <c r="AA63" s="85"/>
      <c r="AB63" s="85"/>
      <c r="AC63" s="85"/>
      <c r="AD63" s="85"/>
      <c r="AE63" s="85"/>
      <c r="AF63" s="85"/>
      <c r="AG63" s="85"/>
      <c r="AH63" s="85"/>
      <c r="AI63" s="85"/>
      <c r="AJ63" s="85"/>
      <c r="AK63" s="85"/>
      <c r="AL63" s="85"/>
      <c r="AM63" s="85"/>
      <c r="AN63" s="85"/>
      <c r="AO63" s="85"/>
      <c r="AP63" s="85"/>
      <c r="AQ63" s="85"/>
      <c r="AR63" s="85"/>
      <c r="AS63" s="85"/>
    </row>
    <row r="64" spans="1:45" x14ac:dyDescent="0.25">
      <c r="A64" s="85"/>
      <c r="H64" s="85"/>
      <c r="I64" s="85"/>
      <c r="J64" s="85"/>
      <c r="K64" s="85"/>
      <c r="L64" s="85"/>
      <c r="M64" s="85"/>
      <c r="N64" s="85"/>
      <c r="O64" s="85"/>
      <c r="P64" s="85"/>
      <c r="Q64" s="85"/>
      <c r="R64" s="85"/>
      <c r="S64" s="85"/>
      <c r="T64" s="85"/>
      <c r="U64" s="85"/>
      <c r="V64" s="85"/>
      <c r="W64" s="85"/>
      <c r="X64" s="85"/>
      <c r="Y64" s="85"/>
      <c r="Z64" s="85"/>
      <c r="AA64" s="85"/>
      <c r="AB64" s="85"/>
      <c r="AC64" s="85"/>
      <c r="AD64" s="85"/>
      <c r="AE64" s="85"/>
      <c r="AF64" s="85"/>
      <c r="AG64" s="85"/>
      <c r="AH64" s="85"/>
      <c r="AI64" s="85"/>
      <c r="AJ64" s="85"/>
      <c r="AK64" s="85"/>
      <c r="AL64" s="85"/>
      <c r="AM64" s="85"/>
      <c r="AN64" s="85"/>
      <c r="AO64" s="85"/>
      <c r="AP64" s="85"/>
      <c r="AQ64" s="85"/>
      <c r="AR64" s="85"/>
      <c r="AS64" s="85"/>
    </row>
    <row r="65" spans="1:45" x14ac:dyDescent="0.25">
      <c r="A65" s="85"/>
      <c r="H65" s="85"/>
      <c r="I65" s="85"/>
      <c r="J65" s="85"/>
      <c r="K65" s="85"/>
      <c r="L65" s="85"/>
      <c r="M65" s="85"/>
      <c r="N65" s="85"/>
      <c r="O65" s="85"/>
      <c r="P65" s="85"/>
      <c r="Q65" s="85"/>
      <c r="R65" s="85"/>
      <c r="S65" s="85"/>
      <c r="T65" s="85"/>
      <c r="U65" s="85"/>
      <c r="V65" s="85"/>
      <c r="W65" s="85"/>
      <c r="X65" s="85"/>
      <c r="Y65" s="85"/>
      <c r="Z65" s="85"/>
      <c r="AA65" s="85"/>
      <c r="AB65" s="85"/>
      <c r="AC65" s="85"/>
      <c r="AD65" s="85"/>
      <c r="AE65" s="85"/>
      <c r="AF65" s="85"/>
      <c r="AG65" s="85"/>
      <c r="AH65" s="85"/>
      <c r="AI65" s="85"/>
      <c r="AJ65" s="85"/>
      <c r="AK65" s="85"/>
      <c r="AL65" s="85"/>
      <c r="AM65" s="85"/>
      <c r="AN65" s="85"/>
      <c r="AO65" s="85"/>
      <c r="AP65" s="85"/>
      <c r="AQ65" s="85"/>
      <c r="AR65" s="85"/>
      <c r="AS65" s="85"/>
    </row>
    <row r="66" spans="1:45" x14ac:dyDescent="0.25">
      <c r="A66" s="85"/>
      <c r="H66" s="85"/>
      <c r="I66" s="85"/>
      <c r="J66" s="85"/>
      <c r="K66" s="85"/>
      <c r="L66" s="85"/>
      <c r="M66" s="85"/>
      <c r="N66" s="85"/>
      <c r="O66" s="85"/>
      <c r="P66" s="85"/>
      <c r="Q66" s="85"/>
      <c r="R66" s="85"/>
      <c r="S66" s="85"/>
      <c r="T66" s="85"/>
      <c r="U66" s="85"/>
      <c r="V66" s="85"/>
      <c r="W66" s="85"/>
      <c r="X66" s="85"/>
      <c r="Y66" s="85"/>
      <c r="Z66" s="85"/>
      <c r="AA66" s="85"/>
      <c r="AB66" s="85"/>
      <c r="AC66" s="85"/>
      <c r="AD66" s="85"/>
      <c r="AE66" s="85"/>
      <c r="AF66" s="85"/>
      <c r="AG66" s="85"/>
      <c r="AH66" s="85"/>
      <c r="AI66" s="85"/>
      <c r="AJ66" s="85"/>
      <c r="AK66" s="85"/>
      <c r="AL66" s="85"/>
      <c r="AM66" s="85"/>
      <c r="AN66" s="85"/>
      <c r="AO66" s="85"/>
      <c r="AP66" s="85"/>
      <c r="AQ66" s="85"/>
      <c r="AR66" s="85"/>
      <c r="AS66" s="85"/>
    </row>
    <row r="67" spans="1:45" x14ac:dyDescent="0.25">
      <c r="A67" s="85"/>
      <c r="H67" s="85"/>
      <c r="I67" s="85"/>
      <c r="J67" s="85"/>
      <c r="K67" s="85"/>
      <c r="L67" s="85"/>
      <c r="M67" s="85"/>
      <c r="N67" s="85"/>
      <c r="O67" s="85"/>
      <c r="P67" s="85"/>
      <c r="Q67" s="85"/>
      <c r="R67" s="85"/>
      <c r="S67" s="85"/>
      <c r="T67" s="85"/>
      <c r="U67" s="85"/>
      <c r="V67" s="85"/>
      <c r="W67" s="85"/>
      <c r="X67" s="85"/>
      <c r="Y67" s="85"/>
      <c r="Z67" s="85"/>
      <c r="AA67" s="85"/>
      <c r="AB67" s="85"/>
      <c r="AC67" s="85"/>
      <c r="AD67" s="85"/>
      <c r="AE67" s="85"/>
      <c r="AF67" s="85"/>
      <c r="AG67" s="85"/>
      <c r="AH67" s="85"/>
      <c r="AI67" s="85"/>
      <c r="AJ67" s="85"/>
      <c r="AK67" s="85"/>
      <c r="AL67" s="85"/>
      <c r="AM67" s="85"/>
      <c r="AN67" s="85"/>
      <c r="AO67" s="85"/>
      <c r="AP67" s="85"/>
      <c r="AQ67" s="85"/>
      <c r="AR67" s="85"/>
      <c r="AS67" s="85"/>
    </row>
    <row r="68" spans="1:45" x14ac:dyDescent="0.25">
      <c r="A68" s="85"/>
      <c r="H68" s="85"/>
      <c r="I68" s="85"/>
      <c r="J68" s="85"/>
      <c r="K68" s="85"/>
      <c r="L68" s="85"/>
      <c r="M68" s="85"/>
      <c r="N68" s="85"/>
      <c r="O68" s="85"/>
      <c r="P68" s="85"/>
      <c r="Q68" s="85"/>
      <c r="R68" s="85"/>
      <c r="S68" s="85"/>
      <c r="T68" s="85"/>
      <c r="U68" s="85"/>
      <c r="V68" s="85"/>
      <c r="W68" s="85"/>
      <c r="X68" s="85"/>
      <c r="Y68" s="85"/>
      <c r="Z68" s="85"/>
      <c r="AA68" s="85"/>
      <c r="AB68" s="85"/>
      <c r="AC68" s="85"/>
      <c r="AD68" s="85"/>
      <c r="AE68" s="85"/>
      <c r="AF68" s="85"/>
      <c r="AG68" s="85"/>
      <c r="AH68" s="85"/>
      <c r="AI68" s="85"/>
      <c r="AJ68" s="85"/>
      <c r="AK68" s="85"/>
      <c r="AL68" s="85"/>
      <c r="AM68" s="85"/>
      <c r="AN68" s="85"/>
      <c r="AO68" s="85"/>
      <c r="AP68" s="85"/>
      <c r="AQ68" s="85"/>
      <c r="AR68" s="85"/>
      <c r="AS68" s="85"/>
    </row>
    <row r="69" spans="1:45" x14ac:dyDescent="0.25">
      <c r="A69" s="85"/>
      <c r="H69" s="85"/>
      <c r="I69" s="85"/>
      <c r="J69" s="85"/>
      <c r="K69" s="85"/>
      <c r="L69" s="85"/>
      <c r="M69" s="85"/>
      <c r="N69" s="85"/>
      <c r="O69" s="85"/>
      <c r="P69" s="85"/>
      <c r="Q69" s="85"/>
      <c r="R69" s="85"/>
      <c r="S69" s="85"/>
      <c r="T69" s="85"/>
      <c r="U69" s="85"/>
      <c r="V69" s="85"/>
      <c r="W69" s="85"/>
      <c r="X69" s="85"/>
      <c r="Y69" s="85"/>
      <c r="Z69" s="85"/>
      <c r="AA69" s="85"/>
      <c r="AB69" s="85"/>
      <c r="AC69" s="85"/>
      <c r="AD69" s="85"/>
      <c r="AE69" s="85"/>
      <c r="AF69" s="85"/>
      <c r="AG69" s="85"/>
      <c r="AH69" s="85"/>
      <c r="AI69" s="85"/>
      <c r="AJ69" s="85"/>
      <c r="AK69" s="85"/>
      <c r="AL69" s="85"/>
      <c r="AM69" s="85"/>
      <c r="AN69" s="85"/>
      <c r="AO69" s="85"/>
      <c r="AP69" s="85"/>
      <c r="AQ69" s="85"/>
      <c r="AR69" s="85"/>
      <c r="AS69" s="85"/>
    </row>
    <row r="70" spans="1:45" x14ac:dyDescent="0.25">
      <c r="A70" s="85"/>
      <c r="H70" s="85"/>
      <c r="I70" s="85"/>
      <c r="J70" s="85"/>
      <c r="K70" s="85"/>
      <c r="L70" s="85"/>
      <c r="M70" s="85"/>
      <c r="N70" s="85"/>
      <c r="O70" s="85"/>
      <c r="P70" s="85"/>
      <c r="Q70" s="85"/>
      <c r="R70" s="85"/>
      <c r="S70" s="85"/>
      <c r="T70" s="85"/>
      <c r="U70" s="85"/>
      <c r="V70" s="85"/>
      <c r="W70" s="85"/>
      <c r="X70" s="85"/>
      <c r="Y70" s="85"/>
      <c r="Z70" s="85"/>
      <c r="AA70" s="85"/>
      <c r="AB70" s="85"/>
      <c r="AC70" s="85"/>
      <c r="AD70" s="85"/>
      <c r="AE70" s="85"/>
      <c r="AF70" s="85"/>
      <c r="AG70" s="85"/>
      <c r="AH70" s="85"/>
      <c r="AI70" s="85"/>
      <c r="AJ70" s="85"/>
      <c r="AK70" s="85"/>
      <c r="AL70" s="85"/>
      <c r="AM70" s="85"/>
      <c r="AN70" s="85"/>
      <c r="AO70" s="85"/>
      <c r="AP70" s="85"/>
      <c r="AQ70" s="85"/>
      <c r="AR70" s="85"/>
      <c r="AS70" s="85"/>
    </row>
    <row r="71" spans="1:45" x14ac:dyDescent="0.25">
      <c r="A71" s="85"/>
      <c r="H71" s="85"/>
      <c r="I71" s="85"/>
      <c r="J71" s="85"/>
      <c r="K71" s="85"/>
      <c r="L71" s="85"/>
      <c r="M71" s="85"/>
      <c r="N71" s="85"/>
      <c r="O71" s="85"/>
      <c r="P71" s="85"/>
      <c r="Q71" s="85"/>
      <c r="R71" s="85"/>
      <c r="S71" s="85"/>
      <c r="T71" s="85"/>
      <c r="U71" s="85"/>
      <c r="V71" s="85"/>
      <c r="W71" s="85"/>
      <c r="X71" s="85"/>
      <c r="Y71" s="85"/>
      <c r="Z71" s="85"/>
      <c r="AA71" s="85"/>
      <c r="AB71" s="85"/>
      <c r="AC71" s="85"/>
      <c r="AD71" s="85"/>
      <c r="AE71" s="85"/>
      <c r="AF71" s="85"/>
      <c r="AG71" s="85"/>
      <c r="AH71" s="85"/>
      <c r="AI71" s="85"/>
      <c r="AJ71" s="85"/>
      <c r="AK71" s="85"/>
      <c r="AL71" s="85"/>
      <c r="AM71" s="85"/>
      <c r="AN71" s="85"/>
      <c r="AO71" s="85"/>
      <c r="AP71" s="85"/>
      <c r="AQ71" s="85"/>
      <c r="AR71" s="85"/>
      <c r="AS71" s="85"/>
    </row>
    <row r="72" spans="1:45" x14ac:dyDescent="0.25">
      <c r="A72" s="85"/>
      <c r="H72" s="85"/>
      <c r="I72" s="85"/>
      <c r="J72" s="85"/>
      <c r="K72" s="85"/>
      <c r="L72" s="85"/>
      <c r="M72" s="85"/>
      <c r="N72" s="85"/>
      <c r="O72" s="85"/>
      <c r="P72" s="85"/>
      <c r="Q72" s="85"/>
      <c r="R72" s="85"/>
      <c r="S72" s="85"/>
      <c r="T72" s="85"/>
      <c r="U72" s="85"/>
      <c r="V72" s="85"/>
      <c r="W72" s="85"/>
      <c r="X72" s="85"/>
      <c r="Y72" s="85"/>
      <c r="Z72" s="85"/>
      <c r="AA72" s="85"/>
      <c r="AB72" s="85"/>
      <c r="AC72" s="85"/>
      <c r="AD72" s="85"/>
      <c r="AE72" s="85"/>
      <c r="AF72" s="85"/>
      <c r="AG72" s="85"/>
      <c r="AH72" s="85"/>
      <c r="AI72" s="85"/>
      <c r="AJ72" s="85"/>
      <c r="AK72" s="85"/>
      <c r="AL72" s="85"/>
      <c r="AM72" s="85"/>
      <c r="AN72" s="85"/>
      <c r="AO72" s="85"/>
      <c r="AP72" s="85"/>
      <c r="AQ72" s="85"/>
      <c r="AR72" s="85"/>
      <c r="AS72" s="85"/>
    </row>
    <row r="73" spans="1:45" x14ac:dyDescent="0.25">
      <c r="A73" s="85"/>
      <c r="H73" s="85"/>
      <c r="I73" s="85"/>
      <c r="J73" s="85"/>
      <c r="K73" s="85"/>
      <c r="L73" s="85"/>
      <c r="M73" s="85"/>
      <c r="N73" s="85"/>
      <c r="O73" s="85"/>
      <c r="P73" s="85"/>
      <c r="Q73" s="85"/>
      <c r="R73" s="85"/>
      <c r="S73" s="85"/>
      <c r="T73" s="85"/>
      <c r="U73" s="85"/>
      <c r="V73" s="85"/>
      <c r="W73" s="85"/>
      <c r="X73" s="85"/>
      <c r="Y73" s="85"/>
      <c r="Z73" s="85"/>
      <c r="AA73" s="85"/>
      <c r="AB73" s="85"/>
      <c r="AC73" s="85"/>
      <c r="AD73" s="85"/>
      <c r="AE73" s="85"/>
      <c r="AF73" s="85"/>
      <c r="AG73" s="85"/>
      <c r="AH73" s="85"/>
      <c r="AI73" s="85"/>
      <c r="AJ73" s="85"/>
      <c r="AK73" s="85"/>
      <c r="AL73" s="85"/>
      <c r="AM73" s="85"/>
      <c r="AN73" s="85"/>
      <c r="AO73" s="85"/>
      <c r="AP73" s="85"/>
      <c r="AQ73" s="85"/>
      <c r="AR73" s="85"/>
      <c r="AS73" s="85"/>
    </row>
    <row r="74" spans="1:45" x14ac:dyDescent="0.25">
      <c r="A74" s="85"/>
      <c r="H74" s="85"/>
      <c r="I74" s="85"/>
      <c r="J74" s="85"/>
      <c r="K74" s="85"/>
      <c r="L74" s="85"/>
      <c r="M74" s="85"/>
      <c r="N74" s="85"/>
      <c r="O74" s="85"/>
      <c r="P74" s="85"/>
      <c r="Q74" s="85"/>
      <c r="R74" s="85"/>
      <c r="S74" s="85"/>
      <c r="T74" s="85"/>
      <c r="U74" s="85"/>
      <c r="V74" s="85"/>
      <c r="W74" s="85"/>
      <c r="X74" s="85"/>
      <c r="Y74" s="85"/>
      <c r="Z74" s="85"/>
      <c r="AA74" s="85"/>
      <c r="AB74" s="85"/>
      <c r="AC74" s="85"/>
      <c r="AD74" s="85"/>
      <c r="AE74" s="85"/>
      <c r="AF74" s="85"/>
      <c r="AG74" s="85"/>
      <c r="AH74" s="85"/>
      <c r="AI74" s="85"/>
      <c r="AJ74" s="85"/>
      <c r="AK74" s="85"/>
      <c r="AL74" s="85"/>
      <c r="AM74" s="85"/>
      <c r="AN74" s="85"/>
      <c r="AO74" s="85"/>
      <c r="AP74" s="85"/>
      <c r="AQ74" s="85"/>
      <c r="AR74" s="85"/>
      <c r="AS74" s="85"/>
    </row>
    <row r="75" spans="1:45" x14ac:dyDescent="0.25">
      <c r="A75" s="85"/>
      <c r="H75" s="85"/>
      <c r="I75" s="85"/>
      <c r="J75" s="85"/>
      <c r="K75" s="85"/>
      <c r="L75" s="85"/>
      <c r="M75" s="85"/>
      <c r="N75" s="85"/>
      <c r="O75" s="85"/>
      <c r="P75" s="85"/>
      <c r="Q75" s="85"/>
      <c r="R75" s="85"/>
      <c r="S75" s="85"/>
      <c r="T75" s="85"/>
      <c r="U75" s="85"/>
      <c r="V75" s="85"/>
      <c r="W75" s="85"/>
      <c r="X75" s="85"/>
      <c r="Y75" s="85"/>
      <c r="Z75" s="85"/>
      <c r="AA75" s="85"/>
      <c r="AB75" s="85"/>
      <c r="AC75" s="85"/>
      <c r="AD75" s="85"/>
      <c r="AE75" s="85"/>
      <c r="AF75" s="85"/>
      <c r="AG75" s="85"/>
      <c r="AH75" s="85"/>
      <c r="AI75" s="85"/>
      <c r="AJ75" s="85"/>
      <c r="AK75" s="85"/>
      <c r="AL75" s="85"/>
      <c r="AM75" s="85"/>
      <c r="AN75" s="85"/>
      <c r="AO75" s="85"/>
      <c r="AP75" s="85"/>
      <c r="AQ75" s="85"/>
      <c r="AR75" s="85"/>
      <c r="AS75" s="85"/>
    </row>
    <row r="76" spans="1:45" x14ac:dyDescent="0.25">
      <c r="A76" s="85"/>
      <c r="H76" s="85"/>
      <c r="I76" s="85"/>
      <c r="J76" s="85"/>
      <c r="K76" s="85"/>
      <c r="L76" s="85"/>
      <c r="M76" s="85"/>
      <c r="N76" s="85"/>
      <c r="O76" s="85"/>
      <c r="P76" s="85"/>
      <c r="Q76" s="85"/>
      <c r="R76" s="85"/>
      <c r="S76" s="85"/>
      <c r="T76" s="85"/>
      <c r="U76" s="85"/>
      <c r="V76" s="85"/>
      <c r="W76" s="85"/>
      <c r="X76" s="85"/>
      <c r="Y76" s="85"/>
      <c r="Z76" s="85"/>
      <c r="AA76" s="85"/>
      <c r="AB76" s="85"/>
      <c r="AC76" s="85"/>
      <c r="AD76" s="85"/>
      <c r="AE76" s="85"/>
      <c r="AF76" s="85"/>
      <c r="AG76" s="85"/>
      <c r="AH76" s="85"/>
      <c r="AI76" s="85"/>
      <c r="AJ76" s="85"/>
      <c r="AK76" s="85"/>
      <c r="AL76" s="85"/>
      <c r="AM76" s="85"/>
      <c r="AN76" s="85"/>
      <c r="AO76" s="85"/>
      <c r="AP76" s="85"/>
      <c r="AQ76" s="85"/>
      <c r="AR76" s="85"/>
      <c r="AS76" s="85"/>
    </row>
    <row r="77" spans="1:45" x14ac:dyDescent="0.25">
      <c r="A77" s="85"/>
      <c r="H77" s="85"/>
      <c r="I77" s="85"/>
      <c r="J77" s="85"/>
      <c r="K77" s="85"/>
      <c r="L77" s="85"/>
      <c r="M77" s="85"/>
      <c r="N77" s="85"/>
      <c r="O77" s="85"/>
      <c r="P77" s="85"/>
      <c r="Q77" s="85"/>
      <c r="R77" s="85"/>
      <c r="S77" s="85"/>
      <c r="T77" s="85"/>
      <c r="U77" s="85"/>
      <c r="V77" s="85"/>
      <c r="W77" s="85"/>
      <c r="X77" s="85"/>
      <c r="Y77" s="85"/>
      <c r="Z77" s="85"/>
      <c r="AA77" s="85"/>
      <c r="AB77" s="85"/>
      <c r="AC77" s="85"/>
      <c r="AD77" s="85"/>
      <c r="AE77" s="85"/>
      <c r="AF77" s="85"/>
      <c r="AG77" s="85"/>
      <c r="AH77" s="85"/>
      <c r="AI77" s="85"/>
      <c r="AJ77" s="85"/>
      <c r="AK77" s="85"/>
      <c r="AL77" s="85"/>
      <c r="AM77" s="85"/>
      <c r="AN77" s="85"/>
      <c r="AO77" s="85"/>
      <c r="AP77" s="85"/>
      <c r="AQ77" s="85"/>
      <c r="AR77" s="85"/>
      <c r="AS77" s="85"/>
    </row>
    <row r="78" spans="1:45" x14ac:dyDescent="0.25">
      <c r="A78" s="85"/>
      <c r="H78" s="85"/>
      <c r="I78" s="85"/>
      <c r="J78" s="85"/>
      <c r="K78" s="85"/>
      <c r="L78" s="85"/>
      <c r="M78" s="85"/>
      <c r="N78" s="85"/>
      <c r="O78" s="85"/>
      <c r="P78" s="85"/>
      <c r="Q78" s="85"/>
      <c r="R78" s="85"/>
      <c r="S78" s="85"/>
      <c r="T78" s="85"/>
      <c r="U78" s="85"/>
      <c r="V78" s="85"/>
      <c r="W78" s="85"/>
      <c r="X78" s="85"/>
      <c r="Y78" s="85"/>
      <c r="Z78" s="85"/>
      <c r="AA78" s="85"/>
      <c r="AB78" s="85"/>
      <c r="AC78" s="85"/>
      <c r="AD78" s="85"/>
      <c r="AE78" s="85"/>
      <c r="AF78" s="85"/>
      <c r="AG78" s="85"/>
      <c r="AH78" s="85"/>
      <c r="AI78" s="85"/>
      <c r="AJ78" s="85"/>
      <c r="AK78" s="85"/>
      <c r="AL78" s="85"/>
      <c r="AM78" s="85"/>
      <c r="AN78" s="85"/>
      <c r="AO78" s="85"/>
      <c r="AP78" s="85"/>
      <c r="AQ78" s="85"/>
      <c r="AR78" s="85"/>
      <c r="AS78" s="85"/>
    </row>
  </sheetData>
  <autoFilter ref="A1:AU42" xr:uid="{3DDB1511-E39B-4C48-BFBF-DB188B398128}">
    <sortState ref="A2:AU42">
      <sortCondition descending="1" ref="AU1:AU42"/>
    </sortState>
  </autoFilter>
  <conditionalFormatting sqref="E107:G1048576 E3:F3 G14 E15:G20 G18:G25 E21:F31 G28:G29 E32:G42 E4:G13">
    <cfRule type="cellIs" dxfId="15" priority="22" operator="equal">
      <formula>"לא"</formula>
    </cfRule>
  </conditionalFormatting>
  <conditionalFormatting sqref="D107:D1048576 D15:D42 D3:D13">
    <cfRule type="cellIs" dxfId="14" priority="21" operator="equal">
      <formula>"כן"</formula>
    </cfRule>
  </conditionalFormatting>
  <conditionalFormatting sqref="P43:V64">
    <cfRule type="cellIs" dxfId="13" priority="15" operator="notEqual">
      <formula>0</formula>
    </cfRule>
  </conditionalFormatting>
  <conditionalFormatting sqref="E2:G2">
    <cfRule type="cellIs" dxfId="12" priority="14" operator="equal">
      <formula>"לא"</formula>
    </cfRule>
  </conditionalFormatting>
  <conditionalFormatting sqref="D2">
    <cfRule type="cellIs" dxfId="11" priority="13" operator="equal">
      <formula>"כן"</formula>
    </cfRule>
  </conditionalFormatting>
  <conditionalFormatting sqref="E14:F14">
    <cfRule type="cellIs" dxfId="10" priority="7" operator="equal">
      <formula>"לא"</formula>
    </cfRule>
  </conditionalFormatting>
  <conditionalFormatting sqref="D14">
    <cfRule type="cellIs" dxfId="9" priority="6" operator="equal">
      <formula>"כן"</formula>
    </cfRule>
  </conditionalFormatting>
  <conditionalFormatting sqref="G3">
    <cfRule type="cellIs" dxfId="8" priority="4" operator="equal">
      <formula>"לא"</formula>
    </cfRule>
  </conditionalFormatting>
  <conditionalFormatting sqref="G26 G31">
    <cfRule type="cellIs" dxfId="7" priority="3" operator="equal">
      <formula>"לא"</formula>
    </cfRule>
  </conditionalFormatting>
  <conditionalFormatting sqref="G27 G30">
    <cfRule type="cellIs" dxfId="6" priority="1" operator="equal">
      <formula>"לא"</formula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2A29B-B9BD-44C8-82BC-602574169C0C}">
  <dimension ref="A1:H32"/>
  <sheetViews>
    <sheetView rightToLeft="1" tabSelected="1" zoomScale="160" zoomScaleNormal="160" workbookViewId="0"/>
  </sheetViews>
  <sheetFormatPr defaultRowHeight="15" x14ac:dyDescent="0.25"/>
  <cols>
    <col min="1" max="1" width="10.140625" style="65" bestFit="1" customWidth="1"/>
    <col min="2" max="2" width="12" style="65" customWidth="1"/>
    <col min="3" max="3" width="10.85546875" style="65" bestFit="1" customWidth="1"/>
    <col min="4" max="4" width="10.140625" style="65" customWidth="1"/>
    <col min="5" max="5" width="9.28515625" style="65" bestFit="1" customWidth="1"/>
    <col min="6" max="16384" width="9.140625" style="65"/>
  </cols>
  <sheetData>
    <row r="1" spans="1:8" x14ac:dyDescent="0.25">
      <c r="A1" s="62"/>
      <c r="B1" s="63"/>
      <c r="C1" s="63"/>
      <c r="D1" s="63"/>
      <c r="E1" s="63">
        <v>1</v>
      </c>
      <c r="F1" s="63">
        <v>2</v>
      </c>
      <c r="G1" s="63">
        <v>3</v>
      </c>
      <c r="H1" s="64">
        <v>4</v>
      </c>
    </row>
    <row r="2" spans="1:8" x14ac:dyDescent="0.25">
      <c r="A2" s="66" t="s">
        <v>37</v>
      </c>
      <c r="B2" s="67"/>
      <c r="C2" s="67"/>
      <c r="D2" s="67"/>
      <c r="E2" s="68">
        <v>3</v>
      </c>
      <c r="F2" s="124">
        <v>3</v>
      </c>
      <c r="G2" s="124"/>
      <c r="H2" s="125"/>
    </row>
    <row r="3" spans="1:8" x14ac:dyDescent="0.25">
      <c r="A3" s="66" t="s">
        <v>34</v>
      </c>
      <c r="B3" s="70"/>
      <c r="C3" s="70"/>
      <c r="D3" s="71"/>
      <c r="E3" s="71" t="s">
        <v>113</v>
      </c>
      <c r="F3" s="124" t="s">
        <v>122</v>
      </c>
      <c r="G3" s="124"/>
      <c r="H3" s="125"/>
    </row>
    <row r="4" spans="1:8" x14ac:dyDescent="0.25">
      <c r="A4" s="66" t="s">
        <v>35</v>
      </c>
      <c r="B4" s="70"/>
      <c r="C4" s="68"/>
      <c r="D4" s="68"/>
      <c r="E4" s="67" t="s">
        <v>138</v>
      </c>
      <c r="F4" s="132" t="s">
        <v>97</v>
      </c>
      <c r="G4" s="133"/>
      <c r="H4" s="134"/>
    </row>
    <row r="5" spans="1:8" x14ac:dyDescent="0.25">
      <c r="A5" s="66" t="s">
        <v>36</v>
      </c>
      <c r="B5" s="68"/>
      <c r="C5" s="70"/>
      <c r="D5" s="67"/>
      <c r="E5" s="68" t="s">
        <v>130</v>
      </c>
      <c r="F5" s="135" t="s">
        <v>133</v>
      </c>
      <c r="G5" s="135"/>
      <c r="H5" s="136"/>
    </row>
    <row r="6" spans="1:8" ht="15.75" thickBot="1" x14ac:dyDescent="0.3">
      <c r="A6" s="66" t="s">
        <v>94</v>
      </c>
      <c r="B6" s="67"/>
      <c r="C6" s="67"/>
      <c r="D6" s="72"/>
      <c r="E6" s="68" t="s">
        <v>148</v>
      </c>
      <c r="F6" s="137" t="s">
        <v>147</v>
      </c>
      <c r="G6" s="124"/>
      <c r="H6" s="125"/>
    </row>
    <row r="7" spans="1:8" x14ac:dyDescent="0.25">
      <c r="A7" s="62"/>
      <c r="B7" s="63">
        <v>5</v>
      </c>
      <c r="C7" s="63">
        <f>B7+1</f>
        <v>6</v>
      </c>
      <c r="D7" s="63">
        <f t="shared" ref="D7:H7" si="0">C7+1</f>
        <v>7</v>
      </c>
      <c r="E7" s="63">
        <f t="shared" si="0"/>
        <v>8</v>
      </c>
      <c r="F7" s="63">
        <f t="shared" si="0"/>
        <v>9</v>
      </c>
      <c r="G7" s="63">
        <f t="shared" si="0"/>
        <v>10</v>
      </c>
      <c r="H7" s="64">
        <f t="shared" si="0"/>
        <v>11</v>
      </c>
    </row>
    <row r="8" spans="1:8" x14ac:dyDescent="0.25">
      <c r="A8" s="66" t="s">
        <v>37</v>
      </c>
      <c r="B8" s="67">
        <v>2</v>
      </c>
      <c r="C8" s="67">
        <v>2</v>
      </c>
      <c r="D8" s="67">
        <v>3</v>
      </c>
      <c r="E8" s="68">
        <v>3</v>
      </c>
      <c r="F8" s="124">
        <v>2</v>
      </c>
      <c r="G8" s="124"/>
      <c r="H8" s="125"/>
    </row>
    <row r="9" spans="1:8" x14ac:dyDescent="0.25">
      <c r="A9" s="66" t="s">
        <v>34</v>
      </c>
      <c r="B9" s="42" t="s">
        <v>130</v>
      </c>
      <c r="C9" s="43" t="s">
        <v>128</v>
      </c>
      <c r="D9" s="44" t="s">
        <v>137</v>
      </c>
      <c r="E9" s="43" t="s">
        <v>130</v>
      </c>
      <c r="F9" s="126" t="s">
        <v>121</v>
      </c>
      <c r="G9" s="126"/>
      <c r="H9" s="127"/>
    </row>
    <row r="10" spans="1:8" x14ac:dyDescent="0.25">
      <c r="A10" s="66" t="s">
        <v>35</v>
      </c>
      <c r="B10" s="43" t="s">
        <v>113</v>
      </c>
      <c r="C10" s="60" t="s">
        <v>103</v>
      </c>
      <c r="D10" s="70" t="s">
        <v>111</v>
      </c>
      <c r="E10" s="67" t="s">
        <v>116</v>
      </c>
      <c r="F10" s="126" t="s">
        <v>136</v>
      </c>
      <c r="G10" s="126"/>
      <c r="H10" s="127"/>
    </row>
    <row r="11" spans="1:8" x14ac:dyDescent="0.25">
      <c r="A11" s="66" t="s">
        <v>36</v>
      </c>
      <c r="B11" s="61" t="s">
        <v>137</v>
      </c>
      <c r="C11" s="43" t="s">
        <v>125</v>
      </c>
      <c r="D11" s="60" t="s">
        <v>97</v>
      </c>
      <c r="E11" s="69" t="s">
        <v>119</v>
      </c>
      <c r="F11" s="124" t="s">
        <v>117</v>
      </c>
      <c r="G11" s="124"/>
      <c r="H11" s="125"/>
    </row>
    <row r="12" spans="1:8" ht="15.75" thickBot="1" x14ac:dyDescent="0.3">
      <c r="A12" s="66" t="s">
        <v>94</v>
      </c>
      <c r="B12" s="67" t="s">
        <v>135</v>
      </c>
      <c r="C12" s="67" t="s">
        <v>102</v>
      </c>
      <c r="D12" s="72" t="s">
        <v>105</v>
      </c>
      <c r="E12" s="67" t="s">
        <v>147</v>
      </c>
      <c r="F12" s="124" t="s">
        <v>148</v>
      </c>
      <c r="G12" s="124"/>
      <c r="H12" s="125"/>
    </row>
    <row r="13" spans="1:8" x14ac:dyDescent="0.25">
      <c r="A13" s="62"/>
      <c r="B13" s="63">
        <f>B7+7</f>
        <v>12</v>
      </c>
      <c r="C13" s="63">
        <f>B13+1</f>
        <v>13</v>
      </c>
      <c r="D13" s="63">
        <f t="shared" ref="D13:G13" si="1">C13+1</f>
        <v>14</v>
      </c>
      <c r="E13" s="63">
        <f t="shared" si="1"/>
        <v>15</v>
      </c>
      <c r="F13" s="63">
        <f t="shared" si="1"/>
        <v>16</v>
      </c>
      <c r="G13" s="63">
        <f t="shared" si="1"/>
        <v>17</v>
      </c>
      <c r="H13" s="64">
        <f>G13+1</f>
        <v>18</v>
      </c>
    </row>
    <row r="14" spans="1:8" x14ac:dyDescent="0.25">
      <c r="A14" s="66" t="s">
        <v>37</v>
      </c>
      <c r="B14" s="67">
        <v>2</v>
      </c>
      <c r="C14" s="67">
        <v>2</v>
      </c>
      <c r="D14" s="67">
        <v>3</v>
      </c>
      <c r="E14" s="68">
        <v>3</v>
      </c>
      <c r="F14" s="124">
        <v>3</v>
      </c>
      <c r="G14" s="124"/>
      <c r="H14" s="125"/>
    </row>
    <row r="15" spans="1:8" x14ac:dyDescent="0.25">
      <c r="A15" s="66" t="s">
        <v>34</v>
      </c>
      <c r="B15" s="44" t="s">
        <v>130</v>
      </c>
      <c r="C15" s="70" t="s">
        <v>126</v>
      </c>
      <c r="D15" s="44" t="s">
        <v>116</v>
      </c>
      <c r="E15" s="42" t="s">
        <v>119</v>
      </c>
      <c r="F15" s="124" t="s">
        <v>127</v>
      </c>
      <c r="G15" s="124"/>
      <c r="H15" s="125"/>
    </row>
    <row r="16" spans="1:8" x14ac:dyDescent="0.25">
      <c r="A16" s="66" t="s">
        <v>35</v>
      </c>
      <c r="B16" s="70" t="s">
        <v>119</v>
      </c>
      <c r="C16" s="43" t="s">
        <v>123</v>
      </c>
      <c r="D16" s="68" t="s">
        <v>164</v>
      </c>
      <c r="E16" s="68" t="s">
        <v>164</v>
      </c>
      <c r="F16" s="124" t="s">
        <v>98</v>
      </c>
      <c r="G16" s="124"/>
      <c r="H16" s="125"/>
    </row>
    <row r="17" spans="1:8" x14ac:dyDescent="0.25">
      <c r="A17" s="66" t="s">
        <v>36</v>
      </c>
      <c r="B17" s="43" t="s">
        <v>103</v>
      </c>
      <c r="C17" s="44" t="s">
        <v>118</v>
      </c>
      <c r="D17" s="70" t="s">
        <v>99</v>
      </c>
      <c r="E17" s="43" t="s">
        <v>140</v>
      </c>
      <c r="F17" s="126" t="s">
        <v>114</v>
      </c>
      <c r="G17" s="126"/>
      <c r="H17" s="127"/>
    </row>
    <row r="18" spans="1:8" ht="15.75" thickBot="1" x14ac:dyDescent="0.3">
      <c r="A18" s="66" t="s">
        <v>94</v>
      </c>
      <c r="B18" s="67" t="s">
        <v>147</v>
      </c>
      <c r="C18" s="67" t="s">
        <v>102</v>
      </c>
      <c r="D18" s="67" t="s">
        <v>135</v>
      </c>
      <c r="E18" s="67" t="s">
        <v>105</v>
      </c>
      <c r="F18" s="124" t="s">
        <v>161</v>
      </c>
      <c r="G18" s="124"/>
      <c r="H18" s="125"/>
    </row>
    <row r="19" spans="1:8" x14ac:dyDescent="0.25">
      <c r="A19" s="62"/>
      <c r="B19" s="63">
        <f>B13+7</f>
        <v>19</v>
      </c>
      <c r="C19" s="63">
        <f>B19+1</f>
        <v>20</v>
      </c>
      <c r="D19" s="63">
        <f t="shared" ref="D19:H19" si="2">C19+1</f>
        <v>21</v>
      </c>
      <c r="E19" s="63">
        <f t="shared" si="2"/>
        <v>22</v>
      </c>
      <c r="F19" s="63">
        <f t="shared" si="2"/>
        <v>23</v>
      </c>
      <c r="G19" s="63">
        <f t="shared" si="2"/>
        <v>24</v>
      </c>
      <c r="H19" s="64">
        <f t="shared" si="2"/>
        <v>25</v>
      </c>
    </row>
    <row r="20" spans="1:8" x14ac:dyDescent="0.25">
      <c r="A20" s="66" t="s">
        <v>37</v>
      </c>
      <c r="B20" s="67">
        <v>2</v>
      </c>
      <c r="C20" s="67">
        <v>2</v>
      </c>
      <c r="D20" s="67">
        <v>3</v>
      </c>
      <c r="E20" s="68">
        <v>3</v>
      </c>
      <c r="F20" s="124">
        <v>2</v>
      </c>
      <c r="G20" s="124"/>
      <c r="H20" s="125"/>
    </row>
    <row r="21" spans="1:8" x14ac:dyDescent="0.25">
      <c r="A21" s="66" t="s">
        <v>34</v>
      </c>
      <c r="B21" s="43" t="s">
        <v>97</v>
      </c>
      <c r="C21" s="70" t="s">
        <v>138</v>
      </c>
      <c r="D21" s="67" t="s">
        <v>117</v>
      </c>
      <c r="E21" s="70" t="s">
        <v>124</v>
      </c>
      <c r="F21" s="126" t="s">
        <v>131</v>
      </c>
      <c r="G21" s="126"/>
      <c r="H21" s="127"/>
    </row>
    <row r="22" spans="1:8" x14ac:dyDescent="0.25">
      <c r="A22" s="66" t="s">
        <v>35</v>
      </c>
      <c r="B22" s="43" t="s">
        <v>136</v>
      </c>
      <c r="C22" s="43" t="s">
        <v>118</v>
      </c>
      <c r="D22" s="43" t="s">
        <v>125</v>
      </c>
      <c r="E22" s="44" t="s">
        <v>126</v>
      </c>
      <c r="F22" s="151" t="s">
        <v>113</v>
      </c>
      <c r="G22" s="126"/>
      <c r="H22" s="127"/>
    </row>
    <row r="23" spans="1:8" x14ac:dyDescent="0.25">
      <c r="A23" s="66" t="s">
        <v>36</v>
      </c>
      <c r="B23" s="68" t="s">
        <v>124</v>
      </c>
      <c r="C23" s="68" t="s">
        <v>99</v>
      </c>
      <c r="D23" s="44" t="s">
        <v>140</v>
      </c>
      <c r="E23" s="70" t="s">
        <v>103</v>
      </c>
      <c r="F23" s="124" t="s">
        <v>129</v>
      </c>
      <c r="G23" s="124"/>
      <c r="H23" s="125"/>
    </row>
    <row r="24" spans="1:8" x14ac:dyDescent="0.25">
      <c r="A24" s="66" t="s">
        <v>94</v>
      </c>
      <c r="B24" s="67" t="s">
        <v>148</v>
      </c>
      <c r="C24" s="67" t="s">
        <v>96</v>
      </c>
      <c r="D24" s="67" t="s">
        <v>102</v>
      </c>
      <c r="E24" s="75" t="s">
        <v>135</v>
      </c>
      <c r="F24" s="124" t="s">
        <v>104</v>
      </c>
      <c r="G24" s="124"/>
      <c r="H24" s="125"/>
    </row>
    <row r="25" spans="1:8" ht="15.75" thickBot="1" x14ac:dyDescent="0.3">
      <c r="A25" s="66" t="s">
        <v>93</v>
      </c>
      <c r="B25" s="59" t="s">
        <v>95</v>
      </c>
      <c r="C25" s="59" t="s">
        <v>95</v>
      </c>
      <c r="D25" s="59" t="s">
        <v>95</v>
      </c>
      <c r="E25" s="76" t="s">
        <v>148</v>
      </c>
      <c r="F25" s="130" t="s">
        <v>95</v>
      </c>
      <c r="G25" s="130"/>
      <c r="H25" s="131"/>
    </row>
    <row r="26" spans="1:8" x14ac:dyDescent="0.25">
      <c r="A26" s="62"/>
      <c r="B26" s="63">
        <f>B19+7</f>
        <v>26</v>
      </c>
      <c r="C26" s="63">
        <f>B26+1</f>
        <v>27</v>
      </c>
      <c r="D26" s="63">
        <f t="shared" ref="D26:H26" si="3">C26+1</f>
        <v>28</v>
      </c>
      <c r="E26" s="63">
        <f t="shared" si="3"/>
        <v>29</v>
      </c>
      <c r="F26" s="63">
        <f t="shared" si="3"/>
        <v>30</v>
      </c>
      <c r="G26" s="63">
        <v>1</v>
      </c>
      <c r="H26" s="64">
        <f t="shared" si="3"/>
        <v>2</v>
      </c>
    </row>
    <row r="27" spans="1:8" x14ac:dyDescent="0.25">
      <c r="A27" s="66" t="s">
        <v>37</v>
      </c>
      <c r="B27" s="67">
        <v>2</v>
      </c>
      <c r="C27" s="67">
        <v>2</v>
      </c>
      <c r="D27" s="67">
        <v>3</v>
      </c>
      <c r="E27" s="68">
        <v>3</v>
      </c>
      <c r="F27" s="124">
        <v>3</v>
      </c>
      <c r="G27" s="124"/>
      <c r="H27" s="125"/>
    </row>
    <row r="28" spans="1:8" x14ac:dyDescent="0.25">
      <c r="A28" s="66" t="s">
        <v>34</v>
      </c>
      <c r="B28" s="70" t="s">
        <v>136</v>
      </c>
      <c r="C28" s="44" t="s">
        <v>137</v>
      </c>
      <c r="D28" s="44" t="s">
        <v>126</v>
      </c>
      <c r="E28" s="44" t="s">
        <v>140</v>
      </c>
      <c r="F28" s="124" t="s">
        <v>120</v>
      </c>
      <c r="G28" s="124"/>
      <c r="H28" s="125"/>
    </row>
    <row r="29" spans="1:8" x14ac:dyDescent="0.25">
      <c r="A29" s="66" t="s">
        <v>35</v>
      </c>
      <c r="B29" s="44" t="s">
        <v>118</v>
      </c>
      <c r="C29" s="61" t="s">
        <v>123</v>
      </c>
      <c r="D29" s="70" t="s">
        <v>111</v>
      </c>
      <c r="E29" s="71" t="s">
        <v>97</v>
      </c>
      <c r="F29" s="124" t="s">
        <v>125</v>
      </c>
      <c r="G29" s="124"/>
      <c r="H29" s="125"/>
    </row>
    <row r="30" spans="1:8" x14ac:dyDescent="0.25">
      <c r="A30" s="66" t="s">
        <v>36</v>
      </c>
      <c r="B30" s="43" t="s">
        <v>114</v>
      </c>
      <c r="C30" s="61" t="s">
        <v>138</v>
      </c>
      <c r="D30" s="41" t="s">
        <v>103</v>
      </c>
      <c r="E30" s="43" t="s">
        <v>116</v>
      </c>
      <c r="F30" s="126" t="s">
        <v>163</v>
      </c>
      <c r="G30" s="126"/>
      <c r="H30" s="127"/>
    </row>
    <row r="31" spans="1:8" x14ac:dyDescent="0.25">
      <c r="A31" s="66" t="s">
        <v>94</v>
      </c>
      <c r="B31" s="67" t="s">
        <v>106</v>
      </c>
      <c r="C31" s="67" t="s">
        <v>96</v>
      </c>
      <c r="D31" s="67" t="s">
        <v>105</v>
      </c>
      <c r="E31" s="67" t="s">
        <v>102</v>
      </c>
      <c r="F31" s="124" t="s">
        <v>101</v>
      </c>
      <c r="G31" s="124"/>
      <c r="H31" s="125"/>
    </row>
    <row r="32" spans="1:8" ht="15.75" thickBot="1" x14ac:dyDescent="0.3">
      <c r="A32" s="74" t="s">
        <v>93</v>
      </c>
      <c r="B32" s="59" t="s">
        <v>95</v>
      </c>
      <c r="C32" s="59" t="s">
        <v>95</v>
      </c>
      <c r="D32" s="59" t="s">
        <v>161</v>
      </c>
      <c r="E32" s="73" t="s">
        <v>135</v>
      </c>
      <c r="F32" s="128" t="s">
        <v>95</v>
      </c>
      <c r="G32" s="128"/>
      <c r="H32" s="129"/>
    </row>
  </sheetData>
  <mergeCells count="27">
    <mergeCell ref="F32:H32"/>
    <mergeCell ref="F25:H25"/>
    <mergeCell ref="F2:H2"/>
    <mergeCell ref="F3:H3"/>
    <mergeCell ref="F4:H4"/>
    <mergeCell ref="F5:H5"/>
    <mergeCell ref="F6:H6"/>
    <mergeCell ref="F8:H8"/>
    <mergeCell ref="F9:H9"/>
    <mergeCell ref="F10:H10"/>
    <mergeCell ref="F11:H11"/>
    <mergeCell ref="F12:H12"/>
    <mergeCell ref="F28:H28"/>
    <mergeCell ref="F29:H29"/>
    <mergeCell ref="F30:H30"/>
    <mergeCell ref="F31:H31"/>
    <mergeCell ref="F14:H14"/>
    <mergeCell ref="F27:H27"/>
    <mergeCell ref="F21:H21"/>
    <mergeCell ref="F22:H22"/>
    <mergeCell ref="F23:H23"/>
    <mergeCell ref="F24:H24"/>
    <mergeCell ref="F15:H15"/>
    <mergeCell ref="F16:H16"/>
    <mergeCell ref="F17:H17"/>
    <mergeCell ref="F18:H18"/>
    <mergeCell ref="F20:H20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A2917E-0FD7-4E71-A206-22D5C6663750}">
  <dimension ref="A1:J78"/>
  <sheetViews>
    <sheetView rightToLeft="1" zoomScale="130" zoomScaleNormal="130" workbookViewId="0">
      <selection activeCell="D20" sqref="D20"/>
    </sheetView>
  </sheetViews>
  <sheetFormatPr defaultRowHeight="15" x14ac:dyDescent="0.25"/>
  <cols>
    <col min="1" max="1" width="7.140625" style="58" customWidth="1"/>
    <col min="2" max="2" width="8" style="48" bestFit="1" customWidth="1"/>
    <col min="3" max="3" width="8" style="48" customWidth="1"/>
    <col min="4" max="4" width="9.5703125" style="48" customWidth="1"/>
    <col min="5" max="7" width="8.42578125" style="57" customWidth="1"/>
    <col min="8" max="8" width="13" style="57" customWidth="1"/>
    <col min="9" max="10" width="8.42578125" style="57" customWidth="1"/>
  </cols>
  <sheetData>
    <row r="1" spans="1:10" ht="60.75" thickBot="1" x14ac:dyDescent="0.3">
      <c r="A1" s="45" t="s">
        <v>0</v>
      </c>
      <c r="B1" s="46" t="s">
        <v>1</v>
      </c>
      <c r="C1" s="46" t="s">
        <v>3</v>
      </c>
      <c r="D1" s="46" t="s">
        <v>4</v>
      </c>
      <c r="E1" s="45" t="s">
        <v>149</v>
      </c>
      <c r="F1" s="46" t="s">
        <v>150</v>
      </c>
      <c r="G1" s="46" t="s">
        <v>151</v>
      </c>
      <c r="H1" s="46" t="s">
        <v>152</v>
      </c>
      <c r="I1" s="47" t="s">
        <v>153</v>
      </c>
      <c r="J1" s="47" t="s">
        <v>154</v>
      </c>
    </row>
    <row r="2" spans="1:10" x14ac:dyDescent="0.25">
      <c r="A2" s="49">
        <v>11</v>
      </c>
      <c r="B2" s="50" t="s">
        <v>11</v>
      </c>
      <c r="C2" s="51" t="s">
        <v>6</v>
      </c>
      <c r="D2" s="51" t="s">
        <v>7</v>
      </c>
      <c r="E2" s="49"/>
      <c r="F2" s="51"/>
      <c r="G2" s="51">
        <v>2</v>
      </c>
      <c r="H2" s="51">
        <v>1</v>
      </c>
      <c r="I2" s="52">
        <v>2</v>
      </c>
      <c r="J2" s="52">
        <v>1</v>
      </c>
    </row>
    <row r="3" spans="1:10" x14ac:dyDescent="0.25">
      <c r="A3" s="49">
        <v>11</v>
      </c>
      <c r="B3" s="50" t="s">
        <v>12</v>
      </c>
      <c r="C3" s="51" t="s">
        <v>6</v>
      </c>
      <c r="D3" s="51" t="s">
        <v>7</v>
      </c>
      <c r="E3" s="49"/>
      <c r="F3" s="51"/>
      <c r="G3" s="51">
        <v>2</v>
      </c>
      <c r="H3" s="51">
        <v>1</v>
      </c>
      <c r="I3" s="52">
        <v>2</v>
      </c>
      <c r="J3" s="52">
        <v>1</v>
      </c>
    </row>
    <row r="4" spans="1:10" x14ac:dyDescent="0.25">
      <c r="A4" s="49">
        <v>9</v>
      </c>
      <c r="B4" s="50" t="s">
        <v>79</v>
      </c>
      <c r="C4" s="51" t="s">
        <v>6</v>
      </c>
      <c r="D4" s="51" t="s">
        <v>6</v>
      </c>
      <c r="E4" s="49">
        <v>1</v>
      </c>
      <c r="F4" s="51"/>
      <c r="G4" s="51"/>
      <c r="H4" s="51"/>
      <c r="I4" s="52">
        <v>3</v>
      </c>
      <c r="J4" s="52">
        <v>0</v>
      </c>
    </row>
    <row r="5" spans="1:10" x14ac:dyDescent="0.25">
      <c r="A5" s="49">
        <v>9</v>
      </c>
      <c r="B5" s="50" t="s">
        <v>83</v>
      </c>
      <c r="C5" s="51" t="s">
        <v>6</v>
      </c>
      <c r="D5" s="51" t="s">
        <v>6</v>
      </c>
      <c r="E5" s="49"/>
      <c r="F5" s="51"/>
      <c r="G5" s="51">
        <v>1</v>
      </c>
      <c r="H5" s="51"/>
      <c r="I5" s="52">
        <v>1</v>
      </c>
      <c r="J5" s="52">
        <v>0</v>
      </c>
    </row>
    <row r="6" spans="1:10" x14ac:dyDescent="0.25">
      <c r="A6" s="49">
        <v>9</v>
      </c>
      <c r="B6" s="50" t="s">
        <v>20</v>
      </c>
      <c r="C6" s="51" t="s">
        <v>6</v>
      </c>
      <c r="D6" s="51" t="s">
        <v>7</v>
      </c>
      <c r="E6" s="49">
        <v>1</v>
      </c>
      <c r="F6" s="51"/>
      <c r="G6" s="51"/>
      <c r="H6" s="51"/>
      <c r="I6" s="52">
        <v>3</v>
      </c>
      <c r="J6" s="52">
        <v>0</v>
      </c>
    </row>
    <row r="7" spans="1:10" x14ac:dyDescent="0.25">
      <c r="A7" s="49">
        <v>9</v>
      </c>
      <c r="B7" s="50" t="s">
        <v>21</v>
      </c>
      <c r="C7" s="51" t="s">
        <v>6</v>
      </c>
      <c r="D7" s="51" t="s">
        <v>6</v>
      </c>
      <c r="E7" s="49">
        <v>1</v>
      </c>
      <c r="F7" s="51"/>
      <c r="G7" s="51">
        <v>2</v>
      </c>
      <c r="H7" s="51"/>
      <c r="I7" s="52">
        <v>5</v>
      </c>
      <c r="J7" s="52">
        <v>0</v>
      </c>
    </row>
    <row r="8" spans="1:10" x14ac:dyDescent="0.25">
      <c r="A8" s="49">
        <v>11</v>
      </c>
      <c r="B8" s="50" t="s">
        <v>9</v>
      </c>
      <c r="C8" s="51" t="s">
        <v>7</v>
      </c>
      <c r="D8" s="51" t="s">
        <v>7</v>
      </c>
      <c r="E8" s="49"/>
      <c r="F8" s="51">
        <v>1</v>
      </c>
      <c r="G8" s="51"/>
      <c r="H8" s="51">
        <v>1</v>
      </c>
      <c r="I8" s="52">
        <v>0</v>
      </c>
      <c r="J8" s="52">
        <v>4</v>
      </c>
    </row>
    <row r="9" spans="1:10" x14ac:dyDescent="0.25">
      <c r="A9" s="49">
        <v>11</v>
      </c>
      <c r="B9" s="50" t="s">
        <v>13</v>
      </c>
      <c r="C9" s="51" t="s">
        <v>7</v>
      </c>
      <c r="D9" s="51" t="s">
        <v>7</v>
      </c>
      <c r="E9" s="49"/>
      <c r="F9" s="51"/>
      <c r="G9" s="51"/>
      <c r="H9" s="51">
        <v>3</v>
      </c>
      <c r="I9" s="52">
        <v>0</v>
      </c>
      <c r="J9" s="52">
        <v>3</v>
      </c>
    </row>
    <row r="10" spans="1:10" x14ac:dyDescent="0.25">
      <c r="A10" s="49">
        <v>209</v>
      </c>
      <c r="B10" s="50" t="s">
        <v>8</v>
      </c>
      <c r="C10" s="51" t="s">
        <v>6</v>
      </c>
      <c r="D10" s="51" t="s">
        <v>7</v>
      </c>
      <c r="E10" s="49"/>
      <c r="F10" s="51"/>
      <c r="G10" s="51"/>
      <c r="H10" s="51">
        <v>2</v>
      </c>
      <c r="I10" s="52">
        <v>0</v>
      </c>
      <c r="J10" s="52">
        <v>2</v>
      </c>
    </row>
    <row r="11" spans="1:10" x14ac:dyDescent="0.25">
      <c r="A11" s="49">
        <v>11</v>
      </c>
      <c r="B11" s="50" t="s">
        <v>80</v>
      </c>
      <c r="C11" s="51" t="s">
        <v>7</v>
      </c>
      <c r="D11" s="51" t="s">
        <v>7</v>
      </c>
      <c r="E11" s="49"/>
      <c r="F11" s="51">
        <v>1</v>
      </c>
      <c r="G11" s="51">
        <v>1</v>
      </c>
      <c r="H11" s="51"/>
      <c r="I11" s="52">
        <v>1</v>
      </c>
      <c r="J11" s="52">
        <v>3</v>
      </c>
    </row>
    <row r="12" spans="1:10" x14ac:dyDescent="0.25">
      <c r="A12" s="49" t="s">
        <v>110</v>
      </c>
      <c r="B12" s="50" t="s">
        <v>77</v>
      </c>
      <c r="C12" s="51" t="s">
        <v>6</v>
      </c>
      <c r="D12" s="51" t="s">
        <v>7</v>
      </c>
      <c r="E12" s="49"/>
      <c r="F12" s="51"/>
      <c r="G12" s="51">
        <v>1</v>
      </c>
      <c r="H12" s="51">
        <v>2</v>
      </c>
      <c r="I12" s="52">
        <v>1</v>
      </c>
      <c r="J12" s="52">
        <v>2</v>
      </c>
    </row>
    <row r="13" spans="1:10" x14ac:dyDescent="0.25">
      <c r="A13" s="49" t="s">
        <v>110</v>
      </c>
      <c r="B13" s="50" t="s">
        <v>74</v>
      </c>
      <c r="C13" s="51" t="s">
        <v>6</v>
      </c>
      <c r="D13" s="51" t="s">
        <v>7</v>
      </c>
      <c r="E13" s="49"/>
      <c r="F13" s="51"/>
      <c r="G13" s="51">
        <v>1</v>
      </c>
      <c r="H13" s="51">
        <v>2</v>
      </c>
      <c r="I13" s="52">
        <v>1</v>
      </c>
      <c r="J13" s="52">
        <v>2</v>
      </c>
    </row>
    <row r="14" spans="1:10" x14ac:dyDescent="0.25">
      <c r="A14" s="49">
        <v>209</v>
      </c>
      <c r="B14" s="50" t="s">
        <v>72</v>
      </c>
      <c r="C14" s="51" t="s">
        <v>6</v>
      </c>
      <c r="D14" s="51" t="s">
        <v>7</v>
      </c>
      <c r="E14" s="49"/>
      <c r="F14" s="51"/>
      <c r="G14" s="51">
        <v>1</v>
      </c>
      <c r="H14" s="51">
        <v>1</v>
      </c>
      <c r="I14" s="52">
        <v>1</v>
      </c>
      <c r="J14" s="52">
        <v>1</v>
      </c>
    </row>
    <row r="15" spans="1:10" x14ac:dyDescent="0.25">
      <c r="A15" s="49">
        <v>474</v>
      </c>
      <c r="B15" s="50" t="s">
        <v>132</v>
      </c>
      <c r="C15" s="51" t="s">
        <v>6</v>
      </c>
      <c r="D15" s="51" t="s">
        <v>7</v>
      </c>
      <c r="E15" s="49"/>
      <c r="F15" s="51"/>
      <c r="G15" s="51">
        <v>2</v>
      </c>
      <c r="H15" s="51">
        <v>1</v>
      </c>
      <c r="I15" s="52">
        <v>2</v>
      </c>
      <c r="J15" s="52">
        <v>1</v>
      </c>
    </row>
    <row r="16" spans="1:10" x14ac:dyDescent="0.25">
      <c r="A16" s="49" t="s">
        <v>26</v>
      </c>
      <c r="B16" s="50" t="s">
        <v>22</v>
      </c>
      <c r="C16" s="51" t="s">
        <v>6</v>
      </c>
      <c r="D16" s="51" t="s">
        <v>7</v>
      </c>
      <c r="E16" s="49"/>
      <c r="F16" s="51"/>
      <c r="G16" s="51">
        <v>1</v>
      </c>
      <c r="H16" s="51">
        <v>1</v>
      </c>
      <c r="I16" s="52">
        <v>1</v>
      </c>
      <c r="J16" s="52">
        <v>1</v>
      </c>
    </row>
    <row r="17" spans="1:10" x14ac:dyDescent="0.25">
      <c r="A17" s="49">
        <v>209</v>
      </c>
      <c r="B17" s="50" t="s">
        <v>144</v>
      </c>
      <c r="C17" s="51" t="s">
        <v>7</v>
      </c>
      <c r="D17" s="51" t="s">
        <v>6</v>
      </c>
      <c r="E17" s="49"/>
      <c r="F17" s="51">
        <v>1</v>
      </c>
      <c r="G17" s="51"/>
      <c r="H17" s="51"/>
      <c r="I17" s="52">
        <v>0</v>
      </c>
      <c r="J17" s="52">
        <v>3</v>
      </c>
    </row>
    <row r="18" spans="1:10" x14ac:dyDescent="0.25">
      <c r="A18" s="49">
        <v>9</v>
      </c>
      <c r="B18" s="50" t="s">
        <v>17</v>
      </c>
      <c r="C18" s="51" t="s">
        <v>6</v>
      </c>
      <c r="D18" s="51" t="s">
        <v>7</v>
      </c>
      <c r="E18" s="49">
        <v>1</v>
      </c>
      <c r="F18" s="51"/>
      <c r="G18" s="51"/>
      <c r="H18" s="51"/>
      <c r="I18" s="52">
        <v>3</v>
      </c>
      <c r="J18" s="52">
        <v>0</v>
      </c>
    </row>
    <row r="19" spans="1:10" x14ac:dyDescent="0.25">
      <c r="A19" s="49">
        <v>209</v>
      </c>
      <c r="B19" s="50" t="s">
        <v>18</v>
      </c>
      <c r="C19" s="51" t="s">
        <v>7</v>
      </c>
      <c r="D19" s="51" t="s">
        <v>7</v>
      </c>
      <c r="E19" s="49"/>
      <c r="F19" s="51"/>
      <c r="G19" s="51"/>
      <c r="H19" s="51">
        <v>3</v>
      </c>
      <c r="I19" s="52">
        <v>0</v>
      </c>
      <c r="J19" s="52">
        <v>3</v>
      </c>
    </row>
    <row r="20" spans="1:10" x14ac:dyDescent="0.25">
      <c r="A20" s="49" t="s">
        <v>110</v>
      </c>
      <c r="B20" s="50" t="s">
        <v>73</v>
      </c>
      <c r="C20" s="51" t="s">
        <v>6</v>
      </c>
      <c r="D20" s="51" t="s">
        <v>7</v>
      </c>
      <c r="E20" s="49"/>
      <c r="F20" s="51"/>
      <c r="G20" s="51"/>
      <c r="H20" s="51"/>
      <c r="I20" s="52">
        <v>0</v>
      </c>
      <c r="J20" s="52">
        <v>0</v>
      </c>
    </row>
    <row r="21" spans="1:10" x14ac:dyDescent="0.25">
      <c r="A21" s="49">
        <v>679</v>
      </c>
      <c r="B21" s="50" t="s">
        <v>5</v>
      </c>
      <c r="C21" s="51" t="s">
        <v>6</v>
      </c>
      <c r="D21" s="51" t="s">
        <v>7</v>
      </c>
      <c r="E21" s="49">
        <v>1</v>
      </c>
      <c r="F21" s="51"/>
      <c r="G21" s="51"/>
      <c r="H21" s="51">
        <v>1</v>
      </c>
      <c r="I21" s="52">
        <v>3</v>
      </c>
      <c r="J21" s="52">
        <v>1</v>
      </c>
    </row>
    <row r="22" spans="1:10" x14ac:dyDescent="0.25">
      <c r="A22" s="49">
        <v>474</v>
      </c>
      <c r="B22" s="50" t="s">
        <v>5</v>
      </c>
      <c r="C22" s="51" t="s">
        <v>6</v>
      </c>
      <c r="D22" s="51" t="s">
        <v>6</v>
      </c>
      <c r="E22" s="49">
        <v>1</v>
      </c>
      <c r="F22" s="51"/>
      <c r="G22" s="51"/>
      <c r="H22" s="51"/>
      <c r="I22" s="52">
        <v>3</v>
      </c>
      <c r="J22" s="52">
        <v>0</v>
      </c>
    </row>
    <row r="23" spans="1:10" x14ac:dyDescent="0.25">
      <c r="A23" s="49">
        <v>474</v>
      </c>
      <c r="B23" s="50" t="s">
        <v>141</v>
      </c>
      <c r="C23" s="51" t="s">
        <v>6</v>
      </c>
      <c r="D23" s="51" t="s">
        <v>6</v>
      </c>
      <c r="E23" s="49"/>
      <c r="F23" s="51"/>
      <c r="G23" s="51">
        <v>3</v>
      </c>
      <c r="H23" s="51"/>
      <c r="I23" s="52">
        <v>3</v>
      </c>
      <c r="J23" s="52">
        <v>0</v>
      </c>
    </row>
    <row r="24" spans="1:10" x14ac:dyDescent="0.25">
      <c r="A24" s="49">
        <v>679</v>
      </c>
      <c r="B24" s="50" t="s">
        <v>25</v>
      </c>
      <c r="C24" s="51" t="s">
        <v>6</v>
      </c>
      <c r="D24" s="51" t="s">
        <v>6</v>
      </c>
      <c r="E24" s="49"/>
      <c r="F24" s="51"/>
      <c r="G24" s="51">
        <v>4</v>
      </c>
      <c r="H24" s="51"/>
      <c r="I24" s="52">
        <v>4</v>
      </c>
      <c r="J24" s="52">
        <v>0</v>
      </c>
    </row>
    <row r="25" spans="1:10" x14ac:dyDescent="0.25">
      <c r="A25" s="49">
        <v>679</v>
      </c>
      <c r="B25" s="50" t="s">
        <v>82</v>
      </c>
      <c r="C25" s="51" t="s">
        <v>6</v>
      </c>
      <c r="D25" s="51" t="s">
        <v>6</v>
      </c>
      <c r="E25" s="49"/>
      <c r="F25" s="51"/>
      <c r="G25" s="51">
        <v>4</v>
      </c>
      <c r="H25" s="51"/>
      <c r="I25" s="52">
        <v>4</v>
      </c>
      <c r="J25" s="52">
        <v>0</v>
      </c>
    </row>
    <row r="26" spans="1:10" x14ac:dyDescent="0.25">
      <c r="A26" s="49">
        <v>679</v>
      </c>
      <c r="B26" s="50" t="s">
        <v>27</v>
      </c>
      <c r="C26" s="51" t="s">
        <v>7</v>
      </c>
      <c r="D26" s="51" t="s">
        <v>7</v>
      </c>
      <c r="E26" s="49"/>
      <c r="F26" s="51"/>
      <c r="G26" s="51"/>
      <c r="H26" s="51"/>
      <c r="I26" s="52">
        <v>0</v>
      </c>
      <c r="J26" s="52">
        <v>0</v>
      </c>
    </row>
    <row r="27" spans="1:10" x14ac:dyDescent="0.25">
      <c r="A27" s="49">
        <v>679</v>
      </c>
      <c r="B27" s="50" t="s">
        <v>14</v>
      </c>
      <c r="C27" s="51" t="s">
        <v>6</v>
      </c>
      <c r="D27" s="51" t="s">
        <v>7</v>
      </c>
      <c r="E27" s="49">
        <v>1</v>
      </c>
      <c r="F27" s="51"/>
      <c r="G27" s="51"/>
      <c r="H27" s="51"/>
      <c r="I27" s="52">
        <v>3</v>
      </c>
      <c r="J27" s="52">
        <v>0</v>
      </c>
    </row>
    <row r="28" spans="1:10" x14ac:dyDescent="0.25">
      <c r="A28" s="49">
        <v>679</v>
      </c>
      <c r="B28" s="50" t="s">
        <v>22</v>
      </c>
      <c r="C28" s="51" t="s">
        <v>6</v>
      </c>
      <c r="D28" s="51" t="s">
        <v>7</v>
      </c>
      <c r="E28" s="49"/>
      <c r="F28" s="51"/>
      <c r="G28" s="51">
        <v>2</v>
      </c>
      <c r="H28" s="51">
        <v>1</v>
      </c>
      <c r="I28" s="52">
        <v>2</v>
      </c>
      <c r="J28" s="52">
        <v>1</v>
      </c>
    </row>
    <row r="29" spans="1:10" x14ac:dyDescent="0.25">
      <c r="A29" s="49">
        <v>679</v>
      </c>
      <c r="B29" s="50" t="s">
        <v>15</v>
      </c>
      <c r="C29" s="51" t="s">
        <v>7</v>
      </c>
      <c r="D29" s="51" t="s">
        <v>7</v>
      </c>
      <c r="E29" s="49"/>
      <c r="F29" s="51">
        <v>1</v>
      </c>
      <c r="G29" s="51"/>
      <c r="H29" s="51">
        <v>1</v>
      </c>
      <c r="I29" s="52">
        <v>0</v>
      </c>
      <c r="J29" s="52">
        <v>4</v>
      </c>
    </row>
    <row r="30" spans="1:10" x14ac:dyDescent="0.25">
      <c r="A30" s="49">
        <v>11</v>
      </c>
      <c r="B30" s="50" t="s">
        <v>16</v>
      </c>
      <c r="C30" s="51" t="s">
        <v>6</v>
      </c>
      <c r="D30" s="51" t="s">
        <v>7</v>
      </c>
      <c r="E30" s="49"/>
      <c r="F30" s="51"/>
      <c r="G30" s="51">
        <v>3</v>
      </c>
      <c r="H30" s="51"/>
      <c r="I30" s="52">
        <v>3</v>
      </c>
      <c r="J30" s="52">
        <v>0</v>
      </c>
    </row>
    <row r="31" spans="1:10" x14ac:dyDescent="0.25">
      <c r="A31" s="49" t="s">
        <v>110</v>
      </c>
      <c r="B31" s="50" t="s">
        <v>157</v>
      </c>
      <c r="C31" s="51" t="s">
        <v>6</v>
      </c>
      <c r="D31" s="51" t="s">
        <v>6</v>
      </c>
      <c r="E31" s="49">
        <v>1</v>
      </c>
      <c r="F31" s="51"/>
      <c r="G31" s="51"/>
      <c r="H31" s="51"/>
      <c r="I31" s="52">
        <v>3</v>
      </c>
      <c r="J31" s="52">
        <v>0</v>
      </c>
    </row>
    <row r="32" spans="1:10" x14ac:dyDescent="0.25">
      <c r="A32" s="49">
        <v>209</v>
      </c>
      <c r="B32" s="50" t="s">
        <v>17</v>
      </c>
      <c r="C32" s="51" t="s">
        <v>6</v>
      </c>
      <c r="D32" s="51" t="s">
        <v>7</v>
      </c>
      <c r="E32" s="49">
        <v>1</v>
      </c>
      <c r="F32" s="51"/>
      <c r="G32" s="51"/>
      <c r="H32" s="51">
        <v>3</v>
      </c>
      <c r="I32" s="52">
        <v>3</v>
      </c>
      <c r="J32" s="52">
        <v>3</v>
      </c>
    </row>
    <row r="33" spans="1:10" x14ac:dyDescent="0.25">
      <c r="A33" s="49" t="s">
        <v>23</v>
      </c>
      <c r="B33" s="50" t="s">
        <v>22</v>
      </c>
      <c r="C33" s="51" t="s">
        <v>6</v>
      </c>
      <c r="D33" s="51" t="s">
        <v>7</v>
      </c>
      <c r="E33" s="49"/>
      <c r="F33" s="51"/>
      <c r="G33" s="51">
        <v>1</v>
      </c>
      <c r="H33" s="51">
        <v>1</v>
      </c>
      <c r="I33" s="52">
        <v>1</v>
      </c>
      <c r="J33" s="52">
        <v>1</v>
      </c>
    </row>
    <row r="34" spans="1:10" x14ac:dyDescent="0.25">
      <c r="A34" s="49" t="s">
        <v>110</v>
      </c>
      <c r="B34" s="50" t="s">
        <v>76</v>
      </c>
      <c r="C34" s="51" t="s">
        <v>6</v>
      </c>
      <c r="D34" s="51" t="s">
        <v>6</v>
      </c>
      <c r="E34" s="49"/>
      <c r="F34" s="51"/>
      <c r="G34" s="51">
        <v>2</v>
      </c>
      <c r="H34" s="51"/>
      <c r="I34" s="52">
        <v>2</v>
      </c>
      <c r="J34" s="52">
        <v>0</v>
      </c>
    </row>
    <row r="35" spans="1:10" x14ac:dyDescent="0.25">
      <c r="A35" s="49" t="s">
        <v>110</v>
      </c>
      <c r="B35" s="50" t="s">
        <v>91</v>
      </c>
      <c r="C35" s="51" t="s">
        <v>7</v>
      </c>
      <c r="D35" s="51" t="s">
        <v>7</v>
      </c>
      <c r="E35" s="49"/>
      <c r="F35" s="51">
        <v>1</v>
      </c>
      <c r="G35" s="51"/>
      <c r="H35" s="51">
        <v>2</v>
      </c>
      <c r="I35" s="52">
        <v>0</v>
      </c>
      <c r="J35" s="52">
        <v>5</v>
      </c>
    </row>
    <row r="36" spans="1:10" x14ac:dyDescent="0.25">
      <c r="A36" s="49" t="s">
        <v>110</v>
      </c>
      <c r="B36" s="50" t="s">
        <v>75</v>
      </c>
      <c r="C36" s="51" t="s">
        <v>7</v>
      </c>
      <c r="D36" s="51" t="s">
        <v>7</v>
      </c>
      <c r="E36" s="49"/>
      <c r="F36" s="51">
        <v>1</v>
      </c>
      <c r="G36" s="51"/>
      <c r="H36" s="51">
        <v>1</v>
      </c>
      <c r="I36" s="52">
        <v>0</v>
      </c>
      <c r="J36" s="52">
        <v>4</v>
      </c>
    </row>
    <row r="37" spans="1:10" x14ac:dyDescent="0.25">
      <c r="A37" s="49">
        <v>11</v>
      </c>
      <c r="B37" s="50" t="s">
        <v>10</v>
      </c>
      <c r="C37" s="51" t="s">
        <v>6</v>
      </c>
      <c r="D37" s="51" t="s">
        <v>7</v>
      </c>
      <c r="E37" s="49">
        <v>1</v>
      </c>
      <c r="F37" s="51"/>
      <c r="G37" s="51">
        <v>1</v>
      </c>
      <c r="H37" s="51"/>
      <c r="I37" s="52">
        <v>4</v>
      </c>
      <c r="J37" s="52">
        <v>0</v>
      </c>
    </row>
    <row r="38" spans="1:10" x14ac:dyDescent="0.25">
      <c r="A38" s="49">
        <v>9</v>
      </c>
      <c r="B38" s="50" t="s">
        <v>8</v>
      </c>
      <c r="C38" s="51" t="s">
        <v>6</v>
      </c>
      <c r="D38" s="51" t="s">
        <v>7</v>
      </c>
      <c r="E38" s="49"/>
      <c r="F38" s="51"/>
      <c r="G38" s="51">
        <v>1</v>
      </c>
      <c r="H38" s="51">
        <v>1</v>
      </c>
      <c r="I38" s="52">
        <v>1</v>
      </c>
      <c r="J38" s="52">
        <v>1</v>
      </c>
    </row>
    <row r="39" spans="1:10" x14ac:dyDescent="0.25">
      <c r="A39" s="49" t="s">
        <v>23</v>
      </c>
      <c r="B39" s="50" t="s">
        <v>28</v>
      </c>
      <c r="C39" s="51" t="s">
        <v>6</v>
      </c>
      <c r="D39" s="51" t="s">
        <v>7</v>
      </c>
      <c r="E39" s="49"/>
      <c r="F39" s="51"/>
      <c r="G39" s="51">
        <v>1</v>
      </c>
      <c r="H39" s="51">
        <v>1</v>
      </c>
      <c r="I39" s="52">
        <v>1</v>
      </c>
      <c r="J39" s="52">
        <v>1</v>
      </c>
    </row>
    <row r="40" spans="1:10" x14ac:dyDescent="0.25">
      <c r="A40" s="49" t="s">
        <v>23</v>
      </c>
      <c r="B40" s="50" t="s">
        <v>81</v>
      </c>
      <c r="C40" s="51" t="s">
        <v>6</v>
      </c>
      <c r="D40" s="51" t="s">
        <v>6</v>
      </c>
      <c r="E40" s="49"/>
      <c r="F40" s="51"/>
      <c r="G40" s="51">
        <v>4</v>
      </c>
      <c r="H40" s="51"/>
      <c r="I40" s="52">
        <v>4</v>
      </c>
      <c r="J40" s="52">
        <v>0</v>
      </c>
    </row>
    <row r="41" spans="1:10" x14ac:dyDescent="0.25">
      <c r="A41" s="49" t="s">
        <v>26</v>
      </c>
      <c r="B41" s="50" t="s">
        <v>24</v>
      </c>
      <c r="C41" s="51" t="s">
        <v>6</v>
      </c>
      <c r="D41" s="51" t="s">
        <v>7</v>
      </c>
      <c r="E41" s="49"/>
      <c r="F41" s="51"/>
      <c r="G41" s="51"/>
      <c r="H41" s="51"/>
      <c r="I41" s="52">
        <v>0</v>
      </c>
      <c r="J41" s="52">
        <v>0</v>
      </c>
    </row>
    <row r="42" spans="1:10" ht="15.75" thickBot="1" x14ac:dyDescent="0.3">
      <c r="A42" s="53">
        <v>209</v>
      </c>
      <c r="B42" s="54" t="s">
        <v>19</v>
      </c>
      <c r="C42" s="55" t="s">
        <v>6</v>
      </c>
      <c r="D42" s="55" t="s">
        <v>7</v>
      </c>
      <c r="E42" s="53"/>
      <c r="F42" s="55"/>
      <c r="G42" s="55"/>
      <c r="H42" s="55"/>
      <c r="I42" s="56">
        <v>0</v>
      </c>
      <c r="J42" s="56">
        <v>0</v>
      </c>
    </row>
    <row r="43" spans="1:10" x14ac:dyDescent="0.25">
      <c r="A43" s="48"/>
      <c r="E43" s="48"/>
      <c r="F43" s="48"/>
      <c r="G43" s="48"/>
      <c r="H43" s="48"/>
      <c r="I43" s="48"/>
      <c r="J43" s="48"/>
    </row>
    <row r="44" spans="1:10" x14ac:dyDescent="0.25">
      <c r="A44" s="48"/>
      <c r="E44" s="48"/>
      <c r="F44" s="48"/>
      <c r="G44" s="48"/>
      <c r="H44" s="48"/>
      <c r="I44" s="48"/>
      <c r="J44" s="48"/>
    </row>
    <row r="45" spans="1:10" x14ac:dyDescent="0.25">
      <c r="A45" s="48"/>
      <c r="E45" s="48"/>
      <c r="F45" s="48"/>
      <c r="G45" s="48"/>
      <c r="H45" s="48"/>
      <c r="I45" s="48"/>
      <c r="J45" s="48"/>
    </row>
    <row r="46" spans="1:10" x14ac:dyDescent="0.25">
      <c r="A46" s="48"/>
    </row>
    <row r="47" spans="1:10" x14ac:dyDescent="0.25">
      <c r="A47" s="48"/>
    </row>
    <row r="48" spans="1:10" x14ac:dyDescent="0.25">
      <c r="A48" s="48"/>
    </row>
    <row r="49" spans="1:10" x14ac:dyDescent="0.25">
      <c r="A49" s="48"/>
      <c r="E49" s="48"/>
      <c r="F49" s="48"/>
      <c r="G49" s="48"/>
      <c r="H49" s="48"/>
      <c r="I49" s="48"/>
      <c r="J49" s="48"/>
    </row>
    <row r="50" spans="1:10" x14ac:dyDescent="0.25">
      <c r="A50" s="48"/>
      <c r="E50" s="48"/>
      <c r="F50" s="48"/>
      <c r="G50" s="48"/>
      <c r="H50" s="48"/>
      <c r="I50" s="48"/>
      <c r="J50" s="48"/>
    </row>
    <row r="51" spans="1:10" x14ac:dyDescent="0.25">
      <c r="A51" s="48"/>
      <c r="E51" s="48"/>
      <c r="F51" s="48"/>
      <c r="G51" s="48"/>
      <c r="H51" s="48"/>
      <c r="I51" s="48"/>
      <c r="J51" s="48"/>
    </row>
    <row r="52" spans="1:10" x14ac:dyDescent="0.25">
      <c r="A52" s="48"/>
      <c r="E52" s="48"/>
      <c r="F52" s="48"/>
      <c r="G52" s="48"/>
      <c r="H52" s="48"/>
      <c r="I52" s="48"/>
      <c r="J52" s="48"/>
    </row>
    <row r="53" spans="1:10" x14ac:dyDescent="0.25">
      <c r="A53" s="48"/>
      <c r="E53" s="48"/>
      <c r="F53" s="48"/>
      <c r="G53" s="48"/>
      <c r="H53" s="48"/>
      <c r="I53" s="48"/>
      <c r="J53" s="48"/>
    </row>
    <row r="54" spans="1:10" x14ac:dyDescent="0.25">
      <c r="A54" s="48"/>
      <c r="E54" s="48"/>
      <c r="F54" s="48"/>
      <c r="G54" s="48"/>
      <c r="H54" s="48"/>
      <c r="I54" s="48"/>
      <c r="J54" s="48"/>
    </row>
    <row r="55" spans="1:10" x14ac:dyDescent="0.25">
      <c r="A55" s="48"/>
      <c r="E55" s="48"/>
      <c r="F55" s="48"/>
      <c r="G55" s="48"/>
      <c r="H55" s="48"/>
      <c r="I55" s="48"/>
      <c r="J55" s="48"/>
    </row>
    <row r="56" spans="1:10" x14ac:dyDescent="0.25">
      <c r="A56" s="48"/>
      <c r="E56" s="48"/>
      <c r="F56" s="48"/>
      <c r="G56" s="48"/>
      <c r="H56" s="48"/>
      <c r="I56" s="48"/>
      <c r="J56" s="48"/>
    </row>
    <row r="57" spans="1:10" x14ac:dyDescent="0.25">
      <c r="A57" s="48"/>
      <c r="E57" s="48"/>
      <c r="F57" s="48"/>
      <c r="G57" s="48"/>
      <c r="H57" s="48"/>
      <c r="I57" s="48"/>
      <c r="J57" s="48"/>
    </row>
    <row r="58" spans="1:10" x14ac:dyDescent="0.25">
      <c r="A58" s="48"/>
      <c r="E58" s="48"/>
      <c r="F58" s="48"/>
      <c r="G58" s="48"/>
      <c r="H58" s="48"/>
      <c r="I58" s="48"/>
      <c r="J58" s="48"/>
    </row>
    <row r="59" spans="1:10" x14ac:dyDescent="0.25">
      <c r="A59" s="48"/>
      <c r="E59" s="48"/>
      <c r="F59" s="48"/>
      <c r="G59" s="48"/>
      <c r="H59" s="48"/>
      <c r="I59" s="48"/>
      <c r="J59" s="48"/>
    </row>
    <row r="60" spans="1:10" x14ac:dyDescent="0.25">
      <c r="A60" s="48"/>
      <c r="E60" s="48"/>
      <c r="F60" s="48"/>
      <c r="G60" s="48"/>
      <c r="H60" s="48"/>
      <c r="I60" s="48"/>
      <c r="J60" s="48"/>
    </row>
    <row r="61" spans="1:10" x14ac:dyDescent="0.25">
      <c r="A61" s="48"/>
      <c r="E61" s="48"/>
      <c r="F61" s="48"/>
      <c r="G61" s="48"/>
      <c r="H61" s="48"/>
      <c r="I61" s="48"/>
      <c r="J61" s="48"/>
    </row>
    <row r="62" spans="1:10" x14ac:dyDescent="0.25">
      <c r="A62" s="48"/>
      <c r="E62" s="48"/>
      <c r="F62" s="48"/>
      <c r="G62" s="48"/>
      <c r="H62" s="48"/>
      <c r="I62" s="48"/>
      <c r="J62" s="48"/>
    </row>
    <row r="63" spans="1:10" x14ac:dyDescent="0.25">
      <c r="A63" s="48"/>
      <c r="E63" s="48"/>
      <c r="F63" s="48"/>
      <c r="G63" s="48"/>
      <c r="H63" s="48"/>
      <c r="I63" s="48"/>
      <c r="J63" s="48"/>
    </row>
    <row r="64" spans="1:10" x14ac:dyDescent="0.25">
      <c r="A64" s="48"/>
      <c r="E64" s="48"/>
      <c r="F64" s="48"/>
      <c r="G64" s="48"/>
      <c r="H64" s="48"/>
      <c r="I64" s="48"/>
      <c r="J64" s="48"/>
    </row>
    <row r="65" spans="1:10" x14ac:dyDescent="0.25">
      <c r="A65" s="48"/>
      <c r="E65" s="48"/>
      <c r="F65" s="48"/>
      <c r="G65" s="48"/>
      <c r="H65" s="48"/>
      <c r="I65" s="48"/>
      <c r="J65" s="48"/>
    </row>
    <row r="66" spans="1:10" x14ac:dyDescent="0.25">
      <c r="A66" s="48"/>
      <c r="E66" s="48"/>
      <c r="F66" s="48"/>
      <c r="G66" s="48"/>
      <c r="H66" s="48"/>
      <c r="I66" s="48"/>
      <c r="J66" s="48"/>
    </row>
    <row r="67" spans="1:10" x14ac:dyDescent="0.25">
      <c r="A67" s="48"/>
      <c r="E67" s="48"/>
      <c r="F67" s="48"/>
      <c r="G67" s="48"/>
      <c r="H67" s="48"/>
      <c r="I67" s="48"/>
      <c r="J67" s="48"/>
    </row>
    <row r="68" spans="1:10" x14ac:dyDescent="0.25">
      <c r="A68" s="48"/>
      <c r="E68" s="48"/>
      <c r="F68" s="48"/>
      <c r="G68" s="48"/>
      <c r="H68" s="48"/>
      <c r="I68" s="48"/>
      <c r="J68" s="48"/>
    </row>
    <row r="69" spans="1:10" x14ac:dyDescent="0.25">
      <c r="A69" s="48"/>
      <c r="E69" s="48"/>
      <c r="F69" s="48"/>
      <c r="G69" s="48"/>
      <c r="H69" s="48"/>
      <c r="I69" s="48"/>
      <c r="J69" s="48"/>
    </row>
    <row r="70" spans="1:10" x14ac:dyDescent="0.25">
      <c r="A70" s="48"/>
      <c r="E70" s="48"/>
      <c r="F70" s="48"/>
      <c r="G70" s="48"/>
      <c r="H70" s="48"/>
      <c r="I70" s="48"/>
      <c r="J70" s="48"/>
    </row>
    <row r="71" spans="1:10" x14ac:dyDescent="0.25">
      <c r="A71" s="48"/>
      <c r="E71" s="48"/>
      <c r="F71" s="48"/>
      <c r="G71" s="48"/>
      <c r="H71" s="48"/>
      <c r="I71" s="48"/>
      <c r="J71" s="48"/>
    </row>
    <row r="72" spans="1:10" x14ac:dyDescent="0.25">
      <c r="A72" s="48"/>
      <c r="E72" s="48"/>
      <c r="F72" s="48"/>
      <c r="G72" s="48"/>
      <c r="H72" s="48"/>
      <c r="I72" s="48"/>
      <c r="J72" s="48"/>
    </row>
    <row r="73" spans="1:10" x14ac:dyDescent="0.25">
      <c r="A73" s="48"/>
      <c r="E73" s="48"/>
      <c r="F73" s="48"/>
      <c r="G73" s="48"/>
      <c r="H73" s="48"/>
      <c r="I73" s="48"/>
      <c r="J73" s="48"/>
    </row>
    <row r="74" spans="1:10" x14ac:dyDescent="0.25">
      <c r="A74" s="48"/>
      <c r="E74" s="48"/>
      <c r="F74" s="48"/>
      <c r="G74" s="48"/>
      <c r="H74" s="48"/>
      <c r="I74" s="48"/>
      <c r="J74" s="48"/>
    </row>
    <row r="75" spans="1:10" x14ac:dyDescent="0.25">
      <c r="A75" s="48"/>
      <c r="E75" s="48"/>
      <c r="F75" s="48"/>
      <c r="G75" s="48"/>
      <c r="H75" s="48"/>
      <c r="I75" s="48"/>
      <c r="J75" s="48"/>
    </row>
    <row r="76" spans="1:10" x14ac:dyDescent="0.25">
      <c r="A76" s="48"/>
      <c r="E76" s="48"/>
      <c r="F76" s="48"/>
      <c r="G76" s="48"/>
      <c r="H76" s="48"/>
      <c r="I76" s="48"/>
      <c r="J76" s="48"/>
    </row>
    <row r="77" spans="1:10" x14ac:dyDescent="0.25">
      <c r="A77" s="48"/>
      <c r="E77" s="48"/>
      <c r="F77" s="48"/>
      <c r="G77" s="48"/>
      <c r="H77" s="48"/>
      <c r="I77" s="48"/>
      <c r="J77" s="48"/>
    </row>
    <row r="78" spans="1:10" x14ac:dyDescent="0.25">
      <c r="A78" s="48"/>
      <c r="E78" s="48"/>
      <c r="F78" s="48"/>
      <c r="G78" s="48"/>
      <c r="H78" s="48"/>
      <c r="I78" s="48"/>
      <c r="J78" s="48"/>
    </row>
  </sheetData>
  <autoFilter ref="A1:J42" xr:uid="{C9C8ACE1-9A99-4B29-ADB6-FA3DBBE2CC79}"/>
  <conditionalFormatting sqref="C107:C1048576 C15:C42 C3:C13">
    <cfRule type="cellIs" dxfId="5" priority="6" operator="equal">
      <formula>"כן"</formula>
    </cfRule>
  </conditionalFormatting>
  <conditionalFormatting sqref="C2">
    <cfRule type="cellIs" dxfId="4" priority="5" operator="equal">
      <formula>"כן"</formula>
    </cfRule>
  </conditionalFormatting>
  <conditionalFormatting sqref="C14">
    <cfRule type="cellIs" dxfId="3" priority="4" operator="equal">
      <formula>"כן"</formula>
    </cfRule>
  </conditionalFormatting>
  <conditionalFormatting sqref="D107:D1048576 D15:D42 D3:D13">
    <cfRule type="cellIs" dxfId="2" priority="3" operator="equal">
      <formula>"לא"</formula>
    </cfRule>
  </conditionalFormatting>
  <conditionalFormatting sqref="D2">
    <cfRule type="cellIs" dxfId="1" priority="2" operator="equal">
      <formula>"לא"</formula>
    </cfRule>
  </conditionalFormatting>
  <conditionalFormatting sqref="D14">
    <cfRule type="cellIs" dxfId="0" priority="1" operator="equal">
      <formula>"לא"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40254-A478-4B34-81CA-19A42D299827}">
  <dimension ref="B1:K36"/>
  <sheetViews>
    <sheetView rightToLeft="1" zoomScale="136" zoomScaleNormal="136" zoomScalePageLayoutView="130" workbookViewId="0"/>
  </sheetViews>
  <sheetFormatPr defaultRowHeight="15" x14ac:dyDescent="0.25"/>
  <cols>
    <col min="1" max="1" width="5.42578125" customWidth="1"/>
    <col min="2" max="2" width="10.7109375" bestFit="1" customWidth="1"/>
    <col min="3" max="3" width="10.85546875" bestFit="1" customWidth="1"/>
    <col min="4" max="5" width="11.7109375" bestFit="1" customWidth="1"/>
    <col min="6" max="6" width="12.140625" customWidth="1"/>
    <col min="10" max="10" width="12.28515625" customWidth="1"/>
  </cols>
  <sheetData>
    <row r="1" spans="2:11" ht="15.75" thickBot="1" x14ac:dyDescent="0.3"/>
    <row r="2" spans="2:11" ht="15.75" thickBot="1" x14ac:dyDescent="0.3">
      <c r="B2" s="14"/>
      <c r="C2" s="15">
        <v>1</v>
      </c>
      <c r="D2" s="15">
        <v>2</v>
      </c>
      <c r="E2" s="15">
        <v>3</v>
      </c>
      <c r="F2" s="15">
        <v>4</v>
      </c>
      <c r="G2" s="15">
        <v>5</v>
      </c>
      <c r="H2" s="15">
        <v>6</v>
      </c>
      <c r="I2" s="16">
        <v>7</v>
      </c>
    </row>
    <row r="3" spans="2:11" x14ac:dyDescent="0.25">
      <c r="B3" s="13" t="s">
        <v>37</v>
      </c>
      <c r="C3" s="22">
        <v>2</v>
      </c>
      <c r="D3" s="22">
        <v>2</v>
      </c>
      <c r="E3" s="22">
        <v>3</v>
      </c>
      <c r="F3" s="159">
        <v>3</v>
      </c>
      <c r="G3" s="160"/>
      <c r="H3" s="160"/>
      <c r="I3" s="161"/>
    </row>
    <row r="4" spans="2:11" x14ac:dyDescent="0.25">
      <c r="B4" s="5" t="s">
        <v>34</v>
      </c>
      <c r="C4" s="9" t="s">
        <v>117</v>
      </c>
      <c r="D4" s="10" t="s">
        <v>115</v>
      </c>
      <c r="E4" s="9" t="s">
        <v>98</v>
      </c>
      <c r="F4" s="141" t="s">
        <v>126</v>
      </c>
      <c r="G4" s="142"/>
      <c r="H4" s="142"/>
      <c r="I4" s="143"/>
      <c r="J4" s="1" t="s">
        <v>130</v>
      </c>
      <c r="K4" s="1"/>
    </row>
    <row r="5" spans="2:11" x14ac:dyDescent="0.25">
      <c r="B5" s="5" t="s">
        <v>35</v>
      </c>
      <c r="C5" s="10" t="s">
        <v>121</v>
      </c>
      <c r="D5" s="10" t="s">
        <v>116</v>
      </c>
      <c r="E5" s="9" t="s">
        <v>120</v>
      </c>
      <c r="F5" s="156" t="s">
        <v>127</v>
      </c>
      <c r="G5" s="157"/>
      <c r="H5" s="157"/>
      <c r="I5" s="158"/>
      <c r="J5" s="19" t="s">
        <v>131</v>
      </c>
      <c r="K5" s="1"/>
    </row>
    <row r="6" spans="2:11" x14ac:dyDescent="0.25">
      <c r="B6" s="5" t="s">
        <v>36</v>
      </c>
      <c r="C6" s="10" t="s">
        <v>111</v>
      </c>
      <c r="D6" s="9" t="s">
        <v>124</v>
      </c>
      <c r="E6" s="10" t="s">
        <v>133</v>
      </c>
      <c r="F6" s="148" t="s">
        <v>128</v>
      </c>
      <c r="G6" s="149"/>
      <c r="H6" s="149"/>
      <c r="I6" s="150"/>
      <c r="J6" t="s">
        <v>121</v>
      </c>
    </row>
    <row r="7" spans="2:11" x14ac:dyDescent="0.25">
      <c r="B7" s="11" t="s">
        <v>94</v>
      </c>
      <c r="C7" s="9" t="s">
        <v>96</v>
      </c>
      <c r="D7" s="9" t="s">
        <v>97</v>
      </c>
      <c r="E7" s="9" t="s">
        <v>99</v>
      </c>
      <c r="F7" s="153" t="s">
        <v>106</v>
      </c>
      <c r="G7" s="154"/>
      <c r="H7" s="154"/>
      <c r="I7" s="155"/>
      <c r="J7" s="1" t="s">
        <v>127</v>
      </c>
      <c r="K7" s="1"/>
    </row>
    <row r="8" spans="2:11" ht="15.75" thickBot="1" x14ac:dyDescent="0.3">
      <c r="B8" s="17" t="s">
        <v>93</v>
      </c>
      <c r="C8" s="18" t="str">
        <f t="shared" ref="C8:E8" si="0">"-"</f>
        <v>-</v>
      </c>
      <c r="D8" s="18" t="str">
        <f t="shared" si="0"/>
        <v>-</v>
      </c>
      <c r="E8" s="18" t="str">
        <f t="shared" si="0"/>
        <v>-</v>
      </c>
      <c r="F8" s="138" t="s">
        <v>101</v>
      </c>
      <c r="G8" s="139"/>
      <c r="H8" s="139"/>
      <c r="I8" s="140"/>
      <c r="J8" s="7" t="s">
        <v>127</v>
      </c>
      <c r="K8" s="1"/>
    </row>
    <row r="9" spans="2:11" x14ac:dyDescent="0.25">
      <c r="B9" s="6"/>
      <c r="C9" s="22">
        <f>C2+7</f>
        <v>8</v>
      </c>
      <c r="D9" s="22">
        <f t="shared" ref="D9:I9" si="1">D2+7</f>
        <v>9</v>
      </c>
      <c r="E9" s="22">
        <f t="shared" si="1"/>
        <v>10</v>
      </c>
      <c r="F9" s="22">
        <f t="shared" si="1"/>
        <v>11</v>
      </c>
      <c r="G9" s="22">
        <f t="shared" si="1"/>
        <v>12</v>
      </c>
      <c r="H9" s="22">
        <f t="shared" si="1"/>
        <v>13</v>
      </c>
      <c r="I9" s="23">
        <f t="shared" si="1"/>
        <v>14</v>
      </c>
    </row>
    <row r="10" spans="2:11" x14ac:dyDescent="0.25">
      <c r="B10" s="11" t="s">
        <v>37</v>
      </c>
      <c r="C10" s="9">
        <v>2</v>
      </c>
      <c r="D10" s="9">
        <v>3</v>
      </c>
      <c r="E10" s="9">
        <v>3</v>
      </c>
      <c r="F10" s="141">
        <v>2</v>
      </c>
      <c r="G10" s="142"/>
      <c r="H10" s="142"/>
      <c r="I10" s="143"/>
    </row>
    <row r="11" spans="2:11" x14ac:dyDescent="0.25">
      <c r="B11" s="11" t="s">
        <v>34</v>
      </c>
      <c r="C11" s="9" t="s">
        <v>137</v>
      </c>
      <c r="D11" s="24" t="s">
        <v>124</v>
      </c>
      <c r="E11" s="9" t="s">
        <v>116</v>
      </c>
      <c r="F11" s="148" t="s">
        <v>98</v>
      </c>
      <c r="G11" s="149"/>
      <c r="H11" s="149"/>
      <c r="I11" s="150"/>
      <c r="J11" s="8" t="s">
        <v>120</v>
      </c>
    </row>
    <row r="12" spans="2:11" x14ac:dyDescent="0.25">
      <c r="B12" s="11" t="s">
        <v>35</v>
      </c>
      <c r="C12" s="10" t="s">
        <v>123</v>
      </c>
      <c r="D12" s="10" t="s">
        <v>118</v>
      </c>
      <c r="E12" s="9" t="s">
        <v>139</v>
      </c>
      <c r="F12" s="148" t="s">
        <v>117</v>
      </c>
      <c r="G12" s="149"/>
      <c r="H12" s="149"/>
      <c r="I12" s="150"/>
      <c r="J12" s="8" t="s">
        <v>123</v>
      </c>
      <c r="K12" s="8"/>
    </row>
    <row r="13" spans="2:11" x14ac:dyDescent="0.25">
      <c r="B13" s="11" t="s">
        <v>36</v>
      </c>
      <c r="C13" s="10" t="s">
        <v>115</v>
      </c>
      <c r="D13" s="9" t="s">
        <v>138</v>
      </c>
      <c r="E13" s="10" t="s">
        <v>112</v>
      </c>
      <c r="F13" s="148" t="s">
        <v>129</v>
      </c>
      <c r="G13" s="149"/>
      <c r="H13" s="149"/>
      <c r="I13" s="150"/>
      <c r="J13" s="8" t="s">
        <v>122</v>
      </c>
      <c r="K13" s="7"/>
    </row>
    <row r="14" spans="2:11" x14ac:dyDescent="0.25">
      <c r="B14" s="11" t="s">
        <v>94</v>
      </c>
      <c r="C14" s="25" t="s">
        <v>99</v>
      </c>
      <c r="D14" s="25" t="s">
        <v>97</v>
      </c>
      <c r="E14" s="25" t="s">
        <v>100</v>
      </c>
      <c r="F14" s="141" t="s">
        <v>96</v>
      </c>
      <c r="G14" s="142"/>
      <c r="H14" s="142"/>
      <c r="I14" s="143"/>
      <c r="J14" s="1" t="s">
        <v>97</v>
      </c>
      <c r="K14" s="7"/>
    </row>
    <row r="15" spans="2:11" ht="15.75" thickBot="1" x14ac:dyDescent="0.3">
      <c r="B15" s="17" t="s">
        <v>93</v>
      </c>
      <c r="C15" s="12" t="s">
        <v>95</v>
      </c>
      <c r="D15" s="12" t="s">
        <v>95</v>
      </c>
      <c r="E15" s="12" t="s">
        <v>95</v>
      </c>
      <c r="F15" s="144" t="s">
        <v>103</v>
      </c>
      <c r="G15" s="145"/>
      <c r="H15" s="145"/>
      <c r="I15" s="146"/>
      <c r="J15" s="7" t="s">
        <v>129</v>
      </c>
      <c r="K15" s="1"/>
    </row>
    <row r="16" spans="2:11" x14ac:dyDescent="0.25">
      <c r="B16" s="6"/>
      <c r="C16" s="22">
        <f>C9+7</f>
        <v>15</v>
      </c>
      <c r="D16" s="22">
        <f t="shared" ref="D16:I16" si="2">D9+7</f>
        <v>16</v>
      </c>
      <c r="E16" s="22">
        <f t="shared" si="2"/>
        <v>17</v>
      </c>
      <c r="F16" s="22">
        <f t="shared" si="2"/>
        <v>18</v>
      </c>
      <c r="G16" s="26">
        <f t="shared" si="2"/>
        <v>19</v>
      </c>
      <c r="H16" s="26">
        <f t="shared" si="2"/>
        <v>20</v>
      </c>
      <c r="I16" s="27">
        <f t="shared" si="2"/>
        <v>21</v>
      </c>
    </row>
    <row r="17" spans="2:11" x14ac:dyDescent="0.25">
      <c r="B17" s="11" t="s">
        <v>37</v>
      </c>
      <c r="C17" s="9">
        <v>2</v>
      </c>
      <c r="D17" s="9">
        <v>2</v>
      </c>
      <c r="E17" s="9">
        <v>3</v>
      </c>
      <c r="F17" s="21">
        <v>3</v>
      </c>
      <c r="G17" s="137">
        <v>3</v>
      </c>
      <c r="H17" s="137"/>
      <c r="I17" s="147"/>
    </row>
    <row r="18" spans="2:11" x14ac:dyDescent="0.25">
      <c r="B18" s="11" t="s">
        <v>34</v>
      </c>
      <c r="C18" s="9" t="s">
        <v>134</v>
      </c>
      <c r="D18" s="20" t="s">
        <v>124</v>
      </c>
      <c r="E18" s="9" t="s">
        <v>137</v>
      </c>
      <c r="F18" s="10" t="s">
        <v>113</v>
      </c>
      <c r="G18" s="148" t="s">
        <v>113</v>
      </c>
      <c r="H18" s="149"/>
      <c r="I18" s="150"/>
    </row>
    <row r="19" spans="2:11" x14ac:dyDescent="0.25">
      <c r="B19" s="11" t="s">
        <v>35</v>
      </c>
      <c r="C19" s="20" t="s">
        <v>116</v>
      </c>
      <c r="D19" s="10" t="s">
        <v>123</v>
      </c>
      <c r="E19" s="21" t="s">
        <v>139</v>
      </c>
      <c r="F19" s="9" t="s">
        <v>138</v>
      </c>
      <c r="G19" s="137" t="s">
        <v>119</v>
      </c>
      <c r="H19" s="137"/>
      <c r="I19" s="147"/>
      <c r="J19" s="1"/>
    </row>
    <row r="20" spans="2:11" x14ac:dyDescent="0.25">
      <c r="B20" s="11" t="s">
        <v>36</v>
      </c>
      <c r="C20" s="10" t="s">
        <v>121</v>
      </c>
      <c r="D20" s="21" t="s">
        <v>120</v>
      </c>
      <c r="E20" s="10" t="s">
        <v>140</v>
      </c>
      <c r="F20" s="9" t="s">
        <v>134</v>
      </c>
      <c r="G20" s="151" t="s">
        <v>125</v>
      </c>
      <c r="H20" s="151"/>
      <c r="I20" s="152"/>
    </row>
    <row r="21" spans="2:11" x14ac:dyDescent="0.25">
      <c r="B21" s="11" t="s">
        <v>94</v>
      </c>
      <c r="C21" s="9" t="s">
        <v>107</v>
      </c>
      <c r="D21" s="25" t="s">
        <v>100</v>
      </c>
      <c r="E21" s="9" t="s">
        <v>130</v>
      </c>
      <c r="F21" s="21" t="s">
        <v>99</v>
      </c>
      <c r="G21" s="137" t="s">
        <v>107</v>
      </c>
      <c r="H21" s="137"/>
      <c r="I21" s="147"/>
    </row>
    <row r="22" spans="2:11" ht="15.75" thickBot="1" x14ac:dyDescent="0.3">
      <c r="B22" s="17" t="s">
        <v>93</v>
      </c>
      <c r="C22" s="12" t="s">
        <v>95</v>
      </c>
      <c r="D22" s="12" t="s">
        <v>95</v>
      </c>
      <c r="E22" s="12" t="s">
        <v>95</v>
      </c>
      <c r="F22" s="12" t="s">
        <v>95</v>
      </c>
      <c r="G22" s="144" t="s">
        <v>105</v>
      </c>
      <c r="H22" s="145"/>
      <c r="I22" s="146"/>
      <c r="J22" s="7"/>
      <c r="K22" s="1"/>
    </row>
    <row r="23" spans="2:11" x14ac:dyDescent="0.25">
      <c r="B23" s="6"/>
      <c r="C23" s="22">
        <f t="shared" ref="C23:I23" si="3">C16+7</f>
        <v>22</v>
      </c>
      <c r="D23" s="22">
        <f t="shared" si="3"/>
        <v>23</v>
      </c>
      <c r="E23" s="22">
        <f t="shared" si="3"/>
        <v>24</v>
      </c>
      <c r="F23" s="22">
        <f t="shared" si="3"/>
        <v>25</v>
      </c>
      <c r="G23" s="26">
        <f t="shared" si="3"/>
        <v>26</v>
      </c>
      <c r="H23" s="26">
        <f t="shared" si="3"/>
        <v>27</v>
      </c>
      <c r="I23" s="27">
        <f t="shared" si="3"/>
        <v>28</v>
      </c>
    </row>
    <row r="24" spans="2:11" x14ac:dyDescent="0.25">
      <c r="B24" s="11" t="s">
        <v>37</v>
      </c>
      <c r="C24" s="9">
        <v>2</v>
      </c>
      <c r="D24" s="9">
        <v>2</v>
      </c>
      <c r="E24" s="9">
        <v>3</v>
      </c>
      <c r="F24" s="21">
        <v>3</v>
      </c>
      <c r="G24" s="137">
        <v>2</v>
      </c>
      <c r="H24" s="137"/>
      <c r="I24" s="147"/>
    </row>
    <row r="25" spans="2:11" x14ac:dyDescent="0.25">
      <c r="B25" s="11" t="s">
        <v>34</v>
      </c>
      <c r="C25" s="20" t="s">
        <v>131</v>
      </c>
      <c r="D25" s="20" t="s">
        <v>123</v>
      </c>
      <c r="E25" s="9" t="s">
        <v>137</v>
      </c>
      <c r="F25" s="20" t="s">
        <v>131</v>
      </c>
      <c r="G25" s="151" t="s">
        <v>114</v>
      </c>
      <c r="H25" s="137"/>
      <c r="I25" s="147"/>
    </row>
    <row r="26" spans="2:11" x14ac:dyDescent="0.25">
      <c r="B26" s="11" t="s">
        <v>35</v>
      </c>
      <c r="C26" s="20" t="s">
        <v>127</v>
      </c>
      <c r="D26" s="21" t="s">
        <v>140</v>
      </c>
      <c r="E26" s="10" t="s">
        <v>136</v>
      </c>
      <c r="F26" s="20" t="s">
        <v>122</v>
      </c>
      <c r="G26" s="151" t="s">
        <v>111</v>
      </c>
      <c r="H26" s="151"/>
      <c r="I26" s="152"/>
    </row>
    <row r="27" spans="2:11" x14ac:dyDescent="0.25">
      <c r="B27" s="11" t="s">
        <v>36</v>
      </c>
      <c r="C27" s="9" t="s">
        <v>118</v>
      </c>
      <c r="D27" s="10" t="s">
        <v>121</v>
      </c>
      <c r="E27" s="9" t="s">
        <v>134</v>
      </c>
      <c r="F27" s="21" t="s">
        <v>124</v>
      </c>
      <c r="G27" s="151" t="s">
        <v>112</v>
      </c>
      <c r="H27" s="151"/>
      <c r="I27" s="152"/>
    </row>
    <row r="28" spans="2:11" x14ac:dyDescent="0.25">
      <c r="B28" s="11" t="s">
        <v>94</v>
      </c>
      <c r="C28" s="9" t="s">
        <v>102</v>
      </c>
      <c r="D28" s="21" t="s">
        <v>135</v>
      </c>
      <c r="E28" s="9" t="s">
        <v>130</v>
      </c>
      <c r="F28" s="21" t="s">
        <v>100</v>
      </c>
      <c r="G28" s="137" t="s">
        <v>102</v>
      </c>
      <c r="H28" s="137"/>
      <c r="I28" s="147"/>
    </row>
    <row r="29" spans="2:11" ht="15.75" thickBot="1" x14ac:dyDescent="0.3">
      <c r="B29" s="17" t="s">
        <v>93</v>
      </c>
      <c r="C29" s="12" t="s">
        <v>95</v>
      </c>
      <c r="D29" s="12" t="s">
        <v>95</v>
      </c>
      <c r="E29" s="12" t="s">
        <v>95</v>
      </c>
      <c r="F29" s="12" t="s">
        <v>105</v>
      </c>
      <c r="G29" s="137" t="s">
        <v>104</v>
      </c>
      <c r="H29" s="137"/>
      <c r="I29" s="147"/>
      <c r="J29" s="7"/>
    </row>
    <row r="30" spans="2:11" x14ac:dyDescent="0.25">
      <c r="B30" s="6"/>
      <c r="C30" s="22">
        <f>C23+7</f>
        <v>29</v>
      </c>
      <c r="D30" s="22">
        <f t="shared" ref="D30:E30" si="4">D23+7</f>
        <v>30</v>
      </c>
      <c r="E30" s="22">
        <f t="shared" si="4"/>
        <v>31</v>
      </c>
      <c r="F30" s="22">
        <v>1</v>
      </c>
      <c r="G30" s="22">
        <v>2</v>
      </c>
      <c r="H30" s="22">
        <v>3</v>
      </c>
      <c r="I30" s="23">
        <v>4</v>
      </c>
    </row>
    <row r="31" spans="2:11" x14ac:dyDescent="0.25">
      <c r="B31" s="11" t="s">
        <v>37</v>
      </c>
      <c r="C31" s="9">
        <v>2</v>
      </c>
      <c r="D31" s="9">
        <v>2</v>
      </c>
      <c r="E31" s="9">
        <v>3</v>
      </c>
      <c r="F31" s="21">
        <v>3</v>
      </c>
      <c r="G31" s="137">
        <v>3</v>
      </c>
      <c r="H31" s="137"/>
      <c r="I31" s="147"/>
    </row>
    <row r="32" spans="2:11" x14ac:dyDescent="0.25">
      <c r="B32" s="11" t="s">
        <v>34</v>
      </c>
      <c r="C32" s="10" t="s">
        <v>139</v>
      </c>
      <c r="D32" s="10" t="s">
        <v>118</v>
      </c>
      <c r="E32" s="20" t="s">
        <v>114</v>
      </c>
      <c r="F32" s="20" t="s">
        <v>113</v>
      </c>
      <c r="G32" s="137" t="s">
        <v>122</v>
      </c>
      <c r="H32" s="137"/>
      <c r="I32" s="147"/>
    </row>
    <row r="33" spans="2:10" x14ac:dyDescent="0.25">
      <c r="B33" s="11" t="s">
        <v>35</v>
      </c>
      <c r="C33" s="10" t="s">
        <v>122</v>
      </c>
      <c r="D33" s="21" t="s">
        <v>140</v>
      </c>
      <c r="E33" s="21" t="s">
        <v>125</v>
      </c>
      <c r="F33" s="9" t="s">
        <v>138</v>
      </c>
      <c r="G33" s="151" t="s">
        <v>136</v>
      </c>
      <c r="H33" s="137"/>
      <c r="I33" s="147"/>
    </row>
    <row r="34" spans="2:10" x14ac:dyDescent="0.25">
      <c r="B34" s="11" t="s">
        <v>36</v>
      </c>
      <c r="C34" s="21" t="s">
        <v>134</v>
      </c>
      <c r="D34" s="10" t="s">
        <v>121</v>
      </c>
      <c r="E34" s="9" t="s">
        <v>129</v>
      </c>
      <c r="F34" s="21" t="s">
        <v>139</v>
      </c>
      <c r="G34" s="151" t="s">
        <v>133</v>
      </c>
      <c r="H34" s="151"/>
      <c r="I34" s="152"/>
      <c r="J34" s="1"/>
    </row>
    <row r="35" spans="2:10" x14ac:dyDescent="0.25">
      <c r="B35" s="11" t="s">
        <v>94</v>
      </c>
      <c r="C35" s="9" t="s">
        <v>99</v>
      </c>
      <c r="D35" s="9" t="s">
        <v>130</v>
      </c>
      <c r="E35" s="25" t="s">
        <v>100</v>
      </c>
      <c r="F35" s="21" t="s">
        <v>104</v>
      </c>
      <c r="G35" s="137" t="s">
        <v>135</v>
      </c>
      <c r="H35" s="137"/>
      <c r="I35" s="147"/>
    </row>
    <row r="36" spans="2:10" ht="15.75" thickBot="1" x14ac:dyDescent="0.3">
      <c r="B36" s="17" t="s">
        <v>93</v>
      </c>
      <c r="C36" s="12" t="s">
        <v>95</v>
      </c>
      <c r="D36" s="12" t="s">
        <v>95</v>
      </c>
      <c r="E36" s="12" t="s">
        <v>95</v>
      </c>
      <c r="F36" s="12" t="s">
        <v>95</v>
      </c>
      <c r="G36" s="144" t="s">
        <v>97</v>
      </c>
      <c r="H36" s="145"/>
      <c r="I36" s="146"/>
      <c r="J36" s="7"/>
    </row>
  </sheetData>
  <mergeCells count="30">
    <mergeCell ref="G20:I20"/>
    <mergeCell ref="G32:I32"/>
    <mergeCell ref="G33:I33"/>
    <mergeCell ref="G35:I35"/>
    <mergeCell ref="G24:I24"/>
    <mergeCell ref="G25:I25"/>
    <mergeCell ref="G26:I26"/>
    <mergeCell ref="G27:I27"/>
    <mergeCell ref="G31:I31"/>
    <mergeCell ref="F7:I7"/>
    <mergeCell ref="F6:I6"/>
    <mergeCell ref="F5:I5"/>
    <mergeCell ref="F4:I4"/>
    <mergeCell ref="F3:I3"/>
    <mergeCell ref="F8:I8"/>
    <mergeCell ref="F14:I14"/>
    <mergeCell ref="G36:I36"/>
    <mergeCell ref="G29:I29"/>
    <mergeCell ref="G22:I22"/>
    <mergeCell ref="G21:I21"/>
    <mergeCell ref="F10:I10"/>
    <mergeCell ref="F11:I11"/>
    <mergeCell ref="F12:I12"/>
    <mergeCell ref="F13:I13"/>
    <mergeCell ref="G17:I17"/>
    <mergeCell ref="G18:I18"/>
    <mergeCell ref="G19:I19"/>
    <mergeCell ref="G34:I34"/>
    <mergeCell ref="F15:I15"/>
    <mergeCell ref="G28:I28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DD959-AEA6-4F4E-87E5-B7CF55E94943}">
  <dimension ref="B1:I37"/>
  <sheetViews>
    <sheetView rightToLeft="1" zoomScale="130" zoomScaleNormal="130" workbookViewId="0">
      <selection activeCell="G37" sqref="G37:I37"/>
    </sheetView>
  </sheetViews>
  <sheetFormatPr defaultRowHeight="15" x14ac:dyDescent="0.25"/>
  <cols>
    <col min="1" max="1" width="3" style="28" customWidth="1"/>
    <col min="2" max="16384" width="9.140625" style="28"/>
  </cols>
  <sheetData>
    <row r="1" spans="2:9" ht="15.75" thickBot="1" x14ac:dyDescent="0.3"/>
    <row r="2" spans="2:9" x14ac:dyDescent="0.25">
      <c r="B2" s="29"/>
      <c r="C2" s="30"/>
      <c r="D2" s="30"/>
      <c r="E2" s="30"/>
      <c r="F2" s="30">
        <v>1</v>
      </c>
      <c r="G2" s="30">
        <f t="shared" ref="G2" si="0">F2+1</f>
        <v>2</v>
      </c>
      <c r="H2" s="30">
        <v>1</v>
      </c>
      <c r="I2" s="31">
        <f t="shared" ref="I2" si="1">H2+1</f>
        <v>2</v>
      </c>
    </row>
    <row r="3" spans="2:9" x14ac:dyDescent="0.25">
      <c r="B3" s="32" t="s">
        <v>37</v>
      </c>
      <c r="C3" s="33"/>
      <c r="D3" s="33"/>
      <c r="E3" s="33"/>
      <c r="F3" s="34">
        <v>3</v>
      </c>
      <c r="G3" s="162">
        <v>3</v>
      </c>
      <c r="H3" s="162"/>
      <c r="I3" s="163"/>
    </row>
    <row r="4" spans="2:9" x14ac:dyDescent="0.25">
      <c r="B4" s="32" t="s">
        <v>34</v>
      </c>
      <c r="C4" s="35"/>
      <c r="D4" s="35"/>
      <c r="E4" s="36"/>
      <c r="F4" s="36" t="s">
        <v>113</v>
      </c>
      <c r="G4" s="162" t="s">
        <v>125</v>
      </c>
      <c r="H4" s="162"/>
      <c r="I4" s="163"/>
    </row>
    <row r="5" spans="2:9" x14ac:dyDescent="0.25">
      <c r="B5" s="32" t="s">
        <v>35</v>
      </c>
      <c r="C5" s="35"/>
      <c r="D5" s="34"/>
      <c r="E5" s="34"/>
      <c r="F5" s="33" t="s">
        <v>138</v>
      </c>
      <c r="G5" s="162" t="s">
        <v>118</v>
      </c>
      <c r="H5" s="162"/>
      <c r="I5" s="163"/>
    </row>
    <row r="6" spans="2:9" x14ac:dyDescent="0.25">
      <c r="B6" s="32" t="s">
        <v>36</v>
      </c>
      <c r="C6" s="34"/>
      <c r="D6" s="35"/>
      <c r="E6" s="33"/>
      <c r="F6" s="34" t="s">
        <v>139</v>
      </c>
      <c r="G6" s="164" t="s">
        <v>136</v>
      </c>
      <c r="H6" s="164"/>
      <c r="I6" s="165"/>
    </row>
    <row r="7" spans="2:9" ht="15.75" thickBot="1" x14ac:dyDescent="0.3">
      <c r="B7" s="32" t="s">
        <v>156</v>
      </c>
      <c r="C7" s="33"/>
      <c r="D7" s="33"/>
      <c r="E7" s="37"/>
      <c r="F7" s="34" t="s">
        <v>148</v>
      </c>
      <c r="G7" s="166" t="s">
        <v>96</v>
      </c>
      <c r="H7" s="166"/>
      <c r="I7" s="167"/>
    </row>
    <row r="8" spans="2:9" x14ac:dyDescent="0.25">
      <c r="B8" s="29"/>
      <c r="C8" s="30">
        <v>3</v>
      </c>
      <c r="D8" s="30">
        <f>C8+1</f>
        <v>4</v>
      </c>
      <c r="E8" s="30">
        <f t="shared" ref="E8:I8" si="2">D8+1</f>
        <v>5</v>
      </c>
      <c r="F8" s="30">
        <f t="shared" si="2"/>
        <v>6</v>
      </c>
      <c r="G8" s="30">
        <f t="shared" si="2"/>
        <v>7</v>
      </c>
      <c r="H8" s="30">
        <f t="shared" si="2"/>
        <v>8</v>
      </c>
      <c r="I8" s="31">
        <f t="shared" si="2"/>
        <v>9</v>
      </c>
    </row>
    <row r="9" spans="2:9" x14ac:dyDescent="0.25">
      <c r="B9" s="32" t="s">
        <v>37</v>
      </c>
      <c r="C9" s="33">
        <v>2</v>
      </c>
      <c r="D9" s="33">
        <v>2</v>
      </c>
      <c r="E9" s="33">
        <v>3</v>
      </c>
      <c r="F9" s="34">
        <v>3</v>
      </c>
      <c r="G9" s="162">
        <v>2</v>
      </c>
      <c r="H9" s="162"/>
      <c r="I9" s="163"/>
    </row>
    <row r="10" spans="2:9" x14ac:dyDescent="0.25">
      <c r="B10" s="32" t="s">
        <v>34</v>
      </c>
      <c r="C10" s="35"/>
      <c r="D10" s="35"/>
      <c r="E10" s="36"/>
      <c r="F10" s="36"/>
      <c r="G10" s="164"/>
      <c r="H10" s="164"/>
      <c r="I10" s="165"/>
    </row>
    <row r="11" spans="2:9" x14ac:dyDescent="0.25">
      <c r="B11" s="32" t="s">
        <v>35</v>
      </c>
      <c r="C11" s="35"/>
      <c r="D11" s="34"/>
      <c r="E11" s="34"/>
      <c r="F11" s="33"/>
      <c r="G11" s="164"/>
      <c r="H11" s="164"/>
      <c r="I11" s="165"/>
    </row>
    <row r="12" spans="2:9" x14ac:dyDescent="0.25">
      <c r="B12" s="32" t="s">
        <v>36</v>
      </c>
      <c r="C12" s="34"/>
      <c r="D12" s="35"/>
      <c r="E12" s="33"/>
      <c r="F12" s="34"/>
      <c r="G12" s="162"/>
      <c r="H12" s="162"/>
      <c r="I12" s="163"/>
    </row>
    <row r="13" spans="2:9" ht="15.75" thickBot="1" x14ac:dyDescent="0.3">
      <c r="B13" s="32" t="s">
        <v>156</v>
      </c>
      <c r="C13" s="33"/>
      <c r="D13" s="33"/>
      <c r="E13" s="37"/>
      <c r="F13" s="34"/>
      <c r="G13" s="162"/>
      <c r="H13" s="162"/>
      <c r="I13" s="163"/>
    </row>
    <row r="14" spans="2:9" x14ac:dyDescent="0.25">
      <c r="B14" s="29"/>
      <c r="C14" s="30">
        <f>C8+7</f>
        <v>10</v>
      </c>
      <c r="D14" s="30">
        <f>C14+1</f>
        <v>11</v>
      </c>
      <c r="E14" s="30">
        <f t="shared" ref="E14:H14" si="3">D14+1</f>
        <v>12</v>
      </c>
      <c r="F14" s="30">
        <f t="shared" si="3"/>
        <v>13</v>
      </c>
      <c r="G14" s="30">
        <f t="shared" si="3"/>
        <v>14</v>
      </c>
      <c r="H14" s="30">
        <f t="shared" si="3"/>
        <v>15</v>
      </c>
      <c r="I14" s="31">
        <f>H14+1</f>
        <v>16</v>
      </c>
    </row>
    <row r="15" spans="2:9" x14ac:dyDescent="0.25">
      <c r="B15" s="32" t="s">
        <v>37</v>
      </c>
      <c r="C15" s="33">
        <v>2</v>
      </c>
      <c r="D15" s="33">
        <v>2</v>
      </c>
      <c r="E15" s="33">
        <v>3</v>
      </c>
      <c r="F15" s="34">
        <v>3</v>
      </c>
      <c r="G15" s="162">
        <v>3</v>
      </c>
      <c r="H15" s="162"/>
      <c r="I15" s="163"/>
    </row>
    <row r="16" spans="2:9" x14ac:dyDescent="0.25">
      <c r="B16" s="32" t="s">
        <v>34</v>
      </c>
      <c r="C16" s="35"/>
      <c r="D16" s="35"/>
      <c r="E16" s="36"/>
      <c r="F16" s="36"/>
      <c r="G16" s="162"/>
      <c r="H16" s="162"/>
      <c r="I16" s="163"/>
    </row>
    <row r="17" spans="2:9" x14ac:dyDescent="0.25">
      <c r="B17" s="32" t="s">
        <v>35</v>
      </c>
      <c r="C17" s="35"/>
      <c r="D17" s="34"/>
      <c r="E17" s="34"/>
      <c r="F17" s="33"/>
      <c r="G17" s="162"/>
      <c r="H17" s="162"/>
      <c r="I17" s="163"/>
    </row>
    <row r="18" spans="2:9" x14ac:dyDescent="0.25">
      <c r="B18" s="32" t="s">
        <v>36</v>
      </c>
      <c r="C18" s="34"/>
      <c r="D18" s="35"/>
      <c r="E18" s="33"/>
      <c r="F18" s="34"/>
      <c r="G18" s="164"/>
      <c r="H18" s="164"/>
      <c r="I18" s="165"/>
    </row>
    <row r="19" spans="2:9" ht="15.75" thickBot="1" x14ac:dyDescent="0.3">
      <c r="B19" s="32" t="s">
        <v>156</v>
      </c>
      <c r="C19" s="33"/>
      <c r="D19" s="33"/>
      <c r="E19" s="37"/>
      <c r="F19" s="34"/>
      <c r="G19" s="162"/>
      <c r="H19" s="162"/>
      <c r="I19" s="163"/>
    </row>
    <row r="20" spans="2:9" x14ac:dyDescent="0.25">
      <c r="B20" s="29"/>
      <c r="C20" s="30">
        <f>C14+7</f>
        <v>17</v>
      </c>
      <c r="D20" s="30">
        <f>C20+1</f>
        <v>18</v>
      </c>
      <c r="E20" s="30">
        <f t="shared" ref="E20:I20" si="4">D20+1</f>
        <v>19</v>
      </c>
      <c r="F20" s="30">
        <f t="shared" si="4"/>
        <v>20</v>
      </c>
      <c r="G20" s="30">
        <f t="shared" si="4"/>
        <v>21</v>
      </c>
      <c r="H20" s="30">
        <f t="shared" si="4"/>
        <v>22</v>
      </c>
      <c r="I20" s="31">
        <f t="shared" si="4"/>
        <v>23</v>
      </c>
    </row>
    <row r="21" spans="2:9" x14ac:dyDescent="0.25">
      <c r="B21" s="32" t="s">
        <v>37</v>
      </c>
      <c r="C21" s="33">
        <v>2</v>
      </c>
      <c r="D21" s="33">
        <v>2</v>
      </c>
      <c r="E21" s="33">
        <v>3</v>
      </c>
      <c r="F21" s="34">
        <v>3</v>
      </c>
      <c r="G21" s="162">
        <v>2</v>
      </c>
      <c r="H21" s="162"/>
      <c r="I21" s="163"/>
    </row>
    <row r="22" spans="2:9" x14ac:dyDescent="0.25">
      <c r="B22" s="32" t="s">
        <v>34</v>
      </c>
      <c r="C22" s="35"/>
      <c r="D22" s="35"/>
      <c r="E22" s="36"/>
      <c r="F22" s="36"/>
      <c r="G22" s="164"/>
      <c r="H22" s="164"/>
      <c r="I22" s="165"/>
    </row>
    <row r="23" spans="2:9" x14ac:dyDescent="0.25">
      <c r="B23" s="32" t="s">
        <v>35</v>
      </c>
      <c r="C23" s="35"/>
      <c r="D23" s="34"/>
      <c r="E23" s="34"/>
      <c r="F23" s="33"/>
      <c r="G23" s="164"/>
      <c r="H23" s="164"/>
      <c r="I23" s="165"/>
    </row>
    <row r="24" spans="2:9" x14ac:dyDescent="0.25">
      <c r="B24" s="32" t="s">
        <v>36</v>
      </c>
      <c r="C24" s="34"/>
      <c r="D24" s="35"/>
      <c r="E24" s="33"/>
      <c r="F24" s="34"/>
      <c r="G24" s="162"/>
      <c r="H24" s="162"/>
      <c r="I24" s="163"/>
    </row>
    <row r="25" spans="2:9" ht="15.75" thickBot="1" x14ac:dyDescent="0.3">
      <c r="B25" s="32" t="s">
        <v>156</v>
      </c>
      <c r="C25" s="33"/>
      <c r="D25" s="33"/>
      <c r="E25" s="37"/>
      <c r="F25" s="34"/>
      <c r="G25" s="162"/>
      <c r="H25" s="162"/>
      <c r="I25" s="163"/>
    </row>
    <row r="26" spans="2:9" x14ac:dyDescent="0.25">
      <c r="B26" s="29"/>
      <c r="C26" s="30">
        <f>C20+7</f>
        <v>24</v>
      </c>
      <c r="D26" s="30">
        <f>C26+1</f>
        <v>25</v>
      </c>
      <c r="E26" s="30">
        <f t="shared" ref="E26:I26" si="5">D26+1</f>
        <v>26</v>
      </c>
      <c r="F26" s="30">
        <f t="shared" si="5"/>
        <v>27</v>
      </c>
      <c r="G26" s="30">
        <f t="shared" si="5"/>
        <v>28</v>
      </c>
      <c r="H26" s="30">
        <f>G26+1</f>
        <v>29</v>
      </c>
      <c r="I26" s="31">
        <f t="shared" si="5"/>
        <v>30</v>
      </c>
    </row>
    <row r="27" spans="2:9" x14ac:dyDescent="0.25">
      <c r="B27" s="32" t="s">
        <v>37</v>
      </c>
      <c r="C27" s="33">
        <v>2</v>
      </c>
      <c r="D27" s="33">
        <v>2</v>
      </c>
      <c r="E27" s="33">
        <v>3</v>
      </c>
      <c r="F27" s="34">
        <v>3</v>
      </c>
      <c r="G27" s="162">
        <v>3</v>
      </c>
      <c r="H27" s="162"/>
      <c r="I27" s="163"/>
    </row>
    <row r="28" spans="2:9" x14ac:dyDescent="0.25">
      <c r="B28" s="32" t="s">
        <v>34</v>
      </c>
      <c r="C28" s="35"/>
      <c r="D28" s="35"/>
      <c r="E28" s="36"/>
      <c r="F28" s="36"/>
      <c r="G28" s="162"/>
      <c r="H28" s="162"/>
      <c r="I28" s="163"/>
    </row>
    <row r="29" spans="2:9" x14ac:dyDescent="0.25">
      <c r="B29" s="32" t="s">
        <v>35</v>
      </c>
      <c r="C29" s="35"/>
      <c r="D29" s="34"/>
      <c r="E29" s="34"/>
      <c r="F29" s="33"/>
      <c r="G29" s="162"/>
      <c r="H29" s="162"/>
      <c r="I29" s="163"/>
    </row>
    <row r="30" spans="2:9" x14ac:dyDescent="0.25">
      <c r="B30" s="32" t="s">
        <v>36</v>
      </c>
      <c r="C30" s="34"/>
      <c r="D30" s="35"/>
      <c r="E30" s="33"/>
      <c r="F30" s="34"/>
      <c r="G30" s="164"/>
      <c r="H30" s="164"/>
      <c r="I30" s="165"/>
    </row>
    <row r="31" spans="2:9" ht="15.75" thickBot="1" x14ac:dyDescent="0.3">
      <c r="B31" s="32" t="s">
        <v>156</v>
      </c>
      <c r="C31" s="38"/>
      <c r="D31" s="38"/>
      <c r="E31" s="38"/>
      <c r="F31" s="39"/>
      <c r="G31" s="166"/>
      <c r="H31" s="166"/>
      <c r="I31" s="167"/>
    </row>
    <row r="32" spans="2:9" x14ac:dyDescent="0.25">
      <c r="B32" s="29"/>
      <c r="C32" s="30">
        <f>C26+7</f>
        <v>31</v>
      </c>
      <c r="D32" s="30">
        <v>1</v>
      </c>
      <c r="E32" s="30">
        <f t="shared" ref="E32" si="6">D32+1</f>
        <v>2</v>
      </c>
      <c r="F32" s="30">
        <f t="shared" ref="F32" si="7">E32+1</f>
        <v>3</v>
      </c>
      <c r="G32" s="30">
        <f t="shared" ref="G32" si="8">F32+1</f>
        <v>4</v>
      </c>
      <c r="H32" s="30">
        <f>G32+1</f>
        <v>5</v>
      </c>
      <c r="I32" s="31">
        <f t="shared" ref="I32" si="9">H32+1</f>
        <v>6</v>
      </c>
    </row>
    <row r="33" spans="2:9" x14ac:dyDescent="0.25">
      <c r="B33" s="32" t="s">
        <v>37</v>
      </c>
      <c r="C33" s="33">
        <v>2</v>
      </c>
      <c r="D33" s="33">
        <v>2</v>
      </c>
      <c r="E33" s="33">
        <v>3</v>
      </c>
      <c r="F33" s="34">
        <v>3</v>
      </c>
      <c r="G33" s="162">
        <v>2</v>
      </c>
      <c r="H33" s="162"/>
      <c r="I33" s="163"/>
    </row>
    <row r="34" spans="2:9" x14ac:dyDescent="0.25">
      <c r="B34" s="32" t="s">
        <v>34</v>
      </c>
      <c r="C34" s="35"/>
      <c r="D34" s="35"/>
      <c r="E34" s="36"/>
      <c r="F34" s="36"/>
      <c r="G34" s="162"/>
      <c r="H34" s="162"/>
      <c r="I34" s="163"/>
    </row>
    <row r="35" spans="2:9" x14ac:dyDescent="0.25">
      <c r="B35" s="32" t="s">
        <v>35</v>
      </c>
      <c r="C35" s="35"/>
      <c r="D35" s="34"/>
      <c r="E35" s="34"/>
      <c r="F35" s="33"/>
      <c r="G35" s="162"/>
      <c r="H35" s="162"/>
      <c r="I35" s="163"/>
    </row>
    <row r="36" spans="2:9" x14ac:dyDescent="0.25">
      <c r="B36" s="32" t="s">
        <v>36</v>
      </c>
      <c r="C36" s="34"/>
      <c r="D36" s="35"/>
      <c r="E36" s="33"/>
      <c r="F36" s="34"/>
      <c r="G36" s="164"/>
      <c r="H36" s="164"/>
      <c r="I36" s="165"/>
    </row>
    <row r="37" spans="2:9" ht="15.75" thickBot="1" x14ac:dyDescent="0.3">
      <c r="B37" s="40" t="s">
        <v>156</v>
      </c>
      <c r="C37" s="38"/>
      <c r="D37" s="38"/>
      <c r="E37" s="38"/>
      <c r="F37" s="39"/>
      <c r="G37" s="166"/>
      <c r="H37" s="166"/>
      <c r="I37" s="167"/>
    </row>
  </sheetData>
  <mergeCells count="30">
    <mergeCell ref="G37:I37"/>
    <mergeCell ref="G30:I30"/>
    <mergeCell ref="G31:I31"/>
    <mergeCell ref="G33:I33"/>
    <mergeCell ref="G34:I34"/>
    <mergeCell ref="G35:I35"/>
    <mergeCell ref="G36:I36"/>
    <mergeCell ref="G29:I29"/>
    <mergeCell ref="G16:I16"/>
    <mergeCell ref="G17:I17"/>
    <mergeCell ref="G18:I18"/>
    <mergeCell ref="G19:I19"/>
    <mergeCell ref="G21:I21"/>
    <mergeCell ref="G22:I22"/>
    <mergeCell ref="G23:I23"/>
    <mergeCell ref="G24:I24"/>
    <mergeCell ref="G25:I25"/>
    <mergeCell ref="G27:I27"/>
    <mergeCell ref="G28:I28"/>
    <mergeCell ref="G15:I15"/>
    <mergeCell ref="G3:I3"/>
    <mergeCell ref="G4:I4"/>
    <mergeCell ref="G5:I5"/>
    <mergeCell ref="G6:I6"/>
    <mergeCell ref="G7:I7"/>
    <mergeCell ref="G9:I9"/>
    <mergeCell ref="G10:I10"/>
    <mergeCell ref="G11:I11"/>
    <mergeCell ref="G12:I12"/>
    <mergeCell ref="G13:I1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I9"/>
  <sheetViews>
    <sheetView rightToLeft="1" zoomScale="118" zoomScaleNormal="118" workbookViewId="0">
      <selection activeCell="I5" sqref="I5"/>
    </sheetView>
  </sheetViews>
  <sheetFormatPr defaultRowHeight="15" x14ac:dyDescent="0.25"/>
  <cols>
    <col min="2" max="2" width="23.5703125" bestFit="1" customWidth="1"/>
    <col min="6" max="6" width="19" customWidth="1"/>
    <col min="9" max="9" width="10.28515625" bestFit="1" customWidth="1"/>
  </cols>
  <sheetData>
    <row r="2" spans="2:9" x14ac:dyDescent="0.25">
      <c r="B2" s="4" t="s">
        <v>31</v>
      </c>
      <c r="C2" s="4">
        <f>COUNTIF(חיילים!D:D,"=כן")</f>
        <v>9</v>
      </c>
      <c r="G2" t="s">
        <v>44</v>
      </c>
      <c r="H2" t="s">
        <v>45</v>
      </c>
      <c r="I2" t="s">
        <v>46</v>
      </c>
    </row>
    <row r="3" spans="2:9" x14ac:dyDescent="0.25">
      <c r="B3" s="2" t="s">
        <v>30</v>
      </c>
      <c r="C3" s="2">
        <f>COUNTIF(חיילים!$D:D,"=לא")</f>
        <v>32</v>
      </c>
      <c r="F3" t="s">
        <v>68</v>
      </c>
      <c r="G3">
        <f>SUM(חיילים!AM:AM)</f>
        <v>40</v>
      </c>
      <c r="H3">
        <f>I3-G3</f>
        <v>0</v>
      </c>
      <c r="I3">
        <v>40</v>
      </c>
    </row>
    <row r="4" spans="2:9" x14ac:dyDescent="0.25">
      <c r="B4" s="2" t="s">
        <v>29</v>
      </c>
      <c r="C4" s="3">
        <f>C3+C2</f>
        <v>41</v>
      </c>
      <c r="F4" t="s">
        <v>69</v>
      </c>
      <c r="G4">
        <f>SUM(חיילים!AN:AN)</f>
        <v>27</v>
      </c>
      <c r="H4">
        <f>I4-G4</f>
        <v>0</v>
      </c>
      <c r="I4">
        <f xml:space="preserve"> 24 + 19 - 16</f>
        <v>27</v>
      </c>
    </row>
    <row r="5" spans="2:9" x14ac:dyDescent="0.25">
      <c r="F5" t="s">
        <v>70</v>
      </c>
      <c r="G5">
        <f>SUM(חיילים!AK:AK)</f>
        <v>10</v>
      </c>
      <c r="H5">
        <f t="shared" ref="H5:H6" si="0">I5-G5</f>
        <v>0</v>
      </c>
      <c r="I5">
        <v>10</v>
      </c>
    </row>
    <row r="6" spans="2:9" x14ac:dyDescent="0.25">
      <c r="F6" t="s">
        <v>71</v>
      </c>
      <c r="G6">
        <f>SUM(חיילים!AL:AL)</f>
        <v>6</v>
      </c>
      <c r="H6">
        <f t="shared" si="0"/>
        <v>0</v>
      </c>
      <c r="I6">
        <v>6</v>
      </c>
    </row>
    <row r="7" spans="2:9" x14ac:dyDescent="0.25">
      <c r="B7" s="2" t="s">
        <v>32</v>
      </c>
      <c r="C7" s="2">
        <f>COUNTIF(חיילים!E:E,"=כן")</f>
        <v>30</v>
      </c>
    </row>
    <row r="8" spans="2:9" x14ac:dyDescent="0.25">
      <c r="B8" s="4" t="s">
        <v>33</v>
      </c>
      <c r="C8" s="4">
        <f>COUNTIF(חיילים!E:E,"=לא")</f>
        <v>11</v>
      </c>
    </row>
    <row r="9" spans="2:9" x14ac:dyDescent="0.25">
      <c r="B9" s="2" t="s">
        <v>29</v>
      </c>
      <c r="C9" s="3">
        <f>C8+C7</f>
        <v>41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חיילים</vt:lpstr>
      <vt:lpstr>לוח נובמבר</vt:lpstr>
      <vt:lpstr>סתם</vt:lpstr>
      <vt:lpstr>לוח אוקטובר</vt:lpstr>
      <vt:lpstr>לוח דצמבר</vt:lpstr>
      <vt:lpstr>סטטיסטיקה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Yuval</dc:creator>
  <cp:lastModifiedBy>Yuval</cp:lastModifiedBy>
  <dcterms:created xsi:type="dcterms:W3CDTF">2017-07-19T17:48:32Z</dcterms:created>
  <dcterms:modified xsi:type="dcterms:W3CDTF">2017-10-21T16:41:54Z</dcterms:modified>
</cp:coreProperties>
</file>