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Yuval\Programming\CSharp\MonthlyDutyTable\"/>
    </mc:Choice>
  </mc:AlternateContent>
  <xr:revisionPtr revIDLastSave="0" documentId="13_ncr:1_{6BF39543-96D3-4A69-84FF-44CC724839AB}" xr6:coauthVersionLast="34" xr6:coauthVersionMax="34" xr10:uidLastSave="{00000000-0000-0000-0000-000000000000}"/>
  <bookViews>
    <workbookView xWindow="0" yWindow="0" windowWidth="28800" windowHeight="12225" tabRatio="1000" activeTab="3" xr2:uid="{00000000-000D-0000-FFFF-FFFF00000000}"/>
  </bookViews>
  <sheets>
    <sheet name="חיילים" sheetId="1" r:id="rId1"/>
    <sheet name="הזנת לוח" sheetId="24" r:id="rId2"/>
    <sheet name="סטטיסטיקה" sheetId="3" r:id="rId3"/>
    <sheet name="לוח ספטמבר" sheetId="26" r:id="rId4"/>
    <sheet name="לוח אוגוסט" sheetId="23" r:id="rId5"/>
    <sheet name="לוח יולי" sheetId="22" r:id="rId6"/>
    <sheet name="תקנים עתידיים מושלם" sheetId="17" r:id="rId7"/>
    <sheet name="לוח יוני" sheetId="20" r:id="rId8"/>
    <sheet name="לוח מאי" sheetId="16" r:id="rId9"/>
    <sheet name="לוח אפריל" sheetId="14" r:id="rId10"/>
    <sheet name="לוח מרץ" sheetId="13" r:id="rId11"/>
    <sheet name="לוח פברואר" sheetId="12" r:id="rId12"/>
    <sheet name="לוח ינואר" sheetId="11" r:id="rId13"/>
    <sheet name="לוח דצמבר" sheetId="10" r:id="rId14"/>
    <sheet name="לוח נובמבר" sheetId="8" r:id="rId15"/>
    <sheet name="חיילים שלא עברו מבחן" sheetId="25" r:id="rId16"/>
    <sheet name="חגים" sheetId="21" r:id="rId17"/>
  </sheets>
  <definedNames>
    <definedName name="_xlnm._FilterDatabase" localSheetId="0" hidden="1">חיילים!$A$1:$DL$48</definedName>
    <definedName name="_xlnm._FilterDatabase" localSheetId="15" hidden="1">'חיילים שלא עברו מבחן'!$A$1:$C$7</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6" l="1"/>
  <c r="D13" i="26"/>
  <c r="B13" i="26"/>
  <c r="E13" i="26"/>
  <c r="F13" i="26" s="1"/>
  <c r="G13" i="26" s="1"/>
  <c r="H13" i="26" s="1"/>
  <c r="C7" i="26"/>
  <c r="D7" i="26" s="1"/>
  <c r="E7" i="26" s="1"/>
  <c r="F7" i="26" s="1"/>
  <c r="G7" i="26" s="1"/>
  <c r="H7" i="26" s="1"/>
  <c r="B19" i="26" l="1"/>
  <c r="DA14" i="1"/>
  <c r="DB14" i="1"/>
  <c r="DJ14" i="1"/>
  <c r="DK14" i="1"/>
  <c r="DA41" i="1"/>
  <c r="DB41" i="1"/>
  <c r="DJ41" i="1"/>
  <c r="DK41" i="1"/>
  <c r="CT14" i="1"/>
  <c r="CU14" i="1"/>
  <c r="CT41" i="1"/>
  <c r="CU41" i="1"/>
  <c r="CM14" i="1"/>
  <c r="DD14" i="1" s="1"/>
  <c r="CN14" i="1"/>
  <c r="DF14" i="1" s="1"/>
  <c r="DG14" i="1" s="1"/>
  <c r="CM41" i="1"/>
  <c r="CN41" i="1"/>
  <c r="C41" i="1"/>
  <c r="C14" i="1"/>
  <c r="C19" i="26" l="1"/>
  <c r="D19" i="26" s="1"/>
  <c r="E19" i="26" s="1"/>
  <c r="F19" i="26" s="1"/>
  <c r="G19" i="26" s="1"/>
  <c r="H19" i="26" s="1"/>
  <c r="B25" i="26"/>
  <c r="CO14" i="1"/>
  <c r="CV14" i="1"/>
  <c r="DF41" i="1"/>
  <c r="DG41" i="1" s="1"/>
  <c r="DD41" i="1"/>
  <c r="DE41" i="1" s="1"/>
  <c r="DL41" i="1"/>
  <c r="DL14" i="1"/>
  <c r="DC14" i="1"/>
  <c r="DC41" i="1"/>
  <c r="DE14" i="1"/>
  <c r="DI14" i="1" s="1"/>
  <c r="DH14" i="1"/>
  <c r="CV41" i="1"/>
  <c r="CO41" i="1"/>
  <c r="I6" i="3"/>
  <c r="J6" i="3"/>
  <c r="H4" i="3"/>
  <c r="H5" i="3" s="1"/>
  <c r="I4" i="3"/>
  <c r="J4" i="3"/>
  <c r="G4" i="3"/>
  <c r="DJ19" i="1"/>
  <c r="DK19" i="1"/>
  <c r="DJ27" i="1"/>
  <c r="DK27" i="1"/>
  <c r="DJ35" i="1"/>
  <c r="DK35" i="1"/>
  <c r="DJ23" i="1"/>
  <c r="DK23" i="1"/>
  <c r="DJ42" i="1"/>
  <c r="DK42" i="1"/>
  <c r="DJ48" i="1"/>
  <c r="DK48" i="1"/>
  <c r="DJ34" i="1"/>
  <c r="DK34" i="1"/>
  <c r="DJ29" i="1"/>
  <c r="DK29" i="1"/>
  <c r="DJ17" i="1"/>
  <c r="DK17" i="1"/>
  <c r="DJ38" i="1"/>
  <c r="DK38" i="1"/>
  <c r="DJ18" i="1"/>
  <c r="DK18" i="1"/>
  <c r="DJ6" i="1"/>
  <c r="DK6" i="1"/>
  <c r="DJ21" i="1"/>
  <c r="DK21" i="1"/>
  <c r="DJ2" i="1"/>
  <c r="DK2" i="1"/>
  <c r="DJ25" i="1"/>
  <c r="DK25" i="1"/>
  <c r="DJ43" i="1"/>
  <c r="DK43" i="1"/>
  <c r="DJ9" i="1"/>
  <c r="DK9" i="1"/>
  <c r="DJ13" i="1"/>
  <c r="DK13" i="1"/>
  <c r="DJ5" i="1"/>
  <c r="DK5" i="1"/>
  <c r="DJ20" i="1"/>
  <c r="DK20" i="1"/>
  <c r="DJ30" i="1"/>
  <c r="DK30" i="1"/>
  <c r="DJ31" i="1"/>
  <c r="DK31" i="1"/>
  <c r="DJ37" i="1"/>
  <c r="DK37" i="1"/>
  <c r="DJ44" i="1"/>
  <c r="DK44" i="1"/>
  <c r="DJ45" i="1"/>
  <c r="DK45" i="1"/>
  <c r="DJ26" i="1"/>
  <c r="DK26" i="1"/>
  <c r="DJ28" i="1"/>
  <c r="DK28" i="1"/>
  <c r="DJ11" i="1"/>
  <c r="DK11" i="1"/>
  <c r="DJ47" i="1"/>
  <c r="DK47" i="1"/>
  <c r="DJ16" i="1"/>
  <c r="DK16" i="1"/>
  <c r="DJ40" i="1"/>
  <c r="DK40" i="1"/>
  <c r="DJ4" i="1"/>
  <c r="DK4" i="1"/>
  <c r="DJ24" i="1"/>
  <c r="DK24" i="1"/>
  <c r="DJ8" i="1"/>
  <c r="DK8" i="1"/>
  <c r="DJ3" i="1"/>
  <c r="DK3" i="1"/>
  <c r="DJ7" i="1"/>
  <c r="DK7" i="1"/>
  <c r="DJ46" i="1"/>
  <c r="DK46" i="1"/>
  <c r="DJ36" i="1"/>
  <c r="DK36" i="1"/>
  <c r="DJ12" i="1"/>
  <c r="DK12" i="1"/>
  <c r="DJ15" i="1"/>
  <c r="DK15" i="1"/>
  <c r="DJ22" i="1"/>
  <c r="DK22" i="1"/>
  <c r="DJ33" i="1"/>
  <c r="DK33" i="1"/>
  <c r="DJ10" i="1"/>
  <c r="DK10" i="1"/>
  <c r="DJ39" i="1"/>
  <c r="DK39" i="1"/>
  <c r="DK32" i="1"/>
  <c r="DJ32" i="1"/>
  <c r="DB39" i="1"/>
  <c r="DA39" i="1"/>
  <c r="DB10" i="1"/>
  <c r="DA10" i="1"/>
  <c r="DB33" i="1"/>
  <c r="DA33" i="1"/>
  <c r="DB22" i="1"/>
  <c r="DA22" i="1"/>
  <c r="DB15" i="1"/>
  <c r="DA15" i="1"/>
  <c r="DB12" i="1"/>
  <c r="DA12" i="1"/>
  <c r="DB36" i="1"/>
  <c r="DA36" i="1"/>
  <c r="DB46" i="1"/>
  <c r="DA46" i="1"/>
  <c r="DB7" i="1"/>
  <c r="DA7" i="1"/>
  <c r="DB3" i="1"/>
  <c r="DA3" i="1"/>
  <c r="DB8" i="1"/>
  <c r="DA8" i="1"/>
  <c r="DB24" i="1"/>
  <c r="DA24" i="1"/>
  <c r="DB4" i="1"/>
  <c r="DA4" i="1"/>
  <c r="DB40" i="1"/>
  <c r="DA40" i="1"/>
  <c r="DB16" i="1"/>
  <c r="DA16" i="1"/>
  <c r="DB47" i="1"/>
  <c r="DA47" i="1"/>
  <c r="DB11" i="1"/>
  <c r="DA11" i="1"/>
  <c r="DB28" i="1"/>
  <c r="DA28" i="1"/>
  <c r="DB26" i="1"/>
  <c r="DA26" i="1"/>
  <c r="DB45" i="1"/>
  <c r="DA45" i="1"/>
  <c r="DB44" i="1"/>
  <c r="DA44" i="1"/>
  <c r="DB37" i="1"/>
  <c r="DA37" i="1"/>
  <c r="DB31" i="1"/>
  <c r="DA31" i="1"/>
  <c r="DB30" i="1"/>
  <c r="DA30" i="1"/>
  <c r="DB20" i="1"/>
  <c r="DA20" i="1"/>
  <c r="DB5" i="1"/>
  <c r="DA5" i="1"/>
  <c r="DB13" i="1"/>
  <c r="DA13" i="1"/>
  <c r="DB9" i="1"/>
  <c r="DA9" i="1"/>
  <c r="DB43" i="1"/>
  <c r="DA43" i="1"/>
  <c r="DB25" i="1"/>
  <c r="DA25" i="1"/>
  <c r="DB2" i="1"/>
  <c r="DA2" i="1"/>
  <c r="DB21" i="1"/>
  <c r="DA21" i="1"/>
  <c r="DB6" i="1"/>
  <c r="DA6" i="1"/>
  <c r="DB18" i="1"/>
  <c r="DA18" i="1"/>
  <c r="DB38" i="1"/>
  <c r="DA38" i="1"/>
  <c r="DB17" i="1"/>
  <c r="DA17" i="1"/>
  <c r="DB29" i="1"/>
  <c r="DA29" i="1"/>
  <c r="DB34" i="1"/>
  <c r="DA34" i="1"/>
  <c r="DB48" i="1"/>
  <c r="DA48" i="1"/>
  <c r="DB42" i="1"/>
  <c r="DA42" i="1"/>
  <c r="DB23" i="1"/>
  <c r="DA23" i="1"/>
  <c r="DB35" i="1"/>
  <c r="DA35" i="1"/>
  <c r="DB27" i="1"/>
  <c r="DA27" i="1"/>
  <c r="DB19" i="1"/>
  <c r="DA19" i="1"/>
  <c r="DB32" i="1"/>
  <c r="DA32" i="1"/>
  <c r="C25" i="26" l="1"/>
  <c r="D25" i="26" s="1"/>
  <c r="E25" i="26" s="1"/>
  <c r="F25" i="26" s="1"/>
  <c r="G25" i="26" s="1"/>
  <c r="H25" i="26" s="1"/>
  <c r="B31" i="26"/>
  <c r="D31" i="26" s="1"/>
  <c r="E31" i="26" s="1"/>
  <c r="F31" i="26" s="1"/>
  <c r="G31" i="26" s="1"/>
  <c r="H31" i="26" s="1"/>
  <c r="DI41" i="1"/>
  <c r="DL23" i="1"/>
  <c r="DH41" i="1"/>
  <c r="DL37" i="1"/>
  <c r="DL30" i="1"/>
  <c r="DL17" i="1"/>
  <c r="DL35" i="1"/>
  <c r="DL19" i="1"/>
  <c r="DL44" i="1"/>
  <c r="DL6" i="1"/>
  <c r="DL38" i="1"/>
  <c r="DL16" i="1"/>
  <c r="DL20" i="1"/>
  <c r="DL29" i="1"/>
  <c r="DL33" i="1"/>
  <c r="DL28" i="1"/>
  <c r="DL5" i="1"/>
  <c r="DL34" i="1"/>
  <c r="DL39" i="1"/>
  <c r="DC44" i="1"/>
  <c r="DL3" i="1"/>
  <c r="DL36" i="1"/>
  <c r="DL7" i="1"/>
  <c r="DL11" i="1"/>
  <c r="DL10" i="1"/>
  <c r="DC29" i="1"/>
  <c r="DL15" i="1"/>
  <c r="DL4" i="1"/>
  <c r="DL25" i="1"/>
  <c r="DL48" i="1"/>
  <c r="DC26" i="1"/>
  <c r="DC11" i="1"/>
  <c r="DC8" i="1"/>
  <c r="DC46" i="1"/>
  <c r="DC12" i="1"/>
  <c r="DL12" i="1"/>
  <c r="DL40" i="1"/>
  <c r="DL47" i="1"/>
  <c r="DL31" i="1"/>
  <c r="DL43" i="1"/>
  <c r="DL18" i="1"/>
  <c r="DL42" i="1"/>
  <c r="DC35" i="1"/>
  <c r="DL22" i="1"/>
  <c r="DL26" i="1"/>
  <c r="DL45" i="1"/>
  <c r="DC19" i="1"/>
  <c r="DC39" i="1"/>
  <c r="DL46" i="1"/>
  <c r="DC15" i="1"/>
  <c r="DC33" i="1"/>
  <c r="DC38" i="1"/>
  <c r="DC6" i="1"/>
  <c r="DC13" i="1"/>
  <c r="DL8" i="1"/>
  <c r="DL24" i="1"/>
  <c r="DL13" i="1"/>
  <c r="DL9" i="1"/>
  <c r="DL2" i="1"/>
  <c r="DL21" i="1"/>
  <c r="DL27" i="1"/>
  <c r="J5" i="3"/>
  <c r="I5" i="3"/>
  <c r="DC18" i="1"/>
  <c r="DC5" i="1"/>
  <c r="DC22" i="1"/>
  <c r="DC32" i="1"/>
  <c r="DC27" i="1"/>
  <c r="DC23" i="1"/>
  <c r="DC43" i="1"/>
  <c r="DC45" i="1"/>
  <c r="DC28" i="1"/>
  <c r="DC24" i="1"/>
  <c r="DC3" i="1"/>
  <c r="DC17" i="1"/>
  <c r="DC9" i="1"/>
  <c r="DC10" i="1"/>
  <c r="DC20" i="1"/>
  <c r="DC4" i="1"/>
  <c r="DC42" i="1"/>
  <c r="DC34" i="1"/>
  <c r="DC2" i="1"/>
  <c r="DC30" i="1"/>
  <c r="DC37" i="1"/>
  <c r="DC16" i="1"/>
  <c r="DC7" i="1"/>
  <c r="DC36" i="1"/>
  <c r="DC48" i="1"/>
  <c r="DC21" i="1"/>
  <c r="DC25" i="1"/>
  <c r="DC31" i="1"/>
  <c r="DC47" i="1"/>
  <c r="DC40" i="1"/>
  <c r="CT10" i="1"/>
  <c r="CU10" i="1"/>
  <c r="CT37" i="1"/>
  <c r="CU37" i="1"/>
  <c r="CT42" i="1"/>
  <c r="CU42" i="1"/>
  <c r="CM10" i="1"/>
  <c r="CN10" i="1"/>
  <c r="CM37" i="1"/>
  <c r="CN37" i="1"/>
  <c r="CM42" i="1"/>
  <c r="CN42" i="1"/>
  <c r="CF10" i="1"/>
  <c r="CG10" i="1"/>
  <c r="CF37" i="1"/>
  <c r="CG37" i="1"/>
  <c r="CF42" i="1"/>
  <c r="CG42" i="1"/>
  <c r="BY10" i="1"/>
  <c r="BZ10" i="1"/>
  <c r="BY37" i="1"/>
  <c r="BZ37" i="1"/>
  <c r="BY42" i="1"/>
  <c r="BZ42" i="1"/>
  <c r="BR10" i="1"/>
  <c r="BS10" i="1"/>
  <c r="BR37" i="1"/>
  <c r="BS37" i="1"/>
  <c r="BR42" i="1"/>
  <c r="BS42" i="1"/>
  <c r="BK10" i="1"/>
  <c r="BL10" i="1"/>
  <c r="BK37" i="1"/>
  <c r="BL37" i="1"/>
  <c r="BK42" i="1"/>
  <c r="BL42" i="1"/>
  <c r="BD10" i="1"/>
  <c r="BE10" i="1"/>
  <c r="BD37" i="1"/>
  <c r="BE37" i="1"/>
  <c r="BD42" i="1"/>
  <c r="BE42" i="1"/>
  <c r="AW10" i="1"/>
  <c r="AX10" i="1"/>
  <c r="AW37" i="1"/>
  <c r="AX37" i="1"/>
  <c r="AW42" i="1"/>
  <c r="AX42" i="1"/>
  <c r="AP10" i="1"/>
  <c r="AQ10" i="1"/>
  <c r="AP37" i="1"/>
  <c r="AQ37" i="1"/>
  <c r="AP42" i="1"/>
  <c r="AQ42" i="1"/>
  <c r="AI10" i="1"/>
  <c r="AJ10" i="1"/>
  <c r="AI37" i="1"/>
  <c r="AJ37" i="1"/>
  <c r="AI42" i="1"/>
  <c r="AJ42" i="1"/>
  <c r="AB10" i="1"/>
  <c r="AC10" i="1"/>
  <c r="AB37" i="1"/>
  <c r="AC37" i="1"/>
  <c r="AB42" i="1"/>
  <c r="AC42" i="1"/>
  <c r="U10" i="1"/>
  <c r="V10" i="1"/>
  <c r="U37" i="1"/>
  <c r="V37" i="1"/>
  <c r="U42" i="1"/>
  <c r="V42" i="1"/>
  <c r="N10" i="1"/>
  <c r="O10" i="1"/>
  <c r="N37" i="1"/>
  <c r="O37" i="1"/>
  <c r="N42" i="1"/>
  <c r="O42" i="1"/>
  <c r="N48" i="1"/>
  <c r="O48" i="1"/>
  <c r="C42" i="1"/>
  <c r="DD10" i="1" l="1"/>
  <c r="DD37" i="1"/>
  <c r="DD42" i="1"/>
  <c r="DE42" i="1" s="1"/>
  <c r="DF37" i="1"/>
  <c r="DG37" i="1" s="1"/>
  <c r="DF42" i="1"/>
  <c r="DF10" i="1"/>
  <c r="DG10" i="1" s="1"/>
  <c r="CV37" i="1"/>
  <c r="BT10" i="1"/>
  <c r="CA37" i="1"/>
  <c r="CH10" i="1"/>
  <c r="CV42" i="1"/>
  <c r="CV10" i="1"/>
  <c r="P48" i="1"/>
  <c r="BF37" i="1"/>
  <c r="CA42" i="1"/>
  <c r="CA10" i="1"/>
  <c r="P10" i="1"/>
  <c r="CH37" i="1"/>
  <c r="AY37" i="1"/>
  <c r="W10" i="1"/>
  <c r="AD37" i="1"/>
  <c r="AK10" i="1"/>
  <c r="AR37" i="1"/>
  <c r="AY42" i="1"/>
  <c r="AY10" i="1"/>
  <c r="CO42" i="1"/>
  <c r="AR10" i="1"/>
  <c r="AK42" i="1"/>
  <c r="P42" i="1"/>
  <c r="W37" i="1"/>
  <c r="AD42" i="1"/>
  <c r="AD10" i="1"/>
  <c r="AK37" i="1"/>
  <c r="AR42" i="1"/>
  <c r="CO10" i="1"/>
  <c r="BF42" i="1"/>
  <c r="BM42" i="1"/>
  <c r="BM10" i="1"/>
  <c r="BT37" i="1"/>
  <c r="CH42" i="1"/>
  <c r="P37" i="1"/>
  <c r="W42" i="1"/>
  <c r="BF10" i="1"/>
  <c r="BM37" i="1"/>
  <c r="BT42" i="1"/>
  <c r="CO37" i="1"/>
  <c r="C5" i="1"/>
  <c r="C10" i="1"/>
  <c r="DE37" i="1" l="1"/>
  <c r="DI37" i="1" s="1"/>
  <c r="DH37" i="1"/>
  <c r="DH42" i="1"/>
  <c r="DG42" i="1"/>
  <c r="DI42" i="1" s="1"/>
  <c r="DE10" i="1"/>
  <c r="DI10" i="1" s="1"/>
  <c r="DH10" i="1"/>
  <c r="CT22" i="1"/>
  <c r="CU22" i="1"/>
  <c r="CT33" i="1"/>
  <c r="CU33" i="1"/>
  <c r="CT26" i="1"/>
  <c r="CU26" i="1"/>
  <c r="CT2" i="1"/>
  <c r="CU2" i="1"/>
  <c r="CT13" i="1"/>
  <c r="CU13" i="1"/>
  <c r="CT18" i="1"/>
  <c r="CU18" i="1"/>
  <c r="CT29" i="1"/>
  <c r="CU29" i="1"/>
  <c r="CT12" i="1"/>
  <c r="CU12" i="1"/>
  <c r="CT7" i="1"/>
  <c r="CU7" i="1"/>
  <c r="CT39" i="1"/>
  <c r="CU39" i="1"/>
  <c r="CT45" i="1"/>
  <c r="CU45" i="1"/>
  <c r="CT36" i="1"/>
  <c r="CU36" i="1"/>
  <c r="CT9" i="1"/>
  <c r="CU9" i="1"/>
  <c r="CT21" i="1"/>
  <c r="CU21" i="1"/>
  <c r="CT6" i="1"/>
  <c r="CU6" i="1"/>
  <c r="CT25" i="1"/>
  <c r="CU25" i="1"/>
  <c r="CT35" i="1"/>
  <c r="CU35" i="1"/>
  <c r="CT4" i="1"/>
  <c r="CU4" i="1"/>
  <c r="CT24" i="1"/>
  <c r="CU24" i="1"/>
  <c r="CT38" i="1"/>
  <c r="CU38" i="1"/>
  <c r="CT40" i="1"/>
  <c r="CU40" i="1"/>
  <c r="CT44" i="1"/>
  <c r="CU44" i="1"/>
  <c r="CT46" i="1"/>
  <c r="CU46" i="1"/>
  <c r="CT47" i="1"/>
  <c r="CU47" i="1"/>
  <c r="CT20" i="1"/>
  <c r="CU20" i="1"/>
  <c r="CT16" i="1"/>
  <c r="CU16" i="1"/>
  <c r="CT43" i="1"/>
  <c r="CU43" i="1"/>
  <c r="CM22" i="1"/>
  <c r="CN22" i="1"/>
  <c r="CM33" i="1"/>
  <c r="CN33" i="1"/>
  <c r="CM26" i="1"/>
  <c r="CN26" i="1"/>
  <c r="CM2" i="1"/>
  <c r="CN2" i="1"/>
  <c r="CM13" i="1"/>
  <c r="CN13" i="1"/>
  <c r="CM18" i="1"/>
  <c r="CN18" i="1"/>
  <c r="CM29" i="1"/>
  <c r="CN29" i="1"/>
  <c r="CM12" i="1"/>
  <c r="CN12" i="1"/>
  <c r="CM7" i="1"/>
  <c r="CN7" i="1"/>
  <c r="CM39" i="1"/>
  <c r="CN39" i="1"/>
  <c r="CM45" i="1"/>
  <c r="CN45" i="1"/>
  <c r="CM36" i="1"/>
  <c r="CN36" i="1"/>
  <c r="CM9" i="1"/>
  <c r="CN9" i="1"/>
  <c r="CM21" i="1"/>
  <c r="CN21" i="1"/>
  <c r="CM6" i="1"/>
  <c r="CN6" i="1"/>
  <c r="CM25" i="1"/>
  <c r="CN25" i="1"/>
  <c r="CM35" i="1"/>
  <c r="CN35" i="1"/>
  <c r="CM4" i="1"/>
  <c r="CN4" i="1"/>
  <c r="CM24" i="1"/>
  <c r="CN24" i="1"/>
  <c r="CM38" i="1"/>
  <c r="CN38" i="1"/>
  <c r="CM40" i="1"/>
  <c r="CN40" i="1"/>
  <c r="CM44" i="1"/>
  <c r="CN44" i="1"/>
  <c r="CM46" i="1"/>
  <c r="CN46" i="1"/>
  <c r="CM47" i="1"/>
  <c r="CN47" i="1"/>
  <c r="CM20" i="1"/>
  <c r="CN20" i="1"/>
  <c r="CM16" i="1"/>
  <c r="CN16" i="1"/>
  <c r="CM43" i="1"/>
  <c r="CN43" i="1"/>
  <c r="CM11" i="1"/>
  <c r="CN11" i="1"/>
  <c r="CM28" i="1"/>
  <c r="CN28" i="1"/>
  <c r="CM17" i="1"/>
  <c r="CN17" i="1"/>
  <c r="CM34" i="1"/>
  <c r="CN34" i="1"/>
  <c r="CM30" i="1"/>
  <c r="CN30" i="1"/>
  <c r="CM31" i="1"/>
  <c r="CN31" i="1"/>
  <c r="CM23" i="1"/>
  <c r="CN23" i="1"/>
  <c r="CM19" i="1"/>
  <c r="CN19" i="1"/>
  <c r="CM15" i="1"/>
  <c r="CN15" i="1"/>
  <c r="CU27" i="1"/>
  <c r="CT27" i="1"/>
  <c r="CU8" i="1"/>
  <c r="CT8" i="1"/>
  <c r="CU48" i="1"/>
  <c r="CT48" i="1"/>
  <c r="CU5" i="1"/>
  <c r="CT5" i="1"/>
  <c r="CU32" i="1"/>
  <c r="CT32" i="1"/>
  <c r="CU19" i="1"/>
  <c r="CT19" i="1"/>
  <c r="CU23" i="1"/>
  <c r="CT23" i="1"/>
  <c r="CU31" i="1"/>
  <c r="CT31" i="1"/>
  <c r="CU30" i="1"/>
  <c r="CT30" i="1"/>
  <c r="CU34" i="1"/>
  <c r="CT34" i="1"/>
  <c r="CU17" i="1"/>
  <c r="CT17" i="1"/>
  <c r="CU28" i="1"/>
  <c r="CT28" i="1"/>
  <c r="CU11" i="1"/>
  <c r="CT11" i="1"/>
  <c r="CU15" i="1"/>
  <c r="CT15" i="1"/>
  <c r="CU3" i="1"/>
  <c r="CT3" i="1"/>
  <c r="CO40" i="1" l="1"/>
  <c r="CO35" i="1"/>
  <c r="CO45" i="1"/>
  <c r="CO2" i="1"/>
  <c r="CO33" i="1"/>
  <c r="CV43" i="1"/>
  <c r="CV40" i="1"/>
  <c r="CV13" i="1"/>
  <c r="CO25" i="1"/>
  <c r="CO6" i="1"/>
  <c r="CO21" i="1"/>
  <c r="CO36" i="1"/>
  <c r="CO39" i="1"/>
  <c r="CO26" i="1"/>
  <c r="CV16" i="1"/>
  <c r="CV38" i="1"/>
  <c r="CV4" i="1"/>
  <c r="CO30" i="1"/>
  <c r="CO20" i="1"/>
  <c r="CV36" i="1"/>
  <c r="CV12" i="1"/>
  <c r="CV29" i="1"/>
  <c r="CO19" i="1"/>
  <c r="CV31" i="1"/>
  <c r="CV32" i="1"/>
  <c r="CO34" i="1"/>
  <c r="CO28" i="1"/>
  <c r="CO16" i="1"/>
  <c r="CO47" i="1"/>
  <c r="CO44" i="1"/>
  <c r="CO9" i="1"/>
  <c r="CV45" i="1"/>
  <c r="CV7" i="1"/>
  <c r="DL32" i="1"/>
  <c r="CV5" i="1"/>
  <c r="CV8" i="1"/>
  <c r="CO11" i="1"/>
  <c r="CO43" i="1"/>
  <c r="CV20" i="1"/>
  <c r="CV46" i="1"/>
  <c r="CV6" i="1"/>
  <c r="CV21" i="1"/>
  <c r="CV2" i="1"/>
  <c r="CV33" i="1"/>
  <c r="CO22" i="1"/>
  <c r="CV15" i="1"/>
  <c r="CV11" i="1"/>
  <c r="CV17" i="1"/>
  <c r="CV30" i="1"/>
  <c r="CV23" i="1"/>
  <c r="CV44" i="1"/>
  <c r="CV35" i="1"/>
  <c r="CV34" i="1"/>
  <c r="CO15" i="1"/>
  <c r="CO23" i="1"/>
  <c r="CO24" i="1"/>
  <c r="CO12" i="1"/>
  <c r="CO18" i="1"/>
  <c r="CV47" i="1"/>
  <c r="CV24" i="1"/>
  <c r="CV25" i="1"/>
  <c r="CV9" i="1"/>
  <c r="CV39" i="1"/>
  <c r="CV18" i="1"/>
  <c r="CV26" i="1"/>
  <c r="CV22" i="1"/>
  <c r="CO31" i="1"/>
  <c r="CO17" i="1"/>
  <c r="CO38" i="1"/>
  <c r="CO4" i="1"/>
  <c r="CO29" i="1"/>
  <c r="CO13" i="1"/>
  <c r="CO46" i="1"/>
  <c r="CO7" i="1"/>
  <c r="CV19" i="1"/>
  <c r="CV28" i="1"/>
  <c r="CV48" i="1"/>
  <c r="CV3" i="1"/>
  <c r="CV27" i="1"/>
  <c r="C37" i="1"/>
  <c r="CF46" i="1" l="1"/>
  <c r="CG46" i="1"/>
  <c r="CF12" i="1"/>
  <c r="CG12" i="1"/>
  <c r="CF11" i="1"/>
  <c r="CG11" i="1"/>
  <c r="BY46" i="1"/>
  <c r="BZ46" i="1"/>
  <c r="BY12" i="1"/>
  <c r="BZ12" i="1"/>
  <c r="BY11" i="1"/>
  <c r="BZ11" i="1"/>
  <c r="BR46" i="1"/>
  <c r="BS46" i="1"/>
  <c r="BR12" i="1"/>
  <c r="BS12" i="1"/>
  <c r="BR11" i="1"/>
  <c r="BS11" i="1"/>
  <c r="BK46" i="1"/>
  <c r="BL46" i="1"/>
  <c r="BK12" i="1"/>
  <c r="BL12" i="1"/>
  <c r="BD46" i="1"/>
  <c r="BE46" i="1"/>
  <c r="BD12" i="1"/>
  <c r="BE12" i="1"/>
  <c r="BD11" i="1"/>
  <c r="BE11" i="1"/>
  <c r="AW46" i="1"/>
  <c r="AX46" i="1"/>
  <c r="AW12" i="1"/>
  <c r="AX12" i="1"/>
  <c r="AP46" i="1"/>
  <c r="AQ46" i="1"/>
  <c r="AP12" i="1"/>
  <c r="AQ12" i="1"/>
  <c r="AP11" i="1"/>
  <c r="AQ11" i="1"/>
  <c r="AI46" i="1"/>
  <c r="AJ46" i="1"/>
  <c r="AI12" i="1"/>
  <c r="AJ12" i="1"/>
  <c r="AI11" i="1"/>
  <c r="AJ11" i="1"/>
  <c r="AB46" i="1"/>
  <c r="AC46" i="1"/>
  <c r="AB12" i="1"/>
  <c r="AC12" i="1"/>
  <c r="AB11" i="1"/>
  <c r="AC11" i="1"/>
  <c r="U46" i="1"/>
  <c r="V46" i="1"/>
  <c r="U12" i="1"/>
  <c r="V12" i="1"/>
  <c r="U11" i="1"/>
  <c r="V11" i="1"/>
  <c r="U28" i="1"/>
  <c r="V28" i="1"/>
  <c r="N3" i="1"/>
  <c r="O3" i="1"/>
  <c r="N26" i="1"/>
  <c r="O26" i="1"/>
  <c r="N46" i="1"/>
  <c r="O46" i="1"/>
  <c r="N12" i="1"/>
  <c r="O12" i="1"/>
  <c r="N11" i="1"/>
  <c r="O11" i="1"/>
  <c r="N28" i="1"/>
  <c r="O28" i="1"/>
  <c r="C46" i="1"/>
  <c r="C12" i="1"/>
  <c r="DF12" i="1" l="1"/>
  <c r="DG12" i="1" s="1"/>
  <c r="DF46" i="1"/>
  <c r="DG46" i="1" s="1"/>
  <c r="DD12" i="1"/>
  <c r="DD46" i="1"/>
  <c r="AR12" i="1"/>
  <c r="P11" i="1"/>
  <c r="P26" i="1"/>
  <c r="AK46" i="1"/>
  <c r="BM46" i="1"/>
  <c r="BT11" i="1"/>
  <c r="CH11" i="1"/>
  <c r="P12" i="1"/>
  <c r="P46" i="1"/>
  <c r="W11" i="1"/>
  <c r="AD11" i="1"/>
  <c r="AY46" i="1"/>
  <c r="W12" i="1"/>
  <c r="W46" i="1"/>
  <c r="BF11" i="1"/>
  <c r="BM12" i="1"/>
  <c r="CH12" i="1"/>
  <c r="W28" i="1"/>
  <c r="AD12" i="1"/>
  <c r="AK11" i="1"/>
  <c r="AR11" i="1"/>
  <c r="AY12" i="1"/>
  <c r="BT12" i="1"/>
  <c r="CA12" i="1"/>
  <c r="CA46" i="1"/>
  <c r="AR46" i="1"/>
  <c r="BF12" i="1"/>
  <c r="BF46" i="1"/>
  <c r="BT46" i="1"/>
  <c r="CH46" i="1"/>
  <c r="P28" i="1"/>
  <c r="AD46" i="1"/>
  <c r="AK12" i="1"/>
  <c r="P3" i="1"/>
  <c r="CA11" i="1"/>
  <c r="E25" i="23"/>
  <c r="C7" i="23"/>
  <c r="D7" i="23" s="1"/>
  <c r="E7" i="23" s="1"/>
  <c r="F7" i="23" s="1"/>
  <c r="G7" i="23" s="1"/>
  <c r="H7" i="23" s="1"/>
  <c r="H1" i="23"/>
  <c r="B13" i="22"/>
  <c r="DE46" i="1" l="1"/>
  <c r="DI46" i="1" s="1"/>
  <c r="DH46" i="1"/>
  <c r="DE12" i="1"/>
  <c r="DI12" i="1" s="1"/>
  <c r="DH12" i="1"/>
  <c r="B13" i="23"/>
  <c r="B19" i="23" s="1"/>
  <c r="B25" i="23" s="1"/>
  <c r="C25" i="23" s="1"/>
  <c r="D25" i="23" s="1"/>
  <c r="C19" i="23"/>
  <c r="D19" i="23" s="1"/>
  <c r="E19" i="23" s="1"/>
  <c r="F19" i="23" s="1"/>
  <c r="G19" i="23" s="1"/>
  <c r="H19" i="23" s="1"/>
  <c r="B19" i="22"/>
  <c r="C13" i="22"/>
  <c r="D13" i="22" s="1"/>
  <c r="E13" i="22" s="1"/>
  <c r="F13" i="22" s="1"/>
  <c r="G13" i="22" s="1"/>
  <c r="H13" i="22" s="1"/>
  <c r="C7" i="22"/>
  <c r="D7" i="22" s="1"/>
  <c r="E7" i="22" s="1"/>
  <c r="F7" i="22" s="1"/>
  <c r="G7" i="22" s="1"/>
  <c r="H7" i="22" s="1"/>
  <c r="G5" i="3"/>
  <c r="CN48" i="1"/>
  <c r="CM48" i="1"/>
  <c r="CN32" i="1"/>
  <c r="CM32" i="1"/>
  <c r="CN27" i="1"/>
  <c r="CM27" i="1"/>
  <c r="CN8" i="1"/>
  <c r="CM8" i="1"/>
  <c r="CN5" i="1"/>
  <c r="CM5" i="1"/>
  <c r="CN3" i="1"/>
  <c r="CM3" i="1"/>
  <c r="C13" i="23" l="1"/>
  <c r="D13" i="23" s="1"/>
  <c r="E13" i="23" s="1"/>
  <c r="F13" i="23" s="1"/>
  <c r="G13" i="23" s="1"/>
  <c r="H13" i="23" s="1"/>
  <c r="C19" i="22"/>
  <c r="D19" i="22" s="1"/>
  <c r="E19" i="22" s="1"/>
  <c r="F19" i="22" s="1"/>
  <c r="G19" i="22" s="1"/>
  <c r="H19" i="22" s="1"/>
  <c r="B25" i="22"/>
  <c r="CO8" i="1"/>
  <c r="CO3" i="1"/>
  <c r="CO5" i="1"/>
  <c r="CO27" i="1"/>
  <c r="CO32" i="1"/>
  <c r="CO48" i="1"/>
  <c r="H25" i="20"/>
  <c r="G25" i="20"/>
  <c r="F25" i="20"/>
  <c r="B7" i="20"/>
  <c r="C25" i="22" l="1"/>
  <c r="D25" i="22" s="1"/>
  <c r="E25" i="22" s="1"/>
  <c r="F25" i="22" s="1"/>
  <c r="G25" i="22" s="1"/>
  <c r="H25" i="22" s="1"/>
  <c r="B31" i="22"/>
  <c r="C31" i="22" s="1"/>
  <c r="D31" i="22" s="1"/>
  <c r="F31" i="22" s="1"/>
  <c r="G31" i="22" s="1"/>
  <c r="H31" i="22" s="1"/>
  <c r="C7" i="20"/>
  <c r="D7" i="20" s="1"/>
  <c r="E7" i="20" s="1"/>
  <c r="F7" i="20" s="1"/>
  <c r="G7" i="20" s="1"/>
  <c r="H7" i="20" s="1"/>
  <c r="B13" i="20"/>
  <c r="C29" i="1"/>
  <c r="C13" i="20" l="1"/>
  <c r="D13" i="20" s="1"/>
  <c r="E13" i="20" s="1"/>
  <c r="F13" i="20" s="1"/>
  <c r="G13" i="20" s="1"/>
  <c r="H13" i="20" s="1"/>
  <c r="B19" i="20"/>
  <c r="B25" i="20" l="1"/>
  <c r="C25" i="20" s="1"/>
  <c r="D25" i="20" s="1"/>
  <c r="E25" i="20" s="1"/>
  <c r="C19" i="20"/>
  <c r="D19" i="20" s="1"/>
  <c r="E19" i="20" s="1"/>
  <c r="F19" i="20" s="1"/>
  <c r="G19" i="20" s="1"/>
  <c r="H19" i="20" s="1"/>
  <c r="CF3" i="1"/>
  <c r="CG3" i="1"/>
  <c r="CF28" i="1"/>
  <c r="CG28" i="1"/>
  <c r="CF26" i="1"/>
  <c r="CG26" i="1"/>
  <c r="CF17" i="1"/>
  <c r="CG17" i="1"/>
  <c r="CF13" i="1"/>
  <c r="CG13" i="1"/>
  <c r="BY3" i="1"/>
  <c r="BZ3" i="1"/>
  <c r="BY28" i="1"/>
  <c r="BZ28" i="1"/>
  <c r="BY26" i="1"/>
  <c r="BZ26" i="1"/>
  <c r="CG47" i="1"/>
  <c r="CF47" i="1"/>
  <c r="CG48" i="1"/>
  <c r="CF48" i="1"/>
  <c r="CG44" i="1"/>
  <c r="CF44" i="1"/>
  <c r="CG45" i="1"/>
  <c r="CF45" i="1"/>
  <c r="CG39" i="1"/>
  <c r="CF39" i="1"/>
  <c r="CG43" i="1"/>
  <c r="CF43" i="1"/>
  <c r="CG40" i="1"/>
  <c r="CF40" i="1"/>
  <c r="CG38" i="1"/>
  <c r="CF38" i="1"/>
  <c r="CG36" i="1"/>
  <c r="CF36" i="1"/>
  <c r="CG33" i="1"/>
  <c r="CF33" i="1"/>
  <c r="CG31" i="1"/>
  <c r="CF31" i="1"/>
  <c r="CG30" i="1"/>
  <c r="CF30" i="1"/>
  <c r="CG35" i="1"/>
  <c r="CF35" i="1"/>
  <c r="CG32" i="1"/>
  <c r="CF32" i="1"/>
  <c r="CG34" i="1"/>
  <c r="CF34" i="1"/>
  <c r="CG24" i="1"/>
  <c r="CF24" i="1"/>
  <c r="CG29" i="1"/>
  <c r="CF29" i="1"/>
  <c r="CG27" i="1"/>
  <c r="CF27" i="1"/>
  <c r="CG25" i="1"/>
  <c r="CF25" i="1"/>
  <c r="CG22" i="1"/>
  <c r="CF22" i="1"/>
  <c r="CG18" i="1"/>
  <c r="CF18" i="1"/>
  <c r="CG20" i="1"/>
  <c r="CF20" i="1"/>
  <c r="CG19" i="1"/>
  <c r="CF19" i="1"/>
  <c r="CG21" i="1"/>
  <c r="CF21" i="1"/>
  <c r="CG23" i="1"/>
  <c r="CF23" i="1"/>
  <c r="CG15" i="1"/>
  <c r="CF15" i="1"/>
  <c r="CG16" i="1"/>
  <c r="CF16" i="1"/>
  <c r="CG7" i="1"/>
  <c r="CF7" i="1"/>
  <c r="CG4" i="1"/>
  <c r="CF4" i="1"/>
  <c r="CG5" i="1"/>
  <c r="CF5" i="1"/>
  <c r="CG8" i="1"/>
  <c r="CF8" i="1"/>
  <c r="CG9" i="1"/>
  <c r="CF9" i="1"/>
  <c r="CG6" i="1"/>
  <c r="CF6" i="1"/>
  <c r="CG2" i="1"/>
  <c r="CF2" i="1"/>
  <c r="U3" i="1"/>
  <c r="V3" i="1"/>
  <c r="AB3" i="1"/>
  <c r="AC3" i="1"/>
  <c r="AI3" i="1"/>
  <c r="AJ3" i="1"/>
  <c r="AP3" i="1"/>
  <c r="AQ3" i="1"/>
  <c r="AW3" i="1"/>
  <c r="AX3" i="1"/>
  <c r="BD3" i="1"/>
  <c r="BE3" i="1"/>
  <c r="BK3" i="1"/>
  <c r="BL3" i="1"/>
  <c r="BR3" i="1"/>
  <c r="BS3" i="1"/>
  <c r="AW11" i="1"/>
  <c r="AX11" i="1"/>
  <c r="DF11" i="1" s="1"/>
  <c r="DG11" i="1" s="1"/>
  <c r="BK11" i="1"/>
  <c r="BL11" i="1"/>
  <c r="AB28" i="1"/>
  <c r="AC28" i="1"/>
  <c r="AI28" i="1"/>
  <c r="AJ28" i="1"/>
  <c r="AP28" i="1"/>
  <c r="AQ28" i="1"/>
  <c r="AW28" i="1"/>
  <c r="AX28" i="1"/>
  <c r="BD28" i="1"/>
  <c r="BE28" i="1"/>
  <c r="BK28" i="1"/>
  <c r="BL28" i="1"/>
  <c r="BR28" i="1"/>
  <c r="BS28" i="1"/>
  <c r="U26" i="1"/>
  <c r="V26" i="1"/>
  <c r="AB26" i="1"/>
  <c r="AC26" i="1"/>
  <c r="AI26" i="1"/>
  <c r="AJ26" i="1"/>
  <c r="AP26" i="1"/>
  <c r="AQ26" i="1"/>
  <c r="AW26" i="1"/>
  <c r="AX26" i="1"/>
  <c r="BD26" i="1"/>
  <c r="BE26" i="1"/>
  <c r="BK26" i="1"/>
  <c r="BL26" i="1"/>
  <c r="BR26" i="1"/>
  <c r="BS26" i="1"/>
  <c r="C26" i="1"/>
  <c r="C28" i="1"/>
  <c r="C11" i="1"/>
  <c r="C3" i="1"/>
  <c r="DD11" i="1" l="1"/>
  <c r="DH11" i="1" s="1"/>
  <c r="DF26" i="1"/>
  <c r="DG26" i="1" s="1"/>
  <c r="DD26" i="1"/>
  <c r="DE26" i="1" s="1"/>
  <c r="DD28" i="1"/>
  <c r="DF3" i="1"/>
  <c r="DG3" i="1" s="1"/>
  <c r="DF28" i="1"/>
  <c r="DG28" i="1" s="1"/>
  <c r="DE11" i="1"/>
  <c r="DI11" i="1" s="1"/>
  <c r="DD3" i="1"/>
  <c r="CH47" i="1"/>
  <c r="CA28" i="1"/>
  <c r="CA3" i="1"/>
  <c r="CH17" i="1"/>
  <c r="CH28" i="1"/>
  <c r="CH3" i="1"/>
  <c r="CH9" i="1"/>
  <c r="CH5" i="1"/>
  <c r="CH7" i="1"/>
  <c r="CH16" i="1"/>
  <c r="CH23" i="1"/>
  <c r="CH19" i="1"/>
  <c r="CH18" i="1"/>
  <c r="CH29" i="1"/>
  <c r="CH34" i="1"/>
  <c r="CH39" i="1"/>
  <c r="BM28" i="1"/>
  <c r="BT3" i="1"/>
  <c r="BF3" i="1"/>
  <c r="AR3" i="1"/>
  <c r="AD3" i="1"/>
  <c r="CH32" i="1"/>
  <c r="CH36" i="1"/>
  <c r="CH45" i="1"/>
  <c r="CH48" i="1"/>
  <c r="BT26" i="1"/>
  <c r="AR26" i="1"/>
  <c r="BM11" i="1"/>
  <c r="AY11" i="1"/>
  <c r="W3" i="1"/>
  <c r="BM3" i="1"/>
  <c r="CH20" i="1"/>
  <c r="CA26" i="1"/>
  <c r="CH13" i="1"/>
  <c r="CH26" i="1"/>
  <c r="AK28" i="1"/>
  <c r="CH6" i="1"/>
  <c r="CH8" i="1"/>
  <c r="CH4" i="1"/>
  <c r="CH15" i="1"/>
  <c r="CH21" i="1"/>
  <c r="CH22" i="1"/>
  <c r="CH27" i="1"/>
  <c r="CH24" i="1"/>
  <c r="CH35" i="1"/>
  <c r="CH31" i="1"/>
  <c r="CH33" i="1"/>
  <c r="CH38" i="1"/>
  <c r="AK26" i="1"/>
  <c r="W26" i="1"/>
  <c r="BF28" i="1"/>
  <c r="AR28" i="1"/>
  <c r="AD28" i="1"/>
  <c r="AY3" i="1"/>
  <c r="CH25" i="1"/>
  <c r="CH30" i="1"/>
  <c r="CH40" i="1"/>
  <c r="CH44" i="1"/>
  <c r="CH43" i="1"/>
  <c r="AK3" i="1"/>
  <c r="CH2" i="1"/>
  <c r="BF26" i="1"/>
  <c r="BM26" i="1"/>
  <c r="AY26" i="1"/>
  <c r="AD26" i="1"/>
  <c r="BT28" i="1"/>
  <c r="AY28" i="1"/>
  <c r="G1" i="16"/>
  <c r="H1" i="16" s="1"/>
  <c r="B7" i="16" s="1"/>
  <c r="DH26" i="1" l="1"/>
  <c r="DI26" i="1"/>
  <c r="DH3" i="1"/>
  <c r="DE3" i="1"/>
  <c r="DI3" i="1" s="1"/>
  <c r="DH28" i="1"/>
  <c r="DE28" i="1"/>
  <c r="DI28" i="1" s="1"/>
  <c r="C7" i="16"/>
  <c r="D7" i="16" s="1"/>
  <c r="E7" i="16" s="1"/>
  <c r="F7" i="16" s="1"/>
  <c r="G7" i="16" s="1"/>
  <c r="H7" i="16" s="1"/>
  <c r="B13" i="16"/>
  <c r="C13" i="16" s="1"/>
  <c r="D13" i="16" s="1"/>
  <c r="E13" i="16" s="1"/>
  <c r="F13" i="16" s="1"/>
  <c r="G13" i="16" s="1"/>
  <c r="H13" i="16" s="1"/>
  <c r="B19" i="16"/>
  <c r="BY47" i="1"/>
  <c r="BZ47" i="1"/>
  <c r="BR47" i="1"/>
  <c r="BS47" i="1"/>
  <c r="BK47" i="1"/>
  <c r="BL47" i="1"/>
  <c r="BD47" i="1"/>
  <c r="BE47" i="1"/>
  <c r="AW47" i="1"/>
  <c r="AX47" i="1"/>
  <c r="AP47" i="1"/>
  <c r="AQ47" i="1"/>
  <c r="AI47" i="1"/>
  <c r="AJ47" i="1"/>
  <c r="AB47" i="1"/>
  <c r="AC47" i="1"/>
  <c r="U47" i="1"/>
  <c r="V47" i="1"/>
  <c r="N47" i="1"/>
  <c r="O47" i="1"/>
  <c r="C47" i="1"/>
  <c r="DD47" i="1" l="1"/>
  <c r="DE47" i="1" s="1"/>
  <c r="DF47" i="1"/>
  <c r="C19" i="16"/>
  <c r="D19" i="16" s="1"/>
  <c r="E19" i="16" s="1"/>
  <c r="F19" i="16" s="1"/>
  <c r="G19" i="16" s="1"/>
  <c r="H19" i="16" s="1"/>
  <c r="B25" i="16"/>
  <c r="C25" i="16" s="1"/>
  <c r="D25" i="16" s="1"/>
  <c r="E25" i="16" s="1"/>
  <c r="CA47" i="1"/>
  <c r="BF47" i="1"/>
  <c r="P47" i="1"/>
  <c r="AD47" i="1"/>
  <c r="AR47" i="1"/>
  <c r="BT47" i="1"/>
  <c r="W47" i="1"/>
  <c r="AK47" i="1"/>
  <c r="AY47" i="1"/>
  <c r="BM47" i="1"/>
  <c r="BY7" i="1"/>
  <c r="BZ7" i="1"/>
  <c r="BY22" i="1"/>
  <c r="BZ22" i="1"/>
  <c r="BY15" i="1"/>
  <c r="BZ15" i="1"/>
  <c r="BY33" i="1"/>
  <c r="BZ33" i="1"/>
  <c r="BY39" i="1"/>
  <c r="BZ39" i="1"/>
  <c r="BR7" i="1"/>
  <c r="BS7" i="1"/>
  <c r="BR22" i="1"/>
  <c r="BS22" i="1"/>
  <c r="BR15" i="1"/>
  <c r="BS15" i="1"/>
  <c r="BR33" i="1"/>
  <c r="BS33" i="1"/>
  <c r="BR39" i="1"/>
  <c r="BS39" i="1"/>
  <c r="BK7" i="1"/>
  <c r="BL7" i="1"/>
  <c r="BK22" i="1"/>
  <c r="BL22" i="1"/>
  <c r="BK15" i="1"/>
  <c r="BL15" i="1"/>
  <c r="BK33" i="1"/>
  <c r="BL33" i="1"/>
  <c r="BK39" i="1"/>
  <c r="BL39" i="1"/>
  <c r="BD7" i="1"/>
  <c r="BE7" i="1"/>
  <c r="BD22" i="1"/>
  <c r="BE22" i="1"/>
  <c r="BD15" i="1"/>
  <c r="BE15" i="1"/>
  <c r="BD33" i="1"/>
  <c r="BE33" i="1"/>
  <c r="BD39" i="1"/>
  <c r="BE39" i="1"/>
  <c r="AW7" i="1"/>
  <c r="AX7" i="1"/>
  <c r="AW22" i="1"/>
  <c r="AX22" i="1"/>
  <c r="AW15" i="1"/>
  <c r="AX15" i="1"/>
  <c r="AW33" i="1"/>
  <c r="AX33" i="1"/>
  <c r="AW39" i="1"/>
  <c r="AX39" i="1"/>
  <c r="AP43" i="1"/>
  <c r="AP7" i="1"/>
  <c r="AQ7" i="1"/>
  <c r="AP22" i="1"/>
  <c r="AQ22" i="1"/>
  <c r="AP15" i="1"/>
  <c r="AQ15" i="1"/>
  <c r="AP33" i="1"/>
  <c r="AQ33" i="1"/>
  <c r="AP39" i="1"/>
  <c r="AQ39" i="1"/>
  <c r="AI7" i="1"/>
  <c r="AJ7" i="1"/>
  <c r="AI22" i="1"/>
  <c r="AJ22" i="1"/>
  <c r="AI15" i="1"/>
  <c r="AJ15" i="1"/>
  <c r="AI33" i="1"/>
  <c r="AJ33" i="1"/>
  <c r="AI39" i="1"/>
  <c r="AJ39" i="1"/>
  <c r="AB7" i="1"/>
  <c r="AC7" i="1"/>
  <c r="AB22" i="1"/>
  <c r="AC22" i="1"/>
  <c r="AB15" i="1"/>
  <c r="AC15" i="1"/>
  <c r="AB33" i="1"/>
  <c r="AC33" i="1"/>
  <c r="AB39" i="1"/>
  <c r="AC39" i="1"/>
  <c r="U7" i="1"/>
  <c r="V7" i="1"/>
  <c r="U22" i="1"/>
  <c r="V22" i="1"/>
  <c r="U15" i="1"/>
  <c r="V15" i="1"/>
  <c r="U33" i="1"/>
  <c r="V33" i="1"/>
  <c r="U39" i="1"/>
  <c r="V39" i="1"/>
  <c r="N16" i="1"/>
  <c r="O16" i="1"/>
  <c r="N43" i="1"/>
  <c r="O43" i="1"/>
  <c r="N7" i="1"/>
  <c r="O7" i="1"/>
  <c r="N22" i="1"/>
  <c r="O22" i="1"/>
  <c r="N15" i="1"/>
  <c r="O15" i="1"/>
  <c r="N33" i="1"/>
  <c r="O33" i="1"/>
  <c r="N39" i="1"/>
  <c r="O39" i="1"/>
  <c r="C15" i="1"/>
  <c r="C22" i="1"/>
  <c r="C33" i="1"/>
  <c r="C7" i="1"/>
  <c r="C39" i="1"/>
  <c r="DF22" i="1" l="1"/>
  <c r="DG22" i="1" s="1"/>
  <c r="DD33" i="1"/>
  <c r="DF39" i="1"/>
  <c r="DF15" i="1"/>
  <c r="DF7" i="1"/>
  <c r="DF33" i="1"/>
  <c r="DG33" i="1" s="1"/>
  <c r="DD22" i="1"/>
  <c r="DD39" i="1"/>
  <c r="DE39" i="1" s="1"/>
  <c r="DD15" i="1"/>
  <c r="DE15" i="1" s="1"/>
  <c r="DD7" i="1"/>
  <c r="DE7" i="1" s="1"/>
  <c r="DH47" i="1"/>
  <c r="DG47" i="1"/>
  <c r="DI47" i="1" s="1"/>
  <c r="BF15" i="1"/>
  <c r="BF7" i="1"/>
  <c r="BM15" i="1"/>
  <c r="BM7" i="1"/>
  <c r="AK33" i="1"/>
  <c r="AK22" i="1"/>
  <c r="AR39" i="1"/>
  <c r="AR33" i="1"/>
  <c r="P39" i="1"/>
  <c r="AD22" i="1"/>
  <c r="AD7" i="1"/>
  <c r="AD39" i="1"/>
  <c r="AY22" i="1"/>
  <c r="P22" i="1"/>
  <c r="W33" i="1"/>
  <c r="W22" i="1"/>
  <c r="AK7" i="1"/>
  <c r="AY39" i="1"/>
  <c r="BF33" i="1"/>
  <c r="BM33" i="1"/>
  <c r="BT33" i="1"/>
  <c r="BT22" i="1"/>
  <c r="BM39" i="1"/>
  <c r="BT39" i="1"/>
  <c r="P15" i="1"/>
  <c r="P7" i="1"/>
  <c r="P16" i="1"/>
  <c r="AR15" i="1"/>
  <c r="AR7" i="1"/>
  <c r="CA39" i="1"/>
  <c r="P33" i="1"/>
  <c r="W15" i="1"/>
  <c r="W7" i="1"/>
  <c r="AD33" i="1"/>
  <c r="AK39" i="1"/>
  <c r="AK15" i="1"/>
  <c r="AR22" i="1"/>
  <c r="AY15" i="1"/>
  <c r="BF39" i="1"/>
  <c r="BF22" i="1"/>
  <c r="BT15" i="1"/>
  <c r="BT7" i="1"/>
  <c r="CA15" i="1"/>
  <c r="CA22" i="1"/>
  <c r="CA7" i="1"/>
  <c r="AY33" i="1"/>
  <c r="P43" i="1"/>
  <c r="W39" i="1"/>
  <c r="AD15" i="1"/>
  <c r="AY7" i="1"/>
  <c r="BM22" i="1"/>
  <c r="CA33" i="1"/>
  <c r="BZ23" i="1"/>
  <c r="BY23" i="1"/>
  <c r="BZ18" i="1"/>
  <c r="BY18" i="1"/>
  <c r="BZ17" i="1"/>
  <c r="BY17" i="1"/>
  <c r="BZ9" i="1"/>
  <c r="BY9" i="1"/>
  <c r="BZ36" i="1"/>
  <c r="BY36" i="1"/>
  <c r="BZ32" i="1"/>
  <c r="BY32" i="1"/>
  <c r="BZ27" i="1"/>
  <c r="BY27" i="1"/>
  <c r="BZ19" i="1"/>
  <c r="BY19" i="1"/>
  <c r="BZ35" i="1"/>
  <c r="BY35" i="1"/>
  <c r="BZ48" i="1"/>
  <c r="BY48" i="1"/>
  <c r="BZ44" i="1"/>
  <c r="BY44" i="1"/>
  <c r="BZ38" i="1"/>
  <c r="BY38" i="1"/>
  <c r="BZ30" i="1"/>
  <c r="BY30" i="1"/>
  <c r="BZ4" i="1"/>
  <c r="BY4" i="1"/>
  <c r="BZ31" i="1"/>
  <c r="BY31" i="1"/>
  <c r="BZ43" i="1"/>
  <c r="BY43" i="1"/>
  <c r="BZ40" i="1"/>
  <c r="BY40" i="1"/>
  <c r="BZ34" i="1"/>
  <c r="BY34" i="1"/>
  <c r="BZ21" i="1"/>
  <c r="BY21" i="1"/>
  <c r="BZ16" i="1"/>
  <c r="BY16" i="1"/>
  <c r="BZ8" i="1"/>
  <c r="BY8" i="1"/>
  <c r="BZ20" i="1"/>
  <c r="BY20" i="1"/>
  <c r="BZ6" i="1"/>
  <c r="BY6" i="1"/>
  <c r="BZ5" i="1"/>
  <c r="BY5" i="1"/>
  <c r="BZ2" i="1"/>
  <c r="BY2" i="1"/>
  <c r="BZ45" i="1"/>
  <c r="BY45" i="1"/>
  <c r="BZ29" i="1"/>
  <c r="BY29" i="1"/>
  <c r="BZ25" i="1"/>
  <c r="BY25" i="1"/>
  <c r="BZ24" i="1"/>
  <c r="BY24" i="1"/>
  <c r="BZ13" i="1"/>
  <c r="BY13" i="1"/>
  <c r="G25" i="14"/>
  <c r="H25" i="14" s="1"/>
  <c r="C25" i="14"/>
  <c r="E25" i="14" s="1"/>
  <c r="G19" i="14"/>
  <c r="H19" i="14" s="1"/>
  <c r="B7" i="14"/>
  <c r="C7" i="14" s="1"/>
  <c r="D7" i="14" s="1"/>
  <c r="E7" i="14" s="1"/>
  <c r="F7" i="14" s="1"/>
  <c r="G7" i="14" s="1"/>
  <c r="H7" i="14" s="1"/>
  <c r="C1" i="14"/>
  <c r="D1" i="14" s="1"/>
  <c r="E1" i="14" s="1"/>
  <c r="F1" i="14" s="1"/>
  <c r="G1" i="14" s="1"/>
  <c r="H1" i="14" s="1"/>
  <c r="DH15" i="1" l="1"/>
  <c r="DG15" i="1"/>
  <c r="DI15" i="1" s="1"/>
  <c r="DH39" i="1"/>
  <c r="DG39" i="1"/>
  <c r="DI39" i="1" s="1"/>
  <c r="DH33" i="1"/>
  <c r="DE33" i="1"/>
  <c r="DI33" i="1" s="1"/>
  <c r="DH22" i="1"/>
  <c r="DE22" i="1"/>
  <c r="DI22" i="1" s="1"/>
  <c r="DH7" i="1"/>
  <c r="DG7" i="1"/>
  <c r="DI7" i="1" s="1"/>
  <c r="CA2" i="1"/>
  <c r="CA6" i="1"/>
  <c r="CA16" i="1"/>
  <c r="CA34" i="1"/>
  <c r="CA23" i="1"/>
  <c r="CA36" i="1"/>
  <c r="CA17" i="1"/>
  <c r="CA31" i="1"/>
  <c r="CA44" i="1"/>
  <c r="CA32" i="1"/>
  <c r="CA13" i="1"/>
  <c r="CA9" i="1"/>
  <c r="CA18" i="1"/>
  <c r="CA25" i="1"/>
  <c r="CA20" i="1"/>
  <c r="CA40" i="1"/>
  <c r="CA8" i="1"/>
  <c r="CA29" i="1"/>
  <c r="CA30" i="1"/>
  <c r="CA19" i="1"/>
  <c r="CA21" i="1"/>
  <c r="CA48" i="1"/>
  <c r="CA35" i="1"/>
  <c r="CA27" i="1"/>
  <c r="CA24" i="1"/>
  <c r="CA45" i="1"/>
  <c r="CA5" i="1"/>
  <c r="CA43" i="1"/>
  <c r="CA4" i="1"/>
  <c r="CA38" i="1"/>
  <c r="B13" i="14"/>
  <c r="C13" i="14" s="1"/>
  <c r="D13" i="14" s="1"/>
  <c r="E13" i="14" s="1"/>
  <c r="F13" i="14" s="1"/>
  <c r="G13" i="14" s="1"/>
  <c r="H13" i="14" s="1"/>
  <c r="BR4" i="1"/>
  <c r="BS4" i="1"/>
  <c r="BR9" i="1"/>
  <c r="BS9" i="1"/>
  <c r="BR2" i="1"/>
  <c r="BS2" i="1"/>
  <c r="BR17" i="1"/>
  <c r="BS17" i="1"/>
  <c r="BR35" i="1"/>
  <c r="BS35" i="1"/>
  <c r="BR8" i="1"/>
  <c r="BS8" i="1"/>
  <c r="BR6" i="1"/>
  <c r="BS6" i="1"/>
  <c r="BR5" i="1"/>
  <c r="BS5" i="1"/>
  <c r="BR16" i="1"/>
  <c r="BS16" i="1"/>
  <c r="BR13" i="1"/>
  <c r="BS13" i="1"/>
  <c r="BR19" i="1"/>
  <c r="BS19" i="1"/>
  <c r="BR18" i="1"/>
  <c r="BS18" i="1"/>
  <c r="BR23" i="1"/>
  <c r="BS23" i="1"/>
  <c r="BR20" i="1"/>
  <c r="BS20" i="1"/>
  <c r="BR21" i="1"/>
  <c r="BS21" i="1"/>
  <c r="BR27" i="1"/>
  <c r="BS27" i="1"/>
  <c r="BR24" i="1"/>
  <c r="BS24" i="1"/>
  <c r="BR29" i="1"/>
  <c r="BS29" i="1"/>
  <c r="BR25" i="1"/>
  <c r="BS25" i="1"/>
  <c r="BR32" i="1"/>
  <c r="BS32" i="1"/>
  <c r="BR30" i="1"/>
  <c r="BS30" i="1"/>
  <c r="BR31" i="1"/>
  <c r="BS31" i="1"/>
  <c r="BR34" i="1"/>
  <c r="BS34" i="1"/>
  <c r="BR38" i="1"/>
  <c r="BS38" i="1"/>
  <c r="BR40" i="1"/>
  <c r="BS40" i="1"/>
  <c r="BR43" i="1"/>
  <c r="BS43" i="1"/>
  <c r="BR36" i="1"/>
  <c r="BS36" i="1"/>
  <c r="BR45" i="1"/>
  <c r="BS45" i="1"/>
  <c r="BR44" i="1"/>
  <c r="BS44" i="1"/>
  <c r="BS48" i="1"/>
  <c r="BR48" i="1"/>
  <c r="B19" i="14" l="1"/>
  <c r="C19" i="14" s="1"/>
  <c r="D19" i="14" s="1"/>
  <c r="E19" i="14" s="1"/>
  <c r="BT2" i="1"/>
  <c r="BT4" i="1"/>
  <c r="BT44" i="1"/>
  <c r="BT34" i="1"/>
  <c r="BT48" i="1"/>
  <c r="BT25" i="1"/>
  <c r="BT24" i="1"/>
  <c r="BT35" i="1"/>
  <c r="BT16" i="1"/>
  <c r="BT43" i="1"/>
  <c r="BT38" i="1"/>
  <c r="BT21" i="1"/>
  <c r="BT19" i="1"/>
  <c r="BT6" i="1"/>
  <c r="BT32" i="1"/>
  <c r="BT9" i="1"/>
  <c r="BT27" i="1"/>
  <c r="BT18" i="1"/>
  <c r="BT5" i="1"/>
  <c r="BT40" i="1"/>
  <c r="BT13" i="1"/>
  <c r="BT29" i="1"/>
  <c r="BT17" i="1"/>
  <c r="BT36" i="1"/>
  <c r="BT30" i="1"/>
  <c r="BT23" i="1"/>
  <c r="BT45" i="1"/>
  <c r="BT31" i="1"/>
  <c r="BT20" i="1"/>
  <c r="BT8" i="1"/>
  <c r="BK16" i="1"/>
  <c r="BL16" i="1"/>
  <c r="U16" i="1"/>
  <c r="V16" i="1"/>
  <c r="AB16" i="1"/>
  <c r="AC16" i="1"/>
  <c r="AI16" i="1"/>
  <c r="AJ16" i="1"/>
  <c r="AP16" i="1"/>
  <c r="AQ16" i="1"/>
  <c r="AW16" i="1"/>
  <c r="AX16" i="1"/>
  <c r="BD16" i="1"/>
  <c r="BE16" i="1"/>
  <c r="C16" i="1"/>
  <c r="BK43" i="1"/>
  <c r="BL43" i="1"/>
  <c r="U43" i="1"/>
  <c r="V43" i="1"/>
  <c r="AB43" i="1"/>
  <c r="AC43" i="1"/>
  <c r="AI43" i="1"/>
  <c r="AJ43" i="1"/>
  <c r="AQ43" i="1"/>
  <c r="AW43" i="1"/>
  <c r="AX43" i="1"/>
  <c r="BD43" i="1"/>
  <c r="BE43" i="1"/>
  <c r="C43" i="1"/>
  <c r="G31" i="13"/>
  <c r="H31" i="13" s="1"/>
  <c r="C31" i="13"/>
  <c r="D31" i="13" s="1"/>
  <c r="E31" i="13" s="1"/>
  <c r="G25" i="13"/>
  <c r="H25" i="13" s="1"/>
  <c r="B13" i="13"/>
  <c r="B19" i="13" s="1"/>
  <c r="C7" i="13"/>
  <c r="D7" i="13" s="1"/>
  <c r="E7" i="13" s="1"/>
  <c r="F7" i="13" s="1"/>
  <c r="G7" i="13" s="1"/>
  <c r="H7" i="13" s="1"/>
  <c r="G1" i="13"/>
  <c r="H1" i="13" s="1"/>
  <c r="DD16" i="1" l="1"/>
  <c r="DE16" i="1" s="1"/>
  <c r="DF43" i="1"/>
  <c r="DG43" i="1" s="1"/>
  <c r="DD43" i="1"/>
  <c r="DF16" i="1"/>
  <c r="DG16" i="1" s="1"/>
  <c r="AY43" i="1"/>
  <c r="W43" i="1"/>
  <c r="BF43" i="1"/>
  <c r="AR43" i="1"/>
  <c r="AD43" i="1"/>
  <c r="AY16" i="1"/>
  <c r="BM16" i="1"/>
  <c r="BF16" i="1"/>
  <c r="AK16" i="1"/>
  <c r="AK43" i="1"/>
  <c r="BM43" i="1"/>
  <c r="AR16" i="1"/>
  <c r="AD16" i="1"/>
  <c r="C19" i="13"/>
  <c r="D19" i="13" s="1"/>
  <c r="E19" i="13" s="1"/>
  <c r="F19" i="13" s="1"/>
  <c r="G19" i="13" s="1"/>
  <c r="H19" i="13" s="1"/>
  <c r="B25" i="13"/>
  <c r="C25" i="13" s="1"/>
  <c r="D25" i="13" s="1"/>
  <c r="E25" i="13" s="1"/>
  <c r="C13" i="13"/>
  <c r="D13" i="13" s="1"/>
  <c r="E13" i="13" s="1"/>
  <c r="F13" i="13" s="1"/>
  <c r="G13" i="13" s="1"/>
  <c r="H13" i="13" s="1"/>
  <c r="BK36" i="1"/>
  <c r="BK24" i="1"/>
  <c r="BL24" i="1"/>
  <c r="BK29" i="1"/>
  <c r="BL29" i="1"/>
  <c r="BK38" i="1"/>
  <c r="BL38" i="1"/>
  <c r="BK40" i="1"/>
  <c r="BL40" i="1"/>
  <c r="BK44" i="1"/>
  <c r="BL44" i="1"/>
  <c r="BD24" i="1"/>
  <c r="BE24" i="1"/>
  <c r="BD29" i="1"/>
  <c r="BE29" i="1"/>
  <c r="BD38" i="1"/>
  <c r="BE38" i="1"/>
  <c r="BD40" i="1"/>
  <c r="BE40" i="1"/>
  <c r="BD44" i="1"/>
  <c r="BE44" i="1"/>
  <c r="AW24" i="1"/>
  <c r="AX24" i="1"/>
  <c r="AW29" i="1"/>
  <c r="AX29" i="1"/>
  <c r="AW38" i="1"/>
  <c r="AX38" i="1"/>
  <c r="AW40" i="1"/>
  <c r="AX40" i="1"/>
  <c r="AW44" i="1"/>
  <c r="AX44" i="1"/>
  <c r="AP24" i="1"/>
  <c r="AQ24" i="1"/>
  <c r="AP29" i="1"/>
  <c r="AQ29" i="1"/>
  <c r="AP38" i="1"/>
  <c r="AQ38" i="1"/>
  <c r="AP40" i="1"/>
  <c r="AQ40" i="1"/>
  <c r="AP44" i="1"/>
  <c r="AQ44" i="1"/>
  <c r="AI24" i="1"/>
  <c r="AJ24" i="1"/>
  <c r="AI29" i="1"/>
  <c r="AJ29" i="1"/>
  <c r="AI38" i="1"/>
  <c r="AJ38" i="1"/>
  <c r="AI40" i="1"/>
  <c r="AJ40" i="1"/>
  <c r="AI44" i="1"/>
  <c r="AJ44" i="1"/>
  <c r="AB24" i="1"/>
  <c r="AC24" i="1"/>
  <c r="AB29" i="1"/>
  <c r="AC29" i="1"/>
  <c r="AB38" i="1"/>
  <c r="AC38" i="1"/>
  <c r="AB40" i="1"/>
  <c r="AC40" i="1"/>
  <c r="AB44" i="1"/>
  <c r="AC44" i="1"/>
  <c r="U24" i="1"/>
  <c r="V24" i="1"/>
  <c r="U29" i="1"/>
  <c r="V29" i="1"/>
  <c r="U38" i="1"/>
  <c r="V38" i="1"/>
  <c r="U40" i="1"/>
  <c r="V40" i="1"/>
  <c r="U44" i="1"/>
  <c r="V44" i="1"/>
  <c r="N24" i="1"/>
  <c r="O24" i="1"/>
  <c r="N29" i="1"/>
  <c r="O29" i="1"/>
  <c r="N38" i="1"/>
  <c r="O38" i="1"/>
  <c r="N40" i="1"/>
  <c r="O40" i="1"/>
  <c r="N44" i="1"/>
  <c r="O44" i="1"/>
  <c r="C2" i="1"/>
  <c r="C4" i="1"/>
  <c r="C6" i="1"/>
  <c r="C8" i="1"/>
  <c r="C9" i="1"/>
  <c r="C13" i="1"/>
  <c r="C17" i="1"/>
  <c r="C18" i="1"/>
  <c r="C19" i="1"/>
  <c r="C20" i="1"/>
  <c r="C21" i="1"/>
  <c r="C23" i="1"/>
  <c r="C25" i="1"/>
  <c r="C24" i="1"/>
  <c r="C27" i="1"/>
  <c r="C30" i="1"/>
  <c r="C31" i="1"/>
  <c r="C32" i="1"/>
  <c r="C34" i="1"/>
  <c r="C35" i="1"/>
  <c r="C36" i="1"/>
  <c r="C38" i="1"/>
  <c r="C40" i="1"/>
  <c r="C45" i="1"/>
  <c r="C44" i="1"/>
  <c r="DI16" i="1" l="1"/>
  <c r="DF40" i="1"/>
  <c r="DG40" i="1" s="1"/>
  <c r="DF29" i="1"/>
  <c r="DG29" i="1" s="1"/>
  <c r="DD29" i="1"/>
  <c r="DF44" i="1"/>
  <c r="DG44" i="1" s="1"/>
  <c r="DF38" i="1"/>
  <c r="DG38" i="1" s="1"/>
  <c r="DF24" i="1"/>
  <c r="DH16" i="1"/>
  <c r="DE43" i="1"/>
  <c r="DI43" i="1" s="1"/>
  <c r="DH43" i="1"/>
  <c r="DD40" i="1"/>
  <c r="DD44" i="1"/>
  <c r="DD38" i="1"/>
  <c r="DD24" i="1"/>
  <c r="DE24" i="1" s="1"/>
  <c r="W38" i="1"/>
  <c r="AD44" i="1"/>
  <c r="AK38" i="1"/>
  <c r="AY44" i="1"/>
  <c r="AY38" i="1"/>
  <c r="AY24" i="1"/>
  <c r="AY29" i="1"/>
  <c r="BM44" i="1"/>
  <c r="BM38" i="1"/>
  <c r="AR24" i="1"/>
  <c r="BM24" i="1"/>
  <c r="P38" i="1"/>
  <c r="P24" i="1"/>
  <c r="AD38" i="1"/>
  <c r="AD24" i="1"/>
  <c r="AR38" i="1"/>
  <c r="BF29" i="1"/>
  <c r="P40" i="1"/>
  <c r="W40" i="1"/>
  <c r="BF38" i="1"/>
  <c r="AD29" i="1"/>
  <c r="AK40" i="1"/>
  <c r="AR29" i="1"/>
  <c r="P29" i="1"/>
  <c r="W44" i="1"/>
  <c r="W24" i="1"/>
  <c r="AK29" i="1"/>
  <c r="AR40" i="1"/>
  <c r="BF40" i="1"/>
  <c r="BF24" i="1"/>
  <c r="BM40" i="1"/>
  <c r="P44" i="1"/>
  <c r="W29" i="1"/>
  <c r="AD40" i="1"/>
  <c r="AK44" i="1"/>
  <c r="AK24" i="1"/>
  <c r="AR44" i="1"/>
  <c r="AY40" i="1"/>
  <c r="BF44" i="1"/>
  <c r="BM29" i="1"/>
  <c r="DH40" i="1" l="1"/>
  <c r="DE40" i="1"/>
  <c r="DI40" i="1" s="1"/>
  <c r="DH24" i="1"/>
  <c r="DG24" i="1"/>
  <c r="DI24" i="1" s="1"/>
  <c r="DE44" i="1"/>
  <c r="DI44" i="1" s="1"/>
  <c r="DH44" i="1"/>
  <c r="DE29" i="1"/>
  <c r="DI29" i="1" s="1"/>
  <c r="DH29" i="1"/>
  <c r="DE38" i="1"/>
  <c r="DI38" i="1" s="1"/>
  <c r="DH38" i="1"/>
  <c r="BL2" i="1"/>
  <c r="BK2" i="1"/>
  <c r="BD13" i="1"/>
  <c r="BE2" i="1"/>
  <c r="O2" i="1"/>
  <c r="BD4" i="1"/>
  <c r="BE4" i="1"/>
  <c r="BD5" i="1"/>
  <c r="BE5" i="1"/>
  <c r="BD6" i="1"/>
  <c r="BE6" i="1"/>
  <c r="BD8" i="1"/>
  <c r="BE8" i="1"/>
  <c r="BD9" i="1"/>
  <c r="BE9" i="1"/>
  <c r="BE13" i="1"/>
  <c r="BD17" i="1"/>
  <c r="BE17" i="1"/>
  <c r="BD18" i="1"/>
  <c r="BE18" i="1"/>
  <c r="BD19" i="1"/>
  <c r="BE19" i="1"/>
  <c r="BD20" i="1"/>
  <c r="BE20" i="1"/>
  <c r="BD21" i="1"/>
  <c r="BE21" i="1"/>
  <c r="BD23" i="1"/>
  <c r="BE23" i="1"/>
  <c r="BD25" i="1"/>
  <c r="BE25" i="1"/>
  <c r="AW4" i="1"/>
  <c r="AX4" i="1"/>
  <c r="AW5" i="1"/>
  <c r="AX5" i="1"/>
  <c r="AW6" i="1"/>
  <c r="AX6" i="1"/>
  <c r="AW8" i="1"/>
  <c r="AX8" i="1"/>
  <c r="AW9" i="1"/>
  <c r="AX9" i="1"/>
  <c r="AW13" i="1"/>
  <c r="AX13" i="1"/>
  <c r="AW17" i="1"/>
  <c r="AX17" i="1"/>
  <c r="AW18" i="1"/>
  <c r="AX18" i="1"/>
  <c r="AP4" i="1"/>
  <c r="AQ4" i="1"/>
  <c r="AP5" i="1"/>
  <c r="AQ5" i="1"/>
  <c r="AP6" i="1"/>
  <c r="AQ6" i="1"/>
  <c r="AP8" i="1"/>
  <c r="AQ8" i="1"/>
  <c r="AP9" i="1"/>
  <c r="AQ9" i="1"/>
  <c r="AP13" i="1"/>
  <c r="AQ13" i="1"/>
  <c r="AP17" i="1"/>
  <c r="AQ17" i="1"/>
  <c r="AP18" i="1"/>
  <c r="AQ18" i="1"/>
  <c r="AP19" i="1"/>
  <c r="AQ19" i="1"/>
  <c r="AP20" i="1"/>
  <c r="AQ20" i="1"/>
  <c r="AP21" i="1"/>
  <c r="AQ21" i="1"/>
  <c r="AP23" i="1"/>
  <c r="AQ23" i="1"/>
  <c r="AI4" i="1"/>
  <c r="AJ4" i="1"/>
  <c r="AI5" i="1"/>
  <c r="AJ5" i="1"/>
  <c r="AI6" i="1"/>
  <c r="AJ6" i="1"/>
  <c r="AI8" i="1"/>
  <c r="AJ8" i="1"/>
  <c r="AI9" i="1"/>
  <c r="AJ9" i="1"/>
  <c r="AI13" i="1"/>
  <c r="AJ13" i="1"/>
  <c r="AI17" i="1"/>
  <c r="AJ17" i="1"/>
  <c r="AI18" i="1"/>
  <c r="AJ18" i="1"/>
  <c r="AI19" i="1"/>
  <c r="AJ19" i="1"/>
  <c r="AI20" i="1"/>
  <c r="AJ20" i="1"/>
  <c r="AI21" i="1"/>
  <c r="AJ21" i="1"/>
  <c r="AI23" i="1"/>
  <c r="AJ23" i="1"/>
  <c r="AI25" i="1"/>
  <c r="AJ25" i="1"/>
  <c r="AI27" i="1"/>
  <c r="AJ27" i="1"/>
  <c r="AI30" i="1"/>
  <c r="AJ30" i="1"/>
  <c r="AB4" i="1"/>
  <c r="AC4" i="1"/>
  <c r="AB5" i="1"/>
  <c r="AC5" i="1"/>
  <c r="AB6" i="1"/>
  <c r="AC6" i="1"/>
  <c r="AB8" i="1"/>
  <c r="AC8" i="1"/>
  <c r="AB9" i="1"/>
  <c r="AC9" i="1"/>
  <c r="AB13" i="1"/>
  <c r="AC13" i="1"/>
  <c r="AB17" i="1"/>
  <c r="AC17" i="1"/>
  <c r="AB18" i="1"/>
  <c r="AC18" i="1"/>
  <c r="AB19" i="1"/>
  <c r="AC19" i="1"/>
  <c r="AB20" i="1"/>
  <c r="AC20" i="1"/>
  <c r="AB21" i="1"/>
  <c r="AC21" i="1"/>
  <c r="AB23" i="1"/>
  <c r="AC23" i="1"/>
  <c r="U4" i="1"/>
  <c r="V4" i="1"/>
  <c r="U5" i="1"/>
  <c r="V5" i="1"/>
  <c r="U6" i="1"/>
  <c r="V6" i="1"/>
  <c r="U8" i="1"/>
  <c r="V8" i="1"/>
  <c r="U9" i="1"/>
  <c r="V9" i="1"/>
  <c r="U13" i="1"/>
  <c r="V13" i="1"/>
  <c r="U17" i="1"/>
  <c r="V17" i="1"/>
  <c r="U18" i="1"/>
  <c r="V18" i="1"/>
  <c r="U19" i="1"/>
  <c r="V19" i="1"/>
  <c r="U20" i="1"/>
  <c r="V20" i="1"/>
  <c r="U21" i="1"/>
  <c r="V21" i="1"/>
  <c r="U23" i="1"/>
  <c r="V23" i="1"/>
  <c r="N4" i="1"/>
  <c r="O4" i="1"/>
  <c r="N5" i="1"/>
  <c r="O5" i="1"/>
  <c r="N6" i="1"/>
  <c r="O6" i="1"/>
  <c r="N8" i="1"/>
  <c r="O8" i="1"/>
  <c r="N9" i="1"/>
  <c r="O9" i="1"/>
  <c r="N13" i="1"/>
  <c r="O13" i="1"/>
  <c r="N17" i="1"/>
  <c r="O17" i="1"/>
  <c r="N18" i="1"/>
  <c r="O18" i="1"/>
  <c r="N19" i="1"/>
  <c r="O19" i="1"/>
  <c r="N20" i="1"/>
  <c r="O20" i="1"/>
  <c r="N21" i="1"/>
  <c r="O21" i="1"/>
  <c r="N23" i="1"/>
  <c r="O23" i="1"/>
  <c r="N25" i="1"/>
  <c r="O25" i="1"/>
  <c r="BK18" i="1"/>
  <c r="BL18" i="1"/>
  <c r="BL48" i="1"/>
  <c r="BK48" i="1"/>
  <c r="BL45" i="1"/>
  <c r="BK45" i="1"/>
  <c r="BL36" i="1"/>
  <c r="BL35" i="1"/>
  <c r="BK35" i="1"/>
  <c r="BL34" i="1"/>
  <c r="BK34" i="1"/>
  <c r="BL32" i="1"/>
  <c r="BK32" i="1"/>
  <c r="BL31" i="1"/>
  <c r="BK31" i="1"/>
  <c r="BL30" i="1"/>
  <c r="BK30" i="1"/>
  <c r="BL27" i="1"/>
  <c r="BK27" i="1"/>
  <c r="BL25" i="1"/>
  <c r="BK25" i="1"/>
  <c r="BL23" i="1"/>
  <c r="BK23" i="1"/>
  <c r="BL21" i="1"/>
  <c r="BK21" i="1"/>
  <c r="BL20" i="1"/>
  <c r="BK20" i="1"/>
  <c r="BL19" i="1"/>
  <c r="BK19" i="1"/>
  <c r="BL17" i="1"/>
  <c r="BK17" i="1"/>
  <c r="BL13" i="1"/>
  <c r="BK13" i="1"/>
  <c r="BL9" i="1"/>
  <c r="BK9" i="1"/>
  <c r="BL8" i="1"/>
  <c r="BK8" i="1"/>
  <c r="BL6" i="1"/>
  <c r="BK6" i="1"/>
  <c r="BL5" i="1"/>
  <c r="BK5" i="1"/>
  <c r="BL4" i="1"/>
  <c r="BK4" i="1"/>
  <c r="DF18" i="1" l="1"/>
  <c r="DG18" i="1" s="1"/>
  <c r="DF8" i="1"/>
  <c r="DG8" i="1" s="1"/>
  <c r="DD13" i="1"/>
  <c r="DD8" i="1"/>
  <c r="DF17" i="1"/>
  <c r="DF9" i="1"/>
  <c r="DF6" i="1"/>
  <c r="DG6" i="1" s="1"/>
  <c r="DF4" i="1"/>
  <c r="DG4" i="1" s="1"/>
  <c r="DF13" i="1"/>
  <c r="DG13" i="1" s="1"/>
  <c r="DF5" i="1"/>
  <c r="DG5" i="1" s="1"/>
  <c r="DD18" i="1"/>
  <c r="DD5" i="1"/>
  <c r="DD17" i="1"/>
  <c r="DE17" i="1" s="1"/>
  <c r="DD9" i="1"/>
  <c r="DE9" i="1" s="1"/>
  <c r="DD6" i="1"/>
  <c r="DD4" i="1"/>
  <c r="W9" i="1"/>
  <c r="AR18" i="1"/>
  <c r="AR4" i="1"/>
  <c r="AY18" i="1"/>
  <c r="AY9" i="1"/>
  <c r="P17" i="1"/>
  <c r="BF9" i="1"/>
  <c r="BM2" i="1"/>
  <c r="BM18" i="1"/>
  <c r="P23" i="1"/>
  <c r="P18" i="1"/>
  <c r="W21" i="1"/>
  <c r="W19" i="1"/>
  <c r="W13" i="1"/>
  <c r="W4" i="1"/>
  <c r="AK21" i="1"/>
  <c r="AK13" i="1"/>
  <c r="W23" i="1"/>
  <c r="W20" i="1"/>
  <c r="W17" i="1"/>
  <c r="BF8" i="1"/>
  <c r="AD6" i="1"/>
  <c r="AD4" i="1"/>
  <c r="AR19" i="1"/>
  <c r="AR9" i="1"/>
  <c r="AY8" i="1"/>
  <c r="BF21" i="1"/>
  <c r="P8" i="1"/>
  <c r="AD8" i="1"/>
  <c r="AD5" i="1"/>
  <c r="AK8" i="1"/>
  <c r="AR20" i="1"/>
  <c r="BM4" i="1"/>
  <c r="BM6" i="1"/>
  <c r="BM9" i="1"/>
  <c r="BM17" i="1"/>
  <c r="BM19" i="1"/>
  <c r="BM21" i="1"/>
  <c r="BM25" i="1"/>
  <c r="BM30" i="1"/>
  <c r="BM32" i="1"/>
  <c r="BM34" i="1"/>
  <c r="BM35" i="1"/>
  <c r="BM36" i="1"/>
  <c r="BM48" i="1"/>
  <c r="P9" i="1"/>
  <c r="P4" i="1"/>
  <c r="W18" i="1"/>
  <c r="W6" i="1"/>
  <c r="AD21" i="1"/>
  <c r="AK9" i="1"/>
  <c r="AR23" i="1"/>
  <c r="AR17" i="1"/>
  <c r="AR6" i="1"/>
  <c r="AY4" i="1"/>
  <c r="BF23" i="1"/>
  <c r="BF17" i="1"/>
  <c r="BM5" i="1"/>
  <c r="BM8" i="1"/>
  <c r="BM13" i="1"/>
  <c r="BM23" i="1"/>
  <c r="BM31" i="1"/>
  <c r="P21" i="1"/>
  <c r="W8" i="1"/>
  <c r="W5" i="1"/>
  <c r="AD20" i="1"/>
  <c r="AD18" i="1"/>
  <c r="AK30" i="1"/>
  <c r="AR13" i="1"/>
  <c r="AR5" i="1"/>
  <c r="AY13" i="1"/>
  <c r="BF25" i="1"/>
  <c r="BF13" i="1"/>
  <c r="P25" i="1"/>
  <c r="P20" i="1"/>
  <c r="P13" i="1"/>
  <c r="P6" i="1"/>
  <c r="AD23" i="1"/>
  <c r="AD19" i="1"/>
  <c r="AD13" i="1"/>
  <c r="AK27" i="1"/>
  <c r="AK23" i="1"/>
  <c r="AK19" i="1"/>
  <c r="AK17" i="1"/>
  <c r="AK5" i="1"/>
  <c r="AR21" i="1"/>
  <c r="AR8" i="1"/>
  <c r="AY17" i="1"/>
  <c r="AY5" i="1"/>
  <c r="BF20" i="1"/>
  <c r="BF18" i="1"/>
  <c r="BF5" i="1"/>
  <c r="BM20" i="1"/>
  <c r="BM27" i="1"/>
  <c r="BM45" i="1"/>
  <c r="P19" i="1"/>
  <c r="P5" i="1"/>
  <c r="AD17" i="1"/>
  <c r="AD9" i="1"/>
  <c r="AK25" i="1"/>
  <c r="AK20" i="1"/>
  <c r="AK18" i="1"/>
  <c r="AK6" i="1"/>
  <c r="AK4" i="1"/>
  <c r="AY6" i="1"/>
  <c r="BF19" i="1"/>
  <c r="BF6" i="1"/>
  <c r="BF4" i="1"/>
  <c r="DE4" i="1" l="1"/>
  <c r="DI4" i="1" s="1"/>
  <c r="DH4" i="1"/>
  <c r="DE6" i="1"/>
  <c r="DI6" i="1" s="1"/>
  <c r="DH6" i="1"/>
  <c r="DE5" i="1"/>
  <c r="DI5" i="1" s="1"/>
  <c r="DH5" i="1"/>
  <c r="DH9" i="1"/>
  <c r="DG9" i="1"/>
  <c r="DI9" i="1" s="1"/>
  <c r="DE8" i="1"/>
  <c r="DI8" i="1" s="1"/>
  <c r="DH8" i="1"/>
  <c r="DE18" i="1"/>
  <c r="DI18" i="1" s="1"/>
  <c r="DH18" i="1"/>
  <c r="DH17" i="1"/>
  <c r="DG17" i="1"/>
  <c r="DI17" i="1" s="1"/>
  <c r="DE13" i="1"/>
  <c r="DI13" i="1" s="1"/>
  <c r="DH13" i="1"/>
  <c r="BE48" i="1"/>
  <c r="BD48" i="1"/>
  <c r="BE45" i="1"/>
  <c r="BD45" i="1"/>
  <c r="BE36" i="1"/>
  <c r="BD36" i="1"/>
  <c r="BE35" i="1"/>
  <c r="BD35" i="1"/>
  <c r="BE34" i="1"/>
  <c r="BD34" i="1"/>
  <c r="BE32" i="1"/>
  <c r="BD32" i="1"/>
  <c r="BE31" i="1"/>
  <c r="BD31" i="1"/>
  <c r="BE30" i="1"/>
  <c r="BD30" i="1"/>
  <c r="BE27" i="1"/>
  <c r="BD27" i="1"/>
  <c r="BD2" i="1"/>
  <c r="AW20" i="1"/>
  <c r="DD20" i="1" s="1"/>
  <c r="AX20" i="1"/>
  <c r="DF20" i="1" s="1"/>
  <c r="DG20" i="1" s="1"/>
  <c r="AW45" i="1"/>
  <c r="AX45" i="1"/>
  <c r="AP45" i="1"/>
  <c r="AQ45" i="1"/>
  <c r="AI45" i="1"/>
  <c r="AJ45" i="1"/>
  <c r="U45" i="1"/>
  <c r="V45" i="1"/>
  <c r="AB45" i="1"/>
  <c r="AC45" i="1"/>
  <c r="N45" i="1"/>
  <c r="O45" i="1"/>
  <c r="DF45" i="1" l="1"/>
  <c r="DD45" i="1"/>
  <c r="DE45" i="1" s="1"/>
  <c r="DE20" i="1"/>
  <c r="DI20" i="1" s="1"/>
  <c r="DH20" i="1"/>
  <c r="BF2" i="1"/>
  <c r="BF27" i="1"/>
  <c r="BF30" i="1"/>
  <c r="BF32" i="1"/>
  <c r="BF34" i="1"/>
  <c r="BF35" i="1"/>
  <c r="BF36" i="1"/>
  <c r="BF45" i="1"/>
  <c r="BF48" i="1"/>
  <c r="BF31" i="1"/>
  <c r="AD45" i="1"/>
  <c r="W45" i="1"/>
  <c r="AK45" i="1"/>
  <c r="AY45" i="1"/>
  <c r="P45" i="1"/>
  <c r="AR45" i="1"/>
  <c r="AY20" i="1"/>
  <c r="DH45" i="1" l="1"/>
  <c r="DG45" i="1"/>
  <c r="DI45" i="1" s="1"/>
  <c r="AX19" i="1"/>
  <c r="DF19" i="1" s="1"/>
  <c r="DG19" i="1" s="1"/>
  <c r="AW19" i="1"/>
  <c r="DD19" i="1" s="1"/>
  <c r="AX30" i="1"/>
  <c r="AW30" i="1"/>
  <c r="AX31" i="1"/>
  <c r="AW31" i="1"/>
  <c r="AX36" i="1"/>
  <c r="AW36" i="1"/>
  <c r="AX27" i="1"/>
  <c r="AW27" i="1"/>
  <c r="AX48" i="1"/>
  <c r="AW48" i="1"/>
  <c r="AX23" i="1"/>
  <c r="DF23" i="1" s="1"/>
  <c r="DG23" i="1" s="1"/>
  <c r="AW23" i="1"/>
  <c r="DD23" i="1" s="1"/>
  <c r="AX35" i="1"/>
  <c r="AW35" i="1"/>
  <c r="AX25" i="1"/>
  <c r="AW25" i="1"/>
  <c r="AX21" i="1"/>
  <c r="DF21" i="1" s="1"/>
  <c r="AW21" i="1"/>
  <c r="DD21" i="1" s="1"/>
  <c r="DE21" i="1" s="1"/>
  <c r="AX2" i="1"/>
  <c r="AW2" i="1"/>
  <c r="AX32" i="1"/>
  <c r="AW32" i="1"/>
  <c r="AX34" i="1"/>
  <c r="AW34" i="1"/>
  <c r="DE23" i="1" l="1"/>
  <c r="DI23" i="1" s="1"/>
  <c r="DH23" i="1"/>
  <c r="DE19" i="1"/>
  <c r="DI19" i="1" s="1"/>
  <c r="DH19" i="1"/>
  <c r="DH21" i="1"/>
  <c r="DG21" i="1"/>
  <c r="DI21" i="1" s="1"/>
  <c r="AY32" i="1"/>
  <c r="AY2" i="1"/>
  <c r="AY25" i="1"/>
  <c r="AY35" i="1"/>
  <c r="AY27" i="1"/>
  <c r="AY36" i="1"/>
  <c r="AY30" i="1"/>
  <c r="AY34" i="1"/>
  <c r="AY21" i="1"/>
  <c r="AY23" i="1"/>
  <c r="AY48" i="1"/>
  <c r="AY31" i="1"/>
  <c r="AY19"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2" i="1"/>
  <c r="AQ2" i="1"/>
  <c r="AP27" i="1"/>
  <c r="AQ27" i="1"/>
  <c r="AP25" i="1"/>
  <c r="AQ25" i="1"/>
  <c r="AP32" i="1"/>
  <c r="AQ32" i="1"/>
  <c r="AP34" i="1"/>
  <c r="AQ34" i="1"/>
  <c r="AP35" i="1"/>
  <c r="AQ35" i="1"/>
  <c r="AP31" i="1"/>
  <c r="AQ31" i="1"/>
  <c r="AP30" i="1"/>
  <c r="AQ30" i="1"/>
  <c r="AP36" i="1"/>
  <c r="AQ36" i="1"/>
  <c r="AP48" i="1"/>
  <c r="AQ48" i="1"/>
  <c r="AR36" i="1" l="1"/>
  <c r="AR34" i="1"/>
  <c r="AR31" i="1"/>
  <c r="AR32" i="1"/>
  <c r="AR25" i="1"/>
  <c r="AR48" i="1"/>
  <c r="AR30" i="1"/>
  <c r="AR35" i="1"/>
  <c r="AR27" i="1"/>
  <c r="AR2"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27" i="1"/>
  <c r="O27" i="1"/>
  <c r="N30" i="1"/>
  <c r="O30" i="1"/>
  <c r="N31" i="1"/>
  <c r="O31" i="1"/>
  <c r="N32" i="1"/>
  <c r="O32" i="1"/>
  <c r="N34" i="1"/>
  <c r="O34" i="1"/>
  <c r="N35" i="1"/>
  <c r="O35" i="1"/>
  <c r="N36" i="1"/>
  <c r="O36" i="1"/>
  <c r="U25" i="1"/>
  <c r="V25" i="1"/>
  <c r="U27" i="1"/>
  <c r="V27" i="1"/>
  <c r="U30" i="1"/>
  <c r="V30" i="1"/>
  <c r="U31" i="1"/>
  <c r="V31" i="1"/>
  <c r="U32" i="1"/>
  <c r="V32" i="1"/>
  <c r="U34" i="1"/>
  <c r="V34" i="1"/>
  <c r="U35" i="1"/>
  <c r="V35" i="1"/>
  <c r="U36" i="1"/>
  <c r="V36" i="1"/>
  <c r="U48" i="1"/>
  <c r="V48" i="1"/>
  <c r="AB25" i="1"/>
  <c r="AC25" i="1"/>
  <c r="AB27" i="1"/>
  <c r="AC27" i="1"/>
  <c r="AB30" i="1"/>
  <c r="AC30" i="1"/>
  <c r="AB31" i="1"/>
  <c r="AC31" i="1"/>
  <c r="AB32" i="1"/>
  <c r="AC32" i="1"/>
  <c r="AB34" i="1"/>
  <c r="AC34" i="1"/>
  <c r="AB35" i="1"/>
  <c r="AC35" i="1"/>
  <c r="AB36" i="1"/>
  <c r="AC36" i="1"/>
  <c r="AB48" i="1"/>
  <c r="AC48" i="1"/>
  <c r="AI31" i="1"/>
  <c r="AJ31" i="1"/>
  <c r="AI32" i="1"/>
  <c r="AJ32" i="1"/>
  <c r="DF32" i="1" s="1"/>
  <c r="AI34" i="1"/>
  <c r="AJ34" i="1"/>
  <c r="AI35" i="1"/>
  <c r="DD35" i="1" s="1"/>
  <c r="AJ35" i="1"/>
  <c r="DF35" i="1" s="1"/>
  <c r="DG35" i="1" s="1"/>
  <c r="AI36" i="1"/>
  <c r="AJ36" i="1"/>
  <c r="AI48" i="1"/>
  <c r="DD48" i="1" s="1"/>
  <c r="AJ48" i="1"/>
  <c r="DF48" i="1" s="1"/>
  <c r="DG48" i="1" s="1"/>
  <c r="DD32" i="1" l="1"/>
  <c r="DF30" i="1"/>
  <c r="DF25" i="1"/>
  <c r="DG25" i="1" s="1"/>
  <c r="DD30" i="1"/>
  <c r="DE30" i="1" s="1"/>
  <c r="DD25" i="1"/>
  <c r="DD36" i="1"/>
  <c r="DD34" i="1"/>
  <c r="DD31" i="1"/>
  <c r="DE31" i="1" s="1"/>
  <c r="DD27" i="1"/>
  <c r="DE27" i="1" s="1"/>
  <c r="DE48" i="1"/>
  <c r="DI48" i="1" s="1"/>
  <c r="DH48" i="1"/>
  <c r="DH35" i="1"/>
  <c r="DE35" i="1"/>
  <c r="DI35" i="1" s="1"/>
  <c r="DF36" i="1"/>
  <c r="DG36" i="1" s="1"/>
  <c r="DF34" i="1"/>
  <c r="DG34" i="1" s="1"/>
  <c r="DF31" i="1"/>
  <c r="DG31" i="1" s="1"/>
  <c r="DF27" i="1"/>
  <c r="DG27" i="1" s="1"/>
  <c r="DG30" i="1"/>
  <c r="DE36" i="1"/>
  <c r="DE34" i="1"/>
  <c r="DE32" i="1"/>
  <c r="DG32" i="1"/>
  <c r="P31" i="1"/>
  <c r="AD31" i="1"/>
  <c r="AK32" i="1"/>
  <c r="P36" i="1"/>
  <c r="AD36" i="1"/>
  <c r="AK34" i="1"/>
  <c r="W34" i="1"/>
  <c r="P30" i="1"/>
  <c r="AK48" i="1"/>
  <c r="AD25" i="1"/>
  <c r="AD27" i="1"/>
  <c r="W36" i="1"/>
  <c r="W30" i="1"/>
  <c r="AK35" i="1"/>
  <c r="AD30" i="1"/>
  <c r="W35" i="1"/>
  <c r="W27" i="1"/>
  <c r="P34" i="1"/>
  <c r="P32" i="1"/>
  <c r="AK36" i="1"/>
  <c r="W31" i="1"/>
  <c r="P27" i="1"/>
  <c r="W25" i="1"/>
  <c r="AK31" i="1"/>
  <c r="AD48" i="1"/>
  <c r="AD35" i="1"/>
  <c r="AD32" i="1"/>
  <c r="W48" i="1"/>
  <c r="W32" i="1"/>
  <c r="P35" i="1"/>
  <c r="AD34" i="1"/>
  <c r="DH25" i="1" l="1"/>
  <c r="DI30" i="1"/>
  <c r="DH30" i="1"/>
  <c r="DE25" i="1"/>
  <c r="DI25" i="1" s="1"/>
  <c r="DH31" i="1"/>
  <c r="DH36" i="1"/>
  <c r="DI27" i="1"/>
  <c r="DH34" i="1"/>
  <c r="DH27" i="1"/>
  <c r="DI31" i="1"/>
  <c r="DI34" i="1"/>
  <c r="DI36" i="1"/>
  <c r="DH32" i="1"/>
  <c r="DI32" i="1"/>
  <c r="C7" i="3"/>
  <c r="C3" i="3"/>
  <c r="C48" i="1" l="1"/>
  <c r="AJ2" i="1" l="1"/>
  <c r="AI2" i="1"/>
  <c r="AK2" i="1" l="1"/>
  <c r="C8" i="3"/>
  <c r="C9" i="3" s="1"/>
  <c r="C2" i="3"/>
  <c r="C4" i="3" s="1"/>
  <c r="AC2" i="1" l="1"/>
  <c r="AB2" i="1"/>
  <c r="V2" i="1"/>
  <c r="U2" i="1"/>
  <c r="N2" i="1"/>
  <c r="DF2" i="1" l="1"/>
  <c r="DG2" i="1" s="1"/>
  <c r="DD2" i="1"/>
  <c r="P2" i="1"/>
  <c r="W2" i="1"/>
  <c r="AD2" i="1"/>
  <c r="DE2" i="1" l="1"/>
  <c r="DI2" i="1" s="1"/>
  <c r="DH2" i="1"/>
</calcChain>
</file>

<file path=xl/sharedStrings.xml><?xml version="1.0" encoding="utf-8"?>
<sst xmlns="http://schemas.openxmlformats.org/spreadsheetml/2006/main" count="1573" uniqueCount="299">
  <si>
    <t>חטיבה</t>
  </si>
  <si>
    <t>שם</t>
  </si>
  <si>
    <t>הערות</t>
  </si>
  <si>
    <t>פטור שמירות?</t>
  </si>
  <si>
    <t>עבר מבחן?</t>
  </si>
  <si>
    <t>מאי</t>
  </si>
  <si>
    <t>לא</t>
  </si>
  <si>
    <t>כן</t>
  </si>
  <si>
    <t>יובל</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</si>
  <si>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</si>
  <si>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</si>
  <si>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</si>
  <si>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</si>
  <si>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</si>
  <si>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</si>
  <si>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</si>
  <si>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</si>
  <si>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</si>
  <si>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</si>
  <si>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</si>
  <si>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</si>
  <si>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</si>
  <si>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</si>
  <si>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</si>
  <si>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</si>
  <si>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</si>
  <si>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</si>
  <si>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</si>
  <si>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</si>
  <si>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</si>
  <si>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</si>
  <si>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</si>
  <si>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</si>
  <si>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</si>
  <si>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</si>
  <si>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</si>
  <si>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</si>
  <si>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</si>
  <si>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</si>
  <si>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</si>
  <si>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</si>
  <si>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</si>
  <si>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</si>
  <si>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</si>
  <si>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</si>
  <si>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</si>
  <si>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</si>
  <si>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</si>
  <si>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</si>
  <si>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</si>
  <si>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</si>
  <si>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</si>
  <si>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</si>
  <si>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שי</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</si>
  <si>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</si>
  <si>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</si>
  <si>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</si>
  <si>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</si>
  <si>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</si>
  <si>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</si>
  <si>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</si>
  <si>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</si>
  <si>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</si>
  <si>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</si>
  <si>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</si>
  <si>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</si>
  <si>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</si>
  <si>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</si>
  <si>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</si>
  <si>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</si>
  <si>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</si>
  <si>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</si>
  <si>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</si>
  <si>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</si>
  <si>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</si>
  <si>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</si>
  <si>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</si>
  <si>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</si>
  <si>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</si>
  <si>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</si>
  <si>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</si>
  <si>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</si>
  <si>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</si>
  <si>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</si>
  <si>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</si>
  <si>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</si>
  <si>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</si>
  <si>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</si>
  <si>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</si>
  <si>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</si>
  <si>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</si>
  <si>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</si>
  <si>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</si>
  <si>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</si>
  <si>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</si>
  <si>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</si>
  <si>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</si>
  <si>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</si>
  <si>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</si>
  <si>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</si>
  <si>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</si>
  <si>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</si>
  <si>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</si>
  <si>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</si>
  <si>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</si>
  <si>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</si>
  <si>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</si>
  <si>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</si>
  <si>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</si>
  <si>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</si>
  <si>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</si>
  <si>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</si>
  <si>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</si>
  <si>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</si>
  <si>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</si>
  <si>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</si>
  <si>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</si>
  <si>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</si>
  <si>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</si>
  <si>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</si>
  <si>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</si>
  <si>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</si>
  <si>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</si>
  <si>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</si>
  <si>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</si>
  <si>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</si>
  <si>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</si>
  <si>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</si>
  <si>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מעין</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</si>
  <si>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</si>
  <si>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</si>
  <si>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</si>
  <si>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</si>
  <si>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</si>
  <si>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</si>
  <si>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</si>
  <si>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</si>
  <si>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</si>
  <si>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</si>
  <si>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</si>
  <si>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</si>
  <si>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</si>
  <si>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</si>
  <si>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</si>
  <si>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</si>
  <si>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</si>
  <si>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</si>
  <si>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</si>
  <si>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</si>
  <si>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</si>
  <si>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</si>
  <si>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</si>
  <si>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</si>
  <si>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</si>
  <si>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</si>
  <si>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</si>
  <si>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</si>
  <si>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</si>
  <si>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</si>
  <si>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</si>
  <si>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</si>
  <si>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</si>
  <si>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</si>
  <si>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</si>
  <si>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</si>
  <si>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</si>
  <si>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</si>
  <si>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</si>
  <si>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</si>
  <si>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</si>
  <si>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</si>
  <si>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</si>
  <si>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</si>
  <si>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</si>
  <si>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</si>
  <si>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</si>
  <si>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</si>
  <si>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</si>
  <si>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</si>
  <si>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</si>
  <si>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</si>
  <si>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</si>
  <si>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</si>
  <si>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</si>
  <si>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</si>
  <si>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</si>
  <si>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</si>
  <si>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</si>
  <si>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</si>
  <si>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</si>
  <si>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</si>
  <si>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</si>
  <si>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</si>
  <si>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</si>
  <si>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</si>
  <si>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</si>
  <si>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</si>
  <si>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</si>
  <si>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</si>
  <si>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</si>
  <si>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</si>
  <si>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</si>
  <si>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</si>
  <si>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</si>
  <si>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</si>
  <si>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</si>
  <si>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</si>
  <si>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</si>
  <si>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</si>
  <si>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</si>
  <si>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</si>
  <si>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</si>
  <si>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</si>
  <si>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</si>
  <si>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</si>
  <si>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</si>
  <si>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</si>
  <si>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</si>
  <si>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</si>
  <si>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</si>
  <si>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</si>
  <si>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</si>
  <si>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</si>
  <si>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</si>
  <si>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</si>
  <si>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</si>
  <si>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</si>
  <si>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</si>
  <si>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</si>
  <si>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</si>
  <si>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</si>
  <si>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</si>
  <si>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</si>
  <si>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</si>
  <si>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</si>
  <si>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</si>
  <si>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</si>
  <si>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</si>
  <si>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</si>
  <si>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</si>
  <si>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</si>
  <si>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</si>
  <si>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</si>
  <si>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</si>
  <si>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</si>
  <si>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</si>
  <si>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</si>
  <si>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</si>
  <si>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זוהר</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</si>
  <si>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</si>
  <si>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</si>
  <si>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</si>
  <si>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</si>
  <si>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</si>
  <si>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</si>
  <si>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</si>
  <si>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</si>
  <si>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</si>
  <si>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</si>
  <si>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</si>
  <si>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</si>
  <si>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</si>
  <si>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</si>
  <si>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</si>
  <si>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</si>
  <si>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</si>
  <si>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</si>
  <si>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</si>
  <si>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</si>
  <si>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</si>
  <si>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</si>
  <si>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</si>
  <si>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</si>
  <si>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</si>
  <si>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</si>
  <si>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נושאים לטיפול: תקנים עתידיים מושלם? זוהר 11 התש 5? עדן חן פטור נשק? דנה 9 סגירות? שי 209 סמל תורן? נוועה לוי גור פטור? שיר 679 שמירות? רותם שמירות? ליאור חודדה? רומי אחודה? מעין 9? מאי 9? דניאל 11? שר מפאוג? לירון 11? חיילת חדשה של שי אוסמו? חיילים שיוצאים לקקצ?</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</si>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</sst>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1">
    <xf numFmtId="0" fontId="0" fillId="0" borderId="0"/>
  </cellStyleXfs>
  <cellXfs count="308">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0" fillId="0" borderId="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164" fontId="0" fillId="0" borderId="4" xfId="0" applyNumberFormat="1" applyFont="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2" fillId="7" borderId="1" xfId="0" applyFont="1" applyFill="1" applyBorder="1" applyAlignment="1">
      <alignment horizontal="center" vertical="center"/>
    </xf>
    <xf numFmtId="0" fontId="7" fillId="7" borderId="1" xfId="0" applyFont="1" applyFill="1" applyBorder="1" applyAlignment="1">
      <alignment horizontal="center" vertical="center"/>
    </xf>
    <xf numFmtId="0" fontId="0" fillId="0" borderId="5"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8" fillId="0" borderId="1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7" fillId="0" borderId="26"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0" fillId="0" borderId="21" xfId="0" applyFont="1" applyFill="1" applyBorder="1" applyAlignment="1">
      <alignment horizontal="center" vertical="center"/>
    </xf>
    <xf numFmtId="0" fontId="0" fillId="0" borderId="21" xfId="0" applyFont="1" applyBorder="1" applyAlignment="1">
      <alignment horizontal="center" vertical="center"/>
    </xf>
    <xf numFmtId="0" fontId="8" fillId="7" borderId="5" xfId="0" applyFont="1" applyFill="1" applyBorder="1" applyAlignment="1">
      <alignment horizontal="center" vertical="center"/>
    </xf>
    <xf numFmtId="0" fontId="7" fillId="0" borderId="12" xfId="0" applyFont="1" applyBorder="1" applyAlignment="1">
      <alignment horizontal="center" vertical="center"/>
    </xf>
    <xf numFmtId="164" fontId="8" fillId="0" borderId="35" xfId="0" applyNumberFormat="1" applyFont="1" applyBorder="1" applyAlignment="1">
      <alignment horizontal="center" vertical="center"/>
    </xf>
    <xf numFmtId="164" fontId="0" fillId="0" borderId="8" xfId="0" applyNumberFormat="1" applyFont="1" applyBorder="1" applyAlignment="1">
      <alignment horizontal="center" vertical="center"/>
    </xf>
    <xf numFmtId="0" fontId="7" fillId="0" borderId="7" xfId="0" applyFont="1" applyBorder="1" applyAlignment="1">
      <alignment horizontal="center" vertical="center"/>
    </xf>
    <xf numFmtId="164" fontId="8" fillId="0" borderId="4" xfId="0" applyNumberFormat="1" applyFont="1" applyBorder="1" applyAlignment="1">
      <alignment horizontal="center" vertical="center"/>
    </xf>
    <xf numFmtId="0" fontId="1" fillId="0" borderId="8" xfId="0" applyFont="1" applyBorder="1"/>
    <xf numFmtId="0" fontId="1" fillId="0" borderId="35" xfId="0" applyFont="1" applyBorder="1"/>
    <xf numFmtId="0" fontId="0" fillId="7" borderId="2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14"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cellXfs>
  <cellStyles count="1">
    <cellStyle name="Normal" xfId="0" builtinId="0"/>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83"/>
  <sheetViews>
    <sheetView rightToLeft="1" zoomScale="142" zoomScaleNormal="142" zoomScaleSheetLayoutView="100" workbookViewId="0">
      <pane ySplit="1" topLeftCell="A2" activePane="bottomLeft" state="frozen"/>
      <selection pane="bottomLeft" activeCell="C10" sqref="C10"/>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bestFit="1" customWidth="1"/>
    <col min="7" max="7" width="20" style="38" bestFit="1" customWidth="1"/>
    <col min="8" max="8" width="13.140625" style="38" hidden="1" customWidth="1"/>
    <col min="9" max="9" width="7.28515625" style="51" hidden="1" customWidth="1"/>
    <col min="10" max="15" width="7.85546875" style="51" hidden="1" customWidth="1"/>
    <col min="16" max="16" width="7.7109375" style="51" hidden="1" customWidth="1"/>
    <col min="17" max="65" width="7.7109375" style="49" hidden="1" customWidth="1"/>
    <col min="66" max="70" width="7.7109375" style="105" hidden="1" customWidth="1"/>
    <col min="71" max="71" width="6.7109375" style="49" hidden="1" customWidth="1"/>
    <col min="72" max="72" width="7.7109375" style="49" hidden="1" customWidth="1"/>
    <col min="73" max="74" width="7.7109375" style="105" hidden="1" customWidth="1"/>
    <col min="75" max="75" width="7" style="105" hidden="1" customWidth="1"/>
    <col min="76" max="76" width="7.28515625" hidden="1" customWidth="1"/>
    <col min="77" max="77" width="7.7109375" style="105" hidden="1" customWidth="1"/>
    <col min="78" max="79" width="7.7109375" style="49" hidden="1" customWidth="1"/>
    <col min="80" max="84" width="7.7109375" style="105" hidden="1" customWidth="1"/>
    <col min="85" max="85" width="7.7109375" style="49" hidden="1" customWidth="1"/>
    <col min="86" max="86" width="7.7109375" style="49" customWidth="1"/>
    <col min="87" max="89" width="7.7109375" style="105" customWidth="1"/>
    <col min="90" max="90" width="7.7109375" style="208" customWidth="1"/>
    <col min="91" max="91" width="7.7109375" style="105" customWidth="1"/>
    <col min="92" max="93" width="7.7109375" style="49" customWidth="1"/>
    <col min="94" max="98" width="7.7109375" style="105" customWidth="1"/>
    <col min="99" max="100" width="7.7109375" style="49"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9" t="s">
        <v>0</v>
      </c>
      <c r="B1" s="210" t="s">
        <v>1</v>
      </c>
      <c r="C1" s="210" t="s">
        <v>77</v>
      </c>
      <c r="D1" s="210" t="s">
        <v>3</v>
      </c>
      <c r="E1" s="210" t="s">
        <v>4</v>
      </c>
      <c r="F1" s="211" t="s">
        <v>198</v>
      </c>
      <c r="G1" s="211" t="s">
        <v>146</v>
      </c>
      <c r="H1" s="211" t="s">
        <v>52</v>
      </c>
      <c r="I1" s="211" t="s">
        <v>2</v>
      </c>
      <c r="J1" s="212" t="s">
        <v>37</v>
      </c>
      <c r="K1" s="213" t="s">
        <v>38</v>
      </c>
      <c r="L1" s="213" t="s">
        <v>39</v>
      </c>
      <c r="M1" s="213" t="s">
        <v>40</v>
      </c>
      <c r="N1" s="214" t="s">
        <v>50</v>
      </c>
      <c r="O1" s="214" t="s">
        <v>51</v>
      </c>
      <c r="P1" s="215" t="s">
        <v>49</v>
      </c>
      <c r="Q1" s="212" t="s">
        <v>28</v>
      </c>
      <c r="R1" s="213" t="s">
        <v>29</v>
      </c>
      <c r="S1" s="213" t="s">
        <v>30</v>
      </c>
      <c r="T1" s="213" t="s">
        <v>31</v>
      </c>
      <c r="U1" s="216" t="s">
        <v>32</v>
      </c>
      <c r="V1" s="214" t="s">
        <v>33</v>
      </c>
      <c r="W1" s="215" t="s">
        <v>48</v>
      </c>
      <c r="X1" s="212" t="s">
        <v>44</v>
      </c>
      <c r="Y1" s="213" t="s">
        <v>45</v>
      </c>
      <c r="Z1" s="213" t="s">
        <v>46</v>
      </c>
      <c r="AA1" s="213" t="s">
        <v>47</v>
      </c>
      <c r="AB1" s="214" t="s">
        <v>41</v>
      </c>
      <c r="AC1" s="214" t="s">
        <v>42</v>
      </c>
      <c r="AD1" s="217" t="s">
        <v>43</v>
      </c>
      <c r="AE1" s="212" t="s">
        <v>57</v>
      </c>
      <c r="AF1" s="213" t="s">
        <v>58</v>
      </c>
      <c r="AG1" s="213" t="s">
        <v>59</v>
      </c>
      <c r="AH1" s="213" t="s">
        <v>60</v>
      </c>
      <c r="AI1" s="214" t="s">
        <v>61</v>
      </c>
      <c r="AJ1" s="214" t="s">
        <v>62</v>
      </c>
      <c r="AK1" s="217" t="s">
        <v>63</v>
      </c>
      <c r="AL1" s="212" t="s">
        <v>108</v>
      </c>
      <c r="AM1" s="213" t="s">
        <v>109</v>
      </c>
      <c r="AN1" s="213" t="s">
        <v>110</v>
      </c>
      <c r="AO1" s="210" t="s">
        <v>111</v>
      </c>
      <c r="AP1" s="214" t="s">
        <v>112</v>
      </c>
      <c r="AQ1" s="214" t="s">
        <v>113</v>
      </c>
      <c r="AR1" s="215" t="s">
        <v>114</v>
      </c>
      <c r="AS1" s="209" t="s">
        <v>120</v>
      </c>
      <c r="AT1" s="210" t="s">
        <v>121</v>
      </c>
      <c r="AU1" s="210" t="s">
        <v>122</v>
      </c>
      <c r="AV1" s="210" t="s">
        <v>123</v>
      </c>
      <c r="AW1" s="216" t="s">
        <v>124</v>
      </c>
      <c r="AX1" s="216" t="s">
        <v>125</v>
      </c>
      <c r="AY1" s="217" t="s">
        <v>126</v>
      </c>
      <c r="AZ1" s="209" t="s">
        <v>139</v>
      </c>
      <c r="BA1" s="210" t="s">
        <v>140</v>
      </c>
      <c r="BB1" s="210" t="s">
        <v>141</v>
      </c>
      <c r="BC1" s="210" t="s">
        <v>142</v>
      </c>
      <c r="BD1" s="216" t="s">
        <v>143</v>
      </c>
      <c r="BE1" s="216" t="s">
        <v>144</v>
      </c>
      <c r="BF1" s="217" t="s">
        <v>145</v>
      </c>
      <c r="BG1" s="209" t="s">
        <v>158</v>
      </c>
      <c r="BH1" s="210" t="s">
        <v>159</v>
      </c>
      <c r="BI1" s="210" t="s">
        <v>212</v>
      </c>
      <c r="BJ1" s="210" t="s">
        <v>160</v>
      </c>
      <c r="BK1" s="216" t="s">
        <v>163</v>
      </c>
      <c r="BL1" s="216" t="s">
        <v>162</v>
      </c>
      <c r="BM1" s="218" t="s">
        <v>161</v>
      </c>
      <c r="BN1" s="109" t="s">
        <v>178</v>
      </c>
      <c r="BO1" s="110" t="s">
        <v>179</v>
      </c>
      <c r="BP1" s="110" t="s">
        <v>180</v>
      </c>
      <c r="BQ1" s="111" t="s">
        <v>181</v>
      </c>
      <c r="BR1" s="219" t="s">
        <v>182</v>
      </c>
      <c r="BS1" s="216" t="s">
        <v>183</v>
      </c>
      <c r="BT1" s="217" t="s">
        <v>184</v>
      </c>
      <c r="BU1" s="109" t="s">
        <v>199</v>
      </c>
      <c r="BV1" s="110" t="s">
        <v>200</v>
      </c>
      <c r="BW1" s="111" t="s">
        <v>201</v>
      </c>
      <c r="BX1" s="111" t="s">
        <v>202</v>
      </c>
      <c r="BY1" s="219" t="s">
        <v>203</v>
      </c>
      <c r="BZ1" s="216" t="s">
        <v>204</v>
      </c>
      <c r="CA1" s="217" t="s">
        <v>205</v>
      </c>
      <c r="CB1" s="109" t="s">
        <v>225</v>
      </c>
      <c r="CC1" s="110" t="s">
        <v>226</v>
      </c>
      <c r="CD1" s="111" t="s">
        <v>227</v>
      </c>
      <c r="CE1" s="195" t="s">
        <v>261</v>
      </c>
      <c r="CF1" s="219" t="s">
        <v>228</v>
      </c>
      <c r="CG1" s="216" t="s">
        <v>229</v>
      </c>
      <c r="CH1" s="217" t="s">
        <v>230</v>
      </c>
      <c r="CI1" s="220" t="s">
        <v>237</v>
      </c>
      <c r="CJ1" s="220" t="s">
        <v>238</v>
      </c>
      <c r="CK1" s="220" t="s">
        <v>239</v>
      </c>
      <c r="CL1" s="220" t="s">
        <v>240</v>
      </c>
      <c r="CM1" s="219" t="s">
        <v>241</v>
      </c>
      <c r="CN1" s="216" t="s">
        <v>242</v>
      </c>
      <c r="CO1" s="217" t="s">
        <v>243</v>
      </c>
      <c r="CP1" s="109" t="s">
        <v>37</v>
      </c>
      <c r="CQ1" s="110" t="s">
        <v>38</v>
      </c>
      <c r="CR1" s="110" t="s">
        <v>39</v>
      </c>
      <c r="CS1" s="111" t="s">
        <v>40</v>
      </c>
      <c r="CT1" s="219" t="s">
        <v>50</v>
      </c>
      <c r="CU1" s="216" t="s">
        <v>51</v>
      </c>
      <c r="CV1" s="217" t="s">
        <v>49</v>
      </c>
      <c r="CW1" s="109" t="s">
        <v>28</v>
      </c>
      <c r="CX1" s="110" t="s">
        <v>29</v>
      </c>
      <c r="CY1" s="110" t="s">
        <v>30</v>
      </c>
      <c r="CZ1" s="111" t="s">
        <v>31</v>
      </c>
      <c r="DA1" s="219" t="s">
        <v>32</v>
      </c>
      <c r="DB1" s="216" t="s">
        <v>33</v>
      </c>
      <c r="DC1" s="217" t="s">
        <v>48</v>
      </c>
      <c r="DD1" s="221" t="s">
        <v>148</v>
      </c>
      <c r="DE1" s="222" t="s">
        <v>150</v>
      </c>
      <c r="DF1" s="222" t="s">
        <v>149</v>
      </c>
      <c r="DG1" s="222" t="s">
        <v>151</v>
      </c>
      <c r="DH1" s="223" t="s">
        <v>119</v>
      </c>
      <c r="DI1" s="222" t="s">
        <v>147</v>
      </c>
      <c r="DJ1" s="223" t="s">
        <v>133</v>
      </c>
      <c r="DK1" s="223" t="s">
        <v>134</v>
      </c>
      <c r="DL1" s="222" t="s">
        <v>135</v>
      </c>
    </row>
    <row r="2" spans="1:116" ht="15.75" thickBot="1" x14ac:dyDescent="0.3">
      <c r="A2" s="224">
        <v>9</v>
      </c>
      <c r="B2" s="264" t="s">
        <v>12</v>
      </c>
      <c r="C2" s="225" t="str">
        <f t="shared" ref="C2:C48" si="0">B2&amp;" "&amp;A2</f>
        <v>בר 9</v>
      </c>
      <c r="D2" s="226" t="s">
        <v>6</v>
      </c>
      <c r="E2" s="226" t="s">
        <v>7</v>
      </c>
      <c r="F2" s="227" t="s">
        <v>191</v>
      </c>
      <c r="G2" s="228">
        <v>42917</v>
      </c>
      <c r="H2" s="265">
        <v>43560</v>
      </c>
      <c r="I2" s="270"/>
      <c r="J2" s="229"/>
      <c r="K2" s="230"/>
      <c r="L2" s="230"/>
      <c r="M2" s="230"/>
      <c r="N2" s="231">
        <f t="shared" ref="N2:N13" si="1">J2*3+L2</f>
        <v>0</v>
      </c>
      <c r="O2" s="231">
        <f t="shared" ref="O2:O13" si="2">K2*3+M2</f>
        <v>0</v>
      </c>
      <c r="P2" s="232">
        <f t="shared" ref="P2:P13" si="3">O2+N2</f>
        <v>0</v>
      </c>
      <c r="Q2" s="224">
        <v>1</v>
      </c>
      <c r="R2" s="226"/>
      <c r="S2" s="226">
        <v>2</v>
      </c>
      <c r="T2" s="226"/>
      <c r="U2" s="233">
        <f t="shared" ref="U2:U13" si="4">Q2*3+S2</f>
        <v>5</v>
      </c>
      <c r="V2" s="233">
        <f t="shared" ref="V2:V13" si="5">R2*3+T2</f>
        <v>0</v>
      </c>
      <c r="W2" s="234">
        <f t="shared" ref="W2:W13" si="6">V2+U2</f>
        <v>5</v>
      </c>
      <c r="X2" s="224"/>
      <c r="Y2" s="226"/>
      <c r="Z2" s="226">
        <v>2</v>
      </c>
      <c r="AA2" s="226"/>
      <c r="AB2" s="233">
        <f t="shared" ref="AB2:AB13" si="7">X2*3+Z2</f>
        <v>2</v>
      </c>
      <c r="AC2" s="233">
        <f t="shared" ref="AC2:AC13" si="8">Y2*3+AA2</f>
        <v>0</v>
      </c>
      <c r="AD2" s="234">
        <f t="shared" ref="AD2:AD13" si="9">AC2+AB2</f>
        <v>2</v>
      </c>
      <c r="AE2" s="224"/>
      <c r="AF2" s="226">
        <v>1</v>
      </c>
      <c r="AG2" s="226">
        <v>2</v>
      </c>
      <c r="AH2" s="226">
        <v>1</v>
      </c>
      <c r="AI2" s="233">
        <f t="shared" ref="AI2:AI13" si="10">AE2*3+AG2</f>
        <v>2</v>
      </c>
      <c r="AJ2" s="233">
        <f t="shared" ref="AJ2:AJ13" si="11">AF2*3+AH2</f>
        <v>4</v>
      </c>
      <c r="AK2" s="234">
        <f t="shared" ref="AK2:AK13" si="12">AJ2+AI2</f>
        <v>6</v>
      </c>
      <c r="AL2" s="224">
        <v>1</v>
      </c>
      <c r="AM2" s="226"/>
      <c r="AN2" s="226"/>
      <c r="AO2" s="226"/>
      <c r="AP2" s="233">
        <f t="shared" ref="AP2:AP13" si="13">AL2*3+AN2</f>
        <v>3</v>
      </c>
      <c r="AQ2" s="233">
        <f t="shared" ref="AQ2:AQ13" si="14">AM2*3+AO2</f>
        <v>0</v>
      </c>
      <c r="AR2" s="234">
        <f t="shared" ref="AR2:AR13" si="15">AQ2+AP2</f>
        <v>3</v>
      </c>
      <c r="AS2" s="224"/>
      <c r="AT2" s="226"/>
      <c r="AU2" s="226">
        <v>2</v>
      </c>
      <c r="AV2" s="226"/>
      <c r="AW2" s="233">
        <f t="shared" ref="AW2:AW13" si="16">AS2*3+AU2</f>
        <v>2</v>
      </c>
      <c r="AX2" s="233">
        <f t="shared" ref="AX2:AX13" si="17">AT2*3+AV2</f>
        <v>0</v>
      </c>
      <c r="AY2" s="234">
        <f t="shared" ref="AY2:AY13" si="18">AX2+AW2</f>
        <v>2</v>
      </c>
      <c r="AZ2" s="224"/>
      <c r="BA2" s="226"/>
      <c r="BB2" s="226">
        <v>1</v>
      </c>
      <c r="BC2" s="226"/>
      <c r="BD2" s="233">
        <f t="shared" ref="BD2:BD13" si="19">AZ2*3+BB2</f>
        <v>1</v>
      </c>
      <c r="BE2" s="233">
        <f t="shared" ref="BE2:BE13" si="20">BA2*3+BC2</f>
        <v>0</v>
      </c>
      <c r="BF2" s="234">
        <f t="shared" ref="BF2:BF13" si="21">BE2+BD2</f>
        <v>1</v>
      </c>
      <c r="BG2" s="235">
        <v>1</v>
      </c>
      <c r="BH2" s="236"/>
      <c r="BI2" s="226">
        <v>3</v>
      </c>
      <c r="BJ2" s="226"/>
      <c r="BK2" s="233">
        <f t="shared" ref="BK2:BK13" si="22">BG2*3+BI2</f>
        <v>6</v>
      </c>
      <c r="BL2" s="233">
        <f t="shared" ref="BL2:BL13" si="23">BH2*3+BJ2</f>
        <v>0</v>
      </c>
      <c r="BM2" s="237">
        <f t="shared" ref="BM2:BM13" si="24">BL2+BK2</f>
        <v>6</v>
      </c>
      <c r="BN2" s="235"/>
      <c r="BO2" s="236"/>
      <c r="BP2" s="236">
        <v>3</v>
      </c>
      <c r="BQ2" s="236"/>
      <c r="BR2" s="233">
        <f t="shared" ref="BR2:BR13" si="25">BN2*3+BP2</f>
        <v>3</v>
      </c>
      <c r="BS2" s="233">
        <f t="shared" ref="BS2:BS13" si="26">BO2*3+BQ2</f>
        <v>0</v>
      </c>
      <c r="BT2" s="237">
        <f t="shared" ref="BT2:BT13" si="27">BS2+BR2</f>
        <v>3</v>
      </c>
      <c r="BU2" s="235">
        <v>1</v>
      </c>
      <c r="BV2" s="236"/>
      <c r="BW2" s="236"/>
      <c r="BX2" s="236"/>
      <c r="BY2" s="233">
        <f t="shared" ref="BY2:BY13" si="28">BU2*3+BW2</f>
        <v>3</v>
      </c>
      <c r="BZ2" s="233">
        <f t="shared" ref="BZ2:BZ13" si="29">BV2*3+BX2</f>
        <v>0</v>
      </c>
      <c r="CA2" s="237">
        <f t="shared" ref="CA2:CA13" si="30">BZ2+BY2</f>
        <v>3</v>
      </c>
      <c r="CB2" s="235"/>
      <c r="CC2" s="236"/>
      <c r="CD2" s="236">
        <v>1</v>
      </c>
      <c r="CE2" s="236">
        <v>1</v>
      </c>
      <c r="CF2" s="233">
        <f t="shared" ref="CF2:CF13" si="31">CB2*3+CD2</f>
        <v>1</v>
      </c>
      <c r="CG2" s="233">
        <f t="shared" ref="CG2:CG13" si="32">CC2*3+CE2</f>
        <v>1</v>
      </c>
      <c r="CH2" s="237">
        <f t="shared" ref="CH2:CH13" si="33">CG2+CF2</f>
        <v>2</v>
      </c>
      <c r="CI2" s="236"/>
      <c r="CJ2" s="236"/>
      <c r="CK2" s="236">
        <v>2</v>
      </c>
      <c r="CL2" s="238"/>
      <c r="CM2" s="233">
        <f t="shared" ref="CM2:CM48" si="34">CI2*3+CK2</f>
        <v>2</v>
      </c>
      <c r="CN2" s="233">
        <f t="shared" ref="CN2:CN48" si="35">CJ2*3+CL2</f>
        <v>0</v>
      </c>
      <c r="CO2" s="237">
        <f t="shared" ref="CO2:CO48" si="36">CN2+CM2</f>
        <v>2</v>
      </c>
      <c r="CP2" s="235">
        <v>1</v>
      </c>
      <c r="CQ2" s="236"/>
      <c r="CR2" s="236">
        <v>1</v>
      </c>
      <c r="CS2" s="236"/>
      <c r="CT2" s="233">
        <f t="shared" ref="CT2:CT48" si="37">CP2*3+CR2</f>
        <v>4</v>
      </c>
      <c r="CU2" s="233">
        <f t="shared" ref="CU2:CU48" si="38">CQ2*3+CS2</f>
        <v>0</v>
      </c>
      <c r="CV2" s="237">
        <f t="shared" ref="CV2:CV48" si="39">CU2+CT2</f>
        <v>4</v>
      </c>
      <c r="CW2" s="235"/>
      <c r="CX2" s="236"/>
      <c r="CY2" s="236"/>
      <c r="CZ2" s="236"/>
      <c r="DA2" s="233">
        <f t="shared" ref="DA2:DA48" si="40">CW2*3+CY2</f>
        <v>0</v>
      </c>
      <c r="DB2" s="233">
        <f t="shared" ref="DB2:DB48" si="41">CX2*3+CZ2</f>
        <v>0</v>
      </c>
      <c r="DC2" s="237">
        <f t="shared" ref="DC2:DC48" si="42">DB2+DA2</f>
        <v>0</v>
      </c>
      <c r="DD2" s="181">
        <f t="shared" ref="DD2:DD48" si="43">SUM(AP2,AI2,AB2,U2,N2,AW2,BD2,BK2,BR2,BY2,CF2,CM2,CT2,DA2)</f>
        <v>34</v>
      </c>
      <c r="DE2" s="182">
        <f t="shared" ref="DE2:DE48" ca="1" si="44">DD2/(TODAY()-G2)</f>
        <v>9.0666666666666673E-2</v>
      </c>
      <c r="DF2" s="183">
        <f t="shared" ref="DF2:DF48" si="45">SUM(AQ2,AJ2,AC2,V2,O2,AX2,BE2,BL2,BS2,BZ2,CG2,CN2,CU2,DB2)</f>
        <v>5</v>
      </c>
      <c r="DG2" s="182">
        <f t="shared" ref="DG2:DG48" ca="1" si="46">DF2/(TODAY()-G2)</f>
        <v>1.3333333333333334E-2</v>
      </c>
      <c r="DH2" s="183">
        <f t="shared" ref="DH2:DH48" si="47">DD2+DF2</f>
        <v>39</v>
      </c>
      <c r="DI2" s="182">
        <f t="shared" ref="DI2:DI48" ca="1" si="48">DG2+DE2</f>
        <v>0.10400000000000001</v>
      </c>
      <c r="DJ2" s="183">
        <f t="shared" ref="DJ2:DJ48" si="49">SUM(AS2,AL2,AE2,X2,Q2,Q2,J2,AZ2,BG2,BN2,BU2,CB2,CI2,CP2,CW2)</f>
        <v>6</v>
      </c>
      <c r="DK2" s="183">
        <f t="shared" ref="DK2:DK48" si="50">SUM(AT2,AM2,AF2,Y2,R2,R2,K2,BA2,BH2,BO2,BV2,CC2,CJ2,CQ2,CX2)</f>
        <v>1</v>
      </c>
      <c r="DL2" s="183">
        <f t="shared" ref="DL2:DL48" si="51">DK2+DJ2</f>
        <v>7</v>
      </c>
    </row>
    <row r="3" spans="1:116" ht="15.75" thickBot="1" x14ac:dyDescent="0.3">
      <c r="A3" s="263">
        <v>9</v>
      </c>
      <c r="B3" s="191" t="s">
        <v>220</v>
      </c>
      <c r="C3" s="184" t="str">
        <f t="shared" si="0"/>
        <v>דנה 9</v>
      </c>
      <c r="D3" s="55" t="s">
        <v>6</v>
      </c>
      <c r="E3" s="55" t="s">
        <v>7</v>
      </c>
      <c r="F3" s="74" t="s">
        <v>224</v>
      </c>
      <c r="G3" s="72">
        <v>43191</v>
      </c>
      <c r="H3" s="180"/>
      <c r="I3" s="42"/>
      <c r="J3" s="133"/>
      <c r="K3" s="134"/>
      <c r="L3" s="134"/>
      <c r="M3" s="134"/>
      <c r="N3" s="135">
        <f t="shared" si="1"/>
        <v>0</v>
      </c>
      <c r="O3" s="135">
        <f t="shared" si="2"/>
        <v>0</v>
      </c>
      <c r="P3" s="44">
        <f t="shared" si="3"/>
        <v>0</v>
      </c>
      <c r="Q3" s="39"/>
      <c r="R3" s="41"/>
      <c r="S3" s="41"/>
      <c r="T3" s="41"/>
      <c r="U3" s="43">
        <f t="shared" si="4"/>
        <v>0</v>
      </c>
      <c r="V3" s="43">
        <f t="shared" si="5"/>
        <v>0</v>
      </c>
      <c r="W3" s="45">
        <f t="shared" si="6"/>
        <v>0</v>
      </c>
      <c r="X3" s="39"/>
      <c r="Y3" s="41"/>
      <c r="Z3" s="41"/>
      <c r="AA3" s="41"/>
      <c r="AB3" s="46">
        <f t="shared" si="7"/>
        <v>0</v>
      </c>
      <c r="AC3" s="46">
        <f t="shared" si="8"/>
        <v>0</v>
      </c>
      <c r="AD3" s="47">
        <f t="shared" si="9"/>
        <v>0</v>
      </c>
      <c r="AE3" s="39"/>
      <c r="AF3" s="41"/>
      <c r="AG3" s="41"/>
      <c r="AH3" s="41"/>
      <c r="AI3" s="43">
        <f t="shared" si="10"/>
        <v>0</v>
      </c>
      <c r="AJ3" s="43">
        <f t="shared" si="11"/>
        <v>0</v>
      </c>
      <c r="AK3" s="45">
        <f t="shared" si="12"/>
        <v>0</v>
      </c>
      <c r="AL3" s="39"/>
      <c r="AM3" s="41"/>
      <c r="AN3" s="41"/>
      <c r="AO3" s="41"/>
      <c r="AP3" s="43">
        <f t="shared" si="13"/>
        <v>0</v>
      </c>
      <c r="AQ3" s="43">
        <f t="shared" si="14"/>
        <v>0</v>
      </c>
      <c r="AR3" s="45">
        <f t="shared" si="15"/>
        <v>0</v>
      </c>
      <c r="AS3" s="39"/>
      <c r="AT3" s="41"/>
      <c r="AU3" s="41"/>
      <c r="AV3" s="41"/>
      <c r="AW3" s="43">
        <f t="shared" si="16"/>
        <v>0</v>
      </c>
      <c r="AX3" s="43">
        <f t="shared" si="17"/>
        <v>0</v>
      </c>
      <c r="AY3" s="45">
        <f t="shared" si="18"/>
        <v>0</v>
      </c>
      <c r="AZ3" s="39"/>
      <c r="BA3" s="41"/>
      <c r="BB3" s="41"/>
      <c r="BC3" s="41"/>
      <c r="BD3" s="43">
        <f t="shared" si="19"/>
        <v>0</v>
      </c>
      <c r="BE3" s="43">
        <f t="shared" si="20"/>
        <v>0</v>
      </c>
      <c r="BF3" s="45">
        <f t="shared" si="21"/>
        <v>0</v>
      </c>
      <c r="BG3" s="75"/>
      <c r="BH3" s="107"/>
      <c r="BI3" s="41"/>
      <c r="BJ3" s="41"/>
      <c r="BK3" s="43">
        <f t="shared" si="22"/>
        <v>0</v>
      </c>
      <c r="BL3" s="43">
        <f t="shared" si="23"/>
        <v>0</v>
      </c>
      <c r="BM3" s="106">
        <f t="shared" si="24"/>
        <v>0</v>
      </c>
      <c r="BN3" s="75"/>
      <c r="BO3" s="107"/>
      <c r="BP3" s="107"/>
      <c r="BQ3" s="107"/>
      <c r="BR3" s="43">
        <f t="shared" si="25"/>
        <v>0</v>
      </c>
      <c r="BS3" s="43">
        <f t="shared" si="26"/>
        <v>0</v>
      </c>
      <c r="BT3" s="106">
        <f t="shared" si="27"/>
        <v>0</v>
      </c>
      <c r="BU3" s="75"/>
      <c r="BV3" s="107"/>
      <c r="BW3" s="107"/>
      <c r="BX3" s="107"/>
      <c r="BY3" s="43">
        <f t="shared" si="28"/>
        <v>0</v>
      </c>
      <c r="BZ3" s="43">
        <f t="shared" si="29"/>
        <v>0</v>
      </c>
      <c r="CA3" s="106">
        <f t="shared" si="30"/>
        <v>0</v>
      </c>
      <c r="CB3" s="75"/>
      <c r="CC3" s="107"/>
      <c r="CD3" s="107"/>
      <c r="CE3" s="196"/>
      <c r="CF3" s="43">
        <f t="shared" si="31"/>
        <v>0</v>
      </c>
      <c r="CG3" s="43">
        <f t="shared" si="32"/>
        <v>0</v>
      </c>
      <c r="CH3" s="106">
        <f t="shared" si="33"/>
        <v>0</v>
      </c>
      <c r="CI3" s="107"/>
      <c r="CJ3" s="107"/>
      <c r="CK3" s="107"/>
      <c r="CL3" s="207"/>
      <c r="CM3" s="43">
        <f t="shared" si="34"/>
        <v>0</v>
      </c>
      <c r="CN3" s="43">
        <f t="shared" si="35"/>
        <v>0</v>
      </c>
      <c r="CO3" s="106">
        <f t="shared" si="36"/>
        <v>0</v>
      </c>
      <c r="CP3" s="75"/>
      <c r="CQ3" s="107"/>
      <c r="CR3" s="107"/>
      <c r="CS3" s="107"/>
      <c r="CT3" s="43">
        <f t="shared" si="37"/>
        <v>0</v>
      </c>
      <c r="CU3" s="43">
        <f t="shared" si="38"/>
        <v>0</v>
      </c>
      <c r="CV3" s="106">
        <f t="shared" si="39"/>
        <v>0</v>
      </c>
      <c r="CW3" s="75"/>
      <c r="CX3" s="107"/>
      <c r="CY3" s="107"/>
      <c r="CZ3" s="107"/>
      <c r="DA3" s="43">
        <f t="shared" si="40"/>
        <v>0</v>
      </c>
      <c r="DB3" s="43">
        <f t="shared" si="41"/>
        <v>0</v>
      </c>
      <c r="DC3" s="106">
        <f t="shared" si="42"/>
        <v>0</v>
      </c>
      <c r="DD3" s="181">
        <f t="shared" si="43"/>
        <v>0</v>
      </c>
      <c r="DE3" s="182">
        <f t="shared" ca="1" si="44"/>
        <v>0</v>
      </c>
      <c r="DF3" s="183">
        <f t="shared" si="45"/>
        <v>0</v>
      </c>
      <c r="DG3" s="182">
        <f t="shared" ca="1" si="46"/>
        <v>0</v>
      </c>
      <c r="DH3" s="183">
        <f t="shared" si="47"/>
        <v>0</v>
      </c>
      <c r="DI3" s="182">
        <f t="shared" ca="1" si="48"/>
        <v>0</v>
      </c>
      <c r="DJ3" s="183">
        <f t="shared" si="49"/>
        <v>0</v>
      </c>
      <c r="DK3" s="183">
        <f t="shared" si="50"/>
        <v>0</v>
      </c>
      <c r="DL3" s="183">
        <f t="shared" si="51"/>
        <v>0</v>
      </c>
    </row>
    <row r="4" spans="1:116" ht="15.75" thickBot="1" x14ac:dyDescent="0.3">
      <c r="A4" s="263">
        <v>9</v>
      </c>
      <c r="B4" s="191" t="s">
        <v>156</v>
      </c>
      <c r="C4" s="184" t="str">
        <f t="shared" si="0"/>
        <v>יעל 9</v>
      </c>
      <c r="D4" s="55" t="s">
        <v>6</v>
      </c>
      <c r="E4" s="55" t="s">
        <v>7</v>
      </c>
      <c r="F4" s="74" t="s">
        <v>196</v>
      </c>
      <c r="G4" s="72">
        <v>43101</v>
      </c>
      <c r="H4" s="74"/>
      <c r="I4" s="84" t="s">
        <v>251</v>
      </c>
      <c r="J4" s="133"/>
      <c r="K4" s="134"/>
      <c r="L4" s="134"/>
      <c r="M4" s="134"/>
      <c r="N4" s="135">
        <f t="shared" si="1"/>
        <v>0</v>
      </c>
      <c r="O4" s="135">
        <f t="shared" si="2"/>
        <v>0</v>
      </c>
      <c r="P4" s="44">
        <f t="shared" si="3"/>
        <v>0</v>
      </c>
      <c r="Q4" s="39"/>
      <c r="R4" s="41"/>
      <c r="S4" s="41"/>
      <c r="T4" s="41"/>
      <c r="U4" s="43">
        <f t="shared" si="4"/>
        <v>0</v>
      </c>
      <c r="V4" s="43">
        <f t="shared" si="5"/>
        <v>0</v>
      </c>
      <c r="W4" s="45">
        <f t="shared" si="6"/>
        <v>0</v>
      </c>
      <c r="X4" s="39"/>
      <c r="Y4" s="41"/>
      <c r="Z4" s="41"/>
      <c r="AA4" s="41"/>
      <c r="AB4" s="46">
        <f t="shared" si="7"/>
        <v>0</v>
      </c>
      <c r="AC4" s="46">
        <f t="shared" si="8"/>
        <v>0</v>
      </c>
      <c r="AD4" s="47">
        <f t="shared" si="9"/>
        <v>0</v>
      </c>
      <c r="AE4" s="39"/>
      <c r="AF4" s="41"/>
      <c r="AG4" s="41"/>
      <c r="AH4" s="41"/>
      <c r="AI4" s="43">
        <f t="shared" si="10"/>
        <v>0</v>
      </c>
      <c r="AJ4" s="43">
        <f t="shared" si="11"/>
        <v>0</v>
      </c>
      <c r="AK4" s="45">
        <f t="shared" si="12"/>
        <v>0</v>
      </c>
      <c r="AL4" s="39"/>
      <c r="AM4" s="41"/>
      <c r="AN4" s="41"/>
      <c r="AO4" s="41"/>
      <c r="AP4" s="43">
        <f t="shared" si="13"/>
        <v>0</v>
      </c>
      <c r="AQ4" s="43">
        <f t="shared" si="14"/>
        <v>0</v>
      </c>
      <c r="AR4" s="45">
        <f t="shared" si="15"/>
        <v>0</v>
      </c>
      <c r="AS4" s="39"/>
      <c r="AT4" s="41"/>
      <c r="AU4" s="41"/>
      <c r="AV4" s="41"/>
      <c r="AW4" s="43">
        <f t="shared" si="16"/>
        <v>0</v>
      </c>
      <c r="AX4" s="43">
        <f t="shared" si="17"/>
        <v>0</v>
      </c>
      <c r="AY4" s="45">
        <f t="shared" si="18"/>
        <v>0</v>
      </c>
      <c r="AZ4" s="39"/>
      <c r="BA4" s="41"/>
      <c r="BB4" s="41"/>
      <c r="BC4" s="41"/>
      <c r="BD4" s="43">
        <f t="shared" si="19"/>
        <v>0</v>
      </c>
      <c r="BE4" s="43">
        <f t="shared" si="20"/>
        <v>0</v>
      </c>
      <c r="BF4" s="45">
        <f t="shared" si="21"/>
        <v>0</v>
      </c>
      <c r="BG4" s="75">
        <v>1</v>
      </c>
      <c r="BH4" s="107"/>
      <c r="BI4" s="107">
        <v>1</v>
      </c>
      <c r="BJ4" s="41"/>
      <c r="BK4" s="43">
        <f t="shared" si="22"/>
        <v>4</v>
      </c>
      <c r="BL4" s="43">
        <f t="shared" si="23"/>
        <v>0</v>
      </c>
      <c r="BM4" s="106">
        <f t="shared" si="24"/>
        <v>4</v>
      </c>
      <c r="BN4" s="75">
        <v>1</v>
      </c>
      <c r="BO4" s="107"/>
      <c r="BP4" s="107">
        <v>1</v>
      </c>
      <c r="BQ4" s="107"/>
      <c r="BR4" s="43">
        <f t="shared" si="25"/>
        <v>4</v>
      </c>
      <c r="BS4" s="43">
        <f t="shared" si="26"/>
        <v>0</v>
      </c>
      <c r="BT4" s="106">
        <f t="shared" si="27"/>
        <v>4</v>
      </c>
      <c r="BU4" s="75"/>
      <c r="BV4" s="107"/>
      <c r="BW4" s="107">
        <v>2</v>
      </c>
      <c r="BX4" s="107"/>
      <c r="BY4" s="43">
        <f t="shared" si="28"/>
        <v>2</v>
      </c>
      <c r="BZ4" s="43">
        <f t="shared" si="29"/>
        <v>0</v>
      </c>
      <c r="CA4" s="106">
        <f t="shared" si="30"/>
        <v>2</v>
      </c>
      <c r="CB4" s="75">
        <v>1</v>
      </c>
      <c r="CC4" s="107"/>
      <c r="CD4" s="107"/>
      <c r="CE4" s="196"/>
      <c r="CF4" s="43">
        <f t="shared" si="31"/>
        <v>3</v>
      </c>
      <c r="CG4" s="43">
        <f t="shared" si="32"/>
        <v>0</v>
      </c>
      <c r="CH4" s="106">
        <f t="shared" si="33"/>
        <v>3</v>
      </c>
      <c r="CI4" s="107"/>
      <c r="CJ4" s="107"/>
      <c r="CK4" s="107">
        <v>1</v>
      </c>
      <c r="CL4" s="207"/>
      <c r="CM4" s="43">
        <f t="shared" si="34"/>
        <v>1</v>
      </c>
      <c r="CN4" s="43">
        <f t="shared" si="35"/>
        <v>0</v>
      </c>
      <c r="CO4" s="106">
        <f t="shared" si="36"/>
        <v>1</v>
      </c>
      <c r="CP4" s="75"/>
      <c r="CQ4" s="107"/>
      <c r="CR4" s="107">
        <v>3</v>
      </c>
      <c r="CS4" s="107">
        <v>1</v>
      </c>
      <c r="CT4" s="43">
        <f t="shared" si="37"/>
        <v>3</v>
      </c>
      <c r="CU4" s="43">
        <f t="shared" si="38"/>
        <v>1</v>
      </c>
      <c r="CV4" s="106">
        <f t="shared" si="39"/>
        <v>4</v>
      </c>
      <c r="CW4" s="75"/>
      <c r="CX4" s="107"/>
      <c r="CY4" s="107"/>
      <c r="CZ4" s="107"/>
      <c r="DA4" s="43">
        <f t="shared" si="40"/>
        <v>0</v>
      </c>
      <c r="DB4" s="43">
        <f t="shared" si="41"/>
        <v>0</v>
      </c>
      <c r="DC4" s="106">
        <f t="shared" si="42"/>
        <v>0</v>
      </c>
      <c r="DD4" s="181">
        <f t="shared" si="43"/>
        <v>17</v>
      </c>
      <c r="DE4" s="182">
        <f t="shared" ca="1" si="44"/>
        <v>8.9005235602094238E-2</v>
      </c>
      <c r="DF4" s="183">
        <f t="shared" si="45"/>
        <v>1</v>
      </c>
      <c r="DG4" s="182">
        <f t="shared" ca="1" si="46"/>
        <v>5.235602094240838E-3</v>
      </c>
      <c r="DH4" s="183">
        <f t="shared" si="47"/>
        <v>18</v>
      </c>
      <c r="DI4" s="182">
        <f t="shared" ca="1" si="48"/>
        <v>9.4240837696335081E-2</v>
      </c>
      <c r="DJ4" s="183">
        <f t="shared" si="49"/>
        <v>3</v>
      </c>
      <c r="DK4" s="183">
        <f t="shared" si="50"/>
        <v>0</v>
      </c>
      <c r="DL4" s="183">
        <f t="shared" si="51"/>
        <v>3</v>
      </c>
    </row>
    <row r="5" spans="1:116" ht="15.75" thickBot="1" x14ac:dyDescent="0.3">
      <c r="A5" s="39">
        <v>9</v>
      </c>
      <c r="B5" s="62" t="s">
        <v>136</v>
      </c>
      <c r="C5" s="67" t="str">
        <f t="shared" si="0"/>
        <v>ירדן 9</v>
      </c>
      <c r="D5" s="55" t="s">
        <v>6</v>
      </c>
      <c r="E5" s="55" t="s">
        <v>7</v>
      </c>
      <c r="F5" s="74" t="s">
        <v>195</v>
      </c>
      <c r="G5" s="72">
        <v>43040</v>
      </c>
      <c r="H5" s="74"/>
      <c r="I5" s="42"/>
      <c r="J5" s="133"/>
      <c r="K5" s="134"/>
      <c r="L5" s="134"/>
      <c r="M5" s="134"/>
      <c r="N5" s="135">
        <f t="shared" si="1"/>
        <v>0</v>
      </c>
      <c r="O5" s="135">
        <f t="shared" si="2"/>
        <v>0</v>
      </c>
      <c r="P5" s="44">
        <f t="shared" si="3"/>
        <v>0</v>
      </c>
      <c r="Q5" s="39"/>
      <c r="R5" s="41"/>
      <c r="S5" s="41"/>
      <c r="T5" s="41"/>
      <c r="U5" s="43">
        <f t="shared" si="4"/>
        <v>0</v>
      </c>
      <c r="V5" s="43">
        <f t="shared" si="5"/>
        <v>0</v>
      </c>
      <c r="W5" s="45">
        <f t="shared" si="6"/>
        <v>0</v>
      </c>
      <c r="X5" s="39"/>
      <c r="Y5" s="41"/>
      <c r="Z5" s="41"/>
      <c r="AA5" s="41"/>
      <c r="AB5" s="46">
        <f t="shared" si="7"/>
        <v>0</v>
      </c>
      <c r="AC5" s="46">
        <f t="shared" si="8"/>
        <v>0</v>
      </c>
      <c r="AD5" s="47">
        <f t="shared" si="9"/>
        <v>0</v>
      </c>
      <c r="AE5" s="39"/>
      <c r="AF5" s="41"/>
      <c r="AG5" s="41"/>
      <c r="AH5" s="41"/>
      <c r="AI5" s="43">
        <f t="shared" si="10"/>
        <v>0</v>
      </c>
      <c r="AJ5" s="43">
        <f t="shared" si="11"/>
        <v>0</v>
      </c>
      <c r="AK5" s="45">
        <f t="shared" si="12"/>
        <v>0</v>
      </c>
      <c r="AL5" s="39"/>
      <c r="AM5" s="41"/>
      <c r="AN5" s="41"/>
      <c r="AO5" s="41"/>
      <c r="AP5" s="43">
        <f t="shared" si="13"/>
        <v>0</v>
      </c>
      <c r="AQ5" s="43">
        <f t="shared" si="14"/>
        <v>0</v>
      </c>
      <c r="AR5" s="45">
        <f t="shared" si="15"/>
        <v>0</v>
      </c>
      <c r="AS5" s="39">
        <v>1</v>
      </c>
      <c r="AT5" s="41"/>
      <c r="AU5" s="41"/>
      <c r="AV5" s="41"/>
      <c r="AW5" s="43">
        <f t="shared" si="16"/>
        <v>3</v>
      </c>
      <c r="AX5" s="43">
        <f t="shared" si="17"/>
        <v>0</v>
      </c>
      <c r="AY5" s="45">
        <f t="shared" si="18"/>
        <v>3</v>
      </c>
      <c r="AZ5" s="39"/>
      <c r="BA5" s="41"/>
      <c r="BB5" s="41">
        <v>3</v>
      </c>
      <c r="BC5" s="41"/>
      <c r="BD5" s="43">
        <f t="shared" si="19"/>
        <v>3</v>
      </c>
      <c r="BE5" s="43">
        <f t="shared" si="20"/>
        <v>0</v>
      </c>
      <c r="BF5" s="45">
        <f t="shared" si="21"/>
        <v>3</v>
      </c>
      <c r="BG5" s="75">
        <v>1</v>
      </c>
      <c r="BH5" s="107"/>
      <c r="BI5" s="107">
        <v>1</v>
      </c>
      <c r="BJ5" s="41"/>
      <c r="BK5" s="43">
        <f t="shared" si="22"/>
        <v>4</v>
      </c>
      <c r="BL5" s="43">
        <f t="shared" si="23"/>
        <v>0</v>
      </c>
      <c r="BM5" s="106">
        <f t="shared" si="24"/>
        <v>4</v>
      </c>
      <c r="BN5" s="75"/>
      <c r="BO5" s="107"/>
      <c r="BP5" s="107">
        <v>4</v>
      </c>
      <c r="BQ5" s="107"/>
      <c r="BR5" s="43">
        <f t="shared" si="25"/>
        <v>4</v>
      </c>
      <c r="BS5" s="43">
        <f t="shared" si="26"/>
        <v>0</v>
      </c>
      <c r="BT5" s="106">
        <f t="shared" si="27"/>
        <v>4</v>
      </c>
      <c r="BU5" s="75">
        <v>1</v>
      </c>
      <c r="BV5" s="107"/>
      <c r="BW5" s="107"/>
      <c r="BX5" s="107"/>
      <c r="BY5" s="43">
        <f t="shared" si="28"/>
        <v>3</v>
      </c>
      <c r="BZ5" s="43">
        <f t="shared" si="29"/>
        <v>0</v>
      </c>
      <c r="CA5" s="106">
        <f t="shared" si="30"/>
        <v>3</v>
      </c>
      <c r="CB5" s="75"/>
      <c r="CC5" s="107"/>
      <c r="CD5" s="107">
        <v>2</v>
      </c>
      <c r="CE5" s="196"/>
      <c r="CF5" s="43">
        <f t="shared" si="31"/>
        <v>2</v>
      </c>
      <c r="CG5" s="43">
        <f t="shared" si="32"/>
        <v>0</v>
      </c>
      <c r="CH5" s="106">
        <f t="shared" si="33"/>
        <v>2</v>
      </c>
      <c r="CI5" s="107"/>
      <c r="CJ5" s="107"/>
      <c r="CK5" s="107">
        <v>1</v>
      </c>
      <c r="CL5" s="207"/>
      <c r="CM5" s="43">
        <f t="shared" si="34"/>
        <v>1</v>
      </c>
      <c r="CN5" s="43">
        <f t="shared" si="35"/>
        <v>0</v>
      </c>
      <c r="CO5" s="106">
        <f t="shared" si="36"/>
        <v>1</v>
      </c>
      <c r="CP5" s="75"/>
      <c r="CQ5" s="107">
        <v>1</v>
      </c>
      <c r="CR5" s="107">
        <v>2</v>
      </c>
      <c r="CS5" s="107"/>
      <c r="CT5" s="43">
        <f t="shared" si="37"/>
        <v>2</v>
      </c>
      <c r="CU5" s="43">
        <f t="shared" si="38"/>
        <v>3</v>
      </c>
      <c r="CV5" s="106">
        <f t="shared" si="39"/>
        <v>5</v>
      </c>
      <c r="CW5" s="75"/>
      <c r="CX5" s="107"/>
      <c r="CY5" s="107"/>
      <c r="CZ5" s="107"/>
      <c r="DA5" s="43">
        <f t="shared" si="40"/>
        <v>0</v>
      </c>
      <c r="DB5" s="43">
        <f t="shared" si="41"/>
        <v>0</v>
      </c>
      <c r="DC5" s="106">
        <f t="shared" si="42"/>
        <v>0</v>
      </c>
      <c r="DD5" s="181">
        <f t="shared" si="43"/>
        <v>22</v>
      </c>
      <c r="DE5" s="182">
        <f t="shared" ca="1" si="44"/>
        <v>8.7301587301587297E-2</v>
      </c>
      <c r="DF5" s="183">
        <f t="shared" si="45"/>
        <v>3</v>
      </c>
      <c r="DG5" s="182">
        <f t="shared" ca="1" si="46"/>
        <v>1.1904761904761904E-2</v>
      </c>
      <c r="DH5" s="183">
        <f t="shared" si="47"/>
        <v>25</v>
      </c>
      <c r="DI5" s="182">
        <f t="shared" ca="1" si="48"/>
        <v>9.9206349206349201E-2</v>
      </c>
      <c r="DJ5" s="183">
        <f t="shared" si="49"/>
        <v>3</v>
      </c>
      <c r="DK5" s="183">
        <f t="shared" si="50"/>
        <v>1</v>
      </c>
      <c r="DL5" s="183">
        <f t="shared" si="51"/>
        <v>4</v>
      </c>
    </row>
    <row r="6" spans="1:116" ht="15.75" thickBot="1" x14ac:dyDescent="0.3">
      <c r="A6" s="263">
        <v>9</v>
      </c>
      <c r="B6" s="192" t="s">
        <v>55</v>
      </c>
      <c r="C6" s="184" t="str">
        <f t="shared" si="0"/>
        <v>כלנית 9</v>
      </c>
      <c r="D6" s="41" t="s">
        <v>6</v>
      </c>
      <c r="E6" s="55" t="s">
        <v>7</v>
      </c>
      <c r="F6" s="74" t="s">
        <v>193</v>
      </c>
      <c r="G6" s="72">
        <v>42979</v>
      </c>
      <c r="H6" s="48"/>
      <c r="I6" s="84" t="s">
        <v>251</v>
      </c>
      <c r="J6" s="133"/>
      <c r="K6" s="134"/>
      <c r="L6" s="134"/>
      <c r="M6" s="134"/>
      <c r="N6" s="135">
        <f t="shared" si="1"/>
        <v>0</v>
      </c>
      <c r="O6" s="135">
        <f t="shared" si="2"/>
        <v>0</v>
      </c>
      <c r="P6" s="44">
        <f t="shared" si="3"/>
        <v>0</v>
      </c>
      <c r="Q6" s="39"/>
      <c r="R6" s="41"/>
      <c r="S6" s="41"/>
      <c r="T6" s="41"/>
      <c r="U6" s="43">
        <f t="shared" si="4"/>
        <v>0</v>
      </c>
      <c r="V6" s="43">
        <f t="shared" si="5"/>
        <v>0</v>
      </c>
      <c r="W6" s="45">
        <f t="shared" si="6"/>
        <v>0</v>
      </c>
      <c r="X6" s="39"/>
      <c r="Y6" s="41"/>
      <c r="Z6" s="41"/>
      <c r="AA6" s="41"/>
      <c r="AB6" s="46">
        <f t="shared" si="7"/>
        <v>0</v>
      </c>
      <c r="AC6" s="46">
        <f t="shared" si="8"/>
        <v>0</v>
      </c>
      <c r="AD6" s="47">
        <f t="shared" si="9"/>
        <v>0</v>
      </c>
      <c r="AE6" s="39">
        <v>1</v>
      </c>
      <c r="AF6" s="41"/>
      <c r="AG6" s="41">
        <v>2</v>
      </c>
      <c r="AH6" s="41"/>
      <c r="AI6" s="43">
        <f t="shared" si="10"/>
        <v>5</v>
      </c>
      <c r="AJ6" s="43">
        <f t="shared" si="11"/>
        <v>0</v>
      </c>
      <c r="AK6" s="45">
        <f t="shared" si="12"/>
        <v>5</v>
      </c>
      <c r="AL6" s="39">
        <v>1</v>
      </c>
      <c r="AM6" s="41"/>
      <c r="AN6" s="41"/>
      <c r="AO6" s="41"/>
      <c r="AP6" s="43">
        <f t="shared" si="13"/>
        <v>3</v>
      </c>
      <c r="AQ6" s="43">
        <f t="shared" si="14"/>
        <v>0</v>
      </c>
      <c r="AR6" s="45">
        <f t="shared" si="15"/>
        <v>3</v>
      </c>
      <c r="AS6" s="39"/>
      <c r="AT6" s="41"/>
      <c r="AU6" s="41">
        <v>4</v>
      </c>
      <c r="AV6" s="41"/>
      <c r="AW6" s="43">
        <f t="shared" si="16"/>
        <v>4</v>
      </c>
      <c r="AX6" s="43">
        <f t="shared" si="17"/>
        <v>0</v>
      </c>
      <c r="AY6" s="45">
        <f t="shared" si="18"/>
        <v>4</v>
      </c>
      <c r="AZ6" s="39"/>
      <c r="BA6" s="41"/>
      <c r="BB6" s="41">
        <v>2</v>
      </c>
      <c r="BC6" s="41">
        <v>1</v>
      </c>
      <c r="BD6" s="43">
        <f t="shared" si="19"/>
        <v>2</v>
      </c>
      <c r="BE6" s="43">
        <f t="shared" si="20"/>
        <v>1</v>
      </c>
      <c r="BF6" s="45">
        <f t="shared" si="21"/>
        <v>3</v>
      </c>
      <c r="BG6" s="75">
        <v>1</v>
      </c>
      <c r="BH6" s="107"/>
      <c r="BI6" s="107">
        <v>1</v>
      </c>
      <c r="BJ6" s="41"/>
      <c r="BK6" s="43">
        <f t="shared" si="22"/>
        <v>4</v>
      </c>
      <c r="BL6" s="43">
        <f t="shared" si="23"/>
        <v>0</v>
      </c>
      <c r="BM6" s="106">
        <f t="shared" si="24"/>
        <v>4</v>
      </c>
      <c r="BN6" s="75"/>
      <c r="BO6" s="107"/>
      <c r="BP6" s="107">
        <v>3</v>
      </c>
      <c r="BQ6" s="107">
        <v>1</v>
      </c>
      <c r="BR6" s="43">
        <f t="shared" si="25"/>
        <v>3</v>
      </c>
      <c r="BS6" s="43">
        <f t="shared" si="26"/>
        <v>1</v>
      </c>
      <c r="BT6" s="106">
        <f t="shared" si="27"/>
        <v>4</v>
      </c>
      <c r="BU6" s="75"/>
      <c r="BV6" s="107">
        <v>1</v>
      </c>
      <c r="BW6" s="107"/>
      <c r="BX6" s="107">
        <v>1</v>
      </c>
      <c r="BY6" s="43">
        <f t="shared" si="28"/>
        <v>0</v>
      </c>
      <c r="BZ6" s="43">
        <f t="shared" si="29"/>
        <v>4</v>
      </c>
      <c r="CA6" s="106">
        <f t="shared" si="30"/>
        <v>4</v>
      </c>
      <c r="CB6" s="75"/>
      <c r="CC6" s="107"/>
      <c r="CD6" s="107"/>
      <c r="CE6" s="196"/>
      <c r="CF6" s="43">
        <f t="shared" si="31"/>
        <v>0</v>
      </c>
      <c r="CG6" s="43">
        <f t="shared" si="32"/>
        <v>0</v>
      </c>
      <c r="CH6" s="106">
        <f t="shared" si="33"/>
        <v>0</v>
      </c>
      <c r="CI6" s="107">
        <v>1</v>
      </c>
      <c r="CJ6" s="107"/>
      <c r="CK6" s="107">
        <v>1</v>
      </c>
      <c r="CL6" s="207"/>
      <c r="CM6" s="43">
        <f t="shared" si="34"/>
        <v>4</v>
      </c>
      <c r="CN6" s="43">
        <f t="shared" si="35"/>
        <v>0</v>
      </c>
      <c r="CO6" s="106">
        <f t="shared" si="36"/>
        <v>4</v>
      </c>
      <c r="CP6" s="75"/>
      <c r="CQ6" s="107"/>
      <c r="CR6" s="107">
        <v>2</v>
      </c>
      <c r="CS6" s="107"/>
      <c r="CT6" s="43">
        <f t="shared" si="37"/>
        <v>2</v>
      </c>
      <c r="CU6" s="43">
        <f t="shared" si="38"/>
        <v>0</v>
      </c>
      <c r="CV6" s="106">
        <f t="shared" si="39"/>
        <v>2</v>
      </c>
      <c r="CW6" s="75"/>
      <c r="CX6" s="107"/>
      <c r="CY6" s="107"/>
      <c r="CZ6" s="107"/>
      <c r="DA6" s="43">
        <f t="shared" si="40"/>
        <v>0</v>
      </c>
      <c r="DB6" s="43">
        <f t="shared" si="41"/>
        <v>0</v>
      </c>
      <c r="DC6" s="106">
        <f t="shared" si="42"/>
        <v>0</v>
      </c>
      <c r="DD6" s="181">
        <f t="shared" si="43"/>
        <v>27</v>
      </c>
      <c r="DE6" s="182">
        <f t="shared" ca="1" si="44"/>
        <v>8.6261980830670923E-2</v>
      </c>
      <c r="DF6" s="183">
        <f t="shared" si="45"/>
        <v>6</v>
      </c>
      <c r="DG6" s="182">
        <f t="shared" ca="1" si="46"/>
        <v>1.9169329073482427E-2</v>
      </c>
      <c r="DH6" s="183">
        <f t="shared" si="47"/>
        <v>33</v>
      </c>
      <c r="DI6" s="182">
        <f t="shared" ca="1" si="48"/>
        <v>0.10543130990415335</v>
      </c>
      <c r="DJ6" s="183">
        <f t="shared" si="49"/>
        <v>4</v>
      </c>
      <c r="DK6" s="183">
        <f t="shared" si="50"/>
        <v>1</v>
      </c>
      <c r="DL6" s="183">
        <f t="shared" si="51"/>
        <v>5</v>
      </c>
    </row>
    <row r="7" spans="1:116" ht="15.75" thickBot="1" x14ac:dyDescent="0.3">
      <c r="A7" s="263">
        <v>9</v>
      </c>
      <c r="B7" s="191" t="s">
        <v>5</v>
      </c>
      <c r="C7" s="184" t="str">
        <f t="shared" si="0"/>
        <v>מאי 9</v>
      </c>
      <c r="D7" s="55" t="s">
        <v>6</v>
      </c>
      <c r="E7" s="55" t="s">
        <v>7</v>
      </c>
      <c r="F7" s="74" t="s">
        <v>210</v>
      </c>
      <c r="G7" s="72">
        <v>43160</v>
      </c>
      <c r="H7" s="115"/>
      <c r="I7" s="42"/>
      <c r="J7" s="133"/>
      <c r="K7" s="134"/>
      <c r="L7" s="134"/>
      <c r="M7" s="134"/>
      <c r="N7" s="135">
        <f t="shared" si="1"/>
        <v>0</v>
      </c>
      <c r="O7" s="135">
        <f t="shared" si="2"/>
        <v>0</v>
      </c>
      <c r="P7" s="44">
        <f t="shared" si="3"/>
        <v>0</v>
      </c>
      <c r="Q7" s="39"/>
      <c r="R7" s="41"/>
      <c r="S7" s="41"/>
      <c r="T7" s="41"/>
      <c r="U7" s="43">
        <f t="shared" si="4"/>
        <v>0</v>
      </c>
      <c r="V7" s="43">
        <f t="shared" si="5"/>
        <v>0</v>
      </c>
      <c r="W7" s="45">
        <f t="shared" si="6"/>
        <v>0</v>
      </c>
      <c r="X7" s="39"/>
      <c r="Y7" s="41"/>
      <c r="Z7" s="41"/>
      <c r="AA7" s="41"/>
      <c r="AB7" s="46">
        <f t="shared" si="7"/>
        <v>0</v>
      </c>
      <c r="AC7" s="46">
        <f t="shared" si="8"/>
        <v>0</v>
      </c>
      <c r="AD7" s="47">
        <f t="shared" si="9"/>
        <v>0</v>
      </c>
      <c r="AE7" s="39"/>
      <c r="AF7" s="41"/>
      <c r="AG7" s="41"/>
      <c r="AH7" s="41"/>
      <c r="AI7" s="43">
        <f t="shared" si="10"/>
        <v>0</v>
      </c>
      <c r="AJ7" s="43">
        <f t="shared" si="11"/>
        <v>0</v>
      </c>
      <c r="AK7" s="45">
        <f t="shared" si="12"/>
        <v>0</v>
      </c>
      <c r="AL7" s="39"/>
      <c r="AM7" s="41"/>
      <c r="AN7" s="41"/>
      <c r="AO7" s="41"/>
      <c r="AP7" s="43">
        <f t="shared" si="13"/>
        <v>0</v>
      </c>
      <c r="AQ7" s="43">
        <f t="shared" si="14"/>
        <v>0</v>
      </c>
      <c r="AR7" s="45">
        <f t="shared" si="15"/>
        <v>0</v>
      </c>
      <c r="AS7" s="39"/>
      <c r="AT7" s="41"/>
      <c r="AU7" s="41"/>
      <c r="AV7" s="41"/>
      <c r="AW7" s="43">
        <f t="shared" si="16"/>
        <v>0</v>
      </c>
      <c r="AX7" s="43">
        <f t="shared" si="17"/>
        <v>0</v>
      </c>
      <c r="AY7" s="45">
        <f t="shared" si="18"/>
        <v>0</v>
      </c>
      <c r="AZ7" s="39"/>
      <c r="BA7" s="41"/>
      <c r="BB7" s="41"/>
      <c r="BC7" s="41"/>
      <c r="BD7" s="43">
        <f t="shared" si="19"/>
        <v>0</v>
      </c>
      <c r="BE7" s="43">
        <f t="shared" si="20"/>
        <v>0</v>
      </c>
      <c r="BF7" s="45">
        <f t="shared" si="21"/>
        <v>0</v>
      </c>
      <c r="BG7" s="75"/>
      <c r="BH7" s="107"/>
      <c r="BI7" s="41"/>
      <c r="BJ7" s="41"/>
      <c r="BK7" s="43">
        <f t="shared" si="22"/>
        <v>0</v>
      </c>
      <c r="BL7" s="43">
        <f t="shared" si="23"/>
        <v>0</v>
      </c>
      <c r="BM7" s="106">
        <f t="shared" si="24"/>
        <v>0</v>
      </c>
      <c r="BN7" s="75"/>
      <c r="BO7" s="107"/>
      <c r="BP7" s="107"/>
      <c r="BQ7" s="107"/>
      <c r="BR7" s="43">
        <f t="shared" si="25"/>
        <v>0</v>
      </c>
      <c r="BS7" s="43">
        <f t="shared" si="26"/>
        <v>0</v>
      </c>
      <c r="BT7" s="106">
        <f t="shared" si="27"/>
        <v>0</v>
      </c>
      <c r="BU7" s="75"/>
      <c r="BV7" s="107"/>
      <c r="BW7" s="107">
        <v>1</v>
      </c>
      <c r="BX7" s="107"/>
      <c r="BY7" s="43">
        <f t="shared" si="28"/>
        <v>1</v>
      </c>
      <c r="BZ7" s="43">
        <f t="shared" si="29"/>
        <v>0</v>
      </c>
      <c r="CA7" s="106">
        <f t="shared" si="30"/>
        <v>1</v>
      </c>
      <c r="CB7" s="194"/>
      <c r="CC7" s="107"/>
      <c r="CD7" s="107"/>
      <c r="CE7" s="196"/>
      <c r="CF7" s="43">
        <f t="shared" si="31"/>
        <v>0</v>
      </c>
      <c r="CG7" s="43">
        <f t="shared" si="32"/>
        <v>0</v>
      </c>
      <c r="CH7" s="106">
        <f t="shared" si="33"/>
        <v>0</v>
      </c>
      <c r="CI7" s="107"/>
      <c r="CJ7" s="107"/>
      <c r="CK7" s="107"/>
      <c r="CL7" s="207"/>
      <c r="CM7" s="43">
        <f t="shared" si="34"/>
        <v>0</v>
      </c>
      <c r="CN7" s="43">
        <f t="shared" si="35"/>
        <v>0</v>
      </c>
      <c r="CO7" s="106">
        <f t="shared" si="36"/>
        <v>0</v>
      </c>
      <c r="CP7" s="75"/>
      <c r="CQ7" s="107"/>
      <c r="CR7" s="107"/>
      <c r="CS7" s="107"/>
      <c r="CT7" s="43">
        <f t="shared" si="37"/>
        <v>0</v>
      </c>
      <c r="CU7" s="43">
        <f t="shared" si="38"/>
        <v>0</v>
      </c>
      <c r="CV7" s="106">
        <f t="shared" si="39"/>
        <v>0</v>
      </c>
      <c r="CW7" s="75"/>
      <c r="CX7" s="107"/>
      <c r="CY7" s="107"/>
      <c r="CZ7" s="107"/>
      <c r="DA7" s="43">
        <f t="shared" si="40"/>
        <v>0</v>
      </c>
      <c r="DB7" s="43">
        <f t="shared" si="41"/>
        <v>0</v>
      </c>
      <c r="DC7" s="106">
        <f t="shared" si="42"/>
        <v>0</v>
      </c>
      <c r="DD7" s="181">
        <f t="shared" si="43"/>
        <v>1</v>
      </c>
      <c r="DE7" s="182">
        <f t="shared" ca="1" si="44"/>
        <v>7.575757575757576E-3</v>
      </c>
      <c r="DF7" s="183">
        <f t="shared" si="45"/>
        <v>0</v>
      </c>
      <c r="DG7" s="182">
        <f t="shared" ca="1" si="46"/>
        <v>0</v>
      </c>
      <c r="DH7" s="183">
        <f t="shared" si="47"/>
        <v>1</v>
      </c>
      <c r="DI7" s="182">
        <f t="shared" ca="1" si="48"/>
        <v>7.575757575757576E-3</v>
      </c>
      <c r="DJ7" s="183">
        <f t="shared" si="49"/>
        <v>0</v>
      </c>
      <c r="DK7" s="183">
        <f t="shared" si="50"/>
        <v>0</v>
      </c>
      <c r="DL7" s="183">
        <f t="shared" si="51"/>
        <v>0</v>
      </c>
    </row>
    <row r="8" spans="1:116" ht="15.75" thickBot="1" x14ac:dyDescent="0.3">
      <c r="A8" s="263">
        <v>9</v>
      </c>
      <c r="B8" s="191" t="s">
        <v>128</v>
      </c>
      <c r="C8" s="184" t="str">
        <f t="shared" si="0"/>
        <v>מעין 9</v>
      </c>
      <c r="D8" s="41" t="s">
        <v>6</v>
      </c>
      <c r="E8" s="55" t="s">
        <v>7</v>
      </c>
      <c r="F8" s="74" t="s">
        <v>193</v>
      </c>
      <c r="G8" s="72">
        <v>42979</v>
      </c>
      <c r="H8" s="48"/>
      <c r="I8" s="42"/>
      <c r="J8" s="133"/>
      <c r="K8" s="134"/>
      <c r="L8" s="134"/>
      <c r="M8" s="134"/>
      <c r="N8" s="135">
        <f t="shared" si="1"/>
        <v>0</v>
      </c>
      <c r="O8" s="135">
        <f t="shared" si="2"/>
        <v>0</v>
      </c>
      <c r="P8" s="44">
        <f t="shared" si="3"/>
        <v>0</v>
      </c>
      <c r="Q8" s="39"/>
      <c r="R8" s="41"/>
      <c r="S8" s="41"/>
      <c r="T8" s="41"/>
      <c r="U8" s="43">
        <f t="shared" si="4"/>
        <v>0</v>
      </c>
      <c r="V8" s="43">
        <f t="shared" si="5"/>
        <v>0</v>
      </c>
      <c r="W8" s="45">
        <f t="shared" si="6"/>
        <v>0</v>
      </c>
      <c r="X8" s="39"/>
      <c r="Y8" s="41"/>
      <c r="Z8" s="41"/>
      <c r="AA8" s="41"/>
      <c r="AB8" s="46">
        <f t="shared" si="7"/>
        <v>0</v>
      </c>
      <c r="AC8" s="46">
        <f t="shared" si="8"/>
        <v>0</v>
      </c>
      <c r="AD8" s="47">
        <f t="shared" si="9"/>
        <v>0</v>
      </c>
      <c r="AE8" s="39">
        <v>1</v>
      </c>
      <c r="AF8" s="41"/>
      <c r="AG8" s="41">
        <v>3</v>
      </c>
      <c r="AH8" s="41"/>
      <c r="AI8" s="43">
        <f t="shared" si="10"/>
        <v>6</v>
      </c>
      <c r="AJ8" s="43">
        <f t="shared" si="11"/>
        <v>0</v>
      </c>
      <c r="AK8" s="45">
        <f t="shared" si="12"/>
        <v>6</v>
      </c>
      <c r="AL8" s="39"/>
      <c r="AM8" s="41"/>
      <c r="AN8" s="41">
        <v>1</v>
      </c>
      <c r="AO8" s="41"/>
      <c r="AP8" s="43">
        <f t="shared" si="13"/>
        <v>1</v>
      </c>
      <c r="AQ8" s="43">
        <f t="shared" si="14"/>
        <v>0</v>
      </c>
      <c r="AR8" s="45">
        <f t="shared" si="15"/>
        <v>1</v>
      </c>
      <c r="AS8" s="39">
        <v>1</v>
      </c>
      <c r="AT8" s="41"/>
      <c r="AU8" s="41">
        <v>1</v>
      </c>
      <c r="AV8" s="41"/>
      <c r="AW8" s="43">
        <f t="shared" si="16"/>
        <v>4</v>
      </c>
      <c r="AX8" s="43">
        <f t="shared" si="17"/>
        <v>0</v>
      </c>
      <c r="AY8" s="45">
        <f t="shared" si="18"/>
        <v>4</v>
      </c>
      <c r="AZ8" s="39">
        <v>1</v>
      </c>
      <c r="BA8" s="41"/>
      <c r="BB8" s="41">
        <v>3</v>
      </c>
      <c r="BC8" s="41">
        <v>1</v>
      </c>
      <c r="BD8" s="43">
        <f t="shared" si="19"/>
        <v>6</v>
      </c>
      <c r="BE8" s="43">
        <f t="shared" si="20"/>
        <v>1</v>
      </c>
      <c r="BF8" s="45">
        <f t="shared" si="21"/>
        <v>7</v>
      </c>
      <c r="BG8" s="75"/>
      <c r="BH8" s="107"/>
      <c r="BI8" s="41">
        <v>1</v>
      </c>
      <c r="BJ8" s="41"/>
      <c r="BK8" s="43">
        <f t="shared" si="22"/>
        <v>1</v>
      </c>
      <c r="BL8" s="43">
        <f t="shared" si="23"/>
        <v>0</v>
      </c>
      <c r="BM8" s="106">
        <f t="shared" si="24"/>
        <v>1</v>
      </c>
      <c r="BN8" s="75"/>
      <c r="BO8" s="107"/>
      <c r="BP8" s="107">
        <v>3</v>
      </c>
      <c r="BQ8" s="107"/>
      <c r="BR8" s="43">
        <f t="shared" si="25"/>
        <v>3</v>
      </c>
      <c r="BS8" s="43">
        <f t="shared" si="26"/>
        <v>0</v>
      </c>
      <c r="BT8" s="106">
        <f t="shared" si="27"/>
        <v>3</v>
      </c>
      <c r="BU8" s="75"/>
      <c r="BV8" s="107"/>
      <c r="BW8" s="107"/>
      <c r="BX8" s="107"/>
      <c r="BY8" s="43">
        <f t="shared" si="28"/>
        <v>0</v>
      </c>
      <c r="BZ8" s="43">
        <f t="shared" si="29"/>
        <v>0</v>
      </c>
      <c r="CA8" s="106">
        <f t="shared" si="30"/>
        <v>0</v>
      </c>
      <c r="CB8" s="193">
        <v>1</v>
      </c>
      <c r="CC8" s="107"/>
      <c r="CD8" s="107">
        <v>2</v>
      </c>
      <c r="CE8" s="196"/>
      <c r="CF8" s="43">
        <f t="shared" si="31"/>
        <v>5</v>
      </c>
      <c r="CG8" s="43">
        <f t="shared" si="32"/>
        <v>0</v>
      </c>
      <c r="CH8" s="106">
        <f t="shared" si="33"/>
        <v>5</v>
      </c>
      <c r="CI8" s="107"/>
      <c r="CJ8" s="107"/>
      <c r="CK8" s="107"/>
      <c r="CL8" s="207"/>
      <c r="CM8" s="43">
        <f t="shared" si="34"/>
        <v>0</v>
      </c>
      <c r="CN8" s="43">
        <f t="shared" si="35"/>
        <v>0</v>
      </c>
      <c r="CO8" s="106">
        <f t="shared" si="36"/>
        <v>0</v>
      </c>
      <c r="CP8" s="75"/>
      <c r="CQ8" s="107"/>
      <c r="CR8" s="107"/>
      <c r="CS8" s="107"/>
      <c r="CT8" s="43">
        <f t="shared" si="37"/>
        <v>0</v>
      </c>
      <c r="CU8" s="43">
        <f t="shared" si="38"/>
        <v>0</v>
      </c>
      <c r="CV8" s="106">
        <f t="shared" si="39"/>
        <v>0</v>
      </c>
      <c r="CW8" s="75"/>
      <c r="CX8" s="107"/>
      <c r="CY8" s="107"/>
      <c r="CZ8" s="107"/>
      <c r="DA8" s="43">
        <f t="shared" si="40"/>
        <v>0</v>
      </c>
      <c r="DB8" s="43">
        <f t="shared" si="41"/>
        <v>0</v>
      </c>
      <c r="DC8" s="106">
        <f t="shared" si="42"/>
        <v>0</v>
      </c>
      <c r="DD8" s="181">
        <f t="shared" si="43"/>
        <v>26</v>
      </c>
      <c r="DE8" s="182">
        <f t="shared" ca="1" si="44"/>
        <v>8.3067092651757185E-2</v>
      </c>
      <c r="DF8" s="183">
        <f t="shared" si="45"/>
        <v>1</v>
      </c>
      <c r="DG8" s="182">
        <f t="shared" ca="1" si="46"/>
        <v>3.1948881789137379E-3</v>
      </c>
      <c r="DH8" s="183">
        <f t="shared" si="47"/>
        <v>27</v>
      </c>
      <c r="DI8" s="182">
        <f t="shared" ca="1" si="48"/>
        <v>8.6261980830670923E-2</v>
      </c>
      <c r="DJ8" s="183">
        <f t="shared" si="49"/>
        <v>4</v>
      </c>
      <c r="DK8" s="183">
        <f t="shared" si="50"/>
        <v>0</v>
      </c>
      <c r="DL8" s="183">
        <f t="shared" si="51"/>
        <v>4</v>
      </c>
    </row>
    <row r="9" spans="1:116" ht="15.75" thickBot="1" x14ac:dyDescent="0.3">
      <c r="A9" s="263">
        <v>9</v>
      </c>
      <c r="B9" s="192" t="s">
        <v>13</v>
      </c>
      <c r="C9" s="184" t="str">
        <f t="shared" si="0"/>
        <v>שקד 9</v>
      </c>
      <c r="D9" s="41" t="s">
        <v>6</v>
      </c>
      <c r="E9" s="55" t="s">
        <v>7</v>
      </c>
      <c r="F9" s="74" t="s">
        <v>194</v>
      </c>
      <c r="G9" s="72">
        <v>43009</v>
      </c>
      <c r="H9" s="74"/>
      <c r="I9" s="84" t="s">
        <v>251</v>
      </c>
      <c r="J9" s="133"/>
      <c r="K9" s="134"/>
      <c r="L9" s="134"/>
      <c r="M9" s="134"/>
      <c r="N9" s="135">
        <f t="shared" si="1"/>
        <v>0</v>
      </c>
      <c r="O9" s="135">
        <f t="shared" si="2"/>
        <v>0</v>
      </c>
      <c r="P9" s="44">
        <f t="shared" si="3"/>
        <v>0</v>
      </c>
      <c r="Q9" s="39"/>
      <c r="R9" s="41"/>
      <c r="S9" s="41"/>
      <c r="T9" s="41"/>
      <c r="U9" s="43">
        <f t="shared" si="4"/>
        <v>0</v>
      </c>
      <c r="V9" s="43">
        <f t="shared" si="5"/>
        <v>0</v>
      </c>
      <c r="W9" s="45">
        <f t="shared" si="6"/>
        <v>0</v>
      </c>
      <c r="X9" s="39"/>
      <c r="Y9" s="41"/>
      <c r="Z9" s="41"/>
      <c r="AA9" s="41"/>
      <c r="AB9" s="46">
        <f t="shared" si="7"/>
        <v>0</v>
      </c>
      <c r="AC9" s="46">
        <f t="shared" si="8"/>
        <v>0</v>
      </c>
      <c r="AD9" s="47">
        <f t="shared" si="9"/>
        <v>0</v>
      </c>
      <c r="AE9" s="39"/>
      <c r="AF9" s="41"/>
      <c r="AG9" s="41">
        <v>1</v>
      </c>
      <c r="AH9" s="41"/>
      <c r="AI9" s="43">
        <f t="shared" si="10"/>
        <v>1</v>
      </c>
      <c r="AJ9" s="43">
        <f t="shared" si="11"/>
        <v>0</v>
      </c>
      <c r="AK9" s="45">
        <f t="shared" si="12"/>
        <v>1</v>
      </c>
      <c r="AL9" s="39">
        <v>1</v>
      </c>
      <c r="AM9" s="41"/>
      <c r="AN9" s="41">
        <v>2</v>
      </c>
      <c r="AO9" s="41"/>
      <c r="AP9" s="43">
        <f t="shared" si="13"/>
        <v>5</v>
      </c>
      <c r="AQ9" s="43">
        <f t="shared" si="14"/>
        <v>0</v>
      </c>
      <c r="AR9" s="45">
        <f t="shared" si="15"/>
        <v>5</v>
      </c>
      <c r="AS9" s="39"/>
      <c r="AT9" s="41"/>
      <c r="AU9" s="41">
        <v>4</v>
      </c>
      <c r="AV9" s="41"/>
      <c r="AW9" s="43">
        <f t="shared" si="16"/>
        <v>4</v>
      </c>
      <c r="AX9" s="43">
        <f t="shared" si="17"/>
        <v>0</v>
      </c>
      <c r="AY9" s="45">
        <f t="shared" si="18"/>
        <v>4</v>
      </c>
      <c r="AZ9" s="39"/>
      <c r="BA9" s="41"/>
      <c r="BB9" s="41">
        <v>2</v>
      </c>
      <c r="BC9" s="41">
        <v>1</v>
      </c>
      <c r="BD9" s="43">
        <f t="shared" si="19"/>
        <v>2</v>
      </c>
      <c r="BE9" s="43">
        <f t="shared" si="20"/>
        <v>1</v>
      </c>
      <c r="BF9" s="45">
        <f t="shared" si="21"/>
        <v>3</v>
      </c>
      <c r="BG9" s="75">
        <v>1</v>
      </c>
      <c r="BH9" s="107"/>
      <c r="BI9" s="107">
        <v>1</v>
      </c>
      <c r="BJ9" s="41"/>
      <c r="BK9" s="43">
        <f t="shared" si="22"/>
        <v>4</v>
      </c>
      <c r="BL9" s="43">
        <f t="shared" si="23"/>
        <v>0</v>
      </c>
      <c r="BM9" s="106">
        <f t="shared" si="24"/>
        <v>4</v>
      </c>
      <c r="BN9" s="75">
        <v>1</v>
      </c>
      <c r="BO9" s="107"/>
      <c r="BP9" s="107">
        <v>1</v>
      </c>
      <c r="BQ9" s="107"/>
      <c r="BR9" s="43">
        <f t="shared" si="25"/>
        <v>4</v>
      </c>
      <c r="BS9" s="43">
        <f t="shared" si="26"/>
        <v>0</v>
      </c>
      <c r="BT9" s="106">
        <f t="shared" si="27"/>
        <v>4</v>
      </c>
      <c r="BU9" s="75"/>
      <c r="BV9" s="107"/>
      <c r="BW9" s="107">
        <v>1</v>
      </c>
      <c r="BX9" s="107"/>
      <c r="BY9" s="43">
        <f t="shared" si="28"/>
        <v>1</v>
      </c>
      <c r="BZ9" s="43">
        <f t="shared" si="29"/>
        <v>0</v>
      </c>
      <c r="CA9" s="106">
        <f t="shared" si="30"/>
        <v>1</v>
      </c>
      <c r="CB9" s="75"/>
      <c r="CC9" s="107"/>
      <c r="CD9" s="107">
        <v>1</v>
      </c>
      <c r="CE9" s="196"/>
      <c r="CF9" s="43">
        <f t="shared" si="31"/>
        <v>1</v>
      </c>
      <c r="CG9" s="43">
        <f t="shared" si="32"/>
        <v>0</v>
      </c>
      <c r="CH9" s="106">
        <f t="shared" si="33"/>
        <v>1</v>
      </c>
      <c r="CI9" s="107"/>
      <c r="CJ9" s="107">
        <v>1</v>
      </c>
      <c r="CK9" s="107">
        <v>1</v>
      </c>
      <c r="CL9" s="207"/>
      <c r="CM9" s="43">
        <f t="shared" si="34"/>
        <v>1</v>
      </c>
      <c r="CN9" s="43">
        <f t="shared" si="35"/>
        <v>3</v>
      </c>
      <c r="CO9" s="106">
        <f t="shared" si="36"/>
        <v>4</v>
      </c>
      <c r="CP9" s="75"/>
      <c r="CQ9" s="107"/>
      <c r="CR9" s="107">
        <v>2</v>
      </c>
      <c r="CS9" s="107"/>
      <c r="CT9" s="43">
        <f t="shared" si="37"/>
        <v>2</v>
      </c>
      <c r="CU9" s="43">
        <f t="shared" si="38"/>
        <v>0</v>
      </c>
      <c r="CV9" s="106">
        <f t="shared" si="39"/>
        <v>2</v>
      </c>
      <c r="CW9" s="75"/>
      <c r="CX9" s="107"/>
      <c r="CY9" s="107"/>
      <c r="CZ9" s="107"/>
      <c r="DA9" s="43">
        <f t="shared" si="40"/>
        <v>0</v>
      </c>
      <c r="DB9" s="43">
        <f t="shared" si="41"/>
        <v>0</v>
      </c>
      <c r="DC9" s="106">
        <f t="shared" si="42"/>
        <v>0</v>
      </c>
      <c r="DD9" s="181">
        <f t="shared" si="43"/>
        <v>25</v>
      </c>
      <c r="DE9" s="182">
        <f t="shared" ca="1" si="44"/>
        <v>8.8339222614840993E-2</v>
      </c>
      <c r="DF9" s="183">
        <f t="shared" si="45"/>
        <v>4</v>
      </c>
      <c r="DG9" s="182">
        <f t="shared" ca="1" si="46"/>
        <v>1.4134275618374558E-2</v>
      </c>
      <c r="DH9" s="183">
        <f t="shared" si="47"/>
        <v>29</v>
      </c>
      <c r="DI9" s="182">
        <f t="shared" ca="1" si="48"/>
        <v>0.10247349823321555</v>
      </c>
      <c r="DJ9" s="183">
        <f t="shared" si="49"/>
        <v>3</v>
      </c>
      <c r="DK9" s="183">
        <f t="shared" si="50"/>
        <v>1</v>
      </c>
      <c r="DL9" s="183">
        <f t="shared" si="51"/>
        <v>4</v>
      </c>
    </row>
    <row r="10" spans="1:116" ht="15.75" thickBot="1" x14ac:dyDescent="0.3">
      <c r="A10" s="39">
        <v>11</v>
      </c>
      <c r="B10" s="62" t="s">
        <v>164</v>
      </c>
      <c r="C10" s="67" t="str">
        <f t="shared" si="0"/>
        <v>אתי 11</v>
      </c>
      <c r="D10" s="55" t="s">
        <v>6</v>
      </c>
      <c r="E10" s="55" t="s">
        <v>6</v>
      </c>
      <c r="F10" s="74" t="s">
        <v>262</v>
      </c>
      <c r="G10" s="72">
        <v>43252</v>
      </c>
      <c r="H10" s="115"/>
      <c r="I10" s="42"/>
      <c r="J10" s="133"/>
      <c r="K10" s="134"/>
      <c r="L10" s="134"/>
      <c r="M10" s="134"/>
      <c r="N10" s="135">
        <f t="shared" si="1"/>
        <v>0</v>
      </c>
      <c r="O10" s="135">
        <f t="shared" si="2"/>
        <v>0</v>
      </c>
      <c r="P10" s="44">
        <f t="shared" si="3"/>
        <v>0</v>
      </c>
      <c r="Q10" s="39"/>
      <c r="R10" s="41"/>
      <c r="S10" s="41"/>
      <c r="T10" s="41"/>
      <c r="U10" s="43">
        <f t="shared" si="4"/>
        <v>0</v>
      </c>
      <c r="V10" s="43">
        <f t="shared" si="5"/>
        <v>0</v>
      </c>
      <c r="W10" s="45">
        <f t="shared" si="6"/>
        <v>0</v>
      </c>
      <c r="X10" s="39"/>
      <c r="Y10" s="41"/>
      <c r="Z10" s="41"/>
      <c r="AA10" s="41"/>
      <c r="AB10" s="46">
        <f t="shared" si="7"/>
        <v>0</v>
      </c>
      <c r="AC10" s="46">
        <f t="shared" si="8"/>
        <v>0</v>
      </c>
      <c r="AD10" s="47">
        <f t="shared" si="9"/>
        <v>0</v>
      </c>
      <c r="AE10" s="39"/>
      <c r="AF10" s="41"/>
      <c r="AG10" s="41"/>
      <c r="AH10" s="41"/>
      <c r="AI10" s="43">
        <f t="shared" si="10"/>
        <v>0</v>
      </c>
      <c r="AJ10" s="43">
        <f t="shared" si="11"/>
        <v>0</v>
      </c>
      <c r="AK10" s="45">
        <f t="shared" si="12"/>
        <v>0</v>
      </c>
      <c r="AL10" s="39"/>
      <c r="AM10" s="41"/>
      <c r="AN10" s="41"/>
      <c r="AO10" s="41"/>
      <c r="AP10" s="43">
        <f t="shared" si="13"/>
        <v>0</v>
      </c>
      <c r="AQ10" s="43">
        <f t="shared" si="14"/>
        <v>0</v>
      </c>
      <c r="AR10" s="45">
        <f t="shared" si="15"/>
        <v>0</v>
      </c>
      <c r="AS10" s="39"/>
      <c r="AT10" s="41"/>
      <c r="AU10" s="41"/>
      <c r="AV10" s="41"/>
      <c r="AW10" s="43">
        <f t="shared" si="16"/>
        <v>0</v>
      </c>
      <c r="AX10" s="43">
        <f t="shared" si="17"/>
        <v>0</v>
      </c>
      <c r="AY10" s="45">
        <f t="shared" si="18"/>
        <v>0</v>
      </c>
      <c r="AZ10" s="39"/>
      <c r="BA10" s="41"/>
      <c r="BB10" s="41"/>
      <c r="BC10" s="41"/>
      <c r="BD10" s="43">
        <f t="shared" si="19"/>
        <v>0</v>
      </c>
      <c r="BE10" s="43">
        <f t="shared" si="20"/>
        <v>0</v>
      </c>
      <c r="BF10" s="45">
        <f t="shared" si="21"/>
        <v>0</v>
      </c>
      <c r="BG10" s="75"/>
      <c r="BH10" s="107"/>
      <c r="BI10" s="41"/>
      <c r="BJ10" s="41"/>
      <c r="BK10" s="43">
        <f t="shared" si="22"/>
        <v>0</v>
      </c>
      <c r="BL10" s="43">
        <f t="shared" si="23"/>
        <v>0</v>
      </c>
      <c r="BM10" s="106">
        <f t="shared" si="24"/>
        <v>0</v>
      </c>
      <c r="BN10" s="75"/>
      <c r="BO10" s="107"/>
      <c r="BP10" s="107"/>
      <c r="BQ10" s="107"/>
      <c r="BR10" s="43">
        <f t="shared" si="25"/>
        <v>0</v>
      </c>
      <c r="BS10" s="43">
        <f t="shared" si="26"/>
        <v>0</v>
      </c>
      <c r="BT10" s="106">
        <f t="shared" si="27"/>
        <v>0</v>
      </c>
      <c r="BU10" s="75"/>
      <c r="BV10" s="107"/>
      <c r="BW10" s="107"/>
      <c r="BX10" s="107"/>
      <c r="BY10" s="43">
        <f t="shared" si="28"/>
        <v>0</v>
      </c>
      <c r="BZ10" s="43">
        <f t="shared" si="29"/>
        <v>0</v>
      </c>
      <c r="CA10" s="106">
        <f t="shared" si="30"/>
        <v>0</v>
      </c>
      <c r="CB10" s="75"/>
      <c r="CC10" s="107"/>
      <c r="CD10" s="107"/>
      <c r="CE10" s="196"/>
      <c r="CF10" s="43">
        <f t="shared" si="31"/>
        <v>0</v>
      </c>
      <c r="CG10" s="43">
        <f t="shared" si="32"/>
        <v>0</v>
      </c>
      <c r="CH10" s="106">
        <f t="shared" si="33"/>
        <v>0</v>
      </c>
      <c r="CI10" s="107"/>
      <c r="CJ10" s="107"/>
      <c r="CK10" s="107"/>
      <c r="CL10" s="207"/>
      <c r="CM10" s="43">
        <f t="shared" si="34"/>
        <v>0</v>
      </c>
      <c r="CN10" s="43">
        <f t="shared" si="35"/>
        <v>0</v>
      </c>
      <c r="CO10" s="106">
        <f t="shared" si="36"/>
        <v>0</v>
      </c>
      <c r="CP10" s="75"/>
      <c r="CQ10" s="107"/>
      <c r="CR10" s="107">
        <v>3</v>
      </c>
      <c r="CS10" s="107"/>
      <c r="CT10" s="43">
        <f t="shared" si="37"/>
        <v>3</v>
      </c>
      <c r="CU10" s="43">
        <f t="shared" si="38"/>
        <v>0</v>
      </c>
      <c r="CV10" s="106">
        <f t="shared" si="39"/>
        <v>3</v>
      </c>
      <c r="CW10" s="75"/>
      <c r="CX10" s="107"/>
      <c r="CY10" s="107"/>
      <c r="CZ10" s="107"/>
      <c r="DA10" s="43">
        <f t="shared" si="40"/>
        <v>0</v>
      </c>
      <c r="DB10" s="43">
        <f t="shared" si="41"/>
        <v>0</v>
      </c>
      <c r="DC10" s="106">
        <f t="shared" si="42"/>
        <v>0</v>
      </c>
      <c r="DD10" s="181">
        <f t="shared" si="43"/>
        <v>3</v>
      </c>
      <c r="DE10" s="182">
        <f t="shared" ca="1" si="44"/>
        <v>7.4999999999999997E-2</v>
      </c>
      <c r="DF10" s="183">
        <f t="shared" si="45"/>
        <v>0</v>
      </c>
      <c r="DG10" s="182">
        <f t="shared" ca="1" si="46"/>
        <v>0</v>
      </c>
      <c r="DH10" s="183">
        <f t="shared" si="47"/>
        <v>3</v>
      </c>
      <c r="DI10" s="182">
        <f t="shared" ca="1" si="48"/>
        <v>7.4999999999999997E-2</v>
      </c>
      <c r="DJ10" s="183">
        <f t="shared" si="49"/>
        <v>0</v>
      </c>
      <c r="DK10" s="183">
        <f t="shared" si="50"/>
        <v>0</v>
      </c>
      <c r="DL10" s="183">
        <f t="shared" si="51"/>
        <v>0</v>
      </c>
    </row>
    <row r="11" spans="1:116" ht="15.75" thickBot="1" x14ac:dyDescent="0.3">
      <c r="A11" s="39">
        <v>11</v>
      </c>
      <c r="B11" s="62" t="s">
        <v>221</v>
      </c>
      <c r="C11" s="40" t="str">
        <f t="shared" si="0"/>
        <v>גל 11</v>
      </c>
      <c r="D11" s="55" t="s">
        <v>6</v>
      </c>
      <c r="E11" s="55" t="s">
        <v>7</v>
      </c>
      <c r="F11" s="74" t="s">
        <v>224</v>
      </c>
      <c r="G11" s="72">
        <v>43191</v>
      </c>
      <c r="H11" s="115"/>
      <c r="I11" s="42"/>
      <c r="J11" s="133"/>
      <c r="K11" s="134"/>
      <c r="L11" s="134"/>
      <c r="M11" s="134"/>
      <c r="N11" s="135">
        <f t="shared" si="1"/>
        <v>0</v>
      </c>
      <c r="O11" s="135">
        <f t="shared" si="2"/>
        <v>0</v>
      </c>
      <c r="P11" s="44">
        <f t="shared" si="3"/>
        <v>0</v>
      </c>
      <c r="Q11" s="39"/>
      <c r="R11" s="41"/>
      <c r="S11" s="41"/>
      <c r="T11" s="41"/>
      <c r="U11" s="43">
        <f t="shared" si="4"/>
        <v>0</v>
      </c>
      <c r="V11" s="43">
        <f t="shared" si="5"/>
        <v>0</v>
      </c>
      <c r="W11" s="45">
        <f t="shared" si="6"/>
        <v>0</v>
      </c>
      <c r="X11" s="39"/>
      <c r="Y11" s="41"/>
      <c r="Z11" s="41"/>
      <c r="AA11" s="41"/>
      <c r="AB11" s="46">
        <f t="shared" si="7"/>
        <v>0</v>
      </c>
      <c r="AC11" s="46">
        <f t="shared" si="8"/>
        <v>0</v>
      </c>
      <c r="AD11" s="47">
        <f t="shared" si="9"/>
        <v>0</v>
      </c>
      <c r="AE11" s="39"/>
      <c r="AF11" s="41"/>
      <c r="AG11" s="41"/>
      <c r="AH11" s="41"/>
      <c r="AI11" s="43">
        <f t="shared" si="10"/>
        <v>0</v>
      </c>
      <c r="AJ11" s="43">
        <f t="shared" si="11"/>
        <v>0</v>
      </c>
      <c r="AK11" s="45">
        <f t="shared" si="12"/>
        <v>0</v>
      </c>
      <c r="AL11" s="39"/>
      <c r="AM11" s="41"/>
      <c r="AN11" s="41"/>
      <c r="AO11" s="41"/>
      <c r="AP11" s="43">
        <f t="shared" si="13"/>
        <v>0</v>
      </c>
      <c r="AQ11" s="43">
        <f t="shared" si="14"/>
        <v>0</v>
      </c>
      <c r="AR11" s="45">
        <f t="shared" si="15"/>
        <v>0</v>
      </c>
      <c r="AS11" s="39"/>
      <c r="AT11" s="41"/>
      <c r="AU11" s="41"/>
      <c r="AV11" s="41"/>
      <c r="AW11" s="43">
        <f t="shared" si="16"/>
        <v>0</v>
      </c>
      <c r="AX11" s="43">
        <f t="shared" si="17"/>
        <v>0</v>
      </c>
      <c r="AY11" s="45">
        <f t="shared" si="18"/>
        <v>0</v>
      </c>
      <c r="AZ11" s="39"/>
      <c r="BA11" s="41"/>
      <c r="BB11" s="41"/>
      <c r="BC11" s="41"/>
      <c r="BD11" s="43">
        <f t="shared" si="19"/>
        <v>0</v>
      </c>
      <c r="BE11" s="43">
        <f t="shared" si="20"/>
        <v>0</v>
      </c>
      <c r="BF11" s="45">
        <f t="shared" si="21"/>
        <v>0</v>
      </c>
      <c r="BG11" s="75"/>
      <c r="BH11" s="107"/>
      <c r="BI11" s="41"/>
      <c r="BJ11" s="41"/>
      <c r="BK11" s="43">
        <f t="shared" si="22"/>
        <v>0</v>
      </c>
      <c r="BL11" s="43">
        <f t="shared" si="23"/>
        <v>0</v>
      </c>
      <c r="BM11" s="106">
        <f t="shared" si="24"/>
        <v>0</v>
      </c>
      <c r="BN11" s="75"/>
      <c r="BO11" s="107"/>
      <c r="BP11" s="107"/>
      <c r="BQ11" s="107"/>
      <c r="BR11" s="43">
        <f t="shared" si="25"/>
        <v>0</v>
      </c>
      <c r="BS11" s="43">
        <f t="shared" si="26"/>
        <v>0</v>
      </c>
      <c r="BT11" s="106">
        <f t="shared" si="27"/>
        <v>0</v>
      </c>
      <c r="BU11" s="75"/>
      <c r="BV11" s="107"/>
      <c r="BW11" s="107">
        <v>1</v>
      </c>
      <c r="BX11" s="107"/>
      <c r="BY11" s="43">
        <f t="shared" si="28"/>
        <v>1</v>
      </c>
      <c r="BZ11" s="43">
        <f t="shared" si="29"/>
        <v>0</v>
      </c>
      <c r="CA11" s="106">
        <f t="shared" si="30"/>
        <v>1</v>
      </c>
      <c r="CB11" s="75"/>
      <c r="CC11" s="107"/>
      <c r="CD11" s="107">
        <v>2</v>
      </c>
      <c r="CE11" s="196"/>
      <c r="CF11" s="43">
        <f t="shared" si="31"/>
        <v>2</v>
      </c>
      <c r="CG11" s="43">
        <f t="shared" si="32"/>
        <v>0</v>
      </c>
      <c r="CH11" s="106">
        <f t="shared" si="33"/>
        <v>2</v>
      </c>
      <c r="CI11" s="107">
        <v>1</v>
      </c>
      <c r="CJ11" s="107"/>
      <c r="CK11" s="107">
        <v>1</v>
      </c>
      <c r="CL11" s="207"/>
      <c r="CM11" s="43">
        <f t="shared" si="34"/>
        <v>4</v>
      </c>
      <c r="CN11" s="43">
        <f t="shared" si="35"/>
        <v>0</v>
      </c>
      <c r="CO11" s="106">
        <f t="shared" si="36"/>
        <v>4</v>
      </c>
      <c r="CP11" s="75"/>
      <c r="CQ11" s="107"/>
      <c r="CR11" s="107">
        <v>2</v>
      </c>
      <c r="CS11" s="107">
        <v>1</v>
      </c>
      <c r="CT11" s="43">
        <f t="shared" si="37"/>
        <v>2</v>
      </c>
      <c r="CU11" s="43">
        <f t="shared" si="38"/>
        <v>1</v>
      </c>
      <c r="CV11" s="106">
        <f t="shared" si="39"/>
        <v>3</v>
      </c>
      <c r="CW11" s="75"/>
      <c r="CX11" s="107"/>
      <c r="CY11" s="107"/>
      <c r="CZ11" s="107"/>
      <c r="DA11" s="43">
        <f t="shared" si="40"/>
        <v>0</v>
      </c>
      <c r="DB11" s="43">
        <f t="shared" si="41"/>
        <v>0</v>
      </c>
      <c r="DC11" s="106">
        <f t="shared" si="42"/>
        <v>0</v>
      </c>
      <c r="DD11" s="181">
        <f t="shared" si="43"/>
        <v>9</v>
      </c>
      <c r="DE11" s="182">
        <f t="shared" ca="1" si="44"/>
        <v>8.9108910891089105E-2</v>
      </c>
      <c r="DF11" s="183">
        <f t="shared" si="45"/>
        <v>1</v>
      </c>
      <c r="DG11" s="182">
        <f t="shared" ca="1" si="46"/>
        <v>9.9009900990099011E-3</v>
      </c>
      <c r="DH11" s="183">
        <f t="shared" si="47"/>
        <v>10</v>
      </c>
      <c r="DI11" s="182">
        <f t="shared" ca="1" si="48"/>
        <v>9.9009900990099001E-2</v>
      </c>
      <c r="DJ11" s="183">
        <f t="shared" si="49"/>
        <v>1</v>
      </c>
      <c r="DK11" s="183">
        <f t="shared" si="50"/>
        <v>0</v>
      </c>
      <c r="DL11" s="183">
        <f t="shared" si="51"/>
        <v>1</v>
      </c>
    </row>
    <row r="12" spans="1:116" ht="15.75" thickBot="1" x14ac:dyDescent="0.3">
      <c r="A12" s="263">
        <v>11</v>
      </c>
      <c r="B12" s="191" t="s">
        <v>248</v>
      </c>
      <c r="C12" s="184" t="str">
        <f t="shared" si="0"/>
        <v>זוהר 11</v>
      </c>
      <c r="D12" s="55" t="s">
        <v>6</v>
      </c>
      <c r="E12" s="55" t="s">
        <v>7</v>
      </c>
      <c r="F12" s="74" t="s">
        <v>249</v>
      </c>
      <c r="G12" s="72">
        <v>43221</v>
      </c>
      <c r="H12" s="115"/>
      <c r="I12" s="42"/>
      <c r="J12" s="133"/>
      <c r="K12" s="134"/>
      <c r="L12" s="134"/>
      <c r="M12" s="134"/>
      <c r="N12" s="135">
        <f t="shared" si="1"/>
        <v>0</v>
      </c>
      <c r="O12" s="135">
        <f t="shared" si="2"/>
        <v>0</v>
      </c>
      <c r="P12" s="44">
        <f t="shared" si="3"/>
        <v>0</v>
      </c>
      <c r="Q12" s="39"/>
      <c r="R12" s="41"/>
      <c r="S12" s="41"/>
      <c r="T12" s="41"/>
      <c r="U12" s="43">
        <f t="shared" si="4"/>
        <v>0</v>
      </c>
      <c r="V12" s="43">
        <f t="shared" si="5"/>
        <v>0</v>
      </c>
      <c r="W12" s="45">
        <f t="shared" si="6"/>
        <v>0</v>
      </c>
      <c r="X12" s="39"/>
      <c r="Y12" s="41"/>
      <c r="Z12" s="41"/>
      <c r="AA12" s="41"/>
      <c r="AB12" s="46">
        <f t="shared" si="7"/>
        <v>0</v>
      </c>
      <c r="AC12" s="46">
        <f t="shared" si="8"/>
        <v>0</v>
      </c>
      <c r="AD12" s="47">
        <f t="shared" si="9"/>
        <v>0</v>
      </c>
      <c r="AE12" s="39"/>
      <c r="AF12" s="41"/>
      <c r="AG12" s="41"/>
      <c r="AH12" s="41"/>
      <c r="AI12" s="43">
        <f t="shared" si="10"/>
        <v>0</v>
      </c>
      <c r="AJ12" s="43">
        <f t="shared" si="11"/>
        <v>0</v>
      </c>
      <c r="AK12" s="45">
        <f t="shared" si="12"/>
        <v>0</v>
      </c>
      <c r="AL12" s="39"/>
      <c r="AM12" s="41"/>
      <c r="AN12" s="41"/>
      <c r="AO12" s="41"/>
      <c r="AP12" s="43">
        <f t="shared" si="13"/>
        <v>0</v>
      </c>
      <c r="AQ12" s="43">
        <f t="shared" si="14"/>
        <v>0</v>
      </c>
      <c r="AR12" s="45">
        <f t="shared" si="15"/>
        <v>0</v>
      </c>
      <c r="AS12" s="39"/>
      <c r="AT12" s="41"/>
      <c r="AU12" s="41"/>
      <c r="AV12" s="41"/>
      <c r="AW12" s="43">
        <f t="shared" si="16"/>
        <v>0</v>
      </c>
      <c r="AX12" s="43">
        <f t="shared" si="17"/>
        <v>0</v>
      </c>
      <c r="AY12" s="45">
        <f t="shared" si="18"/>
        <v>0</v>
      </c>
      <c r="AZ12" s="39"/>
      <c r="BA12" s="41"/>
      <c r="BB12" s="41"/>
      <c r="BC12" s="41"/>
      <c r="BD12" s="43">
        <f t="shared" si="19"/>
        <v>0</v>
      </c>
      <c r="BE12" s="43">
        <f t="shared" si="20"/>
        <v>0</v>
      </c>
      <c r="BF12" s="45">
        <f t="shared" si="21"/>
        <v>0</v>
      </c>
      <c r="BG12" s="75"/>
      <c r="BH12" s="107"/>
      <c r="BI12" s="41"/>
      <c r="BJ12" s="41"/>
      <c r="BK12" s="43">
        <f t="shared" si="22"/>
        <v>0</v>
      </c>
      <c r="BL12" s="43">
        <f t="shared" si="23"/>
        <v>0</v>
      </c>
      <c r="BM12" s="106">
        <f t="shared" si="24"/>
        <v>0</v>
      </c>
      <c r="BN12" s="75"/>
      <c r="BO12" s="107"/>
      <c r="BP12" s="107"/>
      <c r="BQ12" s="107"/>
      <c r="BR12" s="43">
        <f t="shared" si="25"/>
        <v>0</v>
      </c>
      <c r="BS12" s="43">
        <f t="shared" si="26"/>
        <v>0</v>
      </c>
      <c r="BT12" s="106">
        <f t="shared" si="27"/>
        <v>0</v>
      </c>
      <c r="BU12" s="75"/>
      <c r="BV12" s="107"/>
      <c r="BW12" s="107"/>
      <c r="BX12" s="107"/>
      <c r="BY12" s="43">
        <f t="shared" si="28"/>
        <v>0</v>
      </c>
      <c r="BZ12" s="43">
        <f t="shared" si="29"/>
        <v>0</v>
      </c>
      <c r="CA12" s="106">
        <f t="shared" si="30"/>
        <v>0</v>
      </c>
      <c r="CB12" s="75"/>
      <c r="CC12" s="107"/>
      <c r="CD12" s="107"/>
      <c r="CE12" s="196"/>
      <c r="CF12" s="43">
        <f t="shared" si="31"/>
        <v>0</v>
      </c>
      <c r="CG12" s="43">
        <f t="shared" si="32"/>
        <v>0</v>
      </c>
      <c r="CH12" s="106">
        <f t="shared" si="33"/>
        <v>0</v>
      </c>
      <c r="CI12" s="107"/>
      <c r="CJ12" s="107"/>
      <c r="CK12" s="107">
        <v>2</v>
      </c>
      <c r="CL12" s="207"/>
      <c r="CM12" s="43">
        <f t="shared" si="34"/>
        <v>2</v>
      </c>
      <c r="CN12" s="43">
        <f t="shared" si="35"/>
        <v>0</v>
      </c>
      <c r="CO12" s="106">
        <f t="shared" si="36"/>
        <v>2</v>
      </c>
      <c r="CP12" s="75"/>
      <c r="CQ12" s="107"/>
      <c r="CR12" s="107">
        <v>3</v>
      </c>
      <c r="CS12" s="107"/>
      <c r="CT12" s="43">
        <f t="shared" si="37"/>
        <v>3</v>
      </c>
      <c r="CU12" s="43">
        <f t="shared" si="38"/>
        <v>0</v>
      </c>
      <c r="CV12" s="106">
        <f t="shared" si="39"/>
        <v>3</v>
      </c>
      <c r="CW12" s="75"/>
      <c r="CX12" s="107"/>
      <c r="CY12" s="107"/>
      <c r="CZ12" s="107"/>
      <c r="DA12" s="43">
        <f t="shared" si="40"/>
        <v>0</v>
      </c>
      <c r="DB12" s="43">
        <f t="shared" si="41"/>
        <v>0</v>
      </c>
      <c r="DC12" s="106">
        <f t="shared" si="42"/>
        <v>0</v>
      </c>
      <c r="DD12" s="181">
        <f t="shared" si="43"/>
        <v>5</v>
      </c>
      <c r="DE12" s="182">
        <f t="shared" ca="1" si="44"/>
        <v>7.0422535211267609E-2</v>
      </c>
      <c r="DF12" s="183">
        <f t="shared" si="45"/>
        <v>0</v>
      </c>
      <c r="DG12" s="182">
        <f t="shared" ca="1" si="46"/>
        <v>0</v>
      </c>
      <c r="DH12" s="183">
        <f t="shared" si="47"/>
        <v>5</v>
      </c>
      <c r="DI12" s="182">
        <f t="shared" ca="1" si="48"/>
        <v>7.0422535211267609E-2</v>
      </c>
      <c r="DJ12" s="183">
        <f t="shared" si="49"/>
        <v>0</v>
      </c>
      <c r="DK12" s="183">
        <f t="shared" si="50"/>
        <v>0</v>
      </c>
      <c r="DL12" s="183">
        <f t="shared" si="51"/>
        <v>0</v>
      </c>
    </row>
    <row r="13" spans="1:116" ht="15.75" thickBot="1" x14ac:dyDescent="0.3">
      <c r="A13" s="39">
        <v>11</v>
      </c>
      <c r="B13" s="40" t="s">
        <v>9</v>
      </c>
      <c r="C13" s="67" t="str">
        <f t="shared" si="0"/>
        <v>טאי 11</v>
      </c>
      <c r="D13" s="41" t="s">
        <v>6</v>
      </c>
      <c r="E13" s="41" t="s">
        <v>7</v>
      </c>
      <c r="F13" s="74" t="s">
        <v>190</v>
      </c>
      <c r="G13" s="72">
        <v>42887</v>
      </c>
      <c r="H13" s="48">
        <v>43360</v>
      </c>
      <c r="I13" s="84"/>
      <c r="J13" s="133">
        <v>1</v>
      </c>
      <c r="K13" s="134"/>
      <c r="L13" s="134">
        <v>1</v>
      </c>
      <c r="M13" s="134">
        <v>1</v>
      </c>
      <c r="N13" s="135">
        <f t="shared" si="1"/>
        <v>4</v>
      </c>
      <c r="O13" s="135">
        <f t="shared" si="2"/>
        <v>1</v>
      </c>
      <c r="P13" s="44">
        <f t="shared" si="3"/>
        <v>5</v>
      </c>
      <c r="Q13" s="39">
        <v>1</v>
      </c>
      <c r="R13" s="41"/>
      <c r="S13" s="41"/>
      <c r="T13" s="41">
        <v>1</v>
      </c>
      <c r="U13" s="43">
        <f t="shared" si="4"/>
        <v>3</v>
      </c>
      <c r="V13" s="43">
        <f t="shared" si="5"/>
        <v>1</v>
      </c>
      <c r="W13" s="45">
        <f t="shared" si="6"/>
        <v>4</v>
      </c>
      <c r="X13" s="39"/>
      <c r="Y13" s="41"/>
      <c r="Z13" s="41">
        <v>2</v>
      </c>
      <c r="AA13" s="41"/>
      <c r="AB13" s="46">
        <f t="shared" si="7"/>
        <v>2</v>
      </c>
      <c r="AC13" s="46">
        <f t="shared" si="8"/>
        <v>0</v>
      </c>
      <c r="AD13" s="47">
        <f t="shared" si="9"/>
        <v>2</v>
      </c>
      <c r="AE13" s="39">
        <v>1</v>
      </c>
      <c r="AF13" s="41"/>
      <c r="AG13" s="41">
        <v>1</v>
      </c>
      <c r="AH13" s="41"/>
      <c r="AI13" s="43">
        <f t="shared" si="10"/>
        <v>4</v>
      </c>
      <c r="AJ13" s="43">
        <f t="shared" si="11"/>
        <v>0</v>
      </c>
      <c r="AK13" s="45">
        <f t="shared" si="12"/>
        <v>4</v>
      </c>
      <c r="AL13" s="39"/>
      <c r="AM13" s="41"/>
      <c r="AN13" s="41">
        <v>2</v>
      </c>
      <c r="AO13" s="41"/>
      <c r="AP13" s="43">
        <f t="shared" si="13"/>
        <v>2</v>
      </c>
      <c r="AQ13" s="43">
        <f t="shared" si="14"/>
        <v>0</v>
      </c>
      <c r="AR13" s="45">
        <f t="shared" si="15"/>
        <v>2</v>
      </c>
      <c r="AS13" s="39"/>
      <c r="AT13" s="41"/>
      <c r="AU13" s="41">
        <v>2</v>
      </c>
      <c r="AV13" s="41">
        <v>1</v>
      </c>
      <c r="AW13" s="43">
        <f t="shared" si="16"/>
        <v>2</v>
      </c>
      <c r="AX13" s="43">
        <f t="shared" si="17"/>
        <v>1</v>
      </c>
      <c r="AY13" s="45">
        <f t="shared" si="18"/>
        <v>3</v>
      </c>
      <c r="AZ13" s="39">
        <v>1</v>
      </c>
      <c r="BA13" s="41"/>
      <c r="BB13" s="41">
        <v>1</v>
      </c>
      <c r="BC13" s="41"/>
      <c r="BD13" s="43">
        <f t="shared" si="19"/>
        <v>4</v>
      </c>
      <c r="BE13" s="43">
        <f t="shared" si="20"/>
        <v>0</v>
      </c>
      <c r="BF13" s="45">
        <f t="shared" si="21"/>
        <v>4</v>
      </c>
      <c r="BG13" s="75"/>
      <c r="BH13" s="107"/>
      <c r="BI13" s="107">
        <v>1</v>
      </c>
      <c r="BJ13" s="55">
        <v>1</v>
      </c>
      <c r="BK13" s="43">
        <f t="shared" si="22"/>
        <v>1</v>
      </c>
      <c r="BL13" s="43">
        <f t="shared" si="23"/>
        <v>1</v>
      </c>
      <c r="BM13" s="106">
        <f t="shared" si="24"/>
        <v>2</v>
      </c>
      <c r="BN13" s="75"/>
      <c r="BO13" s="107"/>
      <c r="BP13" s="107">
        <v>4</v>
      </c>
      <c r="BQ13" s="107"/>
      <c r="BR13" s="43">
        <f t="shared" si="25"/>
        <v>4</v>
      </c>
      <c r="BS13" s="43">
        <f t="shared" si="26"/>
        <v>0</v>
      </c>
      <c r="BT13" s="106">
        <f t="shared" si="27"/>
        <v>4</v>
      </c>
      <c r="BU13" s="75">
        <v>1</v>
      </c>
      <c r="BV13" s="107"/>
      <c r="BW13" s="107"/>
      <c r="BX13" s="107"/>
      <c r="BY13" s="43">
        <f t="shared" si="28"/>
        <v>3</v>
      </c>
      <c r="BZ13" s="43">
        <f t="shared" si="29"/>
        <v>0</v>
      </c>
      <c r="CA13" s="106">
        <f t="shared" si="30"/>
        <v>3</v>
      </c>
      <c r="CB13" s="75"/>
      <c r="CC13" s="107"/>
      <c r="CD13" s="107">
        <v>1</v>
      </c>
      <c r="CE13" s="196"/>
      <c r="CF13" s="43">
        <f t="shared" si="31"/>
        <v>1</v>
      </c>
      <c r="CG13" s="43">
        <f t="shared" si="32"/>
        <v>0</v>
      </c>
      <c r="CH13" s="106">
        <f t="shared" si="33"/>
        <v>1</v>
      </c>
      <c r="CI13" s="107"/>
      <c r="CJ13" s="107"/>
      <c r="CK13" s="107">
        <v>2</v>
      </c>
      <c r="CL13" s="207"/>
      <c r="CM13" s="43">
        <f t="shared" si="34"/>
        <v>2</v>
      </c>
      <c r="CN13" s="43">
        <f t="shared" si="35"/>
        <v>0</v>
      </c>
      <c r="CO13" s="106">
        <f t="shared" si="36"/>
        <v>2</v>
      </c>
      <c r="CP13" s="75">
        <v>1</v>
      </c>
      <c r="CQ13" s="107"/>
      <c r="CR13" s="107">
        <v>1</v>
      </c>
      <c r="CS13" s="107"/>
      <c r="CT13" s="43">
        <f t="shared" si="37"/>
        <v>4</v>
      </c>
      <c r="CU13" s="43">
        <f t="shared" si="38"/>
        <v>0</v>
      </c>
      <c r="CV13" s="106">
        <f t="shared" si="39"/>
        <v>4</v>
      </c>
      <c r="CW13" s="75"/>
      <c r="CX13" s="107"/>
      <c r="CY13" s="107"/>
      <c r="CZ13" s="107"/>
      <c r="DA13" s="43">
        <f t="shared" si="40"/>
        <v>0</v>
      </c>
      <c r="DB13" s="43">
        <f t="shared" si="41"/>
        <v>0</v>
      </c>
      <c r="DC13" s="106">
        <f t="shared" si="42"/>
        <v>0</v>
      </c>
      <c r="DD13" s="181">
        <f t="shared" si="43"/>
        <v>36</v>
      </c>
      <c r="DE13" s="182">
        <f t="shared" ca="1" si="44"/>
        <v>8.8888888888888892E-2</v>
      </c>
      <c r="DF13" s="183">
        <f t="shared" si="45"/>
        <v>4</v>
      </c>
      <c r="DG13" s="182">
        <f t="shared" ca="1" si="46"/>
        <v>9.876543209876543E-3</v>
      </c>
      <c r="DH13" s="183">
        <f t="shared" si="47"/>
        <v>40</v>
      </c>
      <c r="DI13" s="182">
        <f t="shared" ca="1" si="48"/>
        <v>9.876543209876544E-2</v>
      </c>
      <c r="DJ13" s="183">
        <f t="shared" si="49"/>
        <v>7</v>
      </c>
      <c r="DK13" s="183">
        <f t="shared" si="50"/>
        <v>0</v>
      </c>
      <c r="DL13" s="183">
        <f t="shared" si="51"/>
        <v>7</v>
      </c>
    </row>
    <row r="14" spans="1:116" ht="15.75" thickBot="1" x14ac:dyDescent="0.3">
      <c r="A14" s="75">
        <v>11</v>
      </c>
      <c r="B14" s="255" t="s">
        <v>265</v>
      </c>
      <c r="C14" s="242" t="str">
        <f t="shared" si="0"/>
        <v>לירון 11</v>
      </c>
      <c r="D14" s="55" t="s">
        <v>6</v>
      </c>
      <c r="E14" s="55" t="s">
        <v>6</v>
      </c>
      <c r="F14" s="74" t="s">
        <v>266</v>
      </c>
      <c r="G14" s="72">
        <v>43282</v>
      </c>
      <c r="H14" s="115"/>
      <c r="I14" s="42"/>
      <c r="J14" s="133"/>
      <c r="K14" s="134"/>
      <c r="L14" s="134"/>
      <c r="M14" s="134"/>
      <c r="N14" s="135"/>
      <c r="O14" s="135"/>
      <c r="P14" s="44"/>
      <c r="Q14" s="39"/>
      <c r="R14" s="41"/>
      <c r="S14" s="41"/>
      <c r="T14" s="41"/>
      <c r="U14" s="43"/>
      <c r="V14" s="43"/>
      <c r="W14" s="45"/>
      <c r="X14" s="39"/>
      <c r="Y14" s="41"/>
      <c r="Z14" s="41"/>
      <c r="AA14" s="41"/>
      <c r="AB14" s="46"/>
      <c r="AC14" s="46"/>
      <c r="AD14" s="47"/>
      <c r="AE14" s="39"/>
      <c r="AF14" s="41"/>
      <c r="AG14" s="41"/>
      <c r="AH14" s="41"/>
      <c r="AI14" s="43"/>
      <c r="AJ14" s="43"/>
      <c r="AK14" s="45"/>
      <c r="AL14" s="39"/>
      <c r="AM14" s="41"/>
      <c r="AN14" s="41"/>
      <c r="AO14" s="41"/>
      <c r="AP14" s="43"/>
      <c r="AQ14" s="43"/>
      <c r="AR14" s="45"/>
      <c r="AS14" s="39"/>
      <c r="AT14" s="41"/>
      <c r="AU14" s="41"/>
      <c r="AV14" s="41"/>
      <c r="AW14" s="43"/>
      <c r="AX14" s="43"/>
      <c r="AY14" s="45"/>
      <c r="AZ14" s="39"/>
      <c r="BA14" s="41"/>
      <c r="BB14" s="41"/>
      <c r="BC14" s="41"/>
      <c r="BD14" s="43"/>
      <c r="BE14" s="43"/>
      <c r="BF14" s="45"/>
      <c r="BG14" s="75"/>
      <c r="BH14" s="107"/>
      <c r="BI14" s="41"/>
      <c r="BJ14" s="41"/>
      <c r="BK14" s="43"/>
      <c r="BL14" s="43"/>
      <c r="BM14" s="106"/>
      <c r="BN14" s="75"/>
      <c r="BO14" s="107"/>
      <c r="BP14" s="107"/>
      <c r="BQ14" s="107"/>
      <c r="BR14" s="43"/>
      <c r="BS14" s="43"/>
      <c r="BT14" s="106"/>
      <c r="BU14" s="75"/>
      <c r="BV14" s="107"/>
      <c r="BW14" s="107"/>
      <c r="BX14" s="107"/>
      <c r="BY14" s="43"/>
      <c r="BZ14" s="43"/>
      <c r="CA14" s="106"/>
      <c r="CB14" s="75"/>
      <c r="CC14" s="107"/>
      <c r="CD14" s="107"/>
      <c r="CE14" s="196"/>
      <c r="CF14" s="43"/>
      <c r="CG14" s="43"/>
      <c r="CH14" s="106"/>
      <c r="CI14" s="107"/>
      <c r="CJ14" s="107"/>
      <c r="CK14" s="107"/>
      <c r="CL14" s="207"/>
      <c r="CM14" s="43">
        <f t="shared" si="34"/>
        <v>0</v>
      </c>
      <c r="CN14" s="43">
        <f t="shared" si="35"/>
        <v>0</v>
      </c>
      <c r="CO14" s="106">
        <f t="shared" si="36"/>
        <v>0</v>
      </c>
      <c r="CP14" s="75"/>
      <c r="CQ14" s="107"/>
      <c r="CR14" s="107"/>
      <c r="CS14" s="107"/>
      <c r="CT14" s="43">
        <f t="shared" si="37"/>
        <v>0</v>
      </c>
      <c r="CU14" s="43">
        <f t="shared" si="38"/>
        <v>0</v>
      </c>
      <c r="CV14" s="106">
        <f t="shared" si="39"/>
        <v>0</v>
      </c>
      <c r="CW14" s="75"/>
      <c r="CX14" s="107"/>
      <c r="CY14" s="107"/>
      <c r="CZ14" s="107"/>
      <c r="DA14" s="43">
        <f t="shared" si="40"/>
        <v>0</v>
      </c>
      <c r="DB14" s="43">
        <f t="shared" si="41"/>
        <v>0</v>
      </c>
      <c r="DC14" s="106">
        <f t="shared" si="42"/>
        <v>0</v>
      </c>
      <c r="DD14" s="181">
        <f t="shared" si="43"/>
        <v>0</v>
      </c>
      <c r="DE14" s="182">
        <f t="shared" ca="1" si="44"/>
        <v>0</v>
      </c>
      <c r="DF14" s="183">
        <f t="shared" si="45"/>
        <v>0</v>
      </c>
      <c r="DG14" s="182">
        <f t="shared" ca="1" si="46"/>
        <v>0</v>
      </c>
      <c r="DH14" s="183">
        <f t="shared" si="47"/>
        <v>0</v>
      </c>
      <c r="DI14" s="182">
        <f t="shared" ca="1" si="48"/>
        <v>0</v>
      </c>
      <c r="DJ14" s="183">
        <f t="shared" si="49"/>
        <v>0</v>
      </c>
      <c r="DK14" s="183">
        <f t="shared" si="50"/>
        <v>0</v>
      </c>
      <c r="DL14" s="183">
        <f t="shared" si="51"/>
        <v>0</v>
      </c>
    </row>
    <row r="15" spans="1:116" ht="15.75" thickBot="1" x14ac:dyDescent="0.3">
      <c r="A15" s="39">
        <v>11</v>
      </c>
      <c r="B15" s="62" t="s">
        <v>211</v>
      </c>
      <c r="C15" s="67" t="str">
        <f t="shared" si="0"/>
        <v>מיכל 11</v>
      </c>
      <c r="D15" s="55" t="s">
        <v>6</v>
      </c>
      <c r="E15" s="55" t="s">
        <v>6</v>
      </c>
      <c r="F15" s="74" t="s">
        <v>210</v>
      </c>
      <c r="G15" s="72">
        <v>43160</v>
      </c>
      <c r="H15" s="74"/>
      <c r="I15" s="84"/>
      <c r="J15" s="133"/>
      <c r="K15" s="134"/>
      <c r="L15" s="134"/>
      <c r="M15" s="134"/>
      <c r="N15" s="135">
        <f t="shared" ref="N15:N40" si="52">J15*3+L15</f>
        <v>0</v>
      </c>
      <c r="O15" s="135">
        <f t="shared" ref="O15:O40" si="53">K15*3+M15</f>
        <v>0</v>
      </c>
      <c r="P15" s="44">
        <f t="shared" ref="P15:P40" si="54">O15+N15</f>
        <v>0</v>
      </c>
      <c r="Q15" s="39"/>
      <c r="R15" s="41"/>
      <c r="S15" s="41"/>
      <c r="T15" s="41"/>
      <c r="U15" s="43">
        <f t="shared" ref="U15:U40" si="55">Q15*3+S15</f>
        <v>0</v>
      </c>
      <c r="V15" s="43">
        <f t="shared" ref="V15:V40" si="56">R15*3+T15</f>
        <v>0</v>
      </c>
      <c r="W15" s="45">
        <f>V15+U15</f>
        <v>0</v>
      </c>
      <c r="X15" s="39"/>
      <c r="Y15" s="41"/>
      <c r="Z15" s="41"/>
      <c r="AA15" s="41"/>
      <c r="AB15" s="46">
        <f t="shared" ref="AB15:AB40" si="57">X15*3+Z15</f>
        <v>0</v>
      </c>
      <c r="AC15" s="46">
        <f t="shared" ref="AC15:AC40" si="58">Y15*3+AA15</f>
        <v>0</v>
      </c>
      <c r="AD15" s="47">
        <f t="shared" ref="AD15:AD40" si="59">AC15+AB15</f>
        <v>0</v>
      </c>
      <c r="AE15" s="39"/>
      <c r="AF15" s="41"/>
      <c r="AG15" s="41"/>
      <c r="AH15" s="41"/>
      <c r="AI15" s="43">
        <f t="shared" ref="AI15:AI40" si="60">AE15*3+AG15</f>
        <v>0</v>
      </c>
      <c r="AJ15" s="43">
        <f t="shared" ref="AJ15:AJ40" si="61">AF15*3+AH15</f>
        <v>0</v>
      </c>
      <c r="AK15" s="45">
        <f t="shared" ref="AK15:AK40" si="62">AJ15+AI15</f>
        <v>0</v>
      </c>
      <c r="AL15" s="39"/>
      <c r="AM15" s="41"/>
      <c r="AN15" s="41"/>
      <c r="AO15" s="41"/>
      <c r="AP15" s="43">
        <f t="shared" ref="AP15:AP40" si="63">AL15*3+AN15</f>
        <v>0</v>
      </c>
      <c r="AQ15" s="43">
        <f t="shared" ref="AQ15:AQ40" si="64">AM15*3+AO15</f>
        <v>0</v>
      </c>
      <c r="AR15" s="45">
        <f t="shared" ref="AR15:AR40" si="65">AQ15+AP15</f>
        <v>0</v>
      </c>
      <c r="AS15" s="39"/>
      <c r="AT15" s="41"/>
      <c r="AU15" s="41"/>
      <c r="AV15" s="41"/>
      <c r="AW15" s="43">
        <f t="shared" ref="AW15:AW40" si="66">AS15*3+AU15</f>
        <v>0</v>
      </c>
      <c r="AX15" s="43">
        <f t="shared" ref="AX15:AX40" si="67">AT15*3+AV15</f>
        <v>0</v>
      </c>
      <c r="AY15" s="45">
        <f t="shared" ref="AY15:AY40" si="68">AX15+AW15</f>
        <v>0</v>
      </c>
      <c r="AZ15" s="39"/>
      <c r="BA15" s="41"/>
      <c r="BB15" s="41"/>
      <c r="BC15" s="41"/>
      <c r="BD15" s="43">
        <f t="shared" ref="BD15:BD40" si="69">AZ15*3+BB15</f>
        <v>0</v>
      </c>
      <c r="BE15" s="43">
        <f t="shared" ref="BE15:BE40" si="70">BA15*3+BC15</f>
        <v>0</v>
      </c>
      <c r="BF15" s="45">
        <f t="shared" ref="BF15:BF40" si="71">BE15+BD15</f>
        <v>0</v>
      </c>
      <c r="BG15" s="75"/>
      <c r="BH15" s="107"/>
      <c r="BI15" s="41"/>
      <c r="BJ15" s="41"/>
      <c r="BK15" s="43">
        <f t="shared" ref="BK15:BK40" si="72">BG15*3+BI15</f>
        <v>0</v>
      </c>
      <c r="BL15" s="43">
        <f t="shared" ref="BL15:BL40" si="73">BH15*3+BJ15</f>
        <v>0</v>
      </c>
      <c r="BM15" s="106">
        <f t="shared" ref="BM15:BM40" si="74">BL15+BK15</f>
        <v>0</v>
      </c>
      <c r="BN15" s="75"/>
      <c r="BO15" s="107"/>
      <c r="BP15" s="107"/>
      <c r="BQ15" s="107"/>
      <c r="BR15" s="43">
        <f t="shared" ref="BR15:BR40" si="75">BN15*3+BP15</f>
        <v>0</v>
      </c>
      <c r="BS15" s="43">
        <f t="shared" ref="BS15:BS40" si="76">BO15*3+BQ15</f>
        <v>0</v>
      </c>
      <c r="BT15" s="106">
        <f t="shared" ref="BT15:BT40" si="77">BS15+BR15</f>
        <v>0</v>
      </c>
      <c r="BU15" s="75">
        <v>1</v>
      </c>
      <c r="BV15" s="107"/>
      <c r="BW15" s="107"/>
      <c r="BX15" s="107"/>
      <c r="BY15" s="43">
        <f t="shared" ref="BY15:BY40" si="78">BU15*3+BW15</f>
        <v>3</v>
      </c>
      <c r="BZ15" s="43">
        <f t="shared" ref="BZ15:BZ40" si="79">BV15*3+BX15</f>
        <v>0</v>
      </c>
      <c r="CA15" s="106">
        <f t="shared" ref="CA15:CA40" si="80">BZ15+BY15</f>
        <v>3</v>
      </c>
      <c r="CB15" s="75"/>
      <c r="CC15" s="107"/>
      <c r="CD15" s="107">
        <v>2</v>
      </c>
      <c r="CE15" s="196"/>
      <c r="CF15" s="43">
        <f t="shared" ref="CF15:CF40" si="81">CB15*3+CD15</f>
        <v>2</v>
      </c>
      <c r="CG15" s="43">
        <f t="shared" ref="CG15:CG40" si="82">CC15*3+CE15</f>
        <v>0</v>
      </c>
      <c r="CH15" s="106">
        <f t="shared" ref="CH15:CH40" si="83">CG15+CF15</f>
        <v>2</v>
      </c>
      <c r="CI15" s="107"/>
      <c r="CJ15" s="107"/>
      <c r="CK15" s="107">
        <v>3</v>
      </c>
      <c r="CL15" s="207"/>
      <c r="CM15" s="43">
        <f t="shared" si="34"/>
        <v>3</v>
      </c>
      <c r="CN15" s="43">
        <f t="shared" si="35"/>
        <v>0</v>
      </c>
      <c r="CO15" s="106">
        <f t="shared" si="36"/>
        <v>3</v>
      </c>
      <c r="CP15" s="75">
        <v>1</v>
      </c>
      <c r="CQ15" s="107"/>
      <c r="CR15" s="107">
        <v>1</v>
      </c>
      <c r="CS15" s="107"/>
      <c r="CT15" s="43">
        <f t="shared" si="37"/>
        <v>4</v>
      </c>
      <c r="CU15" s="43">
        <f t="shared" si="38"/>
        <v>0</v>
      </c>
      <c r="CV15" s="106">
        <f t="shared" si="39"/>
        <v>4</v>
      </c>
      <c r="CW15" s="75"/>
      <c r="CX15" s="107"/>
      <c r="CY15" s="107"/>
      <c r="CZ15" s="107"/>
      <c r="DA15" s="43">
        <f t="shared" si="40"/>
        <v>0</v>
      </c>
      <c r="DB15" s="43">
        <f t="shared" si="41"/>
        <v>0</v>
      </c>
      <c r="DC15" s="106">
        <f t="shared" si="42"/>
        <v>0</v>
      </c>
      <c r="DD15" s="181">
        <f t="shared" si="43"/>
        <v>12</v>
      </c>
      <c r="DE15" s="182">
        <f t="shared" ca="1" si="44"/>
        <v>9.0909090909090912E-2</v>
      </c>
      <c r="DF15" s="183">
        <f t="shared" si="45"/>
        <v>0</v>
      </c>
      <c r="DG15" s="182">
        <f t="shared" ca="1" si="46"/>
        <v>0</v>
      </c>
      <c r="DH15" s="183">
        <f t="shared" si="47"/>
        <v>12</v>
      </c>
      <c r="DI15" s="182">
        <f t="shared" ca="1" si="48"/>
        <v>9.0909090909090912E-2</v>
      </c>
      <c r="DJ15" s="183">
        <f t="shared" si="49"/>
        <v>2</v>
      </c>
      <c r="DK15" s="183">
        <f t="shared" si="50"/>
        <v>0</v>
      </c>
      <c r="DL15" s="183">
        <f t="shared" si="51"/>
        <v>2</v>
      </c>
    </row>
    <row r="16" spans="1:116" ht="15.75" thickBot="1" x14ac:dyDescent="0.3">
      <c r="A16" s="75">
        <v>11</v>
      </c>
      <c r="B16" s="255" t="s">
        <v>177</v>
      </c>
      <c r="C16" s="242" t="str">
        <f t="shared" si="0"/>
        <v>ניקול 11</v>
      </c>
      <c r="D16" s="55" t="s">
        <v>6</v>
      </c>
      <c r="E16" s="55" t="s">
        <v>7</v>
      </c>
      <c r="F16" s="74" t="s">
        <v>197</v>
      </c>
      <c r="G16" s="72">
        <v>43132</v>
      </c>
      <c r="H16" s="115"/>
      <c r="I16" s="42"/>
      <c r="J16" s="133"/>
      <c r="K16" s="134"/>
      <c r="L16" s="134"/>
      <c r="M16" s="134"/>
      <c r="N16" s="135">
        <f t="shared" si="52"/>
        <v>0</v>
      </c>
      <c r="O16" s="135">
        <f t="shared" si="53"/>
        <v>0</v>
      </c>
      <c r="P16" s="44">
        <f t="shared" si="54"/>
        <v>0</v>
      </c>
      <c r="Q16" s="39"/>
      <c r="R16" s="41"/>
      <c r="S16" s="41"/>
      <c r="T16" s="41"/>
      <c r="U16" s="43">
        <f t="shared" si="55"/>
        <v>0</v>
      </c>
      <c r="V16" s="43">
        <f t="shared" si="56"/>
        <v>0</v>
      </c>
      <c r="W16" s="45">
        <v>0</v>
      </c>
      <c r="X16" s="39"/>
      <c r="Y16" s="41"/>
      <c r="Z16" s="41"/>
      <c r="AA16" s="41"/>
      <c r="AB16" s="46">
        <f t="shared" si="57"/>
        <v>0</v>
      </c>
      <c r="AC16" s="46">
        <f t="shared" si="58"/>
        <v>0</v>
      </c>
      <c r="AD16" s="47">
        <f t="shared" si="59"/>
        <v>0</v>
      </c>
      <c r="AE16" s="39"/>
      <c r="AF16" s="41"/>
      <c r="AG16" s="41"/>
      <c r="AH16" s="41"/>
      <c r="AI16" s="43">
        <f t="shared" si="60"/>
        <v>0</v>
      </c>
      <c r="AJ16" s="43">
        <f t="shared" si="61"/>
        <v>0</v>
      </c>
      <c r="AK16" s="45">
        <f t="shared" si="62"/>
        <v>0</v>
      </c>
      <c r="AL16" s="39"/>
      <c r="AM16" s="41"/>
      <c r="AN16" s="41"/>
      <c r="AO16" s="41"/>
      <c r="AP16" s="43">
        <f t="shared" si="63"/>
        <v>0</v>
      </c>
      <c r="AQ16" s="43">
        <f t="shared" si="64"/>
        <v>0</v>
      </c>
      <c r="AR16" s="45">
        <f t="shared" si="65"/>
        <v>0</v>
      </c>
      <c r="AS16" s="39"/>
      <c r="AT16" s="41"/>
      <c r="AU16" s="41"/>
      <c r="AV16" s="41"/>
      <c r="AW16" s="43">
        <f t="shared" si="66"/>
        <v>0</v>
      </c>
      <c r="AX16" s="43">
        <f t="shared" si="67"/>
        <v>0</v>
      </c>
      <c r="AY16" s="45">
        <f t="shared" si="68"/>
        <v>0</v>
      </c>
      <c r="AZ16" s="39"/>
      <c r="BA16" s="41"/>
      <c r="BB16" s="41"/>
      <c r="BC16" s="41"/>
      <c r="BD16" s="43">
        <f t="shared" si="69"/>
        <v>0</v>
      </c>
      <c r="BE16" s="43">
        <f t="shared" si="70"/>
        <v>0</v>
      </c>
      <c r="BF16" s="45">
        <f t="shared" si="71"/>
        <v>0</v>
      </c>
      <c r="BG16" s="75"/>
      <c r="BH16" s="107"/>
      <c r="BI16" s="41"/>
      <c r="BJ16" s="41"/>
      <c r="BK16" s="43">
        <f t="shared" si="72"/>
        <v>0</v>
      </c>
      <c r="BL16" s="43">
        <f t="shared" si="73"/>
        <v>0</v>
      </c>
      <c r="BM16" s="106">
        <f t="shared" si="74"/>
        <v>0</v>
      </c>
      <c r="BN16" s="75">
        <v>1</v>
      </c>
      <c r="BO16" s="107"/>
      <c r="BP16" s="107">
        <v>2</v>
      </c>
      <c r="BQ16" s="107"/>
      <c r="BR16" s="43">
        <f t="shared" si="75"/>
        <v>5</v>
      </c>
      <c r="BS16" s="43">
        <f t="shared" si="76"/>
        <v>0</v>
      </c>
      <c r="BT16" s="106">
        <f t="shared" si="77"/>
        <v>5</v>
      </c>
      <c r="BU16" s="75">
        <v>1</v>
      </c>
      <c r="BV16" s="107"/>
      <c r="BW16" s="107">
        <v>1</v>
      </c>
      <c r="BX16" s="107"/>
      <c r="BY16" s="43">
        <f t="shared" si="78"/>
        <v>4</v>
      </c>
      <c r="BZ16" s="43">
        <f t="shared" si="79"/>
        <v>0</v>
      </c>
      <c r="CA16" s="106">
        <f t="shared" si="80"/>
        <v>4</v>
      </c>
      <c r="CB16" s="75"/>
      <c r="CC16" s="107"/>
      <c r="CD16" s="107">
        <v>2</v>
      </c>
      <c r="CE16" s="196"/>
      <c r="CF16" s="43">
        <f t="shared" si="81"/>
        <v>2</v>
      </c>
      <c r="CG16" s="43">
        <f t="shared" si="82"/>
        <v>0</v>
      </c>
      <c r="CH16" s="106">
        <f t="shared" si="83"/>
        <v>2</v>
      </c>
      <c r="CI16" s="107"/>
      <c r="CJ16" s="107"/>
      <c r="CK16" s="107"/>
      <c r="CL16" s="207"/>
      <c r="CM16" s="43">
        <f t="shared" si="34"/>
        <v>0</v>
      </c>
      <c r="CN16" s="43">
        <f t="shared" si="35"/>
        <v>0</v>
      </c>
      <c r="CO16" s="106">
        <f t="shared" si="36"/>
        <v>0</v>
      </c>
      <c r="CP16" s="75">
        <v>1</v>
      </c>
      <c r="CQ16" s="107"/>
      <c r="CR16" s="107"/>
      <c r="CS16" s="107">
        <v>1</v>
      </c>
      <c r="CT16" s="43">
        <f t="shared" si="37"/>
        <v>3</v>
      </c>
      <c r="CU16" s="43">
        <f t="shared" si="38"/>
        <v>1</v>
      </c>
      <c r="CV16" s="106">
        <f t="shared" si="39"/>
        <v>4</v>
      </c>
      <c r="CW16" s="75"/>
      <c r="CX16" s="107"/>
      <c r="CY16" s="107"/>
      <c r="CZ16" s="107"/>
      <c r="DA16" s="43">
        <f t="shared" si="40"/>
        <v>0</v>
      </c>
      <c r="DB16" s="43">
        <f t="shared" si="41"/>
        <v>0</v>
      </c>
      <c r="DC16" s="106">
        <f t="shared" si="42"/>
        <v>0</v>
      </c>
      <c r="DD16" s="181">
        <f t="shared" si="43"/>
        <v>14</v>
      </c>
      <c r="DE16" s="182">
        <f t="shared" ca="1" si="44"/>
        <v>8.7499999999999994E-2</v>
      </c>
      <c r="DF16" s="183">
        <f t="shared" si="45"/>
        <v>1</v>
      </c>
      <c r="DG16" s="182">
        <f t="shared" ca="1" si="46"/>
        <v>6.2500000000000003E-3</v>
      </c>
      <c r="DH16" s="183">
        <f t="shared" si="47"/>
        <v>15</v>
      </c>
      <c r="DI16" s="182">
        <f t="shared" ca="1" si="48"/>
        <v>9.375E-2</v>
      </c>
      <c r="DJ16" s="183">
        <f t="shared" si="49"/>
        <v>3</v>
      </c>
      <c r="DK16" s="183">
        <f t="shared" si="50"/>
        <v>0</v>
      </c>
      <c r="DL16" s="183">
        <f t="shared" si="51"/>
        <v>3</v>
      </c>
    </row>
    <row r="17" spans="1:116" ht="15.75" thickBot="1" x14ac:dyDescent="0.3">
      <c r="A17" s="39">
        <v>11</v>
      </c>
      <c r="B17" s="40" t="s">
        <v>11</v>
      </c>
      <c r="C17" s="67" t="str">
        <f t="shared" si="0"/>
        <v>עדן 11</v>
      </c>
      <c r="D17" s="41" t="s">
        <v>6</v>
      </c>
      <c r="E17" s="41" t="s">
        <v>7</v>
      </c>
      <c r="F17" s="74" t="s">
        <v>190</v>
      </c>
      <c r="G17" s="72">
        <v>42887</v>
      </c>
      <c r="H17" s="48">
        <v>43490</v>
      </c>
      <c r="I17" s="84"/>
      <c r="J17" s="133">
        <v>1</v>
      </c>
      <c r="K17" s="134"/>
      <c r="L17" s="134">
        <v>4</v>
      </c>
      <c r="M17" s="134"/>
      <c r="N17" s="135">
        <f t="shared" si="52"/>
        <v>7</v>
      </c>
      <c r="O17" s="135">
        <f t="shared" si="53"/>
        <v>0</v>
      </c>
      <c r="P17" s="44">
        <f t="shared" si="54"/>
        <v>7</v>
      </c>
      <c r="Q17" s="39"/>
      <c r="R17" s="41"/>
      <c r="S17" s="41">
        <v>3</v>
      </c>
      <c r="T17" s="41"/>
      <c r="U17" s="43">
        <f t="shared" si="55"/>
        <v>3</v>
      </c>
      <c r="V17" s="43">
        <f t="shared" si="56"/>
        <v>0</v>
      </c>
      <c r="W17" s="45">
        <f t="shared" ref="W17:W40" si="84">V17+U17</f>
        <v>3</v>
      </c>
      <c r="X17" s="39">
        <v>1</v>
      </c>
      <c r="Y17" s="41">
        <v>1</v>
      </c>
      <c r="Z17" s="41"/>
      <c r="AA17" s="41">
        <v>1</v>
      </c>
      <c r="AB17" s="46">
        <f t="shared" si="57"/>
        <v>3</v>
      </c>
      <c r="AC17" s="46">
        <f t="shared" si="58"/>
        <v>4</v>
      </c>
      <c r="AD17" s="47">
        <f t="shared" si="59"/>
        <v>7</v>
      </c>
      <c r="AE17" s="39"/>
      <c r="AF17" s="41"/>
      <c r="AG17" s="41">
        <v>1</v>
      </c>
      <c r="AH17" s="41"/>
      <c r="AI17" s="43">
        <f t="shared" si="60"/>
        <v>1</v>
      </c>
      <c r="AJ17" s="43">
        <f t="shared" si="61"/>
        <v>0</v>
      </c>
      <c r="AK17" s="45">
        <f t="shared" si="62"/>
        <v>1</v>
      </c>
      <c r="AL17" s="39"/>
      <c r="AM17" s="41"/>
      <c r="AN17" s="41">
        <v>2</v>
      </c>
      <c r="AO17" s="41"/>
      <c r="AP17" s="43">
        <f t="shared" si="63"/>
        <v>2</v>
      </c>
      <c r="AQ17" s="43">
        <f t="shared" si="64"/>
        <v>0</v>
      </c>
      <c r="AR17" s="45">
        <f t="shared" si="65"/>
        <v>2</v>
      </c>
      <c r="AS17" s="39">
        <v>1</v>
      </c>
      <c r="AT17" s="41"/>
      <c r="AU17" s="41"/>
      <c r="AV17" s="41"/>
      <c r="AW17" s="43">
        <f t="shared" si="66"/>
        <v>3</v>
      </c>
      <c r="AX17" s="43">
        <f t="shared" si="67"/>
        <v>0</v>
      </c>
      <c r="AY17" s="45">
        <f t="shared" si="68"/>
        <v>3</v>
      </c>
      <c r="AZ17" s="39"/>
      <c r="BA17" s="41"/>
      <c r="BB17" s="41">
        <v>3</v>
      </c>
      <c r="BC17" s="41"/>
      <c r="BD17" s="43">
        <f t="shared" si="69"/>
        <v>3</v>
      </c>
      <c r="BE17" s="43">
        <f t="shared" si="70"/>
        <v>0</v>
      </c>
      <c r="BF17" s="45">
        <f t="shared" si="71"/>
        <v>3</v>
      </c>
      <c r="BG17" s="75"/>
      <c r="BH17" s="107">
        <v>1</v>
      </c>
      <c r="BI17" s="107"/>
      <c r="BJ17" s="41"/>
      <c r="BK17" s="43">
        <f t="shared" si="72"/>
        <v>0</v>
      </c>
      <c r="BL17" s="43">
        <f t="shared" si="73"/>
        <v>3</v>
      </c>
      <c r="BM17" s="106">
        <f t="shared" si="74"/>
        <v>3</v>
      </c>
      <c r="BN17" s="75">
        <v>1</v>
      </c>
      <c r="BO17" s="107"/>
      <c r="BP17" s="107"/>
      <c r="BQ17" s="107"/>
      <c r="BR17" s="43">
        <f t="shared" si="75"/>
        <v>3</v>
      </c>
      <c r="BS17" s="43">
        <f t="shared" si="76"/>
        <v>0</v>
      </c>
      <c r="BT17" s="106">
        <f t="shared" si="77"/>
        <v>3</v>
      </c>
      <c r="BU17" s="75"/>
      <c r="BV17" s="107"/>
      <c r="BW17" s="107">
        <v>4</v>
      </c>
      <c r="BX17" s="107"/>
      <c r="BY17" s="43">
        <f t="shared" si="78"/>
        <v>4</v>
      </c>
      <c r="BZ17" s="43">
        <f t="shared" si="79"/>
        <v>0</v>
      </c>
      <c r="CA17" s="106">
        <f t="shared" si="80"/>
        <v>4</v>
      </c>
      <c r="CB17" s="75"/>
      <c r="CC17" s="107"/>
      <c r="CD17" s="107">
        <v>3</v>
      </c>
      <c r="CE17" s="196"/>
      <c r="CF17" s="43">
        <f t="shared" si="81"/>
        <v>3</v>
      </c>
      <c r="CG17" s="43">
        <f t="shared" si="82"/>
        <v>0</v>
      </c>
      <c r="CH17" s="106">
        <f t="shared" si="83"/>
        <v>3</v>
      </c>
      <c r="CI17" s="107">
        <v>1</v>
      </c>
      <c r="CJ17" s="107"/>
      <c r="CK17" s="107">
        <v>1</v>
      </c>
      <c r="CL17" s="207"/>
      <c r="CM17" s="43">
        <f t="shared" si="34"/>
        <v>4</v>
      </c>
      <c r="CN17" s="43">
        <f t="shared" si="35"/>
        <v>0</v>
      </c>
      <c r="CO17" s="106">
        <f t="shared" si="36"/>
        <v>4</v>
      </c>
      <c r="CP17" s="75"/>
      <c r="CQ17" s="107"/>
      <c r="CR17" s="107">
        <v>1</v>
      </c>
      <c r="CS17" s="107"/>
      <c r="CT17" s="43">
        <f t="shared" si="37"/>
        <v>1</v>
      </c>
      <c r="CU17" s="43">
        <f t="shared" si="38"/>
        <v>0</v>
      </c>
      <c r="CV17" s="106">
        <f t="shared" si="39"/>
        <v>1</v>
      </c>
      <c r="CW17" s="75"/>
      <c r="CX17" s="107"/>
      <c r="CY17" s="107"/>
      <c r="CZ17" s="107"/>
      <c r="DA17" s="43">
        <f t="shared" si="40"/>
        <v>0</v>
      </c>
      <c r="DB17" s="43">
        <f t="shared" si="41"/>
        <v>0</v>
      </c>
      <c r="DC17" s="106">
        <f t="shared" si="42"/>
        <v>0</v>
      </c>
      <c r="DD17" s="181">
        <f t="shared" si="43"/>
        <v>37</v>
      </c>
      <c r="DE17" s="182">
        <f t="shared" ca="1" si="44"/>
        <v>9.1358024691358022E-2</v>
      </c>
      <c r="DF17" s="183">
        <f t="shared" si="45"/>
        <v>7</v>
      </c>
      <c r="DG17" s="182">
        <f t="shared" ca="1" si="46"/>
        <v>1.7283950617283949E-2</v>
      </c>
      <c r="DH17" s="183">
        <f t="shared" si="47"/>
        <v>44</v>
      </c>
      <c r="DI17" s="182">
        <f t="shared" ca="1" si="48"/>
        <v>0.10864197530864197</v>
      </c>
      <c r="DJ17" s="183">
        <f t="shared" si="49"/>
        <v>5</v>
      </c>
      <c r="DK17" s="183">
        <f t="shared" si="50"/>
        <v>2</v>
      </c>
      <c r="DL17" s="183">
        <f t="shared" si="51"/>
        <v>7</v>
      </c>
    </row>
    <row r="18" spans="1:116" ht="15.75" thickBot="1" x14ac:dyDescent="0.3">
      <c r="A18" s="39">
        <v>209</v>
      </c>
      <c r="B18" s="62" t="s">
        <v>157</v>
      </c>
      <c r="C18" s="67" t="str">
        <f t="shared" si="0"/>
        <v>אלינה 209</v>
      </c>
      <c r="D18" s="55" t="s">
        <v>6</v>
      </c>
      <c r="E18" s="55" t="s">
        <v>7</v>
      </c>
      <c r="F18" s="74" t="s">
        <v>196</v>
      </c>
      <c r="G18" s="72">
        <v>43101</v>
      </c>
      <c r="H18" s="48">
        <v>43490</v>
      </c>
      <c r="I18" s="42"/>
      <c r="J18" s="133"/>
      <c r="K18" s="134"/>
      <c r="L18" s="134"/>
      <c r="M18" s="134"/>
      <c r="N18" s="135">
        <f t="shared" si="52"/>
        <v>0</v>
      </c>
      <c r="O18" s="135">
        <f t="shared" si="53"/>
        <v>0</v>
      </c>
      <c r="P18" s="44">
        <f t="shared" si="54"/>
        <v>0</v>
      </c>
      <c r="Q18" s="39"/>
      <c r="R18" s="41"/>
      <c r="S18" s="41"/>
      <c r="T18" s="41"/>
      <c r="U18" s="43">
        <f t="shared" si="55"/>
        <v>0</v>
      </c>
      <c r="V18" s="43">
        <f t="shared" si="56"/>
        <v>0</v>
      </c>
      <c r="W18" s="45">
        <f t="shared" si="84"/>
        <v>0</v>
      </c>
      <c r="X18" s="39"/>
      <c r="Y18" s="41"/>
      <c r="Z18" s="41"/>
      <c r="AA18" s="41"/>
      <c r="AB18" s="46">
        <f t="shared" si="57"/>
        <v>0</v>
      </c>
      <c r="AC18" s="46">
        <f t="shared" si="58"/>
        <v>0</v>
      </c>
      <c r="AD18" s="47">
        <f t="shared" si="59"/>
        <v>0</v>
      </c>
      <c r="AE18" s="39"/>
      <c r="AF18" s="41"/>
      <c r="AG18" s="41"/>
      <c r="AH18" s="41"/>
      <c r="AI18" s="43">
        <f t="shared" si="60"/>
        <v>0</v>
      </c>
      <c r="AJ18" s="43">
        <f t="shared" si="61"/>
        <v>0</v>
      </c>
      <c r="AK18" s="45">
        <f t="shared" si="62"/>
        <v>0</v>
      </c>
      <c r="AL18" s="39"/>
      <c r="AM18" s="41"/>
      <c r="AN18" s="41"/>
      <c r="AO18" s="41"/>
      <c r="AP18" s="43">
        <f t="shared" si="63"/>
        <v>0</v>
      </c>
      <c r="AQ18" s="43">
        <f t="shared" si="64"/>
        <v>0</v>
      </c>
      <c r="AR18" s="45">
        <f t="shared" si="65"/>
        <v>0</v>
      </c>
      <c r="AS18" s="39"/>
      <c r="AT18" s="41"/>
      <c r="AU18" s="41"/>
      <c r="AV18" s="41"/>
      <c r="AW18" s="43">
        <f t="shared" si="66"/>
        <v>0</v>
      </c>
      <c r="AX18" s="43">
        <f t="shared" si="67"/>
        <v>0</v>
      </c>
      <c r="AY18" s="45">
        <f t="shared" si="68"/>
        <v>0</v>
      </c>
      <c r="AZ18" s="39">
        <v>1</v>
      </c>
      <c r="BA18" s="41"/>
      <c r="BB18" s="41"/>
      <c r="BC18" s="41"/>
      <c r="BD18" s="43">
        <f t="shared" si="69"/>
        <v>3</v>
      </c>
      <c r="BE18" s="43">
        <f t="shared" si="70"/>
        <v>0</v>
      </c>
      <c r="BF18" s="45">
        <f t="shared" si="71"/>
        <v>3</v>
      </c>
      <c r="BG18" s="75"/>
      <c r="BH18" s="107">
        <v>1</v>
      </c>
      <c r="BI18" s="107">
        <v>1</v>
      </c>
      <c r="BJ18" s="41"/>
      <c r="BK18" s="43">
        <f t="shared" si="72"/>
        <v>1</v>
      </c>
      <c r="BL18" s="43">
        <f t="shared" si="73"/>
        <v>3</v>
      </c>
      <c r="BM18" s="106">
        <f t="shared" si="74"/>
        <v>4</v>
      </c>
      <c r="BN18" s="75"/>
      <c r="BO18" s="107"/>
      <c r="BP18" s="107">
        <v>1</v>
      </c>
      <c r="BQ18" s="107"/>
      <c r="BR18" s="43">
        <f t="shared" si="75"/>
        <v>1</v>
      </c>
      <c r="BS18" s="43">
        <f t="shared" si="76"/>
        <v>0</v>
      </c>
      <c r="BT18" s="106">
        <f t="shared" si="77"/>
        <v>1</v>
      </c>
      <c r="BU18" s="75">
        <v>1</v>
      </c>
      <c r="BV18" s="107"/>
      <c r="BW18" s="107"/>
      <c r="BX18" s="107"/>
      <c r="BY18" s="43">
        <f t="shared" si="78"/>
        <v>3</v>
      </c>
      <c r="BZ18" s="43">
        <f t="shared" si="79"/>
        <v>0</v>
      </c>
      <c r="CA18" s="106">
        <f t="shared" si="80"/>
        <v>3</v>
      </c>
      <c r="CB18" s="75"/>
      <c r="CC18" s="107"/>
      <c r="CD18" s="107">
        <v>2</v>
      </c>
      <c r="CE18" s="196"/>
      <c r="CF18" s="43">
        <f t="shared" si="81"/>
        <v>2</v>
      </c>
      <c r="CG18" s="43">
        <f t="shared" si="82"/>
        <v>0</v>
      </c>
      <c r="CH18" s="106">
        <f t="shared" si="83"/>
        <v>2</v>
      </c>
      <c r="CI18" s="107"/>
      <c r="CJ18" s="107">
        <v>1</v>
      </c>
      <c r="CK18" s="107">
        <v>2</v>
      </c>
      <c r="CL18" s="207"/>
      <c r="CM18" s="43">
        <f t="shared" si="34"/>
        <v>2</v>
      </c>
      <c r="CN18" s="43">
        <f t="shared" si="35"/>
        <v>3</v>
      </c>
      <c r="CO18" s="106">
        <f t="shared" si="36"/>
        <v>5</v>
      </c>
      <c r="CP18" s="75"/>
      <c r="CQ18" s="107"/>
      <c r="CR18" s="107">
        <v>1</v>
      </c>
      <c r="CS18" s="107"/>
      <c r="CT18" s="43">
        <f t="shared" si="37"/>
        <v>1</v>
      </c>
      <c r="CU18" s="43">
        <f t="shared" si="38"/>
        <v>0</v>
      </c>
      <c r="CV18" s="106">
        <f t="shared" si="39"/>
        <v>1</v>
      </c>
      <c r="CW18" s="75"/>
      <c r="CX18" s="107"/>
      <c r="CY18" s="107"/>
      <c r="CZ18" s="107"/>
      <c r="DA18" s="43">
        <f t="shared" si="40"/>
        <v>0</v>
      </c>
      <c r="DB18" s="43">
        <f t="shared" si="41"/>
        <v>0</v>
      </c>
      <c r="DC18" s="106">
        <f t="shared" si="42"/>
        <v>0</v>
      </c>
      <c r="DD18" s="181">
        <f t="shared" si="43"/>
        <v>13</v>
      </c>
      <c r="DE18" s="182">
        <f t="shared" ca="1" si="44"/>
        <v>6.8062827225130892E-2</v>
      </c>
      <c r="DF18" s="183">
        <f t="shared" si="45"/>
        <v>6</v>
      </c>
      <c r="DG18" s="182">
        <f t="shared" ca="1" si="46"/>
        <v>3.1413612565445025E-2</v>
      </c>
      <c r="DH18" s="183">
        <f t="shared" si="47"/>
        <v>19</v>
      </c>
      <c r="DI18" s="182">
        <f t="shared" ca="1" si="48"/>
        <v>9.947643979057591E-2</v>
      </c>
      <c r="DJ18" s="183">
        <f t="shared" si="49"/>
        <v>2</v>
      </c>
      <c r="DK18" s="183">
        <f t="shared" si="50"/>
        <v>2</v>
      </c>
      <c r="DL18" s="183">
        <f t="shared" si="51"/>
        <v>4</v>
      </c>
    </row>
    <row r="19" spans="1:116" ht="15.75" thickBot="1" x14ac:dyDescent="0.3">
      <c r="A19" s="39">
        <v>209</v>
      </c>
      <c r="B19" s="40" t="s">
        <v>105</v>
      </c>
      <c r="C19" s="67" t="str">
        <f t="shared" si="0"/>
        <v>גילי 209</v>
      </c>
      <c r="D19" s="41" t="s">
        <v>7</v>
      </c>
      <c r="E19" s="55" t="s">
        <v>7</v>
      </c>
      <c r="F19" s="74" t="s">
        <v>194</v>
      </c>
      <c r="G19" s="72">
        <v>43009</v>
      </c>
      <c r="H19" s="48">
        <v>43385</v>
      </c>
      <c r="I19" s="42"/>
      <c r="J19" s="133"/>
      <c r="K19" s="134"/>
      <c r="L19" s="134"/>
      <c r="M19" s="134"/>
      <c r="N19" s="135">
        <f t="shared" si="52"/>
        <v>0</v>
      </c>
      <c r="O19" s="135">
        <f t="shared" si="53"/>
        <v>0</v>
      </c>
      <c r="P19" s="44">
        <f t="shared" si="54"/>
        <v>0</v>
      </c>
      <c r="Q19" s="39"/>
      <c r="R19" s="41"/>
      <c r="S19" s="41"/>
      <c r="T19" s="41"/>
      <c r="U19" s="43">
        <f t="shared" si="55"/>
        <v>0</v>
      </c>
      <c r="V19" s="43">
        <f t="shared" si="56"/>
        <v>0</v>
      </c>
      <c r="W19" s="45">
        <f t="shared" si="84"/>
        <v>0</v>
      </c>
      <c r="X19" s="39"/>
      <c r="Y19" s="41"/>
      <c r="Z19" s="41"/>
      <c r="AA19" s="41"/>
      <c r="AB19" s="46">
        <f t="shared" si="57"/>
        <v>0</v>
      </c>
      <c r="AC19" s="46">
        <f t="shared" si="58"/>
        <v>0</v>
      </c>
      <c r="AD19" s="47">
        <f t="shared" si="59"/>
        <v>0</v>
      </c>
      <c r="AE19" s="39"/>
      <c r="AF19" s="41"/>
      <c r="AG19" s="41"/>
      <c r="AH19" s="41"/>
      <c r="AI19" s="43">
        <f t="shared" si="60"/>
        <v>0</v>
      </c>
      <c r="AJ19" s="43">
        <f t="shared" si="61"/>
        <v>0</v>
      </c>
      <c r="AK19" s="45">
        <f t="shared" si="62"/>
        <v>0</v>
      </c>
      <c r="AL19" s="39"/>
      <c r="AM19" s="41">
        <v>1</v>
      </c>
      <c r="AN19" s="41"/>
      <c r="AO19" s="41"/>
      <c r="AP19" s="43">
        <f t="shared" si="63"/>
        <v>0</v>
      </c>
      <c r="AQ19" s="43">
        <f t="shared" si="64"/>
        <v>3</v>
      </c>
      <c r="AR19" s="45">
        <f t="shared" si="65"/>
        <v>3</v>
      </c>
      <c r="AS19" s="39"/>
      <c r="AT19" s="41">
        <v>1</v>
      </c>
      <c r="AU19" s="41"/>
      <c r="AV19" s="41">
        <v>2</v>
      </c>
      <c r="AW19" s="43">
        <f t="shared" si="66"/>
        <v>0</v>
      </c>
      <c r="AX19" s="43">
        <f t="shared" si="67"/>
        <v>5</v>
      </c>
      <c r="AY19" s="45">
        <f t="shared" si="68"/>
        <v>5</v>
      </c>
      <c r="AZ19" s="39"/>
      <c r="BA19" s="41"/>
      <c r="BB19" s="41"/>
      <c r="BC19" s="41">
        <v>3</v>
      </c>
      <c r="BD19" s="43">
        <f t="shared" si="69"/>
        <v>0</v>
      </c>
      <c r="BE19" s="43">
        <f t="shared" si="70"/>
        <v>3</v>
      </c>
      <c r="BF19" s="45">
        <f t="shared" si="71"/>
        <v>3</v>
      </c>
      <c r="BG19" s="75"/>
      <c r="BH19" s="107">
        <v>1</v>
      </c>
      <c r="BI19" s="107"/>
      <c r="BJ19" s="41">
        <v>2</v>
      </c>
      <c r="BK19" s="43">
        <f t="shared" si="72"/>
        <v>0</v>
      </c>
      <c r="BL19" s="43">
        <f t="shared" si="73"/>
        <v>5</v>
      </c>
      <c r="BM19" s="106">
        <f t="shared" si="74"/>
        <v>5</v>
      </c>
      <c r="BN19" s="75"/>
      <c r="BO19" s="107"/>
      <c r="BP19" s="107"/>
      <c r="BQ19" s="107">
        <v>2</v>
      </c>
      <c r="BR19" s="43">
        <f t="shared" si="75"/>
        <v>0</v>
      </c>
      <c r="BS19" s="43">
        <f t="shared" si="76"/>
        <v>2</v>
      </c>
      <c r="BT19" s="106">
        <f t="shared" si="77"/>
        <v>2</v>
      </c>
      <c r="BU19" s="75"/>
      <c r="BV19" s="107">
        <v>1</v>
      </c>
      <c r="BW19" s="107"/>
      <c r="BX19" s="107">
        <v>1</v>
      </c>
      <c r="BY19" s="43">
        <f t="shared" si="78"/>
        <v>0</v>
      </c>
      <c r="BZ19" s="43">
        <f t="shared" si="79"/>
        <v>4</v>
      </c>
      <c r="CA19" s="106">
        <f t="shared" si="80"/>
        <v>4</v>
      </c>
      <c r="CB19" s="75"/>
      <c r="CC19" s="107"/>
      <c r="CD19" s="107"/>
      <c r="CE19" s="196">
        <v>2</v>
      </c>
      <c r="CF19" s="43">
        <f t="shared" si="81"/>
        <v>0</v>
      </c>
      <c r="CG19" s="43">
        <f t="shared" si="82"/>
        <v>2</v>
      </c>
      <c r="CH19" s="106">
        <f t="shared" si="83"/>
        <v>2</v>
      </c>
      <c r="CI19" s="107"/>
      <c r="CJ19" s="107"/>
      <c r="CK19" s="107"/>
      <c r="CL19" s="207">
        <v>2</v>
      </c>
      <c r="CM19" s="43">
        <f t="shared" si="34"/>
        <v>0</v>
      </c>
      <c r="CN19" s="43">
        <f t="shared" si="35"/>
        <v>2</v>
      </c>
      <c r="CO19" s="106">
        <f t="shared" si="36"/>
        <v>2</v>
      </c>
      <c r="CP19" s="75"/>
      <c r="CQ19" s="107">
        <v>1</v>
      </c>
      <c r="CR19" s="107"/>
      <c r="CS19" s="107">
        <v>1</v>
      </c>
      <c r="CT19" s="43">
        <f t="shared" si="37"/>
        <v>0</v>
      </c>
      <c r="CU19" s="43">
        <f t="shared" si="38"/>
        <v>4</v>
      </c>
      <c r="CV19" s="106">
        <f t="shared" si="39"/>
        <v>4</v>
      </c>
      <c r="CW19" s="75"/>
      <c r="CX19" s="107"/>
      <c r="CY19" s="107"/>
      <c r="CZ19" s="107"/>
      <c r="DA19" s="43">
        <f t="shared" si="40"/>
        <v>0</v>
      </c>
      <c r="DB19" s="43">
        <f t="shared" si="41"/>
        <v>0</v>
      </c>
      <c r="DC19" s="106">
        <f t="shared" si="42"/>
        <v>0</v>
      </c>
      <c r="DD19" s="181">
        <f t="shared" si="43"/>
        <v>0</v>
      </c>
      <c r="DE19" s="182">
        <f t="shared" ca="1" si="44"/>
        <v>0</v>
      </c>
      <c r="DF19" s="183">
        <f t="shared" si="45"/>
        <v>30</v>
      </c>
      <c r="DG19" s="182">
        <f t="shared" ca="1" si="46"/>
        <v>0.10600706713780919</v>
      </c>
      <c r="DH19" s="183">
        <f t="shared" si="47"/>
        <v>30</v>
      </c>
      <c r="DI19" s="182">
        <f t="shared" ca="1" si="48"/>
        <v>0.10600706713780919</v>
      </c>
      <c r="DJ19" s="183">
        <f t="shared" si="49"/>
        <v>0</v>
      </c>
      <c r="DK19" s="183">
        <f t="shared" si="50"/>
        <v>5</v>
      </c>
      <c r="DL19" s="183">
        <f t="shared" si="51"/>
        <v>5</v>
      </c>
    </row>
    <row r="20" spans="1:116" ht="15.75" thickBot="1" x14ac:dyDescent="0.3">
      <c r="A20" s="39">
        <v>209</v>
      </c>
      <c r="B20" s="62" t="s">
        <v>137</v>
      </c>
      <c r="C20" s="67" t="str">
        <f t="shared" si="0"/>
        <v>ולריה 209</v>
      </c>
      <c r="D20" s="55" t="s">
        <v>6</v>
      </c>
      <c r="E20" s="55" t="s">
        <v>7</v>
      </c>
      <c r="F20" s="74" t="s">
        <v>195</v>
      </c>
      <c r="G20" s="72">
        <v>43040</v>
      </c>
      <c r="H20" s="74"/>
      <c r="I20" s="42"/>
      <c r="J20" s="133"/>
      <c r="K20" s="134"/>
      <c r="L20" s="134"/>
      <c r="M20" s="134"/>
      <c r="N20" s="135">
        <f t="shared" si="52"/>
        <v>0</v>
      </c>
      <c r="O20" s="135">
        <f t="shared" si="53"/>
        <v>0</v>
      </c>
      <c r="P20" s="44">
        <f t="shared" si="54"/>
        <v>0</v>
      </c>
      <c r="Q20" s="39"/>
      <c r="R20" s="41"/>
      <c r="S20" s="41"/>
      <c r="T20" s="41"/>
      <c r="U20" s="43">
        <f t="shared" si="55"/>
        <v>0</v>
      </c>
      <c r="V20" s="43">
        <f t="shared" si="56"/>
        <v>0</v>
      </c>
      <c r="W20" s="45">
        <f t="shared" si="84"/>
        <v>0</v>
      </c>
      <c r="X20" s="39"/>
      <c r="Y20" s="41"/>
      <c r="Z20" s="41"/>
      <c r="AA20" s="41"/>
      <c r="AB20" s="46">
        <f t="shared" si="57"/>
        <v>0</v>
      </c>
      <c r="AC20" s="46">
        <f t="shared" si="58"/>
        <v>0</v>
      </c>
      <c r="AD20" s="47">
        <f t="shared" si="59"/>
        <v>0</v>
      </c>
      <c r="AE20" s="39"/>
      <c r="AF20" s="41"/>
      <c r="AG20" s="41"/>
      <c r="AH20" s="41"/>
      <c r="AI20" s="43">
        <f t="shared" si="60"/>
        <v>0</v>
      </c>
      <c r="AJ20" s="43">
        <f t="shared" si="61"/>
        <v>0</v>
      </c>
      <c r="AK20" s="45">
        <f t="shared" si="62"/>
        <v>0</v>
      </c>
      <c r="AL20" s="39"/>
      <c r="AM20" s="41"/>
      <c r="AN20" s="41"/>
      <c r="AO20" s="41"/>
      <c r="AP20" s="43">
        <f t="shared" si="63"/>
        <v>0</v>
      </c>
      <c r="AQ20" s="43">
        <f t="shared" si="64"/>
        <v>0</v>
      </c>
      <c r="AR20" s="45">
        <f t="shared" si="65"/>
        <v>0</v>
      </c>
      <c r="AS20" s="39"/>
      <c r="AT20" s="41"/>
      <c r="AU20" s="41">
        <v>1</v>
      </c>
      <c r="AV20" s="41"/>
      <c r="AW20" s="43">
        <f t="shared" si="66"/>
        <v>1</v>
      </c>
      <c r="AX20" s="43">
        <f t="shared" si="67"/>
        <v>0</v>
      </c>
      <c r="AY20" s="45">
        <f t="shared" si="68"/>
        <v>1</v>
      </c>
      <c r="AZ20" s="39">
        <v>1</v>
      </c>
      <c r="BA20" s="41"/>
      <c r="BB20" s="41">
        <v>2</v>
      </c>
      <c r="BC20" s="41"/>
      <c r="BD20" s="43">
        <f t="shared" si="69"/>
        <v>5</v>
      </c>
      <c r="BE20" s="43">
        <f t="shared" si="70"/>
        <v>0</v>
      </c>
      <c r="BF20" s="45">
        <f t="shared" si="71"/>
        <v>5</v>
      </c>
      <c r="BG20" s="75"/>
      <c r="BH20" s="107"/>
      <c r="BI20" s="41">
        <v>3</v>
      </c>
      <c r="BJ20" s="41"/>
      <c r="BK20" s="43">
        <f t="shared" si="72"/>
        <v>3</v>
      </c>
      <c r="BL20" s="43">
        <f t="shared" si="73"/>
        <v>0</v>
      </c>
      <c r="BM20" s="106">
        <f t="shared" si="74"/>
        <v>3</v>
      </c>
      <c r="BN20" s="75"/>
      <c r="BO20" s="107">
        <v>1</v>
      </c>
      <c r="BP20" s="107">
        <v>3</v>
      </c>
      <c r="BQ20" s="107"/>
      <c r="BR20" s="43">
        <f t="shared" si="75"/>
        <v>3</v>
      </c>
      <c r="BS20" s="43">
        <f t="shared" si="76"/>
        <v>3</v>
      </c>
      <c r="BT20" s="106">
        <f t="shared" si="77"/>
        <v>6</v>
      </c>
      <c r="BU20" s="75">
        <v>1</v>
      </c>
      <c r="BV20" s="107"/>
      <c r="BW20" s="107">
        <v>1</v>
      </c>
      <c r="BX20" s="107"/>
      <c r="BY20" s="43">
        <f t="shared" si="78"/>
        <v>4</v>
      </c>
      <c r="BZ20" s="43">
        <f t="shared" si="79"/>
        <v>0</v>
      </c>
      <c r="CA20" s="106">
        <f t="shared" si="80"/>
        <v>4</v>
      </c>
      <c r="CB20" s="75"/>
      <c r="CC20" s="107"/>
      <c r="CD20" s="107">
        <v>1</v>
      </c>
      <c r="CE20" s="196"/>
      <c r="CF20" s="43">
        <f t="shared" si="81"/>
        <v>1</v>
      </c>
      <c r="CG20" s="43">
        <f t="shared" si="82"/>
        <v>0</v>
      </c>
      <c r="CH20" s="106">
        <f t="shared" si="83"/>
        <v>1</v>
      </c>
      <c r="CI20" s="107"/>
      <c r="CJ20" s="107"/>
      <c r="CK20" s="107">
        <v>2</v>
      </c>
      <c r="CL20" s="207"/>
      <c r="CM20" s="43">
        <f t="shared" si="34"/>
        <v>2</v>
      </c>
      <c r="CN20" s="43">
        <f t="shared" si="35"/>
        <v>0</v>
      </c>
      <c r="CO20" s="106">
        <f t="shared" si="36"/>
        <v>2</v>
      </c>
      <c r="CP20" s="75">
        <v>1</v>
      </c>
      <c r="CQ20" s="107"/>
      <c r="CR20" s="107">
        <v>1</v>
      </c>
      <c r="CS20" s="107"/>
      <c r="CT20" s="43">
        <f t="shared" si="37"/>
        <v>4</v>
      </c>
      <c r="CU20" s="43">
        <f t="shared" si="38"/>
        <v>0</v>
      </c>
      <c r="CV20" s="106">
        <f t="shared" si="39"/>
        <v>4</v>
      </c>
      <c r="CW20" s="75"/>
      <c r="CX20" s="107"/>
      <c r="CY20" s="107"/>
      <c r="CZ20" s="107"/>
      <c r="DA20" s="43">
        <f t="shared" si="40"/>
        <v>0</v>
      </c>
      <c r="DB20" s="43">
        <f t="shared" si="41"/>
        <v>0</v>
      </c>
      <c r="DC20" s="106">
        <f t="shared" si="42"/>
        <v>0</v>
      </c>
      <c r="DD20" s="181">
        <f t="shared" si="43"/>
        <v>23</v>
      </c>
      <c r="DE20" s="182">
        <f t="shared" ca="1" si="44"/>
        <v>9.1269841269841265E-2</v>
      </c>
      <c r="DF20" s="183">
        <f t="shared" si="45"/>
        <v>3</v>
      </c>
      <c r="DG20" s="182">
        <f t="shared" ca="1" si="46"/>
        <v>1.1904761904761904E-2</v>
      </c>
      <c r="DH20" s="183">
        <f t="shared" si="47"/>
        <v>26</v>
      </c>
      <c r="DI20" s="182">
        <f t="shared" ca="1" si="48"/>
        <v>0.10317460317460317</v>
      </c>
      <c r="DJ20" s="183">
        <f t="shared" si="49"/>
        <v>3</v>
      </c>
      <c r="DK20" s="183">
        <f t="shared" si="50"/>
        <v>1</v>
      </c>
      <c r="DL20" s="183">
        <f t="shared" si="51"/>
        <v>4</v>
      </c>
    </row>
    <row r="21" spans="1:116" ht="15.75" thickBot="1" x14ac:dyDescent="0.3">
      <c r="A21" s="263">
        <v>209</v>
      </c>
      <c r="B21" s="191" t="s">
        <v>8</v>
      </c>
      <c r="C21" s="184" t="str">
        <f t="shared" si="0"/>
        <v>יובל 209</v>
      </c>
      <c r="D21" s="41" t="s">
        <v>6</v>
      </c>
      <c r="E21" s="41" t="s">
        <v>7</v>
      </c>
      <c r="F21" s="74" t="s">
        <v>190</v>
      </c>
      <c r="G21" s="72">
        <v>42887</v>
      </c>
      <c r="H21" s="48">
        <v>43437</v>
      </c>
      <c r="I21" s="42"/>
      <c r="J21" s="133"/>
      <c r="K21" s="134"/>
      <c r="L21" s="134">
        <v>2</v>
      </c>
      <c r="M21" s="134">
        <v>1</v>
      </c>
      <c r="N21" s="135">
        <f t="shared" si="52"/>
        <v>2</v>
      </c>
      <c r="O21" s="135">
        <f t="shared" si="53"/>
        <v>1</v>
      </c>
      <c r="P21" s="44">
        <f t="shared" si="54"/>
        <v>3</v>
      </c>
      <c r="Q21" s="39"/>
      <c r="R21" s="41">
        <v>1</v>
      </c>
      <c r="S21" s="41">
        <v>2</v>
      </c>
      <c r="T21" s="41"/>
      <c r="U21" s="43">
        <f t="shared" si="55"/>
        <v>2</v>
      </c>
      <c r="V21" s="43">
        <f t="shared" si="56"/>
        <v>3</v>
      </c>
      <c r="W21" s="45">
        <f t="shared" si="84"/>
        <v>5</v>
      </c>
      <c r="X21" s="39">
        <v>1</v>
      </c>
      <c r="Y21" s="41"/>
      <c r="Z21" s="41"/>
      <c r="AA21" s="41"/>
      <c r="AB21" s="46">
        <f t="shared" si="57"/>
        <v>3</v>
      </c>
      <c r="AC21" s="46">
        <f t="shared" si="58"/>
        <v>0</v>
      </c>
      <c r="AD21" s="47">
        <f t="shared" si="59"/>
        <v>3</v>
      </c>
      <c r="AE21" s="39"/>
      <c r="AF21" s="41"/>
      <c r="AG21" s="41">
        <v>3</v>
      </c>
      <c r="AH21" s="41"/>
      <c r="AI21" s="43">
        <f t="shared" si="60"/>
        <v>3</v>
      </c>
      <c r="AJ21" s="43">
        <f t="shared" si="61"/>
        <v>0</v>
      </c>
      <c r="AK21" s="45">
        <f t="shared" si="62"/>
        <v>3</v>
      </c>
      <c r="AL21" s="39"/>
      <c r="AM21" s="41"/>
      <c r="AN21" s="41"/>
      <c r="AO21" s="41">
        <v>1</v>
      </c>
      <c r="AP21" s="43">
        <f t="shared" si="63"/>
        <v>0</v>
      </c>
      <c r="AQ21" s="43">
        <f t="shared" si="64"/>
        <v>1</v>
      </c>
      <c r="AR21" s="45">
        <f t="shared" si="65"/>
        <v>1</v>
      </c>
      <c r="AS21" s="39"/>
      <c r="AT21" s="41"/>
      <c r="AU21" s="41">
        <v>1</v>
      </c>
      <c r="AV21" s="41"/>
      <c r="AW21" s="43">
        <f t="shared" si="66"/>
        <v>1</v>
      </c>
      <c r="AX21" s="43">
        <f t="shared" si="67"/>
        <v>0</v>
      </c>
      <c r="AY21" s="45">
        <f t="shared" si="68"/>
        <v>1</v>
      </c>
      <c r="AZ21" s="39"/>
      <c r="BA21" s="41"/>
      <c r="BB21" s="41">
        <v>2</v>
      </c>
      <c r="BC21" s="41"/>
      <c r="BD21" s="43">
        <f t="shared" si="69"/>
        <v>2</v>
      </c>
      <c r="BE21" s="43">
        <f t="shared" si="70"/>
        <v>0</v>
      </c>
      <c r="BF21" s="45">
        <f t="shared" si="71"/>
        <v>2</v>
      </c>
      <c r="BG21" s="75">
        <v>1</v>
      </c>
      <c r="BH21" s="107"/>
      <c r="BI21" s="41">
        <v>2</v>
      </c>
      <c r="BJ21" s="41"/>
      <c r="BK21" s="43">
        <f t="shared" si="72"/>
        <v>5</v>
      </c>
      <c r="BL21" s="43">
        <f t="shared" si="73"/>
        <v>0</v>
      </c>
      <c r="BM21" s="106">
        <f t="shared" si="74"/>
        <v>5</v>
      </c>
      <c r="BN21" s="75">
        <v>1</v>
      </c>
      <c r="BO21" s="107"/>
      <c r="BP21" s="107">
        <v>2</v>
      </c>
      <c r="BQ21" s="107"/>
      <c r="BR21" s="43">
        <f t="shared" si="75"/>
        <v>5</v>
      </c>
      <c r="BS21" s="43">
        <f t="shared" si="76"/>
        <v>0</v>
      </c>
      <c r="BT21" s="106">
        <f t="shared" si="77"/>
        <v>5</v>
      </c>
      <c r="BU21" s="75"/>
      <c r="BV21" s="107"/>
      <c r="BW21" s="107">
        <v>1</v>
      </c>
      <c r="BX21" s="107"/>
      <c r="BY21" s="43">
        <f t="shared" si="78"/>
        <v>1</v>
      </c>
      <c r="BZ21" s="43">
        <f t="shared" si="79"/>
        <v>0</v>
      </c>
      <c r="CA21" s="106">
        <f t="shared" si="80"/>
        <v>1</v>
      </c>
      <c r="CB21" s="75"/>
      <c r="CC21" s="107"/>
      <c r="CD21" s="107">
        <v>2</v>
      </c>
      <c r="CE21" s="196"/>
      <c r="CF21" s="43">
        <f t="shared" si="81"/>
        <v>2</v>
      </c>
      <c r="CG21" s="43">
        <f t="shared" si="82"/>
        <v>0</v>
      </c>
      <c r="CH21" s="106">
        <f t="shared" si="83"/>
        <v>2</v>
      </c>
      <c r="CI21" s="107">
        <v>1</v>
      </c>
      <c r="CJ21" s="107"/>
      <c r="CK21" s="107">
        <v>1</v>
      </c>
      <c r="CL21" s="207"/>
      <c r="CM21" s="43">
        <f t="shared" si="34"/>
        <v>4</v>
      </c>
      <c r="CN21" s="43">
        <f t="shared" si="35"/>
        <v>0</v>
      </c>
      <c r="CO21" s="106">
        <f t="shared" si="36"/>
        <v>4</v>
      </c>
      <c r="CP21" s="75"/>
      <c r="CQ21" s="107"/>
      <c r="CR21" s="107">
        <v>3</v>
      </c>
      <c r="CS21" s="107">
        <v>1</v>
      </c>
      <c r="CT21" s="43">
        <f t="shared" si="37"/>
        <v>3</v>
      </c>
      <c r="CU21" s="43">
        <f t="shared" si="38"/>
        <v>1</v>
      </c>
      <c r="CV21" s="106">
        <f t="shared" si="39"/>
        <v>4</v>
      </c>
      <c r="CW21" s="75"/>
      <c r="CX21" s="107"/>
      <c r="CY21" s="107"/>
      <c r="CZ21" s="107"/>
      <c r="DA21" s="43">
        <f t="shared" si="40"/>
        <v>0</v>
      </c>
      <c r="DB21" s="43">
        <f t="shared" si="41"/>
        <v>0</v>
      </c>
      <c r="DC21" s="106">
        <f t="shared" si="42"/>
        <v>0</v>
      </c>
      <c r="DD21" s="181">
        <f t="shared" si="43"/>
        <v>33</v>
      </c>
      <c r="DE21" s="182">
        <f t="shared" ca="1" si="44"/>
        <v>8.1481481481481488E-2</v>
      </c>
      <c r="DF21" s="183">
        <f t="shared" si="45"/>
        <v>6</v>
      </c>
      <c r="DG21" s="182">
        <f t="shared" ca="1" si="46"/>
        <v>1.4814814814814815E-2</v>
      </c>
      <c r="DH21" s="183">
        <f t="shared" si="47"/>
        <v>39</v>
      </c>
      <c r="DI21" s="182">
        <f t="shared" ca="1" si="48"/>
        <v>9.6296296296296297E-2</v>
      </c>
      <c r="DJ21" s="183">
        <f t="shared" si="49"/>
        <v>4</v>
      </c>
      <c r="DK21" s="183">
        <f t="shared" si="50"/>
        <v>2</v>
      </c>
      <c r="DL21" s="183">
        <f t="shared" si="51"/>
        <v>6</v>
      </c>
    </row>
    <row r="22" spans="1:116" ht="15.75" thickBot="1" x14ac:dyDescent="0.3">
      <c r="A22" s="263">
        <v>209</v>
      </c>
      <c r="B22" s="191" t="s">
        <v>208</v>
      </c>
      <c r="C22" s="184" t="str">
        <f t="shared" si="0"/>
        <v>סאן 209</v>
      </c>
      <c r="D22" s="55" t="s">
        <v>6</v>
      </c>
      <c r="E22" s="55" t="s">
        <v>7</v>
      </c>
      <c r="F22" s="74" t="s">
        <v>210</v>
      </c>
      <c r="G22" s="72">
        <v>43160</v>
      </c>
      <c r="H22" s="115"/>
      <c r="I22" s="84" t="s">
        <v>251</v>
      </c>
      <c r="J22" s="133"/>
      <c r="K22" s="134"/>
      <c r="L22" s="134"/>
      <c r="M22" s="134"/>
      <c r="N22" s="135">
        <f t="shared" si="52"/>
        <v>0</v>
      </c>
      <c r="O22" s="135">
        <f t="shared" si="53"/>
        <v>0</v>
      </c>
      <c r="P22" s="44">
        <f t="shared" si="54"/>
        <v>0</v>
      </c>
      <c r="Q22" s="39"/>
      <c r="R22" s="41"/>
      <c r="S22" s="41"/>
      <c r="T22" s="41"/>
      <c r="U22" s="43">
        <f t="shared" si="55"/>
        <v>0</v>
      </c>
      <c r="V22" s="43">
        <f t="shared" si="56"/>
        <v>0</v>
      </c>
      <c r="W22" s="45">
        <f t="shared" si="84"/>
        <v>0</v>
      </c>
      <c r="X22" s="39"/>
      <c r="Y22" s="41"/>
      <c r="Z22" s="41"/>
      <c r="AA22" s="41"/>
      <c r="AB22" s="46">
        <f t="shared" si="57"/>
        <v>0</v>
      </c>
      <c r="AC22" s="46">
        <f t="shared" si="58"/>
        <v>0</v>
      </c>
      <c r="AD22" s="47">
        <f t="shared" si="59"/>
        <v>0</v>
      </c>
      <c r="AE22" s="39"/>
      <c r="AF22" s="41"/>
      <c r="AG22" s="41"/>
      <c r="AH22" s="41"/>
      <c r="AI22" s="43">
        <f t="shared" si="60"/>
        <v>0</v>
      </c>
      <c r="AJ22" s="43">
        <f t="shared" si="61"/>
        <v>0</v>
      </c>
      <c r="AK22" s="45">
        <f t="shared" si="62"/>
        <v>0</v>
      </c>
      <c r="AL22" s="39"/>
      <c r="AM22" s="41"/>
      <c r="AN22" s="41"/>
      <c r="AO22" s="41"/>
      <c r="AP22" s="43">
        <f t="shared" si="63"/>
        <v>0</v>
      </c>
      <c r="AQ22" s="43">
        <f t="shared" si="64"/>
        <v>0</v>
      </c>
      <c r="AR22" s="45">
        <f t="shared" si="65"/>
        <v>0</v>
      </c>
      <c r="AS22" s="39"/>
      <c r="AT22" s="41"/>
      <c r="AU22" s="41"/>
      <c r="AV22" s="41"/>
      <c r="AW22" s="43">
        <f t="shared" si="66"/>
        <v>0</v>
      </c>
      <c r="AX22" s="43">
        <f t="shared" si="67"/>
        <v>0</v>
      </c>
      <c r="AY22" s="45">
        <f t="shared" si="68"/>
        <v>0</v>
      </c>
      <c r="AZ22" s="39"/>
      <c r="BA22" s="41"/>
      <c r="BB22" s="41"/>
      <c r="BC22" s="41"/>
      <c r="BD22" s="43">
        <f t="shared" si="69"/>
        <v>0</v>
      </c>
      <c r="BE22" s="43">
        <f t="shared" si="70"/>
        <v>0</v>
      </c>
      <c r="BF22" s="45">
        <f t="shared" si="71"/>
        <v>0</v>
      </c>
      <c r="BG22" s="75"/>
      <c r="BH22" s="107"/>
      <c r="BI22" s="41"/>
      <c r="BJ22" s="41"/>
      <c r="BK22" s="43">
        <f t="shared" si="72"/>
        <v>0</v>
      </c>
      <c r="BL22" s="43">
        <f t="shared" si="73"/>
        <v>0</v>
      </c>
      <c r="BM22" s="106">
        <f t="shared" si="74"/>
        <v>0</v>
      </c>
      <c r="BN22" s="75"/>
      <c r="BO22" s="107"/>
      <c r="BP22" s="107"/>
      <c r="BQ22" s="107"/>
      <c r="BR22" s="43">
        <f t="shared" si="75"/>
        <v>0</v>
      </c>
      <c r="BS22" s="43">
        <f t="shared" si="76"/>
        <v>0</v>
      </c>
      <c r="BT22" s="106">
        <f t="shared" si="77"/>
        <v>0</v>
      </c>
      <c r="BU22" s="75"/>
      <c r="BV22" s="107"/>
      <c r="BW22" s="107">
        <v>2</v>
      </c>
      <c r="BX22" s="107"/>
      <c r="BY22" s="43">
        <f t="shared" si="78"/>
        <v>2</v>
      </c>
      <c r="BZ22" s="43">
        <f t="shared" si="79"/>
        <v>0</v>
      </c>
      <c r="CA22" s="106">
        <f t="shared" si="80"/>
        <v>2</v>
      </c>
      <c r="CB22" s="75">
        <v>1</v>
      </c>
      <c r="CC22" s="107"/>
      <c r="CD22" s="107"/>
      <c r="CE22" s="196"/>
      <c r="CF22" s="43">
        <f t="shared" si="81"/>
        <v>3</v>
      </c>
      <c r="CG22" s="43">
        <f t="shared" si="82"/>
        <v>0</v>
      </c>
      <c r="CH22" s="106">
        <f t="shared" si="83"/>
        <v>3</v>
      </c>
      <c r="CI22" s="107"/>
      <c r="CJ22" s="107"/>
      <c r="CK22" s="107">
        <v>4</v>
      </c>
      <c r="CL22" s="207"/>
      <c r="CM22" s="43">
        <f t="shared" si="34"/>
        <v>4</v>
      </c>
      <c r="CN22" s="43">
        <f t="shared" si="35"/>
        <v>0</v>
      </c>
      <c r="CO22" s="106">
        <f t="shared" si="36"/>
        <v>4</v>
      </c>
      <c r="CP22" s="75"/>
      <c r="CQ22" s="107"/>
      <c r="CR22" s="107">
        <v>3</v>
      </c>
      <c r="CS22" s="107"/>
      <c r="CT22" s="43">
        <f t="shared" si="37"/>
        <v>3</v>
      </c>
      <c r="CU22" s="43">
        <f t="shared" si="38"/>
        <v>0</v>
      </c>
      <c r="CV22" s="106">
        <f t="shared" si="39"/>
        <v>3</v>
      </c>
      <c r="CW22" s="75"/>
      <c r="CX22" s="107"/>
      <c r="CY22" s="107"/>
      <c r="CZ22" s="107"/>
      <c r="DA22" s="43">
        <f t="shared" si="40"/>
        <v>0</v>
      </c>
      <c r="DB22" s="43">
        <f t="shared" si="41"/>
        <v>0</v>
      </c>
      <c r="DC22" s="106">
        <f t="shared" si="42"/>
        <v>0</v>
      </c>
      <c r="DD22" s="181">
        <f t="shared" si="43"/>
        <v>12</v>
      </c>
      <c r="DE22" s="182">
        <f t="shared" ca="1" si="44"/>
        <v>9.0909090909090912E-2</v>
      </c>
      <c r="DF22" s="183">
        <f t="shared" si="45"/>
        <v>0</v>
      </c>
      <c r="DG22" s="182">
        <f t="shared" ca="1" si="46"/>
        <v>0</v>
      </c>
      <c r="DH22" s="183">
        <f t="shared" si="47"/>
        <v>12</v>
      </c>
      <c r="DI22" s="182">
        <f t="shared" ca="1" si="48"/>
        <v>9.0909090909090912E-2</v>
      </c>
      <c r="DJ22" s="183">
        <f t="shared" si="49"/>
        <v>1</v>
      </c>
      <c r="DK22" s="183">
        <f t="shared" si="50"/>
        <v>0</v>
      </c>
      <c r="DL22" s="183">
        <f t="shared" si="51"/>
        <v>1</v>
      </c>
    </row>
    <row r="23" spans="1:116" ht="15.75" thickBot="1" x14ac:dyDescent="0.3">
      <c r="A23" s="263">
        <v>209</v>
      </c>
      <c r="B23" s="192" t="s">
        <v>53</v>
      </c>
      <c r="C23" s="192" t="str">
        <f t="shared" si="0"/>
        <v>שי 209</v>
      </c>
      <c r="D23" s="41" t="s">
        <v>6</v>
      </c>
      <c r="E23" s="41" t="s">
        <v>7</v>
      </c>
      <c r="F23" s="74" t="s">
        <v>192</v>
      </c>
      <c r="G23" s="72">
        <v>42948</v>
      </c>
      <c r="H23" s="48"/>
      <c r="I23" s="42"/>
      <c r="J23" s="133"/>
      <c r="K23" s="134"/>
      <c r="L23" s="134"/>
      <c r="M23" s="134"/>
      <c r="N23" s="135">
        <f t="shared" si="52"/>
        <v>0</v>
      </c>
      <c r="O23" s="135">
        <f t="shared" si="53"/>
        <v>0</v>
      </c>
      <c r="P23" s="44">
        <f t="shared" si="54"/>
        <v>0</v>
      </c>
      <c r="Q23" s="39"/>
      <c r="R23" s="41"/>
      <c r="S23" s="41"/>
      <c r="T23" s="41"/>
      <c r="U23" s="43">
        <f t="shared" si="55"/>
        <v>0</v>
      </c>
      <c r="V23" s="43">
        <f t="shared" si="56"/>
        <v>0</v>
      </c>
      <c r="W23" s="45">
        <f t="shared" si="84"/>
        <v>0</v>
      </c>
      <c r="X23" s="39">
        <v>1</v>
      </c>
      <c r="Y23" s="41"/>
      <c r="Z23" s="41">
        <v>1</v>
      </c>
      <c r="AA23" s="41"/>
      <c r="AB23" s="46">
        <f t="shared" si="57"/>
        <v>4</v>
      </c>
      <c r="AC23" s="46">
        <f t="shared" si="58"/>
        <v>0</v>
      </c>
      <c r="AD23" s="47">
        <f t="shared" si="59"/>
        <v>4</v>
      </c>
      <c r="AE23" s="39"/>
      <c r="AF23" s="41"/>
      <c r="AG23" s="41">
        <v>3</v>
      </c>
      <c r="AH23" s="41">
        <v>1</v>
      </c>
      <c r="AI23" s="43">
        <f t="shared" si="60"/>
        <v>3</v>
      </c>
      <c r="AJ23" s="43">
        <f t="shared" si="61"/>
        <v>1</v>
      </c>
      <c r="AK23" s="45">
        <f t="shared" si="62"/>
        <v>4</v>
      </c>
      <c r="AL23" s="39"/>
      <c r="AM23" s="41"/>
      <c r="AN23" s="41">
        <v>1</v>
      </c>
      <c r="AO23" s="41">
        <v>1</v>
      </c>
      <c r="AP23" s="43">
        <f t="shared" si="63"/>
        <v>1</v>
      </c>
      <c r="AQ23" s="43">
        <f t="shared" si="64"/>
        <v>1</v>
      </c>
      <c r="AR23" s="45">
        <f t="shared" si="65"/>
        <v>2</v>
      </c>
      <c r="AS23" s="39">
        <v>1</v>
      </c>
      <c r="AT23" s="41"/>
      <c r="AU23" s="41">
        <v>1</v>
      </c>
      <c r="AV23" s="41">
        <v>1</v>
      </c>
      <c r="AW23" s="43">
        <f t="shared" si="66"/>
        <v>4</v>
      </c>
      <c r="AX23" s="43">
        <f t="shared" si="67"/>
        <v>1</v>
      </c>
      <c r="AY23" s="45">
        <f t="shared" si="68"/>
        <v>5</v>
      </c>
      <c r="AZ23" s="39"/>
      <c r="BA23" s="41"/>
      <c r="BB23" s="41">
        <v>4</v>
      </c>
      <c r="BC23" s="41"/>
      <c r="BD23" s="43">
        <f t="shared" si="69"/>
        <v>4</v>
      </c>
      <c r="BE23" s="43">
        <f t="shared" si="70"/>
        <v>0</v>
      </c>
      <c r="BF23" s="45">
        <f t="shared" si="71"/>
        <v>4</v>
      </c>
      <c r="BG23" s="75"/>
      <c r="BH23" s="107">
        <v>1</v>
      </c>
      <c r="BI23" s="107">
        <v>1</v>
      </c>
      <c r="BJ23" s="41"/>
      <c r="BK23" s="43">
        <f t="shared" si="72"/>
        <v>1</v>
      </c>
      <c r="BL23" s="43">
        <f t="shared" si="73"/>
        <v>3</v>
      </c>
      <c r="BM23" s="106">
        <f t="shared" si="74"/>
        <v>4</v>
      </c>
      <c r="BN23" s="75">
        <v>1</v>
      </c>
      <c r="BO23" s="107"/>
      <c r="BP23" s="107"/>
      <c r="BQ23" s="107">
        <v>1</v>
      </c>
      <c r="BR23" s="43">
        <f t="shared" si="75"/>
        <v>3</v>
      </c>
      <c r="BS23" s="43">
        <f t="shared" si="76"/>
        <v>1</v>
      </c>
      <c r="BT23" s="106">
        <f t="shared" si="77"/>
        <v>4</v>
      </c>
      <c r="BU23" s="75"/>
      <c r="BV23" s="107">
        <v>1</v>
      </c>
      <c r="BW23" s="107">
        <v>1</v>
      </c>
      <c r="BX23" s="107">
        <v>1</v>
      </c>
      <c r="BY23" s="43">
        <f t="shared" si="78"/>
        <v>1</v>
      </c>
      <c r="BZ23" s="43">
        <f t="shared" si="79"/>
        <v>4</v>
      </c>
      <c r="CA23" s="106">
        <f t="shared" si="80"/>
        <v>5</v>
      </c>
      <c r="CB23" s="75"/>
      <c r="CC23" s="107">
        <v>1</v>
      </c>
      <c r="CD23" s="107"/>
      <c r="CE23" s="196">
        <v>1</v>
      </c>
      <c r="CF23" s="43">
        <f t="shared" si="81"/>
        <v>0</v>
      </c>
      <c r="CG23" s="43">
        <f t="shared" si="82"/>
        <v>4</v>
      </c>
      <c r="CH23" s="106">
        <f t="shared" si="83"/>
        <v>4</v>
      </c>
      <c r="CI23" s="107"/>
      <c r="CJ23" s="107"/>
      <c r="CK23" s="107">
        <v>1</v>
      </c>
      <c r="CL23" s="207"/>
      <c r="CM23" s="43">
        <f t="shared" si="34"/>
        <v>1</v>
      </c>
      <c r="CN23" s="43">
        <f t="shared" si="35"/>
        <v>0</v>
      </c>
      <c r="CO23" s="106">
        <f t="shared" si="36"/>
        <v>1</v>
      </c>
      <c r="CP23" s="75">
        <v>1</v>
      </c>
      <c r="CQ23" s="107"/>
      <c r="CR23" s="107"/>
      <c r="CS23" s="107"/>
      <c r="CT23" s="43">
        <f t="shared" si="37"/>
        <v>3</v>
      </c>
      <c r="CU23" s="43">
        <f t="shared" si="38"/>
        <v>0</v>
      </c>
      <c r="CV23" s="106">
        <f t="shared" si="39"/>
        <v>3</v>
      </c>
      <c r="CW23" s="75"/>
      <c r="CX23" s="107"/>
      <c r="CY23" s="107"/>
      <c r="CZ23" s="107"/>
      <c r="DA23" s="43">
        <f t="shared" si="40"/>
        <v>0</v>
      </c>
      <c r="DB23" s="43">
        <f t="shared" si="41"/>
        <v>0</v>
      </c>
      <c r="DC23" s="106">
        <f t="shared" si="42"/>
        <v>0</v>
      </c>
      <c r="DD23" s="181">
        <f t="shared" si="43"/>
        <v>25</v>
      </c>
      <c r="DE23" s="182">
        <f t="shared" ca="1" si="44"/>
        <v>7.2674418604651167E-2</v>
      </c>
      <c r="DF23" s="183">
        <f t="shared" si="45"/>
        <v>15</v>
      </c>
      <c r="DG23" s="182">
        <f t="shared" ca="1" si="46"/>
        <v>4.3604651162790699E-2</v>
      </c>
      <c r="DH23" s="183">
        <f t="shared" si="47"/>
        <v>40</v>
      </c>
      <c r="DI23" s="182">
        <f t="shared" ca="1" si="48"/>
        <v>0.11627906976744187</v>
      </c>
      <c r="DJ23" s="183">
        <f t="shared" si="49"/>
        <v>4</v>
      </c>
      <c r="DK23" s="183">
        <f t="shared" si="50"/>
        <v>3</v>
      </c>
      <c r="DL23" s="183">
        <f t="shared" si="51"/>
        <v>7</v>
      </c>
    </row>
    <row r="24" spans="1:116" ht="15.75" thickBot="1" x14ac:dyDescent="0.3">
      <c r="A24" s="39">
        <v>474</v>
      </c>
      <c r="B24" s="62" t="s">
        <v>164</v>
      </c>
      <c r="C24" s="67" t="str">
        <f t="shared" si="0"/>
        <v>אתי 474</v>
      </c>
      <c r="D24" s="41" t="s">
        <v>6</v>
      </c>
      <c r="E24" s="55" t="s">
        <v>7</v>
      </c>
      <c r="F24" s="74" t="s">
        <v>196</v>
      </c>
      <c r="G24" s="72">
        <v>43101</v>
      </c>
      <c r="H24" s="74"/>
      <c r="I24" s="42"/>
      <c r="J24" s="133"/>
      <c r="K24" s="134"/>
      <c r="L24" s="134"/>
      <c r="M24" s="134"/>
      <c r="N24" s="135">
        <f t="shared" si="52"/>
        <v>0</v>
      </c>
      <c r="O24" s="135">
        <f t="shared" si="53"/>
        <v>0</v>
      </c>
      <c r="P24" s="44">
        <f t="shared" si="54"/>
        <v>0</v>
      </c>
      <c r="Q24" s="39"/>
      <c r="R24" s="41"/>
      <c r="S24" s="41"/>
      <c r="T24" s="41"/>
      <c r="U24" s="43">
        <f t="shared" si="55"/>
        <v>0</v>
      </c>
      <c r="V24" s="43">
        <f t="shared" si="56"/>
        <v>0</v>
      </c>
      <c r="W24" s="45">
        <f t="shared" si="84"/>
        <v>0</v>
      </c>
      <c r="X24" s="39"/>
      <c r="Y24" s="41"/>
      <c r="Z24" s="41"/>
      <c r="AA24" s="41"/>
      <c r="AB24" s="46">
        <f t="shared" si="57"/>
        <v>0</v>
      </c>
      <c r="AC24" s="46">
        <f t="shared" si="58"/>
        <v>0</v>
      </c>
      <c r="AD24" s="47">
        <f t="shared" si="59"/>
        <v>0</v>
      </c>
      <c r="AE24" s="39"/>
      <c r="AF24" s="41"/>
      <c r="AG24" s="41"/>
      <c r="AH24" s="41"/>
      <c r="AI24" s="43">
        <f t="shared" si="60"/>
        <v>0</v>
      </c>
      <c r="AJ24" s="43">
        <f t="shared" si="61"/>
        <v>0</v>
      </c>
      <c r="AK24" s="45">
        <f t="shared" si="62"/>
        <v>0</v>
      </c>
      <c r="AL24" s="39"/>
      <c r="AM24" s="41"/>
      <c r="AN24" s="41"/>
      <c r="AO24" s="41"/>
      <c r="AP24" s="43">
        <f t="shared" si="63"/>
        <v>0</v>
      </c>
      <c r="AQ24" s="43">
        <f t="shared" si="64"/>
        <v>0</v>
      </c>
      <c r="AR24" s="45">
        <f t="shared" si="65"/>
        <v>0</v>
      </c>
      <c r="AS24" s="39"/>
      <c r="AT24" s="41"/>
      <c r="AU24" s="41"/>
      <c r="AV24" s="41"/>
      <c r="AW24" s="43">
        <f t="shared" si="66"/>
        <v>0</v>
      </c>
      <c r="AX24" s="43">
        <f t="shared" si="67"/>
        <v>0</v>
      </c>
      <c r="AY24" s="45">
        <f t="shared" si="68"/>
        <v>0</v>
      </c>
      <c r="AZ24" s="39"/>
      <c r="BA24" s="41"/>
      <c r="BB24" s="41"/>
      <c r="BC24" s="41"/>
      <c r="BD24" s="43">
        <f t="shared" si="69"/>
        <v>0</v>
      </c>
      <c r="BE24" s="43">
        <f t="shared" si="70"/>
        <v>0</v>
      </c>
      <c r="BF24" s="45">
        <f t="shared" si="71"/>
        <v>0</v>
      </c>
      <c r="BG24" s="75">
        <v>1</v>
      </c>
      <c r="BH24" s="107"/>
      <c r="BI24" s="41"/>
      <c r="BJ24" s="41"/>
      <c r="BK24" s="43">
        <f t="shared" si="72"/>
        <v>3</v>
      </c>
      <c r="BL24" s="43">
        <f t="shared" si="73"/>
        <v>0</v>
      </c>
      <c r="BM24" s="106">
        <f t="shared" si="74"/>
        <v>3</v>
      </c>
      <c r="BN24" s="75"/>
      <c r="BO24" s="107"/>
      <c r="BP24" s="107">
        <v>4</v>
      </c>
      <c r="BQ24" s="107"/>
      <c r="BR24" s="43">
        <f t="shared" si="75"/>
        <v>4</v>
      </c>
      <c r="BS24" s="43">
        <f t="shared" si="76"/>
        <v>0</v>
      </c>
      <c r="BT24" s="106">
        <f t="shared" si="77"/>
        <v>4</v>
      </c>
      <c r="BU24" s="75"/>
      <c r="BV24" s="107"/>
      <c r="BW24" s="107">
        <v>3</v>
      </c>
      <c r="BX24" s="107"/>
      <c r="BY24" s="43">
        <f t="shared" si="78"/>
        <v>3</v>
      </c>
      <c r="BZ24" s="43">
        <f t="shared" si="79"/>
        <v>0</v>
      </c>
      <c r="CA24" s="106">
        <f t="shared" si="80"/>
        <v>3</v>
      </c>
      <c r="CB24" s="75">
        <v>1</v>
      </c>
      <c r="CC24" s="107"/>
      <c r="CD24" s="107">
        <v>1</v>
      </c>
      <c r="CE24" s="196"/>
      <c r="CF24" s="43">
        <f t="shared" si="81"/>
        <v>4</v>
      </c>
      <c r="CG24" s="43">
        <f t="shared" si="82"/>
        <v>0</v>
      </c>
      <c r="CH24" s="106">
        <f t="shared" si="83"/>
        <v>4</v>
      </c>
      <c r="CI24" s="107"/>
      <c r="CJ24" s="107"/>
      <c r="CK24" s="107">
        <v>1</v>
      </c>
      <c r="CL24" s="207">
        <v>1</v>
      </c>
      <c r="CM24" s="43">
        <f t="shared" si="34"/>
        <v>1</v>
      </c>
      <c r="CN24" s="43">
        <f t="shared" si="35"/>
        <v>1</v>
      </c>
      <c r="CO24" s="106">
        <f t="shared" si="36"/>
        <v>2</v>
      </c>
      <c r="CP24" s="75">
        <v>1</v>
      </c>
      <c r="CQ24" s="107"/>
      <c r="CR24" s="107">
        <v>1</v>
      </c>
      <c r="CS24" s="107"/>
      <c r="CT24" s="43">
        <f t="shared" si="37"/>
        <v>4</v>
      </c>
      <c r="CU24" s="43">
        <f t="shared" si="38"/>
        <v>0</v>
      </c>
      <c r="CV24" s="106">
        <f t="shared" si="39"/>
        <v>4</v>
      </c>
      <c r="CW24" s="75"/>
      <c r="CX24" s="107"/>
      <c r="CY24" s="107"/>
      <c r="CZ24" s="107"/>
      <c r="DA24" s="43">
        <f t="shared" si="40"/>
        <v>0</v>
      </c>
      <c r="DB24" s="43">
        <f t="shared" si="41"/>
        <v>0</v>
      </c>
      <c r="DC24" s="106">
        <f t="shared" si="42"/>
        <v>0</v>
      </c>
      <c r="DD24" s="181">
        <f t="shared" si="43"/>
        <v>19</v>
      </c>
      <c r="DE24" s="182">
        <f t="shared" ca="1" si="44"/>
        <v>9.947643979057591E-2</v>
      </c>
      <c r="DF24" s="183">
        <f t="shared" si="45"/>
        <v>1</v>
      </c>
      <c r="DG24" s="182">
        <f t="shared" ca="1" si="46"/>
        <v>5.235602094240838E-3</v>
      </c>
      <c r="DH24" s="183">
        <f t="shared" si="47"/>
        <v>20</v>
      </c>
      <c r="DI24" s="182">
        <f t="shared" ca="1" si="48"/>
        <v>0.10471204188481675</v>
      </c>
      <c r="DJ24" s="183">
        <f t="shared" si="49"/>
        <v>3</v>
      </c>
      <c r="DK24" s="183">
        <f t="shared" si="50"/>
        <v>0</v>
      </c>
      <c r="DL24" s="183">
        <f t="shared" si="51"/>
        <v>3</v>
      </c>
    </row>
    <row r="25" spans="1:116" ht="15.75" thickBot="1" x14ac:dyDescent="0.3">
      <c r="A25" s="39">
        <v>474</v>
      </c>
      <c r="B25" s="62" t="s">
        <v>98</v>
      </c>
      <c r="C25" s="67" t="str">
        <f t="shared" si="0"/>
        <v>יהל אור 474</v>
      </c>
      <c r="D25" s="41" t="s">
        <v>6</v>
      </c>
      <c r="E25" s="41" t="s">
        <v>7</v>
      </c>
      <c r="F25" s="74" t="s">
        <v>191</v>
      </c>
      <c r="G25" s="72">
        <v>42917</v>
      </c>
      <c r="H25" s="48"/>
      <c r="I25" s="42"/>
      <c r="J25" s="133"/>
      <c r="K25" s="134"/>
      <c r="L25" s="134"/>
      <c r="M25" s="134"/>
      <c r="N25" s="135">
        <f t="shared" si="52"/>
        <v>0</v>
      </c>
      <c r="O25" s="135">
        <f t="shared" si="53"/>
        <v>0</v>
      </c>
      <c r="P25" s="44">
        <f t="shared" si="54"/>
        <v>0</v>
      </c>
      <c r="Q25" s="39"/>
      <c r="R25" s="41"/>
      <c r="S25" s="41">
        <v>4</v>
      </c>
      <c r="T25" s="41"/>
      <c r="U25" s="43">
        <f t="shared" si="55"/>
        <v>4</v>
      </c>
      <c r="V25" s="43">
        <f t="shared" si="56"/>
        <v>0</v>
      </c>
      <c r="W25" s="45">
        <f t="shared" si="84"/>
        <v>4</v>
      </c>
      <c r="X25" s="39">
        <v>1</v>
      </c>
      <c r="Y25" s="41"/>
      <c r="Z25" s="41">
        <v>1</v>
      </c>
      <c r="AA25" s="41"/>
      <c r="AB25" s="46">
        <f t="shared" si="57"/>
        <v>4</v>
      </c>
      <c r="AC25" s="46">
        <f t="shared" si="58"/>
        <v>0</v>
      </c>
      <c r="AD25" s="47">
        <f t="shared" si="59"/>
        <v>4</v>
      </c>
      <c r="AE25" s="39"/>
      <c r="AF25" s="41"/>
      <c r="AG25" s="41">
        <v>2</v>
      </c>
      <c r="AH25" s="41">
        <v>2</v>
      </c>
      <c r="AI25" s="43">
        <f t="shared" si="60"/>
        <v>2</v>
      </c>
      <c r="AJ25" s="43">
        <f t="shared" si="61"/>
        <v>2</v>
      </c>
      <c r="AK25" s="45">
        <f t="shared" si="62"/>
        <v>4</v>
      </c>
      <c r="AL25" s="39"/>
      <c r="AM25" s="41"/>
      <c r="AN25" s="41">
        <v>2</v>
      </c>
      <c r="AO25" s="41">
        <v>1</v>
      </c>
      <c r="AP25" s="43">
        <f t="shared" si="63"/>
        <v>2</v>
      </c>
      <c r="AQ25" s="43">
        <f t="shared" si="64"/>
        <v>1</v>
      </c>
      <c r="AR25" s="45">
        <f t="shared" si="65"/>
        <v>3</v>
      </c>
      <c r="AS25" s="39">
        <v>1</v>
      </c>
      <c r="AT25" s="41"/>
      <c r="AU25" s="41"/>
      <c r="AV25" s="41"/>
      <c r="AW25" s="43">
        <f t="shared" si="66"/>
        <v>3</v>
      </c>
      <c r="AX25" s="43">
        <f t="shared" si="67"/>
        <v>0</v>
      </c>
      <c r="AY25" s="45">
        <f t="shared" si="68"/>
        <v>3</v>
      </c>
      <c r="AZ25" s="39"/>
      <c r="BA25" s="41"/>
      <c r="BB25" s="41">
        <v>3</v>
      </c>
      <c r="BC25" s="41"/>
      <c r="BD25" s="43">
        <f t="shared" si="69"/>
        <v>3</v>
      </c>
      <c r="BE25" s="43">
        <f t="shared" si="70"/>
        <v>0</v>
      </c>
      <c r="BF25" s="45">
        <f t="shared" si="71"/>
        <v>3</v>
      </c>
      <c r="BG25" s="75">
        <v>1</v>
      </c>
      <c r="BH25" s="107"/>
      <c r="BI25" s="41"/>
      <c r="BJ25" s="41">
        <v>1</v>
      </c>
      <c r="BK25" s="43">
        <f t="shared" si="72"/>
        <v>3</v>
      </c>
      <c r="BL25" s="43">
        <f t="shared" si="73"/>
        <v>1</v>
      </c>
      <c r="BM25" s="106">
        <f t="shared" si="74"/>
        <v>4</v>
      </c>
      <c r="BN25" s="75">
        <v>1</v>
      </c>
      <c r="BO25" s="107"/>
      <c r="BP25" s="107">
        <v>3</v>
      </c>
      <c r="BQ25" s="107"/>
      <c r="BR25" s="43">
        <f t="shared" si="75"/>
        <v>6</v>
      </c>
      <c r="BS25" s="43">
        <f t="shared" si="76"/>
        <v>0</v>
      </c>
      <c r="BT25" s="106">
        <f t="shared" si="77"/>
        <v>6</v>
      </c>
      <c r="BU25" s="75"/>
      <c r="BV25" s="107"/>
      <c r="BW25" s="107">
        <v>1</v>
      </c>
      <c r="BX25" s="107">
        <v>1</v>
      </c>
      <c r="BY25" s="43">
        <f t="shared" si="78"/>
        <v>1</v>
      </c>
      <c r="BZ25" s="43">
        <f t="shared" si="79"/>
        <v>1</v>
      </c>
      <c r="CA25" s="106">
        <f t="shared" si="80"/>
        <v>2</v>
      </c>
      <c r="CB25" s="75"/>
      <c r="CC25" s="107"/>
      <c r="CD25" s="107">
        <v>2</v>
      </c>
      <c r="CE25" s="196"/>
      <c r="CF25" s="43">
        <f t="shared" si="81"/>
        <v>2</v>
      </c>
      <c r="CG25" s="43">
        <f t="shared" si="82"/>
        <v>0</v>
      </c>
      <c r="CH25" s="106">
        <f t="shared" si="83"/>
        <v>2</v>
      </c>
      <c r="CI25" s="107">
        <v>1</v>
      </c>
      <c r="CJ25" s="107"/>
      <c r="CK25" s="107"/>
      <c r="CL25" s="207"/>
      <c r="CM25" s="43">
        <f t="shared" si="34"/>
        <v>3</v>
      </c>
      <c r="CN25" s="43">
        <f t="shared" si="35"/>
        <v>0</v>
      </c>
      <c r="CO25" s="106">
        <f t="shared" si="36"/>
        <v>3</v>
      </c>
      <c r="CP25" s="75">
        <v>1</v>
      </c>
      <c r="CQ25" s="107"/>
      <c r="CR25" s="107">
        <v>1</v>
      </c>
      <c r="CS25" s="107"/>
      <c r="CT25" s="43">
        <f t="shared" si="37"/>
        <v>4</v>
      </c>
      <c r="CU25" s="43">
        <f t="shared" si="38"/>
        <v>0</v>
      </c>
      <c r="CV25" s="106">
        <f t="shared" si="39"/>
        <v>4</v>
      </c>
      <c r="CW25" s="75"/>
      <c r="CX25" s="107"/>
      <c r="CY25" s="107"/>
      <c r="CZ25" s="107"/>
      <c r="DA25" s="43">
        <f t="shared" si="40"/>
        <v>0</v>
      </c>
      <c r="DB25" s="43">
        <f t="shared" si="41"/>
        <v>0</v>
      </c>
      <c r="DC25" s="106">
        <f t="shared" si="42"/>
        <v>0</v>
      </c>
      <c r="DD25" s="181">
        <f t="shared" si="43"/>
        <v>37</v>
      </c>
      <c r="DE25" s="182">
        <f t="shared" ca="1" si="44"/>
        <v>9.8666666666666666E-2</v>
      </c>
      <c r="DF25" s="183">
        <f t="shared" si="45"/>
        <v>5</v>
      </c>
      <c r="DG25" s="182">
        <f t="shared" ca="1" si="46"/>
        <v>1.3333333333333334E-2</v>
      </c>
      <c r="DH25" s="183">
        <f t="shared" si="47"/>
        <v>42</v>
      </c>
      <c r="DI25" s="182">
        <f t="shared" ca="1" si="48"/>
        <v>0.112</v>
      </c>
      <c r="DJ25" s="183">
        <f t="shared" si="49"/>
        <v>6</v>
      </c>
      <c r="DK25" s="183">
        <f t="shared" si="50"/>
        <v>0</v>
      </c>
      <c r="DL25" s="183">
        <f t="shared" si="51"/>
        <v>6</v>
      </c>
    </row>
    <row r="26" spans="1:116" ht="15.75" thickBot="1" x14ac:dyDescent="0.3">
      <c r="A26" s="39">
        <v>474</v>
      </c>
      <c r="B26" s="62" t="s">
        <v>223</v>
      </c>
      <c r="C26" s="67" t="str">
        <f t="shared" si="0"/>
        <v>לירוז 474</v>
      </c>
      <c r="D26" s="55" t="s">
        <v>6</v>
      </c>
      <c r="E26" s="55" t="s">
        <v>7</v>
      </c>
      <c r="F26" s="74" t="s">
        <v>224</v>
      </c>
      <c r="G26" s="72">
        <v>43191</v>
      </c>
      <c r="H26" s="115"/>
      <c r="I26" s="42"/>
      <c r="J26" s="133"/>
      <c r="K26" s="134"/>
      <c r="L26" s="134"/>
      <c r="M26" s="134"/>
      <c r="N26" s="135">
        <f t="shared" si="52"/>
        <v>0</v>
      </c>
      <c r="O26" s="135">
        <f t="shared" si="53"/>
        <v>0</v>
      </c>
      <c r="P26" s="44">
        <f t="shared" si="54"/>
        <v>0</v>
      </c>
      <c r="Q26" s="39"/>
      <c r="R26" s="41"/>
      <c r="S26" s="41"/>
      <c r="T26" s="41"/>
      <c r="U26" s="43">
        <f t="shared" si="55"/>
        <v>0</v>
      </c>
      <c r="V26" s="43">
        <f t="shared" si="56"/>
        <v>0</v>
      </c>
      <c r="W26" s="45">
        <f t="shared" si="84"/>
        <v>0</v>
      </c>
      <c r="X26" s="39"/>
      <c r="Y26" s="41"/>
      <c r="Z26" s="41"/>
      <c r="AA26" s="41"/>
      <c r="AB26" s="46">
        <f t="shared" si="57"/>
        <v>0</v>
      </c>
      <c r="AC26" s="46">
        <f t="shared" si="58"/>
        <v>0</v>
      </c>
      <c r="AD26" s="47">
        <f t="shared" si="59"/>
        <v>0</v>
      </c>
      <c r="AE26" s="39"/>
      <c r="AF26" s="41"/>
      <c r="AG26" s="41"/>
      <c r="AH26" s="41"/>
      <c r="AI26" s="43">
        <f t="shared" si="60"/>
        <v>0</v>
      </c>
      <c r="AJ26" s="43">
        <f t="shared" si="61"/>
        <v>0</v>
      </c>
      <c r="AK26" s="45">
        <f t="shared" si="62"/>
        <v>0</v>
      </c>
      <c r="AL26" s="39"/>
      <c r="AM26" s="41"/>
      <c r="AN26" s="41"/>
      <c r="AO26" s="41"/>
      <c r="AP26" s="43">
        <f t="shared" si="63"/>
        <v>0</v>
      </c>
      <c r="AQ26" s="43">
        <f t="shared" si="64"/>
        <v>0</v>
      </c>
      <c r="AR26" s="45">
        <f t="shared" si="65"/>
        <v>0</v>
      </c>
      <c r="AS26" s="39"/>
      <c r="AT26" s="41"/>
      <c r="AU26" s="41"/>
      <c r="AV26" s="41"/>
      <c r="AW26" s="43">
        <f t="shared" si="66"/>
        <v>0</v>
      </c>
      <c r="AX26" s="43">
        <f t="shared" si="67"/>
        <v>0</v>
      </c>
      <c r="AY26" s="45">
        <f t="shared" si="68"/>
        <v>0</v>
      </c>
      <c r="AZ26" s="39"/>
      <c r="BA26" s="41"/>
      <c r="BB26" s="41"/>
      <c r="BC26" s="41"/>
      <c r="BD26" s="43">
        <f t="shared" si="69"/>
        <v>0</v>
      </c>
      <c r="BE26" s="43">
        <f t="shared" si="70"/>
        <v>0</v>
      </c>
      <c r="BF26" s="45">
        <f t="shared" si="71"/>
        <v>0</v>
      </c>
      <c r="BG26" s="75"/>
      <c r="BH26" s="107"/>
      <c r="BI26" s="41"/>
      <c r="BJ26" s="41"/>
      <c r="BK26" s="43">
        <f t="shared" si="72"/>
        <v>0</v>
      </c>
      <c r="BL26" s="43">
        <f t="shared" si="73"/>
        <v>0</v>
      </c>
      <c r="BM26" s="106">
        <f t="shared" si="74"/>
        <v>0</v>
      </c>
      <c r="BN26" s="75"/>
      <c r="BO26" s="107"/>
      <c r="BP26" s="107"/>
      <c r="BQ26" s="107"/>
      <c r="BR26" s="43">
        <f t="shared" si="75"/>
        <v>0</v>
      </c>
      <c r="BS26" s="43">
        <f t="shared" si="76"/>
        <v>0</v>
      </c>
      <c r="BT26" s="106">
        <f t="shared" si="77"/>
        <v>0</v>
      </c>
      <c r="BU26" s="75"/>
      <c r="BV26" s="107"/>
      <c r="BW26" s="107"/>
      <c r="BX26" s="107"/>
      <c r="BY26" s="43">
        <f t="shared" si="78"/>
        <v>0</v>
      </c>
      <c r="BZ26" s="43">
        <f t="shared" si="79"/>
        <v>0</v>
      </c>
      <c r="CA26" s="106">
        <f t="shared" si="80"/>
        <v>0</v>
      </c>
      <c r="CB26" s="75">
        <v>1</v>
      </c>
      <c r="CC26" s="107"/>
      <c r="CD26" s="107">
        <v>1</v>
      </c>
      <c r="CE26" s="196"/>
      <c r="CF26" s="43">
        <f t="shared" si="81"/>
        <v>4</v>
      </c>
      <c r="CG26" s="43">
        <f t="shared" si="82"/>
        <v>0</v>
      </c>
      <c r="CH26" s="106">
        <f t="shared" si="83"/>
        <v>4</v>
      </c>
      <c r="CI26" s="107"/>
      <c r="CJ26" s="107"/>
      <c r="CK26" s="107">
        <v>2</v>
      </c>
      <c r="CL26" s="207"/>
      <c r="CM26" s="43">
        <f t="shared" si="34"/>
        <v>2</v>
      </c>
      <c r="CN26" s="43">
        <f t="shared" si="35"/>
        <v>0</v>
      </c>
      <c r="CO26" s="106">
        <f t="shared" si="36"/>
        <v>2</v>
      </c>
      <c r="CP26" s="75"/>
      <c r="CQ26" s="107"/>
      <c r="CR26" s="107">
        <v>3</v>
      </c>
      <c r="CS26" s="107">
        <v>1</v>
      </c>
      <c r="CT26" s="43">
        <f t="shared" si="37"/>
        <v>3</v>
      </c>
      <c r="CU26" s="43">
        <f t="shared" si="38"/>
        <v>1</v>
      </c>
      <c r="CV26" s="106">
        <f t="shared" si="39"/>
        <v>4</v>
      </c>
      <c r="CW26" s="75"/>
      <c r="CX26" s="107"/>
      <c r="CY26" s="107"/>
      <c r="CZ26" s="107"/>
      <c r="DA26" s="43">
        <f t="shared" si="40"/>
        <v>0</v>
      </c>
      <c r="DB26" s="43">
        <f t="shared" si="41"/>
        <v>0</v>
      </c>
      <c r="DC26" s="106">
        <f t="shared" si="42"/>
        <v>0</v>
      </c>
      <c r="DD26" s="181">
        <f t="shared" si="43"/>
        <v>9</v>
      </c>
      <c r="DE26" s="182">
        <f t="shared" ca="1" si="44"/>
        <v>8.9108910891089105E-2</v>
      </c>
      <c r="DF26" s="183">
        <f t="shared" si="45"/>
        <v>1</v>
      </c>
      <c r="DG26" s="182">
        <f t="shared" ca="1" si="46"/>
        <v>9.9009900990099011E-3</v>
      </c>
      <c r="DH26" s="183">
        <f t="shared" si="47"/>
        <v>10</v>
      </c>
      <c r="DI26" s="182">
        <f t="shared" ca="1" si="48"/>
        <v>9.9009900990099001E-2</v>
      </c>
      <c r="DJ26" s="183">
        <f t="shared" si="49"/>
        <v>1</v>
      </c>
      <c r="DK26" s="183">
        <f t="shared" si="50"/>
        <v>0</v>
      </c>
      <c r="DL26" s="183">
        <f t="shared" si="51"/>
        <v>1</v>
      </c>
    </row>
    <row r="27" spans="1:116" ht="15.75" thickBot="1" x14ac:dyDescent="0.3">
      <c r="A27" s="39">
        <v>474</v>
      </c>
      <c r="B27" s="40" t="s">
        <v>5</v>
      </c>
      <c r="C27" s="67" t="str">
        <f t="shared" si="0"/>
        <v>מאי 474</v>
      </c>
      <c r="D27" s="55" t="s">
        <v>7</v>
      </c>
      <c r="E27" s="55" t="s">
        <v>7</v>
      </c>
      <c r="F27" s="74" t="s">
        <v>193</v>
      </c>
      <c r="G27" s="72">
        <v>42979</v>
      </c>
      <c r="H27" s="48"/>
      <c r="I27" s="42"/>
      <c r="J27" s="133"/>
      <c r="K27" s="134"/>
      <c r="L27" s="134"/>
      <c r="M27" s="134"/>
      <c r="N27" s="135">
        <f t="shared" si="52"/>
        <v>0</v>
      </c>
      <c r="O27" s="135">
        <f t="shared" si="53"/>
        <v>0</v>
      </c>
      <c r="P27" s="44">
        <f t="shared" si="54"/>
        <v>0</v>
      </c>
      <c r="Q27" s="39"/>
      <c r="R27" s="41"/>
      <c r="S27" s="41"/>
      <c r="T27" s="41"/>
      <c r="U27" s="43">
        <f t="shared" si="55"/>
        <v>0</v>
      </c>
      <c r="V27" s="43">
        <f t="shared" si="56"/>
        <v>0</v>
      </c>
      <c r="W27" s="45">
        <f t="shared" si="84"/>
        <v>0</v>
      </c>
      <c r="X27" s="39"/>
      <c r="Y27" s="41"/>
      <c r="Z27" s="41"/>
      <c r="AA27" s="41"/>
      <c r="AB27" s="46">
        <f t="shared" si="57"/>
        <v>0</v>
      </c>
      <c r="AC27" s="46">
        <f t="shared" si="58"/>
        <v>0</v>
      </c>
      <c r="AD27" s="47">
        <f t="shared" si="59"/>
        <v>0</v>
      </c>
      <c r="AE27" s="39">
        <v>1</v>
      </c>
      <c r="AF27" s="41"/>
      <c r="AG27" s="41">
        <v>2</v>
      </c>
      <c r="AH27" s="41"/>
      <c r="AI27" s="43">
        <f t="shared" si="60"/>
        <v>5</v>
      </c>
      <c r="AJ27" s="43">
        <f t="shared" si="61"/>
        <v>0</v>
      </c>
      <c r="AK27" s="45">
        <f t="shared" si="62"/>
        <v>5</v>
      </c>
      <c r="AL27" s="39">
        <v>1</v>
      </c>
      <c r="AM27" s="41"/>
      <c r="AN27" s="41"/>
      <c r="AO27" s="41"/>
      <c r="AP27" s="43">
        <f t="shared" si="63"/>
        <v>3</v>
      </c>
      <c r="AQ27" s="43">
        <f t="shared" si="64"/>
        <v>0</v>
      </c>
      <c r="AR27" s="45">
        <f t="shared" si="65"/>
        <v>3</v>
      </c>
      <c r="AS27" s="39"/>
      <c r="AT27" s="41"/>
      <c r="AU27" s="41"/>
      <c r="AV27" s="41">
        <v>2</v>
      </c>
      <c r="AW27" s="43">
        <f t="shared" si="66"/>
        <v>0</v>
      </c>
      <c r="AX27" s="43">
        <f t="shared" si="67"/>
        <v>2</v>
      </c>
      <c r="AY27" s="45">
        <f t="shared" si="68"/>
        <v>2</v>
      </c>
      <c r="AZ27" s="39"/>
      <c r="BA27" s="41">
        <v>1</v>
      </c>
      <c r="BB27" s="41"/>
      <c r="BC27" s="41">
        <v>2</v>
      </c>
      <c r="BD27" s="43">
        <f t="shared" si="69"/>
        <v>0</v>
      </c>
      <c r="BE27" s="43">
        <f t="shared" si="70"/>
        <v>5</v>
      </c>
      <c r="BF27" s="45">
        <f t="shared" si="71"/>
        <v>5</v>
      </c>
      <c r="BG27" s="75"/>
      <c r="BH27" s="107">
        <v>1</v>
      </c>
      <c r="BI27" s="107"/>
      <c r="BJ27" s="41">
        <v>1</v>
      </c>
      <c r="BK27" s="43">
        <f t="shared" si="72"/>
        <v>0</v>
      </c>
      <c r="BL27" s="43">
        <f t="shared" si="73"/>
        <v>4</v>
      </c>
      <c r="BM27" s="106">
        <f t="shared" si="74"/>
        <v>4</v>
      </c>
      <c r="BN27" s="75"/>
      <c r="BO27" s="107">
        <v>1</v>
      </c>
      <c r="BP27" s="107"/>
      <c r="BQ27" s="107">
        <v>1</v>
      </c>
      <c r="BR27" s="43">
        <f t="shared" si="75"/>
        <v>0</v>
      </c>
      <c r="BS27" s="43">
        <f t="shared" si="76"/>
        <v>4</v>
      </c>
      <c r="BT27" s="106">
        <f t="shared" si="77"/>
        <v>4</v>
      </c>
      <c r="BU27" s="75"/>
      <c r="BV27" s="107"/>
      <c r="BW27" s="107"/>
      <c r="BX27" s="107">
        <v>2</v>
      </c>
      <c r="BY27" s="43">
        <f t="shared" si="78"/>
        <v>0</v>
      </c>
      <c r="BZ27" s="43">
        <f t="shared" si="79"/>
        <v>2</v>
      </c>
      <c r="CA27" s="106">
        <f t="shared" si="80"/>
        <v>2</v>
      </c>
      <c r="CB27" s="75"/>
      <c r="CC27" s="107"/>
      <c r="CD27" s="107"/>
      <c r="CE27" s="196">
        <v>3</v>
      </c>
      <c r="CF27" s="43">
        <f t="shared" si="81"/>
        <v>0</v>
      </c>
      <c r="CG27" s="43">
        <f t="shared" si="82"/>
        <v>3</v>
      </c>
      <c r="CH27" s="106">
        <f t="shared" si="83"/>
        <v>3</v>
      </c>
      <c r="CI27" s="107"/>
      <c r="CJ27" s="107">
        <v>1</v>
      </c>
      <c r="CK27" s="107"/>
      <c r="CL27" s="207">
        <v>1</v>
      </c>
      <c r="CM27" s="43">
        <f t="shared" si="34"/>
        <v>0</v>
      </c>
      <c r="CN27" s="43">
        <f t="shared" si="35"/>
        <v>4</v>
      </c>
      <c r="CO27" s="106">
        <f t="shared" si="36"/>
        <v>4</v>
      </c>
      <c r="CP27" s="75"/>
      <c r="CQ27" s="107"/>
      <c r="CR27" s="107"/>
      <c r="CS27" s="107">
        <v>2</v>
      </c>
      <c r="CT27" s="43">
        <f t="shared" si="37"/>
        <v>0</v>
      </c>
      <c r="CU27" s="43">
        <f t="shared" si="38"/>
        <v>2</v>
      </c>
      <c r="CV27" s="106">
        <f t="shared" si="39"/>
        <v>2</v>
      </c>
      <c r="CW27" s="75"/>
      <c r="CX27" s="107"/>
      <c r="CY27" s="107"/>
      <c r="CZ27" s="107"/>
      <c r="DA27" s="43">
        <f t="shared" si="40"/>
        <v>0</v>
      </c>
      <c r="DB27" s="43">
        <f t="shared" si="41"/>
        <v>0</v>
      </c>
      <c r="DC27" s="106">
        <f t="shared" si="42"/>
        <v>0</v>
      </c>
      <c r="DD27" s="181">
        <f t="shared" si="43"/>
        <v>8</v>
      </c>
      <c r="DE27" s="182">
        <f t="shared" ca="1" si="44"/>
        <v>2.5559105431309903E-2</v>
      </c>
      <c r="DF27" s="183">
        <f t="shared" si="45"/>
        <v>26</v>
      </c>
      <c r="DG27" s="182">
        <f t="shared" ca="1" si="46"/>
        <v>8.3067092651757185E-2</v>
      </c>
      <c r="DH27" s="183">
        <f t="shared" si="47"/>
        <v>34</v>
      </c>
      <c r="DI27" s="182">
        <f t="shared" ca="1" si="48"/>
        <v>0.10862619808306709</v>
      </c>
      <c r="DJ27" s="183">
        <f t="shared" si="49"/>
        <v>2</v>
      </c>
      <c r="DK27" s="183">
        <f t="shared" si="50"/>
        <v>4</v>
      </c>
      <c r="DL27" s="183">
        <f t="shared" si="51"/>
        <v>6</v>
      </c>
    </row>
    <row r="28" spans="1:116" ht="15.75" thickBot="1" x14ac:dyDescent="0.3">
      <c r="A28" s="39">
        <v>474</v>
      </c>
      <c r="B28" s="62" t="s">
        <v>222</v>
      </c>
      <c r="C28" s="67" t="str">
        <f t="shared" si="0"/>
        <v>רוני 474</v>
      </c>
      <c r="D28" s="55" t="s">
        <v>6</v>
      </c>
      <c r="E28" s="55" t="s">
        <v>7</v>
      </c>
      <c r="F28" s="74" t="s">
        <v>224</v>
      </c>
      <c r="G28" s="72">
        <v>43191</v>
      </c>
      <c r="H28" s="115"/>
      <c r="I28" s="42"/>
      <c r="J28" s="133"/>
      <c r="K28" s="134"/>
      <c r="L28" s="134"/>
      <c r="M28" s="134"/>
      <c r="N28" s="135">
        <f t="shared" si="52"/>
        <v>0</v>
      </c>
      <c r="O28" s="135">
        <f t="shared" si="53"/>
        <v>0</v>
      </c>
      <c r="P28" s="44">
        <f t="shared" si="54"/>
        <v>0</v>
      </c>
      <c r="Q28" s="39"/>
      <c r="R28" s="41"/>
      <c r="S28" s="41"/>
      <c r="T28" s="41"/>
      <c r="U28" s="43">
        <f t="shared" si="55"/>
        <v>0</v>
      </c>
      <c r="V28" s="43">
        <f t="shared" si="56"/>
        <v>0</v>
      </c>
      <c r="W28" s="45">
        <f t="shared" si="84"/>
        <v>0</v>
      </c>
      <c r="X28" s="39"/>
      <c r="Y28" s="41"/>
      <c r="Z28" s="41"/>
      <c r="AA28" s="41"/>
      <c r="AB28" s="46">
        <f t="shared" si="57"/>
        <v>0</v>
      </c>
      <c r="AC28" s="46">
        <f t="shared" si="58"/>
        <v>0</v>
      </c>
      <c r="AD28" s="47">
        <f t="shared" si="59"/>
        <v>0</v>
      </c>
      <c r="AE28" s="39"/>
      <c r="AF28" s="41"/>
      <c r="AG28" s="41"/>
      <c r="AH28" s="41"/>
      <c r="AI28" s="43">
        <f t="shared" si="60"/>
        <v>0</v>
      </c>
      <c r="AJ28" s="43">
        <f t="shared" si="61"/>
        <v>0</v>
      </c>
      <c r="AK28" s="45">
        <f t="shared" si="62"/>
        <v>0</v>
      </c>
      <c r="AL28" s="39"/>
      <c r="AM28" s="41"/>
      <c r="AN28" s="41"/>
      <c r="AO28" s="41"/>
      <c r="AP28" s="43">
        <f t="shared" si="63"/>
        <v>0</v>
      </c>
      <c r="AQ28" s="43">
        <f t="shared" si="64"/>
        <v>0</v>
      </c>
      <c r="AR28" s="45">
        <f t="shared" si="65"/>
        <v>0</v>
      </c>
      <c r="AS28" s="39"/>
      <c r="AT28" s="41"/>
      <c r="AU28" s="41"/>
      <c r="AV28" s="41"/>
      <c r="AW28" s="43">
        <f t="shared" si="66"/>
        <v>0</v>
      </c>
      <c r="AX28" s="43">
        <f t="shared" si="67"/>
        <v>0</v>
      </c>
      <c r="AY28" s="45">
        <f t="shared" si="68"/>
        <v>0</v>
      </c>
      <c r="AZ28" s="39"/>
      <c r="BA28" s="41"/>
      <c r="BB28" s="41"/>
      <c r="BC28" s="41"/>
      <c r="BD28" s="43">
        <f t="shared" si="69"/>
        <v>0</v>
      </c>
      <c r="BE28" s="43">
        <f t="shared" si="70"/>
        <v>0</v>
      </c>
      <c r="BF28" s="45">
        <f t="shared" si="71"/>
        <v>0</v>
      </c>
      <c r="BG28" s="75"/>
      <c r="BH28" s="107"/>
      <c r="BI28" s="41"/>
      <c r="BJ28" s="41"/>
      <c r="BK28" s="43">
        <f t="shared" si="72"/>
        <v>0</v>
      </c>
      <c r="BL28" s="43">
        <f t="shared" si="73"/>
        <v>0</v>
      </c>
      <c r="BM28" s="106">
        <f t="shared" si="74"/>
        <v>0</v>
      </c>
      <c r="BN28" s="75"/>
      <c r="BO28" s="107"/>
      <c r="BP28" s="107"/>
      <c r="BQ28" s="107"/>
      <c r="BR28" s="43">
        <f t="shared" si="75"/>
        <v>0</v>
      </c>
      <c r="BS28" s="43">
        <f t="shared" si="76"/>
        <v>0</v>
      </c>
      <c r="BT28" s="106">
        <f t="shared" si="77"/>
        <v>0</v>
      </c>
      <c r="BU28" s="75"/>
      <c r="BV28" s="107"/>
      <c r="BW28" s="107">
        <v>1</v>
      </c>
      <c r="BX28" s="107"/>
      <c r="BY28" s="43">
        <f t="shared" si="78"/>
        <v>1</v>
      </c>
      <c r="BZ28" s="43">
        <f t="shared" si="79"/>
        <v>0</v>
      </c>
      <c r="CA28" s="106">
        <f t="shared" si="80"/>
        <v>1</v>
      </c>
      <c r="CB28" s="75"/>
      <c r="CC28" s="107"/>
      <c r="CD28" s="107">
        <v>2</v>
      </c>
      <c r="CE28" s="196"/>
      <c r="CF28" s="43">
        <f t="shared" si="81"/>
        <v>2</v>
      </c>
      <c r="CG28" s="43">
        <f t="shared" si="82"/>
        <v>0</v>
      </c>
      <c r="CH28" s="106">
        <f t="shared" si="83"/>
        <v>2</v>
      </c>
      <c r="CI28" s="107">
        <v>1</v>
      </c>
      <c r="CJ28" s="107"/>
      <c r="CK28" s="107"/>
      <c r="CL28" s="207"/>
      <c r="CM28" s="43">
        <f t="shared" si="34"/>
        <v>3</v>
      </c>
      <c r="CN28" s="43">
        <f t="shared" si="35"/>
        <v>0</v>
      </c>
      <c r="CO28" s="106">
        <f t="shared" si="36"/>
        <v>3</v>
      </c>
      <c r="CP28" s="75"/>
      <c r="CQ28" s="107"/>
      <c r="CR28" s="107">
        <v>3</v>
      </c>
      <c r="CS28" s="107">
        <v>1</v>
      </c>
      <c r="CT28" s="43">
        <f t="shared" si="37"/>
        <v>3</v>
      </c>
      <c r="CU28" s="43">
        <f t="shared" si="38"/>
        <v>1</v>
      </c>
      <c r="CV28" s="106">
        <f t="shared" si="39"/>
        <v>4</v>
      </c>
      <c r="CW28" s="75"/>
      <c r="CX28" s="107"/>
      <c r="CY28" s="107"/>
      <c r="CZ28" s="107"/>
      <c r="DA28" s="43">
        <f t="shared" si="40"/>
        <v>0</v>
      </c>
      <c r="DB28" s="43">
        <f t="shared" si="41"/>
        <v>0</v>
      </c>
      <c r="DC28" s="106">
        <f t="shared" si="42"/>
        <v>0</v>
      </c>
      <c r="DD28" s="181">
        <f t="shared" si="43"/>
        <v>9</v>
      </c>
      <c r="DE28" s="182">
        <f t="shared" ca="1" si="44"/>
        <v>8.9108910891089105E-2</v>
      </c>
      <c r="DF28" s="183">
        <f t="shared" si="45"/>
        <v>1</v>
      </c>
      <c r="DG28" s="182">
        <f t="shared" ca="1" si="46"/>
        <v>9.9009900990099011E-3</v>
      </c>
      <c r="DH28" s="183">
        <f t="shared" si="47"/>
        <v>10</v>
      </c>
      <c r="DI28" s="182">
        <f t="shared" ca="1" si="48"/>
        <v>9.9009900990099001E-2</v>
      </c>
      <c r="DJ28" s="183">
        <f t="shared" si="49"/>
        <v>1</v>
      </c>
      <c r="DK28" s="183">
        <f t="shared" si="50"/>
        <v>0</v>
      </c>
      <c r="DL28" s="183">
        <f t="shared" si="51"/>
        <v>1</v>
      </c>
    </row>
    <row r="29" spans="1:116" ht="15.75" thickBot="1" x14ac:dyDescent="0.3">
      <c r="A29" s="39">
        <v>474</v>
      </c>
      <c r="B29" s="62" t="s">
        <v>165</v>
      </c>
      <c r="C29" s="40" t="str">
        <f t="shared" si="0"/>
        <v>שובל 474</v>
      </c>
      <c r="D29" s="55" t="s">
        <v>7</v>
      </c>
      <c r="E29" s="55" t="s">
        <v>7</v>
      </c>
      <c r="F29" s="74" t="s">
        <v>196</v>
      </c>
      <c r="G29" s="72">
        <v>43101</v>
      </c>
      <c r="H29" s="74"/>
      <c r="I29" s="42"/>
      <c r="J29" s="133"/>
      <c r="K29" s="134"/>
      <c r="L29" s="134"/>
      <c r="M29" s="134"/>
      <c r="N29" s="135">
        <f t="shared" si="52"/>
        <v>0</v>
      </c>
      <c r="O29" s="135">
        <f t="shared" si="53"/>
        <v>0</v>
      </c>
      <c r="P29" s="44">
        <f t="shared" si="54"/>
        <v>0</v>
      </c>
      <c r="Q29" s="39"/>
      <c r="R29" s="41"/>
      <c r="S29" s="41"/>
      <c r="T29" s="41"/>
      <c r="U29" s="43">
        <f t="shared" si="55"/>
        <v>0</v>
      </c>
      <c r="V29" s="43">
        <f t="shared" si="56"/>
        <v>0</v>
      </c>
      <c r="W29" s="45">
        <f t="shared" si="84"/>
        <v>0</v>
      </c>
      <c r="X29" s="39"/>
      <c r="Y29" s="41"/>
      <c r="Z29" s="41"/>
      <c r="AA29" s="41"/>
      <c r="AB29" s="46">
        <f t="shared" si="57"/>
        <v>0</v>
      </c>
      <c r="AC29" s="46">
        <f t="shared" si="58"/>
        <v>0</v>
      </c>
      <c r="AD29" s="47">
        <f t="shared" si="59"/>
        <v>0</v>
      </c>
      <c r="AE29" s="39"/>
      <c r="AF29" s="41"/>
      <c r="AG29" s="41"/>
      <c r="AH29" s="41"/>
      <c r="AI29" s="43">
        <f t="shared" si="60"/>
        <v>0</v>
      </c>
      <c r="AJ29" s="43">
        <f t="shared" si="61"/>
        <v>0</v>
      </c>
      <c r="AK29" s="45">
        <f t="shared" si="62"/>
        <v>0</v>
      </c>
      <c r="AL29" s="39"/>
      <c r="AM29" s="41"/>
      <c r="AN29" s="41"/>
      <c r="AO29" s="41"/>
      <c r="AP29" s="43">
        <f t="shared" si="63"/>
        <v>0</v>
      </c>
      <c r="AQ29" s="43">
        <f t="shared" si="64"/>
        <v>0</v>
      </c>
      <c r="AR29" s="45">
        <f t="shared" si="65"/>
        <v>0</v>
      </c>
      <c r="AS29" s="39"/>
      <c r="AT29" s="41"/>
      <c r="AU29" s="41"/>
      <c r="AV29" s="41"/>
      <c r="AW29" s="43">
        <f t="shared" si="66"/>
        <v>0</v>
      </c>
      <c r="AX29" s="43">
        <f t="shared" si="67"/>
        <v>0</v>
      </c>
      <c r="AY29" s="45">
        <f t="shared" si="68"/>
        <v>0</v>
      </c>
      <c r="AZ29" s="39"/>
      <c r="BA29" s="41"/>
      <c r="BB29" s="41"/>
      <c r="BC29" s="41"/>
      <c r="BD29" s="43">
        <f t="shared" si="69"/>
        <v>0</v>
      </c>
      <c r="BE29" s="43">
        <f t="shared" si="70"/>
        <v>0</v>
      </c>
      <c r="BF29" s="45">
        <f t="shared" si="71"/>
        <v>0</v>
      </c>
      <c r="BG29" s="75">
        <v>1</v>
      </c>
      <c r="BH29" s="107"/>
      <c r="BI29" s="41"/>
      <c r="BJ29" s="41"/>
      <c r="BK29" s="43">
        <f t="shared" si="72"/>
        <v>3</v>
      </c>
      <c r="BL29" s="43">
        <f t="shared" si="73"/>
        <v>0</v>
      </c>
      <c r="BM29" s="106">
        <f t="shared" si="74"/>
        <v>3</v>
      </c>
      <c r="BN29" s="75"/>
      <c r="BO29" s="107"/>
      <c r="BP29" s="107">
        <v>3</v>
      </c>
      <c r="BQ29" s="107">
        <v>1</v>
      </c>
      <c r="BR29" s="43">
        <f t="shared" si="75"/>
        <v>3</v>
      </c>
      <c r="BS29" s="43">
        <f t="shared" si="76"/>
        <v>1</v>
      </c>
      <c r="BT29" s="106">
        <f t="shared" si="77"/>
        <v>4</v>
      </c>
      <c r="BU29" s="75">
        <v>1</v>
      </c>
      <c r="BV29" s="107"/>
      <c r="BW29" s="107">
        <v>1</v>
      </c>
      <c r="BX29" s="107"/>
      <c r="BY29" s="43">
        <f t="shared" si="78"/>
        <v>4</v>
      </c>
      <c r="BZ29" s="43">
        <f t="shared" si="79"/>
        <v>0</v>
      </c>
      <c r="CA29" s="106">
        <f t="shared" si="80"/>
        <v>4</v>
      </c>
      <c r="CB29" s="75"/>
      <c r="CC29" s="107"/>
      <c r="CD29" s="107">
        <v>2</v>
      </c>
      <c r="CE29" s="196"/>
      <c r="CF29" s="43">
        <f t="shared" si="81"/>
        <v>2</v>
      </c>
      <c r="CG29" s="43">
        <f t="shared" si="82"/>
        <v>0</v>
      </c>
      <c r="CH29" s="106">
        <f t="shared" si="83"/>
        <v>2</v>
      </c>
      <c r="CI29" s="107"/>
      <c r="CJ29" s="107">
        <v>1</v>
      </c>
      <c r="CK29" s="107"/>
      <c r="CL29" s="207">
        <v>1</v>
      </c>
      <c r="CM29" s="43">
        <f t="shared" si="34"/>
        <v>0</v>
      </c>
      <c r="CN29" s="43">
        <f t="shared" si="35"/>
        <v>4</v>
      </c>
      <c r="CO29" s="106">
        <f t="shared" si="36"/>
        <v>4</v>
      </c>
      <c r="CP29" s="75"/>
      <c r="CQ29" s="107"/>
      <c r="CR29" s="107"/>
      <c r="CS29" s="107">
        <v>2</v>
      </c>
      <c r="CT29" s="43">
        <f t="shared" si="37"/>
        <v>0</v>
      </c>
      <c r="CU29" s="43">
        <f t="shared" si="38"/>
        <v>2</v>
      </c>
      <c r="CV29" s="106">
        <f t="shared" si="39"/>
        <v>2</v>
      </c>
      <c r="CW29" s="75"/>
      <c r="CX29" s="107"/>
      <c r="CY29" s="107"/>
      <c r="CZ29" s="107"/>
      <c r="DA29" s="43">
        <f t="shared" si="40"/>
        <v>0</v>
      </c>
      <c r="DB29" s="43">
        <f t="shared" si="41"/>
        <v>0</v>
      </c>
      <c r="DC29" s="106">
        <f t="shared" si="42"/>
        <v>0</v>
      </c>
      <c r="DD29" s="181">
        <f t="shared" si="43"/>
        <v>12</v>
      </c>
      <c r="DE29" s="182">
        <f t="shared" ca="1" si="44"/>
        <v>6.2827225130890049E-2</v>
      </c>
      <c r="DF29" s="183">
        <f t="shared" si="45"/>
        <v>7</v>
      </c>
      <c r="DG29" s="182">
        <f t="shared" ca="1" si="46"/>
        <v>3.6649214659685861E-2</v>
      </c>
      <c r="DH29" s="183">
        <f t="shared" si="47"/>
        <v>19</v>
      </c>
      <c r="DI29" s="182">
        <f t="shared" ca="1" si="48"/>
        <v>9.947643979057591E-2</v>
      </c>
      <c r="DJ29" s="183">
        <f t="shared" si="49"/>
        <v>2</v>
      </c>
      <c r="DK29" s="183">
        <f t="shared" si="50"/>
        <v>1</v>
      </c>
      <c r="DL29" s="183">
        <f t="shared" si="51"/>
        <v>3</v>
      </c>
    </row>
    <row r="30" spans="1:116" ht="15.75" thickBot="1" x14ac:dyDescent="0.3">
      <c r="A30" s="75">
        <v>679</v>
      </c>
      <c r="B30" s="76" t="s">
        <v>16</v>
      </c>
      <c r="C30" s="67" t="str">
        <f t="shared" si="0"/>
        <v>אופיר 679</v>
      </c>
      <c r="D30" s="41" t="s">
        <v>6</v>
      </c>
      <c r="E30" s="55" t="s">
        <v>7</v>
      </c>
      <c r="F30" s="74" t="s">
        <v>193</v>
      </c>
      <c r="G30" s="72">
        <v>42979</v>
      </c>
      <c r="H30" s="268"/>
      <c r="I30" s="42"/>
      <c r="J30" s="133"/>
      <c r="K30" s="134"/>
      <c r="L30" s="134"/>
      <c r="M30" s="134"/>
      <c r="N30" s="135">
        <f t="shared" si="52"/>
        <v>0</v>
      </c>
      <c r="O30" s="135">
        <f t="shared" si="53"/>
        <v>0</v>
      </c>
      <c r="P30" s="44">
        <f t="shared" si="54"/>
        <v>0</v>
      </c>
      <c r="Q30" s="39"/>
      <c r="R30" s="41"/>
      <c r="S30" s="41"/>
      <c r="T30" s="41"/>
      <c r="U30" s="43">
        <f t="shared" si="55"/>
        <v>0</v>
      </c>
      <c r="V30" s="43">
        <f t="shared" si="56"/>
        <v>0</v>
      </c>
      <c r="W30" s="45">
        <f t="shared" si="84"/>
        <v>0</v>
      </c>
      <c r="X30" s="39"/>
      <c r="Y30" s="41"/>
      <c r="Z30" s="41"/>
      <c r="AA30" s="41"/>
      <c r="AB30" s="46">
        <f t="shared" si="57"/>
        <v>0</v>
      </c>
      <c r="AC30" s="46">
        <f t="shared" si="58"/>
        <v>0</v>
      </c>
      <c r="AD30" s="47">
        <f t="shared" si="59"/>
        <v>0</v>
      </c>
      <c r="AE30" s="39"/>
      <c r="AF30" s="41"/>
      <c r="AG30" s="41">
        <v>2</v>
      </c>
      <c r="AH30" s="41"/>
      <c r="AI30" s="43">
        <f t="shared" si="60"/>
        <v>2</v>
      </c>
      <c r="AJ30" s="43">
        <f t="shared" si="61"/>
        <v>0</v>
      </c>
      <c r="AK30" s="45">
        <f t="shared" si="62"/>
        <v>2</v>
      </c>
      <c r="AL30" s="39"/>
      <c r="AM30" s="41"/>
      <c r="AN30" s="41">
        <v>5</v>
      </c>
      <c r="AO30" s="41"/>
      <c r="AP30" s="43">
        <f t="shared" si="63"/>
        <v>5</v>
      </c>
      <c r="AQ30" s="43">
        <f t="shared" si="64"/>
        <v>0</v>
      </c>
      <c r="AR30" s="45">
        <f t="shared" si="65"/>
        <v>5</v>
      </c>
      <c r="AS30" s="39">
        <v>1</v>
      </c>
      <c r="AT30" s="41"/>
      <c r="AU30" s="41">
        <v>3</v>
      </c>
      <c r="AV30" s="41"/>
      <c r="AW30" s="43">
        <f t="shared" si="66"/>
        <v>6</v>
      </c>
      <c r="AX30" s="43">
        <f t="shared" si="67"/>
        <v>0</v>
      </c>
      <c r="AY30" s="45">
        <f t="shared" si="68"/>
        <v>6</v>
      </c>
      <c r="AZ30" s="39"/>
      <c r="BA30" s="41"/>
      <c r="BB30" s="41"/>
      <c r="BC30" s="41"/>
      <c r="BD30" s="43">
        <f t="shared" si="69"/>
        <v>0</v>
      </c>
      <c r="BE30" s="43">
        <f t="shared" si="70"/>
        <v>0</v>
      </c>
      <c r="BF30" s="45">
        <f t="shared" si="71"/>
        <v>0</v>
      </c>
      <c r="BG30" s="75"/>
      <c r="BH30" s="107"/>
      <c r="BI30" s="41">
        <v>5</v>
      </c>
      <c r="BJ30" s="41">
        <v>2</v>
      </c>
      <c r="BK30" s="43">
        <f t="shared" si="72"/>
        <v>5</v>
      </c>
      <c r="BL30" s="43">
        <f t="shared" si="73"/>
        <v>2</v>
      </c>
      <c r="BM30" s="106">
        <f t="shared" si="74"/>
        <v>7</v>
      </c>
      <c r="BN30" s="75">
        <v>1</v>
      </c>
      <c r="BO30" s="107"/>
      <c r="BP30" s="107">
        <v>-1</v>
      </c>
      <c r="BQ30" s="107"/>
      <c r="BR30" s="43">
        <f t="shared" si="75"/>
        <v>2</v>
      </c>
      <c r="BS30" s="43">
        <f t="shared" si="76"/>
        <v>0</v>
      </c>
      <c r="BT30" s="106">
        <f t="shared" si="77"/>
        <v>2</v>
      </c>
      <c r="BU30" s="75"/>
      <c r="BV30" s="107"/>
      <c r="BW30" s="107">
        <v>2</v>
      </c>
      <c r="BX30" s="107"/>
      <c r="BY30" s="43">
        <f t="shared" si="78"/>
        <v>2</v>
      </c>
      <c r="BZ30" s="43">
        <f t="shared" si="79"/>
        <v>0</v>
      </c>
      <c r="CA30" s="106">
        <f t="shared" si="80"/>
        <v>2</v>
      </c>
      <c r="CB30" s="75"/>
      <c r="CC30" s="107"/>
      <c r="CD30" s="256"/>
      <c r="CE30" s="197"/>
      <c r="CF30" s="43">
        <f t="shared" si="81"/>
        <v>0</v>
      </c>
      <c r="CG30" s="43">
        <f t="shared" si="82"/>
        <v>0</v>
      </c>
      <c r="CH30" s="106">
        <f t="shared" si="83"/>
        <v>0</v>
      </c>
      <c r="CI30" s="107"/>
      <c r="CJ30" s="107"/>
      <c r="CK30" s="107">
        <v>1</v>
      </c>
      <c r="CL30" s="207"/>
      <c r="CM30" s="43">
        <f t="shared" si="34"/>
        <v>1</v>
      </c>
      <c r="CN30" s="43">
        <f t="shared" si="35"/>
        <v>0</v>
      </c>
      <c r="CO30" s="106">
        <f t="shared" si="36"/>
        <v>1</v>
      </c>
      <c r="CP30" s="75">
        <v>1</v>
      </c>
      <c r="CQ30" s="107"/>
      <c r="CR30" s="107"/>
      <c r="CS30" s="107">
        <v>1</v>
      </c>
      <c r="CT30" s="43">
        <f t="shared" si="37"/>
        <v>3</v>
      </c>
      <c r="CU30" s="43">
        <f t="shared" si="38"/>
        <v>1</v>
      </c>
      <c r="CV30" s="106">
        <f t="shared" si="39"/>
        <v>4</v>
      </c>
      <c r="CW30" s="75"/>
      <c r="CX30" s="107"/>
      <c r="CY30" s="107"/>
      <c r="CZ30" s="107"/>
      <c r="DA30" s="43">
        <f t="shared" si="40"/>
        <v>0</v>
      </c>
      <c r="DB30" s="43">
        <f t="shared" si="41"/>
        <v>0</v>
      </c>
      <c r="DC30" s="106">
        <f t="shared" si="42"/>
        <v>0</v>
      </c>
      <c r="DD30" s="181">
        <f t="shared" si="43"/>
        <v>26</v>
      </c>
      <c r="DE30" s="182">
        <f t="shared" ca="1" si="44"/>
        <v>8.3067092651757185E-2</v>
      </c>
      <c r="DF30" s="183">
        <f t="shared" si="45"/>
        <v>3</v>
      </c>
      <c r="DG30" s="182">
        <f t="shared" ca="1" si="46"/>
        <v>9.5846645367412137E-3</v>
      </c>
      <c r="DH30" s="183">
        <f t="shared" si="47"/>
        <v>29</v>
      </c>
      <c r="DI30" s="182">
        <f t="shared" ca="1" si="48"/>
        <v>9.2651757188498399E-2</v>
      </c>
      <c r="DJ30" s="183">
        <f t="shared" si="49"/>
        <v>3</v>
      </c>
      <c r="DK30" s="183">
        <f t="shared" si="50"/>
        <v>0</v>
      </c>
      <c r="DL30" s="183">
        <f t="shared" si="51"/>
        <v>3</v>
      </c>
    </row>
    <row r="31" spans="1:116" ht="15.75" thickBot="1" x14ac:dyDescent="0.3">
      <c r="A31" s="75">
        <v>679</v>
      </c>
      <c r="B31" s="255" t="s">
        <v>56</v>
      </c>
      <c r="C31" s="67" t="str">
        <f t="shared" si="0"/>
        <v>אלכס 679</v>
      </c>
      <c r="D31" s="41" t="s">
        <v>6</v>
      </c>
      <c r="E31" s="55" t="s">
        <v>7</v>
      </c>
      <c r="F31" s="74" t="s">
        <v>193</v>
      </c>
      <c r="G31" s="72">
        <v>42979</v>
      </c>
      <c r="H31" s="268">
        <v>43573</v>
      </c>
      <c r="I31" s="42"/>
      <c r="J31" s="133"/>
      <c r="K31" s="134"/>
      <c r="L31" s="134"/>
      <c r="M31" s="134"/>
      <c r="N31" s="135">
        <f t="shared" si="52"/>
        <v>0</v>
      </c>
      <c r="O31" s="135">
        <f t="shared" si="53"/>
        <v>0</v>
      </c>
      <c r="P31" s="44">
        <f t="shared" si="54"/>
        <v>0</v>
      </c>
      <c r="Q31" s="39"/>
      <c r="R31" s="41"/>
      <c r="S31" s="41"/>
      <c r="T31" s="41"/>
      <c r="U31" s="43">
        <f t="shared" si="55"/>
        <v>0</v>
      </c>
      <c r="V31" s="43">
        <f t="shared" si="56"/>
        <v>0</v>
      </c>
      <c r="W31" s="45">
        <f t="shared" si="84"/>
        <v>0</v>
      </c>
      <c r="X31" s="39"/>
      <c r="Y31" s="41"/>
      <c r="Z31" s="41"/>
      <c r="AA31" s="41"/>
      <c r="AB31" s="46">
        <f t="shared" si="57"/>
        <v>0</v>
      </c>
      <c r="AC31" s="46">
        <f t="shared" si="58"/>
        <v>0</v>
      </c>
      <c r="AD31" s="47">
        <f t="shared" si="59"/>
        <v>0</v>
      </c>
      <c r="AE31" s="39">
        <v>1</v>
      </c>
      <c r="AF31" s="41"/>
      <c r="AG31" s="41"/>
      <c r="AH31" s="41"/>
      <c r="AI31" s="43">
        <f t="shared" si="60"/>
        <v>3</v>
      </c>
      <c r="AJ31" s="43">
        <f t="shared" si="61"/>
        <v>0</v>
      </c>
      <c r="AK31" s="45">
        <f t="shared" si="62"/>
        <v>3</v>
      </c>
      <c r="AL31" s="39"/>
      <c r="AM31" s="41"/>
      <c r="AN31" s="41">
        <v>4</v>
      </c>
      <c r="AO31" s="41"/>
      <c r="AP31" s="43">
        <f t="shared" si="63"/>
        <v>4</v>
      </c>
      <c r="AQ31" s="43">
        <f t="shared" si="64"/>
        <v>0</v>
      </c>
      <c r="AR31" s="45">
        <f t="shared" si="65"/>
        <v>4</v>
      </c>
      <c r="AS31" s="39"/>
      <c r="AT31" s="41"/>
      <c r="AU31" s="41">
        <v>4</v>
      </c>
      <c r="AV31" s="41"/>
      <c r="AW31" s="43">
        <f t="shared" si="66"/>
        <v>4</v>
      </c>
      <c r="AX31" s="43">
        <f t="shared" si="67"/>
        <v>0</v>
      </c>
      <c r="AY31" s="45">
        <f t="shared" si="68"/>
        <v>4</v>
      </c>
      <c r="AZ31" s="39">
        <v>1</v>
      </c>
      <c r="BA31" s="41"/>
      <c r="BB31" s="41"/>
      <c r="BC31" s="41"/>
      <c r="BD31" s="43">
        <f t="shared" si="69"/>
        <v>3</v>
      </c>
      <c r="BE31" s="43">
        <f t="shared" si="70"/>
        <v>0</v>
      </c>
      <c r="BF31" s="45">
        <f t="shared" si="71"/>
        <v>3</v>
      </c>
      <c r="BG31" s="75"/>
      <c r="BH31" s="107"/>
      <c r="BI31" s="41">
        <v>2</v>
      </c>
      <c r="BJ31" s="41">
        <v>1</v>
      </c>
      <c r="BK31" s="43">
        <f t="shared" si="72"/>
        <v>2</v>
      </c>
      <c r="BL31" s="43">
        <f t="shared" si="73"/>
        <v>1</v>
      </c>
      <c r="BM31" s="106">
        <f t="shared" si="74"/>
        <v>3</v>
      </c>
      <c r="BN31" s="75">
        <v>1</v>
      </c>
      <c r="BO31" s="107"/>
      <c r="BP31" s="107">
        <v>2</v>
      </c>
      <c r="BQ31" s="107">
        <v>1</v>
      </c>
      <c r="BR31" s="43">
        <f t="shared" si="75"/>
        <v>5</v>
      </c>
      <c r="BS31" s="43">
        <f t="shared" si="76"/>
        <v>1</v>
      </c>
      <c r="BT31" s="106">
        <f t="shared" si="77"/>
        <v>6</v>
      </c>
      <c r="BU31" s="75"/>
      <c r="BV31" s="107"/>
      <c r="BW31" s="107">
        <v>1</v>
      </c>
      <c r="BX31" s="107"/>
      <c r="BY31" s="43">
        <f t="shared" si="78"/>
        <v>1</v>
      </c>
      <c r="BZ31" s="43">
        <f t="shared" si="79"/>
        <v>0</v>
      </c>
      <c r="CA31" s="106">
        <f t="shared" si="80"/>
        <v>1</v>
      </c>
      <c r="CB31" s="75"/>
      <c r="CC31" s="107"/>
      <c r="CD31" s="256">
        <v>2</v>
      </c>
      <c r="CE31" s="197"/>
      <c r="CF31" s="43">
        <f t="shared" si="81"/>
        <v>2</v>
      </c>
      <c r="CG31" s="43">
        <f t="shared" si="82"/>
        <v>0</v>
      </c>
      <c r="CH31" s="106">
        <f t="shared" si="83"/>
        <v>2</v>
      </c>
      <c r="CI31" s="107">
        <v>1</v>
      </c>
      <c r="CJ31" s="107"/>
      <c r="CK31" s="107">
        <v>1</v>
      </c>
      <c r="CL31" s="207">
        <v>1</v>
      </c>
      <c r="CM31" s="43">
        <f t="shared" si="34"/>
        <v>4</v>
      </c>
      <c r="CN31" s="43">
        <f t="shared" si="35"/>
        <v>1</v>
      </c>
      <c r="CO31" s="106">
        <f t="shared" si="36"/>
        <v>5</v>
      </c>
      <c r="CP31" s="75"/>
      <c r="CQ31" s="107"/>
      <c r="CR31" s="107">
        <v>1</v>
      </c>
      <c r="CS31" s="107"/>
      <c r="CT31" s="43">
        <f t="shared" si="37"/>
        <v>1</v>
      </c>
      <c r="CU31" s="43">
        <f t="shared" si="38"/>
        <v>0</v>
      </c>
      <c r="CV31" s="106">
        <f t="shared" si="39"/>
        <v>1</v>
      </c>
      <c r="CW31" s="75"/>
      <c r="CX31" s="107"/>
      <c r="CY31" s="107"/>
      <c r="CZ31" s="107"/>
      <c r="DA31" s="43">
        <f t="shared" si="40"/>
        <v>0</v>
      </c>
      <c r="DB31" s="43">
        <f t="shared" si="41"/>
        <v>0</v>
      </c>
      <c r="DC31" s="106">
        <f t="shared" si="42"/>
        <v>0</v>
      </c>
      <c r="DD31" s="181">
        <f t="shared" si="43"/>
        <v>29</v>
      </c>
      <c r="DE31" s="182">
        <f t="shared" ca="1" si="44"/>
        <v>9.2651757188498399E-2</v>
      </c>
      <c r="DF31" s="183">
        <f t="shared" si="45"/>
        <v>3</v>
      </c>
      <c r="DG31" s="182">
        <f t="shared" ca="1" si="46"/>
        <v>9.5846645367412137E-3</v>
      </c>
      <c r="DH31" s="183">
        <f t="shared" si="47"/>
        <v>32</v>
      </c>
      <c r="DI31" s="182">
        <f t="shared" ca="1" si="48"/>
        <v>0.10223642172523961</v>
      </c>
      <c r="DJ31" s="183">
        <f t="shared" si="49"/>
        <v>4</v>
      </c>
      <c r="DK31" s="183">
        <f t="shared" si="50"/>
        <v>0</v>
      </c>
      <c r="DL31" s="183">
        <f t="shared" si="51"/>
        <v>4</v>
      </c>
    </row>
    <row r="32" spans="1:116" ht="15.75" thickBot="1" x14ac:dyDescent="0.3">
      <c r="A32" s="39">
        <v>679</v>
      </c>
      <c r="B32" s="40" t="s">
        <v>18</v>
      </c>
      <c r="C32" s="67" t="str">
        <f t="shared" si="0"/>
        <v>הדס 679</v>
      </c>
      <c r="D32" s="41" t="s">
        <v>7</v>
      </c>
      <c r="E32" s="41" t="s">
        <v>7</v>
      </c>
      <c r="F32" s="74" t="s">
        <v>190</v>
      </c>
      <c r="G32" s="72">
        <v>42887</v>
      </c>
      <c r="H32" s="268">
        <v>43360</v>
      </c>
      <c r="I32" s="42"/>
      <c r="J32" s="133"/>
      <c r="K32" s="134"/>
      <c r="L32" s="134"/>
      <c r="M32" s="134">
        <v>1</v>
      </c>
      <c r="N32" s="135">
        <f t="shared" si="52"/>
        <v>0</v>
      </c>
      <c r="O32" s="135">
        <f t="shared" si="53"/>
        <v>1</v>
      </c>
      <c r="P32" s="44">
        <f t="shared" si="54"/>
        <v>1</v>
      </c>
      <c r="Q32" s="39"/>
      <c r="R32" s="41">
        <v>1</v>
      </c>
      <c r="S32" s="41"/>
      <c r="T32" s="41">
        <v>1</v>
      </c>
      <c r="U32" s="43">
        <f t="shared" si="55"/>
        <v>0</v>
      </c>
      <c r="V32" s="43">
        <f t="shared" si="56"/>
        <v>4</v>
      </c>
      <c r="W32" s="45">
        <f t="shared" si="84"/>
        <v>4</v>
      </c>
      <c r="X32" s="39"/>
      <c r="Y32" s="41">
        <v>1</v>
      </c>
      <c r="Z32" s="41"/>
      <c r="AA32" s="41">
        <v>4</v>
      </c>
      <c r="AB32" s="46">
        <f t="shared" si="57"/>
        <v>0</v>
      </c>
      <c r="AC32" s="46">
        <f t="shared" si="58"/>
        <v>7</v>
      </c>
      <c r="AD32" s="47">
        <f t="shared" si="59"/>
        <v>7</v>
      </c>
      <c r="AE32" s="39"/>
      <c r="AF32" s="41">
        <v>1</v>
      </c>
      <c r="AG32" s="41"/>
      <c r="AH32" s="41">
        <v>1</v>
      </c>
      <c r="AI32" s="43">
        <f t="shared" si="60"/>
        <v>0</v>
      </c>
      <c r="AJ32" s="43">
        <f t="shared" si="61"/>
        <v>4</v>
      </c>
      <c r="AK32" s="45">
        <f t="shared" si="62"/>
        <v>4</v>
      </c>
      <c r="AL32" s="39"/>
      <c r="AM32" s="41"/>
      <c r="AN32" s="41"/>
      <c r="AO32" s="41">
        <v>1</v>
      </c>
      <c r="AP32" s="43">
        <f t="shared" si="63"/>
        <v>0</v>
      </c>
      <c r="AQ32" s="43">
        <f t="shared" si="64"/>
        <v>1</v>
      </c>
      <c r="AR32" s="45">
        <f t="shared" si="65"/>
        <v>1</v>
      </c>
      <c r="AS32" s="39"/>
      <c r="AT32" s="41">
        <v>1</v>
      </c>
      <c r="AU32" s="41"/>
      <c r="AV32" s="41">
        <v>1</v>
      </c>
      <c r="AW32" s="43">
        <f t="shared" si="66"/>
        <v>0</v>
      </c>
      <c r="AX32" s="43">
        <f t="shared" si="67"/>
        <v>4</v>
      </c>
      <c r="AY32" s="45">
        <f t="shared" si="68"/>
        <v>4</v>
      </c>
      <c r="AZ32" s="39"/>
      <c r="BA32" s="41">
        <v>1</v>
      </c>
      <c r="BB32" s="41"/>
      <c r="BC32" s="41">
        <v>2</v>
      </c>
      <c r="BD32" s="43">
        <f t="shared" si="69"/>
        <v>0</v>
      </c>
      <c r="BE32" s="43">
        <f t="shared" si="70"/>
        <v>5</v>
      </c>
      <c r="BF32" s="45">
        <f t="shared" si="71"/>
        <v>5</v>
      </c>
      <c r="BG32" s="75"/>
      <c r="BH32" s="107"/>
      <c r="BI32" s="41"/>
      <c r="BJ32" s="41">
        <v>3</v>
      </c>
      <c r="BK32" s="43">
        <f t="shared" si="72"/>
        <v>0</v>
      </c>
      <c r="BL32" s="43">
        <f t="shared" si="73"/>
        <v>3</v>
      </c>
      <c r="BM32" s="106">
        <f t="shared" si="74"/>
        <v>3</v>
      </c>
      <c r="BN32" s="75"/>
      <c r="BO32" s="107"/>
      <c r="BP32" s="107"/>
      <c r="BQ32" s="107">
        <v>2</v>
      </c>
      <c r="BR32" s="43">
        <f t="shared" si="75"/>
        <v>0</v>
      </c>
      <c r="BS32" s="43">
        <f t="shared" si="76"/>
        <v>2</v>
      </c>
      <c r="BT32" s="106">
        <f t="shared" si="77"/>
        <v>2</v>
      </c>
      <c r="BU32" s="75"/>
      <c r="BV32" s="107"/>
      <c r="BW32" s="107"/>
      <c r="BX32" s="107"/>
      <c r="BY32" s="43">
        <f t="shared" si="78"/>
        <v>0</v>
      </c>
      <c r="BZ32" s="43">
        <f t="shared" si="79"/>
        <v>0</v>
      </c>
      <c r="CA32" s="106">
        <f t="shared" si="80"/>
        <v>0</v>
      </c>
      <c r="CB32" s="75"/>
      <c r="CC32" s="107">
        <v>1</v>
      </c>
      <c r="CD32" s="107"/>
      <c r="CE32" s="196">
        <v>1</v>
      </c>
      <c r="CF32" s="43">
        <f t="shared" si="81"/>
        <v>0</v>
      </c>
      <c r="CG32" s="43">
        <f t="shared" si="82"/>
        <v>4</v>
      </c>
      <c r="CH32" s="106">
        <f t="shared" si="83"/>
        <v>4</v>
      </c>
      <c r="CI32" s="107"/>
      <c r="CJ32" s="107"/>
      <c r="CK32" s="107"/>
      <c r="CL32" s="207">
        <v>1</v>
      </c>
      <c r="CM32" s="43">
        <f t="shared" si="34"/>
        <v>0</v>
      </c>
      <c r="CN32" s="43">
        <f t="shared" si="35"/>
        <v>1</v>
      </c>
      <c r="CO32" s="106">
        <f t="shared" si="36"/>
        <v>1</v>
      </c>
      <c r="CP32" s="75"/>
      <c r="CQ32" s="107">
        <v>1</v>
      </c>
      <c r="CR32" s="107"/>
      <c r="CS32" s="107">
        <v>2</v>
      </c>
      <c r="CT32" s="43">
        <f t="shared" si="37"/>
        <v>0</v>
      </c>
      <c r="CU32" s="43">
        <f t="shared" si="38"/>
        <v>5</v>
      </c>
      <c r="CV32" s="106">
        <f t="shared" si="39"/>
        <v>5</v>
      </c>
      <c r="CW32" s="75"/>
      <c r="CX32" s="107"/>
      <c r="CY32" s="107"/>
      <c r="CZ32" s="107"/>
      <c r="DA32" s="43">
        <f t="shared" si="40"/>
        <v>0</v>
      </c>
      <c r="DB32" s="43">
        <f t="shared" si="41"/>
        <v>0</v>
      </c>
      <c r="DC32" s="106">
        <f t="shared" si="42"/>
        <v>0</v>
      </c>
      <c r="DD32" s="181">
        <f t="shared" si="43"/>
        <v>0</v>
      </c>
      <c r="DE32" s="182">
        <f t="shared" ca="1" si="44"/>
        <v>0</v>
      </c>
      <c r="DF32" s="183">
        <f t="shared" si="45"/>
        <v>41</v>
      </c>
      <c r="DG32" s="182">
        <f t="shared" ca="1" si="46"/>
        <v>0.10123456790123457</v>
      </c>
      <c r="DH32" s="183">
        <f t="shared" si="47"/>
        <v>41</v>
      </c>
      <c r="DI32" s="182">
        <f t="shared" ca="1" si="48"/>
        <v>0.10123456790123457</v>
      </c>
      <c r="DJ32" s="183">
        <f t="shared" si="49"/>
        <v>0</v>
      </c>
      <c r="DK32" s="183">
        <f t="shared" si="50"/>
        <v>8</v>
      </c>
      <c r="DL32" s="183">
        <f t="shared" si="51"/>
        <v>8</v>
      </c>
    </row>
    <row r="33" spans="1:116" ht="15.75" thickBot="1" x14ac:dyDescent="0.3">
      <c r="A33" s="263">
        <v>679</v>
      </c>
      <c r="B33" s="191" t="s">
        <v>207</v>
      </c>
      <c r="C33" s="184" t="str">
        <f t="shared" si="0"/>
        <v>חן 679</v>
      </c>
      <c r="D33" s="55" t="s">
        <v>6</v>
      </c>
      <c r="E33" s="55" t="s">
        <v>7</v>
      </c>
      <c r="F33" s="74" t="s">
        <v>210</v>
      </c>
      <c r="G33" s="72">
        <v>43160</v>
      </c>
      <c r="H33" s="180"/>
      <c r="I33" s="84" t="s">
        <v>251</v>
      </c>
      <c r="J33" s="133"/>
      <c r="K33" s="134"/>
      <c r="L33" s="134"/>
      <c r="M33" s="134"/>
      <c r="N33" s="135">
        <f t="shared" si="52"/>
        <v>0</v>
      </c>
      <c r="O33" s="135">
        <f t="shared" si="53"/>
        <v>0</v>
      </c>
      <c r="P33" s="44">
        <f t="shared" si="54"/>
        <v>0</v>
      </c>
      <c r="Q33" s="39"/>
      <c r="R33" s="41"/>
      <c r="S33" s="41"/>
      <c r="T33" s="41"/>
      <c r="U33" s="43">
        <f t="shared" si="55"/>
        <v>0</v>
      </c>
      <c r="V33" s="43">
        <f t="shared" si="56"/>
        <v>0</v>
      </c>
      <c r="W33" s="45">
        <f t="shared" si="84"/>
        <v>0</v>
      </c>
      <c r="X33" s="39"/>
      <c r="Y33" s="41"/>
      <c r="Z33" s="41"/>
      <c r="AA33" s="41"/>
      <c r="AB33" s="46">
        <f t="shared" si="57"/>
        <v>0</v>
      </c>
      <c r="AC33" s="46">
        <f t="shared" si="58"/>
        <v>0</v>
      </c>
      <c r="AD33" s="47">
        <f t="shared" si="59"/>
        <v>0</v>
      </c>
      <c r="AE33" s="39"/>
      <c r="AF33" s="41"/>
      <c r="AG33" s="41"/>
      <c r="AH33" s="41"/>
      <c r="AI33" s="43">
        <f t="shared" si="60"/>
        <v>0</v>
      </c>
      <c r="AJ33" s="43">
        <f t="shared" si="61"/>
        <v>0</v>
      </c>
      <c r="AK33" s="45">
        <f t="shared" si="62"/>
        <v>0</v>
      </c>
      <c r="AL33" s="39"/>
      <c r="AM33" s="41"/>
      <c r="AN33" s="41"/>
      <c r="AO33" s="41"/>
      <c r="AP33" s="43">
        <f t="shared" si="63"/>
        <v>0</v>
      </c>
      <c r="AQ33" s="43">
        <f t="shared" si="64"/>
        <v>0</v>
      </c>
      <c r="AR33" s="45">
        <f t="shared" si="65"/>
        <v>0</v>
      </c>
      <c r="AS33" s="39"/>
      <c r="AT33" s="41"/>
      <c r="AU33" s="41"/>
      <c r="AV33" s="41"/>
      <c r="AW33" s="43">
        <f t="shared" si="66"/>
        <v>0</v>
      </c>
      <c r="AX33" s="43">
        <f t="shared" si="67"/>
        <v>0</v>
      </c>
      <c r="AY33" s="45">
        <f t="shared" si="68"/>
        <v>0</v>
      </c>
      <c r="AZ33" s="39"/>
      <c r="BA33" s="41"/>
      <c r="BB33" s="41"/>
      <c r="BC33" s="41"/>
      <c r="BD33" s="43">
        <f t="shared" si="69"/>
        <v>0</v>
      </c>
      <c r="BE33" s="43">
        <f t="shared" si="70"/>
        <v>0</v>
      </c>
      <c r="BF33" s="45">
        <f t="shared" si="71"/>
        <v>0</v>
      </c>
      <c r="BG33" s="75"/>
      <c r="BH33" s="107"/>
      <c r="BI33" s="41"/>
      <c r="BJ33" s="41"/>
      <c r="BK33" s="43">
        <f t="shared" si="72"/>
        <v>0</v>
      </c>
      <c r="BL33" s="43">
        <f t="shared" si="73"/>
        <v>0</v>
      </c>
      <c r="BM33" s="106">
        <f t="shared" si="74"/>
        <v>0</v>
      </c>
      <c r="BN33" s="75"/>
      <c r="BO33" s="107"/>
      <c r="BP33" s="107"/>
      <c r="BQ33" s="107"/>
      <c r="BR33" s="43">
        <f t="shared" si="75"/>
        <v>0</v>
      </c>
      <c r="BS33" s="43">
        <f t="shared" si="76"/>
        <v>0</v>
      </c>
      <c r="BT33" s="106">
        <f t="shared" si="77"/>
        <v>0</v>
      </c>
      <c r="BU33" s="75"/>
      <c r="BV33" s="107"/>
      <c r="BW33" s="107"/>
      <c r="BX33" s="107"/>
      <c r="BY33" s="43">
        <f t="shared" si="78"/>
        <v>0</v>
      </c>
      <c r="BZ33" s="43">
        <f t="shared" si="79"/>
        <v>0</v>
      </c>
      <c r="CA33" s="106">
        <f t="shared" si="80"/>
        <v>0</v>
      </c>
      <c r="CB33" s="75">
        <v>1</v>
      </c>
      <c r="CC33" s="107"/>
      <c r="CD33" s="107">
        <v>2</v>
      </c>
      <c r="CE33" s="196"/>
      <c r="CF33" s="43">
        <f t="shared" si="81"/>
        <v>5</v>
      </c>
      <c r="CG33" s="43">
        <f t="shared" si="82"/>
        <v>0</v>
      </c>
      <c r="CH33" s="106">
        <f t="shared" si="83"/>
        <v>5</v>
      </c>
      <c r="CI33" s="107">
        <v>1</v>
      </c>
      <c r="CJ33" s="107"/>
      <c r="CK33" s="107">
        <v>3</v>
      </c>
      <c r="CL33" s="207"/>
      <c r="CM33" s="43">
        <f t="shared" si="34"/>
        <v>6</v>
      </c>
      <c r="CN33" s="43">
        <f t="shared" si="35"/>
        <v>0</v>
      </c>
      <c r="CO33" s="106">
        <f t="shared" si="36"/>
        <v>6</v>
      </c>
      <c r="CP33" s="75">
        <v>1</v>
      </c>
      <c r="CQ33" s="107"/>
      <c r="CR33" s="107">
        <v>1</v>
      </c>
      <c r="CS33" s="107"/>
      <c r="CT33" s="43">
        <f t="shared" si="37"/>
        <v>4</v>
      </c>
      <c r="CU33" s="43">
        <f t="shared" si="38"/>
        <v>0</v>
      </c>
      <c r="CV33" s="106">
        <f t="shared" si="39"/>
        <v>4</v>
      </c>
      <c r="CW33" s="75"/>
      <c r="CX33" s="107"/>
      <c r="CY33" s="107"/>
      <c r="CZ33" s="107"/>
      <c r="DA33" s="43">
        <f t="shared" si="40"/>
        <v>0</v>
      </c>
      <c r="DB33" s="43">
        <f t="shared" si="41"/>
        <v>0</v>
      </c>
      <c r="DC33" s="106">
        <f t="shared" si="42"/>
        <v>0</v>
      </c>
      <c r="DD33" s="181">
        <f t="shared" si="43"/>
        <v>15</v>
      </c>
      <c r="DE33" s="182">
        <f t="shared" ca="1" si="44"/>
        <v>0.11363636363636363</v>
      </c>
      <c r="DF33" s="183">
        <f t="shared" si="45"/>
        <v>0</v>
      </c>
      <c r="DG33" s="182">
        <f t="shared" ca="1" si="46"/>
        <v>0</v>
      </c>
      <c r="DH33" s="183">
        <f t="shared" si="47"/>
        <v>15</v>
      </c>
      <c r="DI33" s="182">
        <f t="shared" ca="1" si="48"/>
        <v>0.11363636363636363</v>
      </c>
      <c r="DJ33" s="183">
        <f t="shared" si="49"/>
        <v>3</v>
      </c>
      <c r="DK33" s="183">
        <f t="shared" si="50"/>
        <v>0</v>
      </c>
      <c r="DL33" s="183">
        <f t="shared" si="51"/>
        <v>3</v>
      </c>
    </row>
    <row r="34" spans="1:116" ht="15.75" thickBot="1" x14ac:dyDescent="0.3">
      <c r="A34" s="39">
        <v>679</v>
      </c>
      <c r="B34" s="62" t="s">
        <v>10</v>
      </c>
      <c r="C34" s="67" t="str">
        <f t="shared" si="0"/>
        <v>מירב 679</v>
      </c>
      <c r="D34" s="41" t="s">
        <v>6</v>
      </c>
      <c r="E34" s="41" t="s">
        <v>7</v>
      </c>
      <c r="F34" s="74" t="s">
        <v>190</v>
      </c>
      <c r="G34" s="72">
        <v>42887</v>
      </c>
      <c r="H34" s="268">
        <v>43421</v>
      </c>
      <c r="I34" s="42"/>
      <c r="J34" s="133">
        <v>1</v>
      </c>
      <c r="K34" s="134"/>
      <c r="L34" s="134">
        <v>3</v>
      </c>
      <c r="M34" s="134">
        <v>1</v>
      </c>
      <c r="N34" s="135">
        <f t="shared" si="52"/>
        <v>6</v>
      </c>
      <c r="O34" s="135">
        <f t="shared" si="53"/>
        <v>1</v>
      </c>
      <c r="P34" s="44">
        <f t="shared" si="54"/>
        <v>7</v>
      </c>
      <c r="Q34" s="39"/>
      <c r="R34" s="41"/>
      <c r="S34" s="41">
        <v>1</v>
      </c>
      <c r="T34" s="41">
        <v>1</v>
      </c>
      <c r="U34" s="43">
        <f t="shared" si="55"/>
        <v>1</v>
      </c>
      <c r="V34" s="43">
        <f t="shared" si="56"/>
        <v>1</v>
      </c>
      <c r="W34" s="45">
        <f t="shared" si="84"/>
        <v>2</v>
      </c>
      <c r="X34" s="39"/>
      <c r="Y34" s="41"/>
      <c r="Z34" s="41">
        <v>3</v>
      </c>
      <c r="AA34" s="41"/>
      <c r="AB34" s="46">
        <f t="shared" si="57"/>
        <v>3</v>
      </c>
      <c r="AC34" s="46">
        <f t="shared" si="58"/>
        <v>0</v>
      </c>
      <c r="AD34" s="47">
        <f t="shared" si="59"/>
        <v>3</v>
      </c>
      <c r="AE34" s="39">
        <v>1</v>
      </c>
      <c r="AF34" s="41">
        <v>1</v>
      </c>
      <c r="AG34" s="41">
        <v>1</v>
      </c>
      <c r="AH34" s="41">
        <v>1</v>
      </c>
      <c r="AI34" s="43">
        <f t="shared" si="60"/>
        <v>4</v>
      </c>
      <c r="AJ34" s="43">
        <f t="shared" si="61"/>
        <v>4</v>
      </c>
      <c r="AK34" s="45">
        <f t="shared" si="62"/>
        <v>8</v>
      </c>
      <c r="AL34" s="39"/>
      <c r="AM34" s="41"/>
      <c r="AN34" s="41">
        <v>1</v>
      </c>
      <c r="AO34" s="41">
        <v>1</v>
      </c>
      <c r="AP34" s="43">
        <f t="shared" si="63"/>
        <v>1</v>
      </c>
      <c r="AQ34" s="43">
        <f t="shared" si="64"/>
        <v>1</v>
      </c>
      <c r="AR34" s="45">
        <f t="shared" si="65"/>
        <v>2</v>
      </c>
      <c r="AS34" s="39"/>
      <c r="AT34" s="41"/>
      <c r="AU34" s="41">
        <v>1</v>
      </c>
      <c r="AV34" s="41">
        <v>2</v>
      </c>
      <c r="AW34" s="43">
        <f t="shared" si="66"/>
        <v>1</v>
      </c>
      <c r="AX34" s="43">
        <f t="shared" si="67"/>
        <v>2</v>
      </c>
      <c r="AY34" s="45">
        <f t="shared" si="68"/>
        <v>3</v>
      </c>
      <c r="AZ34" s="39"/>
      <c r="BA34" s="41"/>
      <c r="BB34" s="41">
        <v>2</v>
      </c>
      <c r="BC34" s="41">
        <v>1</v>
      </c>
      <c r="BD34" s="43">
        <f t="shared" si="69"/>
        <v>2</v>
      </c>
      <c r="BE34" s="43">
        <f t="shared" si="70"/>
        <v>1</v>
      </c>
      <c r="BF34" s="45">
        <f t="shared" si="71"/>
        <v>3</v>
      </c>
      <c r="BG34" s="75"/>
      <c r="BH34" s="107"/>
      <c r="BI34" s="41">
        <v>2</v>
      </c>
      <c r="BJ34" s="41">
        <v>1</v>
      </c>
      <c r="BK34" s="43">
        <f t="shared" si="72"/>
        <v>2</v>
      </c>
      <c r="BL34" s="43">
        <f t="shared" si="73"/>
        <v>1</v>
      </c>
      <c r="BM34" s="106">
        <f t="shared" si="74"/>
        <v>3</v>
      </c>
      <c r="BN34" s="75">
        <v>1</v>
      </c>
      <c r="BO34" s="107"/>
      <c r="BP34" s="107">
        <v>2</v>
      </c>
      <c r="BQ34" s="107"/>
      <c r="BR34" s="43">
        <f t="shared" si="75"/>
        <v>5</v>
      </c>
      <c r="BS34" s="43">
        <f t="shared" si="76"/>
        <v>0</v>
      </c>
      <c r="BT34" s="106">
        <f t="shared" si="77"/>
        <v>5</v>
      </c>
      <c r="BU34" s="75"/>
      <c r="BV34" s="107"/>
      <c r="BW34" s="107">
        <v>1</v>
      </c>
      <c r="BX34" s="107"/>
      <c r="BY34" s="43">
        <f t="shared" si="78"/>
        <v>1</v>
      </c>
      <c r="BZ34" s="43">
        <f t="shared" si="79"/>
        <v>0</v>
      </c>
      <c r="CA34" s="106">
        <f t="shared" si="80"/>
        <v>1</v>
      </c>
      <c r="CB34" s="75"/>
      <c r="CC34" s="107"/>
      <c r="CD34" s="107">
        <v>2</v>
      </c>
      <c r="CE34" s="196"/>
      <c r="CF34" s="43">
        <f t="shared" si="81"/>
        <v>2</v>
      </c>
      <c r="CG34" s="43">
        <f t="shared" si="82"/>
        <v>0</v>
      </c>
      <c r="CH34" s="106">
        <f t="shared" si="83"/>
        <v>2</v>
      </c>
      <c r="CI34" s="107">
        <v>1</v>
      </c>
      <c r="CJ34" s="107"/>
      <c r="CK34" s="107"/>
      <c r="CL34" s="207"/>
      <c r="CM34" s="43">
        <f t="shared" si="34"/>
        <v>3</v>
      </c>
      <c r="CN34" s="43">
        <f t="shared" si="35"/>
        <v>0</v>
      </c>
      <c r="CO34" s="106">
        <f t="shared" si="36"/>
        <v>3</v>
      </c>
      <c r="CP34" s="75"/>
      <c r="CQ34" s="107"/>
      <c r="CR34" s="107">
        <v>2</v>
      </c>
      <c r="CS34" s="107"/>
      <c r="CT34" s="43">
        <f t="shared" si="37"/>
        <v>2</v>
      </c>
      <c r="CU34" s="43">
        <f t="shared" si="38"/>
        <v>0</v>
      </c>
      <c r="CV34" s="106">
        <f t="shared" si="39"/>
        <v>2</v>
      </c>
      <c r="CW34" s="75"/>
      <c r="CX34" s="107"/>
      <c r="CY34" s="107"/>
      <c r="CZ34" s="107"/>
      <c r="DA34" s="43">
        <f t="shared" si="40"/>
        <v>0</v>
      </c>
      <c r="DB34" s="43">
        <f t="shared" si="41"/>
        <v>0</v>
      </c>
      <c r="DC34" s="106">
        <f t="shared" si="42"/>
        <v>0</v>
      </c>
      <c r="DD34" s="181">
        <f t="shared" si="43"/>
        <v>33</v>
      </c>
      <c r="DE34" s="182">
        <f t="shared" ca="1" si="44"/>
        <v>8.1481481481481488E-2</v>
      </c>
      <c r="DF34" s="183">
        <f t="shared" si="45"/>
        <v>11</v>
      </c>
      <c r="DG34" s="182">
        <f t="shared" ca="1" si="46"/>
        <v>2.7160493827160494E-2</v>
      </c>
      <c r="DH34" s="183">
        <f t="shared" si="47"/>
        <v>44</v>
      </c>
      <c r="DI34" s="182">
        <f t="shared" ca="1" si="48"/>
        <v>0.10864197530864197</v>
      </c>
      <c r="DJ34" s="183">
        <f t="shared" si="49"/>
        <v>4</v>
      </c>
      <c r="DK34" s="183">
        <f t="shared" si="50"/>
        <v>1</v>
      </c>
      <c r="DL34" s="183">
        <f t="shared" si="51"/>
        <v>5</v>
      </c>
    </row>
    <row r="35" spans="1:116" ht="15.75" thickBot="1" x14ac:dyDescent="0.3">
      <c r="A35" s="75">
        <v>679</v>
      </c>
      <c r="B35" s="76" t="s">
        <v>14</v>
      </c>
      <c r="C35" s="242" t="str">
        <f t="shared" si="0"/>
        <v>שיר 679</v>
      </c>
      <c r="D35" s="55" t="s">
        <v>7</v>
      </c>
      <c r="E35" s="41" t="s">
        <v>7</v>
      </c>
      <c r="F35" s="74" t="s">
        <v>191</v>
      </c>
      <c r="G35" s="72">
        <v>42917</v>
      </c>
      <c r="H35" s="268">
        <v>43558</v>
      </c>
      <c r="I35" s="42"/>
      <c r="J35" s="133"/>
      <c r="K35" s="134"/>
      <c r="L35" s="134"/>
      <c r="M35" s="134"/>
      <c r="N35" s="135">
        <f t="shared" si="52"/>
        <v>0</v>
      </c>
      <c r="O35" s="135">
        <f t="shared" si="53"/>
        <v>0</v>
      </c>
      <c r="P35" s="44">
        <f t="shared" si="54"/>
        <v>0</v>
      </c>
      <c r="Q35" s="39">
        <v>1</v>
      </c>
      <c r="R35" s="41"/>
      <c r="S35" s="41"/>
      <c r="T35" s="41"/>
      <c r="U35" s="43">
        <f t="shared" si="55"/>
        <v>3</v>
      </c>
      <c r="V35" s="43">
        <f t="shared" si="56"/>
        <v>0</v>
      </c>
      <c r="W35" s="45">
        <f t="shared" si="84"/>
        <v>3</v>
      </c>
      <c r="X35" s="39">
        <v>1</v>
      </c>
      <c r="Y35" s="41"/>
      <c r="Z35" s="41">
        <v>1</v>
      </c>
      <c r="AA35" s="41"/>
      <c r="AB35" s="46">
        <f t="shared" si="57"/>
        <v>4</v>
      </c>
      <c r="AC35" s="46">
        <f t="shared" si="58"/>
        <v>0</v>
      </c>
      <c r="AD35" s="47">
        <f t="shared" si="59"/>
        <v>4</v>
      </c>
      <c r="AE35" s="39"/>
      <c r="AF35" s="41"/>
      <c r="AG35" s="41">
        <v>1</v>
      </c>
      <c r="AH35" s="41">
        <v>2</v>
      </c>
      <c r="AI35" s="43">
        <f t="shared" si="60"/>
        <v>1</v>
      </c>
      <c r="AJ35" s="43">
        <f t="shared" si="61"/>
        <v>2</v>
      </c>
      <c r="AK35" s="45">
        <f t="shared" si="62"/>
        <v>3</v>
      </c>
      <c r="AL35" s="39"/>
      <c r="AM35" s="41"/>
      <c r="AN35" s="41">
        <v>2</v>
      </c>
      <c r="AO35" s="41"/>
      <c r="AP35" s="43">
        <f t="shared" si="63"/>
        <v>2</v>
      </c>
      <c r="AQ35" s="43">
        <f t="shared" si="64"/>
        <v>0</v>
      </c>
      <c r="AR35" s="45">
        <f t="shared" si="65"/>
        <v>2</v>
      </c>
      <c r="AS35" s="39"/>
      <c r="AT35" s="41"/>
      <c r="AU35" s="41">
        <v>3</v>
      </c>
      <c r="AV35" s="41"/>
      <c r="AW35" s="43">
        <f t="shared" si="66"/>
        <v>3</v>
      </c>
      <c r="AX35" s="43">
        <f t="shared" si="67"/>
        <v>0</v>
      </c>
      <c r="AY35" s="45">
        <f t="shared" si="68"/>
        <v>3</v>
      </c>
      <c r="AZ35" s="39">
        <v>1</v>
      </c>
      <c r="BA35" s="41"/>
      <c r="BB35" s="41">
        <v>1</v>
      </c>
      <c r="BC35" s="41">
        <v>1</v>
      </c>
      <c r="BD35" s="43">
        <f t="shared" si="69"/>
        <v>4</v>
      </c>
      <c r="BE35" s="43">
        <f t="shared" si="70"/>
        <v>1</v>
      </c>
      <c r="BF35" s="45">
        <f t="shared" si="71"/>
        <v>5</v>
      </c>
      <c r="BG35" s="75">
        <v>1</v>
      </c>
      <c r="BH35" s="107"/>
      <c r="BI35" s="107">
        <v>1</v>
      </c>
      <c r="BJ35" s="41">
        <v>1</v>
      </c>
      <c r="BK35" s="43">
        <f t="shared" si="72"/>
        <v>4</v>
      </c>
      <c r="BL35" s="43">
        <f t="shared" si="73"/>
        <v>1</v>
      </c>
      <c r="BM35" s="106">
        <f t="shared" si="74"/>
        <v>5</v>
      </c>
      <c r="BN35" s="75"/>
      <c r="BO35" s="107"/>
      <c r="BP35" s="107"/>
      <c r="BQ35" s="107">
        <v>2</v>
      </c>
      <c r="BR35" s="43">
        <f t="shared" si="75"/>
        <v>0</v>
      </c>
      <c r="BS35" s="43">
        <f t="shared" si="76"/>
        <v>2</v>
      </c>
      <c r="BT35" s="106">
        <f t="shared" si="77"/>
        <v>2</v>
      </c>
      <c r="BU35" s="75"/>
      <c r="BV35" s="107">
        <v>1</v>
      </c>
      <c r="BW35" s="107"/>
      <c r="BX35" s="107">
        <v>2</v>
      </c>
      <c r="BY35" s="43">
        <f t="shared" si="78"/>
        <v>0</v>
      </c>
      <c r="BZ35" s="43">
        <f t="shared" si="79"/>
        <v>5</v>
      </c>
      <c r="CA35" s="106">
        <f t="shared" si="80"/>
        <v>5</v>
      </c>
      <c r="CB35" s="75"/>
      <c r="CC35" s="107">
        <v>1</v>
      </c>
      <c r="CD35" s="107"/>
      <c r="CE35" s="196"/>
      <c r="CF35" s="43">
        <f t="shared" si="81"/>
        <v>0</v>
      </c>
      <c r="CG35" s="43">
        <f t="shared" si="82"/>
        <v>3</v>
      </c>
      <c r="CH35" s="106">
        <f t="shared" si="83"/>
        <v>3</v>
      </c>
      <c r="CI35" s="107"/>
      <c r="CJ35" s="107"/>
      <c r="CK35" s="107">
        <v>1</v>
      </c>
      <c r="CL35" s="207"/>
      <c r="CM35" s="43">
        <f t="shared" si="34"/>
        <v>1</v>
      </c>
      <c r="CN35" s="43">
        <f t="shared" si="35"/>
        <v>0</v>
      </c>
      <c r="CO35" s="106">
        <f t="shared" si="36"/>
        <v>1</v>
      </c>
      <c r="CP35" s="75"/>
      <c r="CQ35" s="107">
        <v>1</v>
      </c>
      <c r="CR35" s="107">
        <v>1</v>
      </c>
      <c r="CS35" s="107"/>
      <c r="CT35" s="43">
        <f t="shared" si="37"/>
        <v>1</v>
      </c>
      <c r="CU35" s="43">
        <f t="shared" si="38"/>
        <v>3</v>
      </c>
      <c r="CV35" s="106">
        <f t="shared" si="39"/>
        <v>4</v>
      </c>
      <c r="CW35" s="75"/>
      <c r="CX35" s="107"/>
      <c r="CY35" s="107"/>
      <c r="CZ35" s="107"/>
      <c r="DA35" s="43">
        <f t="shared" si="40"/>
        <v>0</v>
      </c>
      <c r="DB35" s="43">
        <f t="shared" si="41"/>
        <v>0</v>
      </c>
      <c r="DC35" s="106">
        <f t="shared" si="42"/>
        <v>0</v>
      </c>
      <c r="DD35" s="181">
        <f t="shared" si="43"/>
        <v>23</v>
      </c>
      <c r="DE35" s="182">
        <f t="shared" ca="1" si="44"/>
        <v>6.133333333333333E-2</v>
      </c>
      <c r="DF35" s="183">
        <f t="shared" si="45"/>
        <v>17</v>
      </c>
      <c r="DG35" s="182">
        <f t="shared" ca="1" si="46"/>
        <v>4.5333333333333337E-2</v>
      </c>
      <c r="DH35" s="183">
        <f t="shared" si="47"/>
        <v>40</v>
      </c>
      <c r="DI35" s="182">
        <f t="shared" ca="1" si="48"/>
        <v>0.10666666666666666</v>
      </c>
      <c r="DJ35" s="183">
        <f t="shared" si="49"/>
        <v>5</v>
      </c>
      <c r="DK35" s="183">
        <f t="shared" si="50"/>
        <v>3</v>
      </c>
      <c r="DL35" s="183">
        <f t="shared" si="51"/>
        <v>8</v>
      </c>
    </row>
    <row r="36" spans="1:116" ht="15.75" thickBot="1" x14ac:dyDescent="0.3">
      <c r="A36" s="39" t="s">
        <v>78</v>
      </c>
      <c r="B36" s="40" t="s">
        <v>54</v>
      </c>
      <c r="C36" s="67" t="str">
        <f t="shared" si="0"/>
        <v>דקל אחודה</v>
      </c>
      <c r="D36" s="55" t="s">
        <v>6</v>
      </c>
      <c r="E36" s="41" t="s">
        <v>7</v>
      </c>
      <c r="F36" s="74" t="s">
        <v>192</v>
      </c>
      <c r="G36" s="72">
        <v>42948</v>
      </c>
      <c r="H36" s="48">
        <v>43570</v>
      </c>
      <c r="I36" s="42"/>
      <c r="J36" s="133"/>
      <c r="K36" s="134"/>
      <c r="L36" s="134"/>
      <c r="M36" s="134"/>
      <c r="N36" s="135">
        <f t="shared" si="52"/>
        <v>0</v>
      </c>
      <c r="O36" s="135">
        <f t="shared" si="53"/>
        <v>0</v>
      </c>
      <c r="P36" s="44">
        <f t="shared" si="54"/>
        <v>0</v>
      </c>
      <c r="Q36" s="39"/>
      <c r="R36" s="41"/>
      <c r="S36" s="41"/>
      <c r="T36" s="41"/>
      <c r="U36" s="43">
        <f t="shared" si="55"/>
        <v>0</v>
      </c>
      <c r="V36" s="43">
        <f t="shared" si="56"/>
        <v>0</v>
      </c>
      <c r="W36" s="45">
        <f t="shared" si="84"/>
        <v>0</v>
      </c>
      <c r="X36" s="39">
        <v>1</v>
      </c>
      <c r="Y36" s="41"/>
      <c r="Z36" s="41"/>
      <c r="AA36" s="41"/>
      <c r="AB36" s="46">
        <f t="shared" si="57"/>
        <v>3</v>
      </c>
      <c r="AC36" s="46">
        <f t="shared" si="58"/>
        <v>0</v>
      </c>
      <c r="AD36" s="47">
        <f t="shared" si="59"/>
        <v>3</v>
      </c>
      <c r="AE36" s="39">
        <v>1</v>
      </c>
      <c r="AF36" s="41"/>
      <c r="AG36" s="41">
        <v>1</v>
      </c>
      <c r="AH36" s="41"/>
      <c r="AI36" s="43">
        <f t="shared" si="60"/>
        <v>4</v>
      </c>
      <c r="AJ36" s="43">
        <f t="shared" si="61"/>
        <v>0</v>
      </c>
      <c r="AK36" s="45">
        <f t="shared" si="62"/>
        <v>4</v>
      </c>
      <c r="AL36" s="39"/>
      <c r="AM36" s="41"/>
      <c r="AN36" s="41"/>
      <c r="AO36" s="41">
        <v>1</v>
      </c>
      <c r="AP36" s="43">
        <f t="shared" si="63"/>
        <v>0</v>
      </c>
      <c r="AQ36" s="43">
        <f t="shared" si="64"/>
        <v>1</v>
      </c>
      <c r="AR36" s="45">
        <f t="shared" si="65"/>
        <v>1</v>
      </c>
      <c r="AS36" s="39"/>
      <c r="AT36" s="41"/>
      <c r="AU36" s="41">
        <v>4</v>
      </c>
      <c r="AV36" s="41"/>
      <c r="AW36" s="43">
        <f t="shared" si="66"/>
        <v>4</v>
      </c>
      <c r="AX36" s="43">
        <f t="shared" si="67"/>
        <v>0</v>
      </c>
      <c r="AY36" s="45">
        <f t="shared" si="68"/>
        <v>4</v>
      </c>
      <c r="AZ36" s="39"/>
      <c r="BA36" s="41">
        <v>1</v>
      </c>
      <c r="BB36" s="41"/>
      <c r="BC36" s="41"/>
      <c r="BD36" s="43">
        <f t="shared" si="69"/>
        <v>0</v>
      </c>
      <c r="BE36" s="43">
        <f t="shared" si="70"/>
        <v>3</v>
      </c>
      <c r="BF36" s="45">
        <f t="shared" si="71"/>
        <v>3</v>
      </c>
      <c r="BG36" s="75"/>
      <c r="BH36" s="107"/>
      <c r="BI36" s="107">
        <v>1</v>
      </c>
      <c r="BJ36" s="41">
        <v>1</v>
      </c>
      <c r="BK36" s="43">
        <f t="shared" si="72"/>
        <v>1</v>
      </c>
      <c r="BL36" s="43">
        <f t="shared" si="73"/>
        <v>1</v>
      </c>
      <c r="BM36" s="106">
        <f t="shared" si="74"/>
        <v>2</v>
      </c>
      <c r="BN36" s="75"/>
      <c r="BO36" s="107">
        <v>1</v>
      </c>
      <c r="BP36" s="107"/>
      <c r="BQ36" s="107">
        <v>1</v>
      </c>
      <c r="BR36" s="43">
        <f t="shared" si="75"/>
        <v>0</v>
      </c>
      <c r="BS36" s="43">
        <f t="shared" si="76"/>
        <v>4</v>
      </c>
      <c r="BT36" s="106">
        <f t="shared" si="77"/>
        <v>4</v>
      </c>
      <c r="BU36" s="75"/>
      <c r="BV36" s="107"/>
      <c r="BW36" s="107">
        <v>2</v>
      </c>
      <c r="BX36" s="107">
        <v>1</v>
      </c>
      <c r="BY36" s="43">
        <f t="shared" si="78"/>
        <v>2</v>
      </c>
      <c r="BZ36" s="43">
        <f t="shared" si="79"/>
        <v>1</v>
      </c>
      <c r="CA36" s="106">
        <f t="shared" si="80"/>
        <v>3</v>
      </c>
      <c r="CB36" s="75"/>
      <c r="CC36" s="107"/>
      <c r="CD36" s="107">
        <v>1</v>
      </c>
      <c r="CE36" s="196"/>
      <c r="CF36" s="43">
        <f t="shared" si="81"/>
        <v>1</v>
      </c>
      <c r="CG36" s="43">
        <f t="shared" si="82"/>
        <v>0</v>
      </c>
      <c r="CH36" s="106">
        <f t="shared" si="83"/>
        <v>1</v>
      </c>
      <c r="CI36" s="107"/>
      <c r="CJ36" s="107"/>
      <c r="CK36" s="107">
        <v>1</v>
      </c>
      <c r="CL36" s="207"/>
      <c r="CM36" s="43">
        <f t="shared" si="34"/>
        <v>1</v>
      </c>
      <c r="CN36" s="43">
        <f t="shared" si="35"/>
        <v>0</v>
      </c>
      <c r="CO36" s="106">
        <f t="shared" si="36"/>
        <v>1</v>
      </c>
      <c r="CP36" s="75">
        <v>1</v>
      </c>
      <c r="CQ36" s="107"/>
      <c r="CR36" s="107">
        <v>1</v>
      </c>
      <c r="CS36" s="107">
        <v>1</v>
      </c>
      <c r="CT36" s="43">
        <f t="shared" si="37"/>
        <v>4</v>
      </c>
      <c r="CU36" s="43">
        <f t="shared" si="38"/>
        <v>1</v>
      </c>
      <c r="CV36" s="106">
        <f t="shared" si="39"/>
        <v>5</v>
      </c>
      <c r="CW36" s="75"/>
      <c r="CX36" s="107"/>
      <c r="CY36" s="107"/>
      <c r="CZ36" s="107"/>
      <c r="DA36" s="43">
        <f t="shared" si="40"/>
        <v>0</v>
      </c>
      <c r="DB36" s="43">
        <f t="shared" si="41"/>
        <v>0</v>
      </c>
      <c r="DC36" s="106">
        <f t="shared" si="42"/>
        <v>0</v>
      </c>
      <c r="DD36" s="181">
        <f t="shared" si="43"/>
        <v>20</v>
      </c>
      <c r="DE36" s="182">
        <f t="shared" ca="1" si="44"/>
        <v>5.8139534883720929E-2</v>
      </c>
      <c r="DF36" s="183">
        <f t="shared" si="45"/>
        <v>11</v>
      </c>
      <c r="DG36" s="182">
        <f t="shared" ca="1" si="46"/>
        <v>3.1976744186046513E-2</v>
      </c>
      <c r="DH36" s="183">
        <f t="shared" si="47"/>
        <v>31</v>
      </c>
      <c r="DI36" s="182">
        <f t="shared" ca="1" si="48"/>
        <v>9.0116279069767435E-2</v>
      </c>
      <c r="DJ36" s="183">
        <f t="shared" si="49"/>
        <v>3</v>
      </c>
      <c r="DK36" s="183">
        <f t="shared" si="50"/>
        <v>2</v>
      </c>
      <c r="DL36" s="183">
        <f t="shared" si="51"/>
        <v>5</v>
      </c>
    </row>
    <row r="37" spans="1:116" ht="15.75" thickBot="1" x14ac:dyDescent="0.3">
      <c r="A37" s="189" t="s">
        <v>78</v>
      </c>
      <c r="B37" s="62" t="s">
        <v>253</v>
      </c>
      <c r="C37" s="67" t="str">
        <f t="shared" si="0"/>
        <v>מאיה אחודה</v>
      </c>
      <c r="D37" s="55" t="s">
        <v>6</v>
      </c>
      <c r="E37" s="55" t="s">
        <v>7</v>
      </c>
      <c r="F37" s="74" t="s">
        <v>224</v>
      </c>
      <c r="G37" s="72">
        <v>43200</v>
      </c>
      <c r="H37" s="48"/>
      <c r="I37" s="84" t="s">
        <v>252</v>
      </c>
      <c r="J37" s="133"/>
      <c r="K37" s="134"/>
      <c r="L37" s="134"/>
      <c r="M37" s="134"/>
      <c r="N37" s="135">
        <f t="shared" si="52"/>
        <v>0</v>
      </c>
      <c r="O37" s="135">
        <f t="shared" si="53"/>
        <v>0</v>
      </c>
      <c r="P37" s="44">
        <f t="shared" si="54"/>
        <v>0</v>
      </c>
      <c r="Q37" s="39"/>
      <c r="R37" s="41"/>
      <c r="S37" s="41"/>
      <c r="T37" s="41"/>
      <c r="U37" s="43">
        <f t="shared" si="55"/>
        <v>0</v>
      </c>
      <c r="V37" s="43">
        <f t="shared" si="56"/>
        <v>0</v>
      </c>
      <c r="W37" s="45">
        <f t="shared" si="84"/>
        <v>0</v>
      </c>
      <c r="X37" s="39"/>
      <c r="Y37" s="41"/>
      <c r="Z37" s="41"/>
      <c r="AA37" s="41"/>
      <c r="AB37" s="46">
        <f t="shared" si="57"/>
        <v>0</v>
      </c>
      <c r="AC37" s="46">
        <f t="shared" si="58"/>
        <v>0</v>
      </c>
      <c r="AD37" s="47">
        <f t="shared" si="59"/>
        <v>0</v>
      </c>
      <c r="AE37" s="39"/>
      <c r="AF37" s="41"/>
      <c r="AG37" s="41"/>
      <c r="AH37" s="41"/>
      <c r="AI37" s="43">
        <f t="shared" si="60"/>
        <v>0</v>
      </c>
      <c r="AJ37" s="43">
        <f t="shared" si="61"/>
        <v>0</v>
      </c>
      <c r="AK37" s="45">
        <f t="shared" si="62"/>
        <v>0</v>
      </c>
      <c r="AL37" s="39"/>
      <c r="AM37" s="41"/>
      <c r="AN37" s="41"/>
      <c r="AO37" s="41"/>
      <c r="AP37" s="43">
        <f t="shared" si="63"/>
        <v>0</v>
      </c>
      <c r="AQ37" s="43">
        <f t="shared" si="64"/>
        <v>0</v>
      </c>
      <c r="AR37" s="45">
        <f t="shared" si="65"/>
        <v>0</v>
      </c>
      <c r="AS37" s="39"/>
      <c r="AT37" s="41"/>
      <c r="AU37" s="41"/>
      <c r="AV37" s="41"/>
      <c r="AW37" s="43">
        <f t="shared" si="66"/>
        <v>0</v>
      </c>
      <c r="AX37" s="43">
        <f t="shared" si="67"/>
        <v>0</v>
      </c>
      <c r="AY37" s="45">
        <f t="shared" si="68"/>
        <v>0</v>
      </c>
      <c r="AZ37" s="39"/>
      <c r="BA37" s="41"/>
      <c r="BB37" s="41"/>
      <c r="BC37" s="41"/>
      <c r="BD37" s="43">
        <f t="shared" si="69"/>
        <v>0</v>
      </c>
      <c r="BE37" s="43">
        <f t="shared" si="70"/>
        <v>0</v>
      </c>
      <c r="BF37" s="45">
        <f t="shared" si="71"/>
        <v>0</v>
      </c>
      <c r="BG37" s="75"/>
      <c r="BH37" s="107"/>
      <c r="BI37" s="107"/>
      <c r="BJ37" s="41"/>
      <c r="BK37" s="43">
        <f t="shared" si="72"/>
        <v>0</v>
      </c>
      <c r="BL37" s="43">
        <f t="shared" si="73"/>
        <v>0</v>
      </c>
      <c r="BM37" s="106">
        <f t="shared" si="74"/>
        <v>0</v>
      </c>
      <c r="BN37" s="75"/>
      <c r="BO37" s="107"/>
      <c r="BP37" s="107"/>
      <c r="BQ37" s="107"/>
      <c r="BR37" s="43">
        <f t="shared" si="75"/>
        <v>0</v>
      </c>
      <c r="BS37" s="43">
        <f t="shared" si="76"/>
        <v>0</v>
      </c>
      <c r="BT37" s="106">
        <f t="shared" si="77"/>
        <v>0</v>
      </c>
      <c r="BU37" s="75"/>
      <c r="BV37" s="107"/>
      <c r="BW37" s="107"/>
      <c r="BX37" s="107"/>
      <c r="BY37" s="43">
        <f t="shared" si="78"/>
        <v>0</v>
      </c>
      <c r="BZ37" s="43">
        <f t="shared" si="79"/>
        <v>0</v>
      </c>
      <c r="CA37" s="106">
        <f t="shared" si="80"/>
        <v>0</v>
      </c>
      <c r="CB37" s="75"/>
      <c r="CC37" s="107"/>
      <c r="CD37" s="107"/>
      <c r="CE37" s="196"/>
      <c r="CF37" s="43">
        <f t="shared" si="81"/>
        <v>0</v>
      </c>
      <c r="CG37" s="43">
        <f t="shared" si="82"/>
        <v>0</v>
      </c>
      <c r="CH37" s="106">
        <f t="shared" si="83"/>
        <v>0</v>
      </c>
      <c r="CI37" s="107">
        <v>1</v>
      </c>
      <c r="CJ37" s="107"/>
      <c r="CK37" s="107">
        <v>2</v>
      </c>
      <c r="CL37" s="207"/>
      <c r="CM37" s="43">
        <f t="shared" si="34"/>
        <v>5</v>
      </c>
      <c r="CN37" s="43">
        <f t="shared" si="35"/>
        <v>0</v>
      </c>
      <c r="CO37" s="106">
        <f t="shared" si="36"/>
        <v>5</v>
      </c>
      <c r="CP37" s="75"/>
      <c r="CQ37" s="107"/>
      <c r="CR37" s="107">
        <v>2</v>
      </c>
      <c r="CS37" s="107">
        <v>1</v>
      </c>
      <c r="CT37" s="43">
        <f t="shared" si="37"/>
        <v>2</v>
      </c>
      <c r="CU37" s="43">
        <f t="shared" si="38"/>
        <v>1</v>
      </c>
      <c r="CV37" s="106">
        <f t="shared" si="39"/>
        <v>3</v>
      </c>
      <c r="CW37" s="75"/>
      <c r="CX37" s="107"/>
      <c r="CY37" s="107"/>
      <c r="CZ37" s="107"/>
      <c r="DA37" s="43">
        <f t="shared" si="40"/>
        <v>0</v>
      </c>
      <c r="DB37" s="43">
        <f t="shared" si="41"/>
        <v>0</v>
      </c>
      <c r="DC37" s="106">
        <f t="shared" si="42"/>
        <v>0</v>
      </c>
      <c r="DD37" s="181">
        <f t="shared" si="43"/>
        <v>7</v>
      </c>
      <c r="DE37" s="182">
        <f t="shared" ca="1" si="44"/>
        <v>7.6086956521739135E-2</v>
      </c>
      <c r="DF37" s="183">
        <f t="shared" si="45"/>
        <v>1</v>
      </c>
      <c r="DG37" s="182">
        <f t="shared" ca="1" si="46"/>
        <v>1.0869565217391304E-2</v>
      </c>
      <c r="DH37" s="183">
        <f t="shared" si="47"/>
        <v>8</v>
      </c>
      <c r="DI37" s="182">
        <f t="shared" ca="1" si="48"/>
        <v>8.6956521739130432E-2</v>
      </c>
      <c r="DJ37" s="183">
        <f t="shared" si="49"/>
        <v>1</v>
      </c>
      <c r="DK37" s="183">
        <f t="shared" si="50"/>
        <v>0</v>
      </c>
      <c r="DL37" s="183">
        <f t="shared" si="51"/>
        <v>1</v>
      </c>
    </row>
    <row r="38" spans="1:116" ht="15.75" thickBot="1" x14ac:dyDescent="0.3">
      <c r="A38" s="75" t="s">
        <v>78</v>
      </c>
      <c r="B38" s="62" t="s">
        <v>166</v>
      </c>
      <c r="C38" s="67" t="str">
        <f t="shared" si="0"/>
        <v>נועה אחודה</v>
      </c>
      <c r="D38" s="41" t="s">
        <v>6</v>
      </c>
      <c r="E38" s="55" t="s">
        <v>7</v>
      </c>
      <c r="F38" s="74" t="s">
        <v>196</v>
      </c>
      <c r="G38" s="72">
        <v>43101</v>
      </c>
      <c r="H38" s="74"/>
      <c r="I38" s="42"/>
      <c r="J38" s="133"/>
      <c r="K38" s="134"/>
      <c r="L38" s="134"/>
      <c r="M38" s="134"/>
      <c r="N38" s="135">
        <f t="shared" si="52"/>
        <v>0</v>
      </c>
      <c r="O38" s="135">
        <f t="shared" si="53"/>
        <v>0</v>
      </c>
      <c r="P38" s="44">
        <f t="shared" si="54"/>
        <v>0</v>
      </c>
      <c r="Q38" s="39"/>
      <c r="R38" s="41"/>
      <c r="S38" s="41"/>
      <c r="T38" s="41"/>
      <c r="U38" s="43">
        <f t="shared" si="55"/>
        <v>0</v>
      </c>
      <c r="V38" s="43">
        <f t="shared" si="56"/>
        <v>0</v>
      </c>
      <c r="W38" s="45">
        <f t="shared" si="84"/>
        <v>0</v>
      </c>
      <c r="X38" s="39"/>
      <c r="Y38" s="41"/>
      <c r="Z38" s="41"/>
      <c r="AA38" s="41"/>
      <c r="AB38" s="46">
        <f t="shared" si="57"/>
        <v>0</v>
      </c>
      <c r="AC38" s="46">
        <f t="shared" si="58"/>
        <v>0</v>
      </c>
      <c r="AD38" s="47">
        <f t="shared" si="59"/>
        <v>0</v>
      </c>
      <c r="AE38" s="39"/>
      <c r="AF38" s="41"/>
      <c r="AG38" s="41"/>
      <c r="AH38" s="41"/>
      <c r="AI38" s="43">
        <f t="shared" si="60"/>
        <v>0</v>
      </c>
      <c r="AJ38" s="43">
        <f t="shared" si="61"/>
        <v>0</v>
      </c>
      <c r="AK38" s="45">
        <f t="shared" si="62"/>
        <v>0</v>
      </c>
      <c r="AL38" s="39"/>
      <c r="AM38" s="41"/>
      <c r="AN38" s="41"/>
      <c r="AO38" s="41"/>
      <c r="AP38" s="43">
        <f t="shared" si="63"/>
        <v>0</v>
      </c>
      <c r="AQ38" s="43">
        <f t="shared" si="64"/>
        <v>0</v>
      </c>
      <c r="AR38" s="45">
        <f t="shared" si="65"/>
        <v>0</v>
      </c>
      <c r="AS38" s="39"/>
      <c r="AT38" s="41"/>
      <c r="AU38" s="41"/>
      <c r="AV38" s="41"/>
      <c r="AW38" s="43">
        <f t="shared" si="66"/>
        <v>0</v>
      </c>
      <c r="AX38" s="43">
        <f t="shared" si="67"/>
        <v>0</v>
      </c>
      <c r="AY38" s="45">
        <f t="shared" si="68"/>
        <v>0</v>
      </c>
      <c r="AZ38" s="39"/>
      <c r="BA38" s="41"/>
      <c r="BB38" s="41"/>
      <c r="BC38" s="41"/>
      <c r="BD38" s="43">
        <f t="shared" si="69"/>
        <v>0</v>
      </c>
      <c r="BE38" s="43">
        <f t="shared" si="70"/>
        <v>0</v>
      </c>
      <c r="BF38" s="45">
        <f t="shared" si="71"/>
        <v>0</v>
      </c>
      <c r="BG38" s="75">
        <v>1</v>
      </c>
      <c r="BH38" s="107"/>
      <c r="BI38" s="41"/>
      <c r="BJ38" s="41"/>
      <c r="BK38" s="43">
        <f t="shared" si="72"/>
        <v>3</v>
      </c>
      <c r="BL38" s="43">
        <f t="shared" si="73"/>
        <v>0</v>
      </c>
      <c r="BM38" s="106">
        <f t="shared" si="74"/>
        <v>3</v>
      </c>
      <c r="BN38" s="75">
        <v>1</v>
      </c>
      <c r="BO38" s="107"/>
      <c r="BP38" s="107">
        <v>1</v>
      </c>
      <c r="BQ38" s="107"/>
      <c r="BR38" s="43">
        <f t="shared" si="75"/>
        <v>4</v>
      </c>
      <c r="BS38" s="43">
        <f t="shared" si="76"/>
        <v>0</v>
      </c>
      <c r="BT38" s="106">
        <f t="shared" si="77"/>
        <v>4</v>
      </c>
      <c r="BU38" s="75"/>
      <c r="BV38" s="107"/>
      <c r="BW38" s="107">
        <v>4</v>
      </c>
      <c r="BX38" s="107"/>
      <c r="BY38" s="43">
        <f t="shared" si="78"/>
        <v>4</v>
      </c>
      <c r="BZ38" s="43">
        <f t="shared" si="79"/>
        <v>0</v>
      </c>
      <c r="CA38" s="106">
        <f t="shared" si="80"/>
        <v>4</v>
      </c>
      <c r="CB38" s="75"/>
      <c r="CC38" s="107">
        <v>1</v>
      </c>
      <c r="CD38" s="107">
        <v>1</v>
      </c>
      <c r="CE38" s="196"/>
      <c r="CF38" s="43">
        <f t="shared" si="81"/>
        <v>1</v>
      </c>
      <c r="CG38" s="43">
        <f t="shared" si="82"/>
        <v>3</v>
      </c>
      <c r="CH38" s="106">
        <f t="shared" si="83"/>
        <v>4</v>
      </c>
      <c r="CI38" s="107"/>
      <c r="CJ38" s="107"/>
      <c r="CK38" s="107"/>
      <c r="CL38" s="207">
        <v>1</v>
      </c>
      <c r="CM38" s="43">
        <f t="shared" si="34"/>
        <v>0</v>
      </c>
      <c r="CN38" s="43">
        <f t="shared" si="35"/>
        <v>1</v>
      </c>
      <c r="CO38" s="106">
        <f t="shared" si="36"/>
        <v>1</v>
      </c>
      <c r="CP38" s="75">
        <v>1</v>
      </c>
      <c r="CQ38" s="107"/>
      <c r="CR38" s="107">
        <v>1</v>
      </c>
      <c r="CS38" s="107"/>
      <c r="CT38" s="43">
        <f t="shared" si="37"/>
        <v>4</v>
      </c>
      <c r="CU38" s="43">
        <f t="shared" si="38"/>
        <v>0</v>
      </c>
      <c r="CV38" s="106">
        <f t="shared" si="39"/>
        <v>4</v>
      </c>
      <c r="CW38" s="75"/>
      <c r="CX38" s="107"/>
      <c r="CY38" s="107"/>
      <c r="CZ38" s="107"/>
      <c r="DA38" s="43">
        <f t="shared" si="40"/>
        <v>0</v>
      </c>
      <c r="DB38" s="43">
        <f t="shared" si="41"/>
        <v>0</v>
      </c>
      <c r="DC38" s="106">
        <f t="shared" si="42"/>
        <v>0</v>
      </c>
      <c r="DD38" s="181">
        <f t="shared" si="43"/>
        <v>16</v>
      </c>
      <c r="DE38" s="182">
        <f t="shared" ca="1" si="44"/>
        <v>8.3769633507853408E-2</v>
      </c>
      <c r="DF38" s="183">
        <f t="shared" si="45"/>
        <v>4</v>
      </c>
      <c r="DG38" s="182">
        <f t="shared" ca="1" si="46"/>
        <v>2.0942408376963352E-2</v>
      </c>
      <c r="DH38" s="183">
        <f t="shared" si="47"/>
        <v>20</v>
      </c>
      <c r="DI38" s="182">
        <f t="shared" ca="1" si="48"/>
        <v>0.10471204188481675</v>
      </c>
      <c r="DJ38" s="183">
        <f t="shared" si="49"/>
        <v>3</v>
      </c>
      <c r="DK38" s="183">
        <f t="shared" si="50"/>
        <v>1</v>
      </c>
      <c r="DL38" s="183">
        <f t="shared" si="51"/>
        <v>4</v>
      </c>
    </row>
    <row r="39" spans="1:116" ht="15.75" thickBot="1" x14ac:dyDescent="0.3">
      <c r="A39" s="75" t="s">
        <v>78</v>
      </c>
      <c r="B39" s="62" t="s">
        <v>11</v>
      </c>
      <c r="C39" s="67" t="str">
        <f t="shared" si="0"/>
        <v>עדן אחודה</v>
      </c>
      <c r="D39" s="55" t="s">
        <v>6</v>
      </c>
      <c r="E39" s="55" t="s">
        <v>7</v>
      </c>
      <c r="F39" s="74" t="s">
        <v>210</v>
      </c>
      <c r="G39" s="72">
        <v>43160</v>
      </c>
      <c r="H39" s="74"/>
      <c r="I39" s="42"/>
      <c r="J39" s="133"/>
      <c r="K39" s="134"/>
      <c r="L39" s="134"/>
      <c r="M39" s="134"/>
      <c r="N39" s="135">
        <f t="shared" si="52"/>
        <v>0</v>
      </c>
      <c r="O39" s="135">
        <f t="shared" si="53"/>
        <v>0</v>
      </c>
      <c r="P39" s="44">
        <f t="shared" si="54"/>
        <v>0</v>
      </c>
      <c r="Q39" s="39"/>
      <c r="R39" s="41"/>
      <c r="S39" s="41"/>
      <c r="T39" s="41"/>
      <c r="U39" s="43">
        <f t="shared" si="55"/>
        <v>0</v>
      </c>
      <c r="V39" s="43">
        <f t="shared" si="56"/>
        <v>0</v>
      </c>
      <c r="W39" s="45">
        <f t="shared" si="84"/>
        <v>0</v>
      </c>
      <c r="X39" s="39"/>
      <c r="Y39" s="41"/>
      <c r="Z39" s="41"/>
      <c r="AA39" s="41"/>
      <c r="AB39" s="46">
        <f t="shared" si="57"/>
        <v>0</v>
      </c>
      <c r="AC39" s="46">
        <f t="shared" si="58"/>
        <v>0</v>
      </c>
      <c r="AD39" s="47">
        <f t="shared" si="59"/>
        <v>0</v>
      </c>
      <c r="AE39" s="39"/>
      <c r="AF39" s="41"/>
      <c r="AG39" s="41"/>
      <c r="AH39" s="41"/>
      <c r="AI39" s="43">
        <f t="shared" si="60"/>
        <v>0</v>
      </c>
      <c r="AJ39" s="43">
        <f t="shared" si="61"/>
        <v>0</v>
      </c>
      <c r="AK39" s="45">
        <f t="shared" si="62"/>
        <v>0</v>
      </c>
      <c r="AL39" s="39"/>
      <c r="AM39" s="41"/>
      <c r="AN39" s="41"/>
      <c r="AO39" s="41"/>
      <c r="AP39" s="43">
        <f t="shared" si="63"/>
        <v>0</v>
      </c>
      <c r="AQ39" s="43">
        <f t="shared" si="64"/>
        <v>0</v>
      </c>
      <c r="AR39" s="45">
        <f t="shared" si="65"/>
        <v>0</v>
      </c>
      <c r="AS39" s="39"/>
      <c r="AT39" s="41"/>
      <c r="AU39" s="41"/>
      <c r="AV39" s="41"/>
      <c r="AW39" s="43">
        <f t="shared" si="66"/>
        <v>0</v>
      </c>
      <c r="AX39" s="43">
        <f t="shared" si="67"/>
        <v>0</v>
      </c>
      <c r="AY39" s="45">
        <f t="shared" si="68"/>
        <v>0</v>
      </c>
      <c r="AZ39" s="39"/>
      <c r="BA39" s="41"/>
      <c r="BB39" s="41"/>
      <c r="BC39" s="41"/>
      <c r="BD39" s="43">
        <f t="shared" si="69"/>
        <v>0</v>
      </c>
      <c r="BE39" s="43">
        <f t="shared" si="70"/>
        <v>0</v>
      </c>
      <c r="BF39" s="45">
        <f t="shared" si="71"/>
        <v>0</v>
      </c>
      <c r="BG39" s="75"/>
      <c r="BH39" s="107"/>
      <c r="BI39" s="41"/>
      <c r="BJ39" s="41"/>
      <c r="BK39" s="43">
        <f t="shared" si="72"/>
        <v>0</v>
      </c>
      <c r="BL39" s="43">
        <f t="shared" si="73"/>
        <v>0</v>
      </c>
      <c r="BM39" s="106">
        <f t="shared" si="74"/>
        <v>0</v>
      </c>
      <c r="BN39" s="75"/>
      <c r="BO39" s="107"/>
      <c r="BP39" s="107"/>
      <c r="BQ39" s="107"/>
      <c r="BR39" s="43">
        <f t="shared" si="75"/>
        <v>0</v>
      </c>
      <c r="BS39" s="43">
        <f t="shared" si="76"/>
        <v>0</v>
      </c>
      <c r="BT39" s="106">
        <f t="shared" si="77"/>
        <v>0</v>
      </c>
      <c r="BU39" s="75"/>
      <c r="BV39" s="107"/>
      <c r="BW39" s="107"/>
      <c r="BX39" s="107">
        <v>1</v>
      </c>
      <c r="BY39" s="43">
        <f t="shared" si="78"/>
        <v>0</v>
      </c>
      <c r="BZ39" s="43">
        <f t="shared" si="79"/>
        <v>1</v>
      </c>
      <c r="CA39" s="106">
        <f t="shared" si="80"/>
        <v>1</v>
      </c>
      <c r="CB39" s="75"/>
      <c r="CC39" s="107"/>
      <c r="CD39" s="107">
        <v>1</v>
      </c>
      <c r="CE39" s="196"/>
      <c r="CF39" s="43">
        <f t="shared" si="81"/>
        <v>1</v>
      </c>
      <c r="CG39" s="43">
        <f t="shared" si="82"/>
        <v>0</v>
      </c>
      <c r="CH39" s="106">
        <f t="shared" si="83"/>
        <v>1</v>
      </c>
      <c r="CI39" s="107"/>
      <c r="CJ39" s="107"/>
      <c r="CK39" s="107">
        <v>2</v>
      </c>
      <c r="CL39" s="207"/>
      <c r="CM39" s="43">
        <f t="shared" si="34"/>
        <v>2</v>
      </c>
      <c r="CN39" s="43">
        <f t="shared" si="35"/>
        <v>0</v>
      </c>
      <c r="CO39" s="106">
        <f t="shared" si="36"/>
        <v>2</v>
      </c>
      <c r="CP39" s="75"/>
      <c r="CQ39" s="107"/>
      <c r="CR39" s="107">
        <v>1</v>
      </c>
      <c r="CS39" s="107">
        <v>1</v>
      </c>
      <c r="CT39" s="43">
        <f t="shared" si="37"/>
        <v>1</v>
      </c>
      <c r="CU39" s="43">
        <f t="shared" si="38"/>
        <v>1</v>
      </c>
      <c r="CV39" s="106">
        <f t="shared" si="39"/>
        <v>2</v>
      </c>
      <c r="CW39" s="75"/>
      <c r="CX39" s="107"/>
      <c r="CY39" s="107"/>
      <c r="CZ39" s="107"/>
      <c r="DA39" s="43">
        <f t="shared" si="40"/>
        <v>0</v>
      </c>
      <c r="DB39" s="43">
        <f t="shared" si="41"/>
        <v>0</v>
      </c>
      <c r="DC39" s="106">
        <f t="shared" si="42"/>
        <v>0</v>
      </c>
      <c r="DD39" s="181">
        <f t="shared" si="43"/>
        <v>4</v>
      </c>
      <c r="DE39" s="182">
        <f t="shared" ca="1" si="44"/>
        <v>3.0303030303030304E-2</v>
      </c>
      <c r="DF39" s="183">
        <f t="shared" si="45"/>
        <v>2</v>
      </c>
      <c r="DG39" s="182">
        <f t="shared" ca="1" si="46"/>
        <v>1.5151515151515152E-2</v>
      </c>
      <c r="DH39" s="183">
        <f t="shared" si="47"/>
        <v>6</v>
      </c>
      <c r="DI39" s="182">
        <f t="shared" ca="1" si="48"/>
        <v>4.5454545454545456E-2</v>
      </c>
      <c r="DJ39" s="183">
        <f t="shared" si="49"/>
        <v>0</v>
      </c>
      <c r="DK39" s="183">
        <f t="shared" si="50"/>
        <v>0</v>
      </c>
      <c r="DL39" s="183">
        <f t="shared" si="51"/>
        <v>0</v>
      </c>
    </row>
    <row r="40" spans="1:116" ht="15.75" thickBot="1" x14ac:dyDescent="0.3">
      <c r="A40" s="132" t="s">
        <v>78</v>
      </c>
      <c r="B40" s="124" t="s">
        <v>167</v>
      </c>
      <c r="C40" s="67" t="str">
        <f t="shared" si="0"/>
        <v>עמית אחודה</v>
      </c>
      <c r="D40" s="68" t="s">
        <v>6</v>
      </c>
      <c r="E40" s="95" t="s">
        <v>7</v>
      </c>
      <c r="F40" s="74" t="s">
        <v>196</v>
      </c>
      <c r="G40" s="72">
        <v>43101</v>
      </c>
      <c r="H40" s="74"/>
      <c r="I40" s="177"/>
      <c r="J40" s="136"/>
      <c r="K40" s="137"/>
      <c r="L40" s="137"/>
      <c r="M40" s="137"/>
      <c r="N40" s="135">
        <f t="shared" si="52"/>
        <v>0</v>
      </c>
      <c r="O40" s="135">
        <f t="shared" si="53"/>
        <v>0</v>
      </c>
      <c r="P40" s="44">
        <f t="shared" si="54"/>
        <v>0</v>
      </c>
      <c r="Q40" s="66"/>
      <c r="R40" s="68"/>
      <c r="S40" s="68"/>
      <c r="T40" s="68"/>
      <c r="U40" s="43">
        <f t="shared" si="55"/>
        <v>0</v>
      </c>
      <c r="V40" s="43">
        <f t="shared" si="56"/>
        <v>0</v>
      </c>
      <c r="W40" s="45">
        <f t="shared" si="84"/>
        <v>0</v>
      </c>
      <c r="X40" s="39"/>
      <c r="Y40" s="41"/>
      <c r="Z40" s="41"/>
      <c r="AA40" s="41"/>
      <c r="AB40" s="46">
        <f t="shared" si="57"/>
        <v>0</v>
      </c>
      <c r="AC40" s="46">
        <f t="shared" si="58"/>
        <v>0</v>
      </c>
      <c r="AD40" s="47">
        <f t="shared" si="59"/>
        <v>0</v>
      </c>
      <c r="AE40" s="66"/>
      <c r="AF40" s="68"/>
      <c r="AG40" s="68"/>
      <c r="AH40" s="68"/>
      <c r="AI40" s="43">
        <f t="shared" si="60"/>
        <v>0</v>
      </c>
      <c r="AJ40" s="43">
        <f t="shared" si="61"/>
        <v>0</v>
      </c>
      <c r="AK40" s="45">
        <f t="shared" si="62"/>
        <v>0</v>
      </c>
      <c r="AL40" s="66"/>
      <c r="AM40" s="68"/>
      <c r="AN40" s="68"/>
      <c r="AO40" s="68"/>
      <c r="AP40" s="43">
        <f t="shared" si="63"/>
        <v>0</v>
      </c>
      <c r="AQ40" s="43">
        <f t="shared" si="64"/>
        <v>0</v>
      </c>
      <c r="AR40" s="45">
        <f t="shared" si="65"/>
        <v>0</v>
      </c>
      <c r="AS40" s="66"/>
      <c r="AT40" s="68"/>
      <c r="AU40" s="68"/>
      <c r="AV40" s="68"/>
      <c r="AW40" s="43">
        <f t="shared" si="66"/>
        <v>0</v>
      </c>
      <c r="AX40" s="43">
        <f t="shared" si="67"/>
        <v>0</v>
      </c>
      <c r="AY40" s="45">
        <f t="shared" si="68"/>
        <v>0</v>
      </c>
      <c r="AZ40" s="66"/>
      <c r="BA40" s="68"/>
      <c r="BB40" s="68"/>
      <c r="BC40" s="68"/>
      <c r="BD40" s="43">
        <f t="shared" si="69"/>
        <v>0</v>
      </c>
      <c r="BE40" s="43">
        <f t="shared" si="70"/>
        <v>0</v>
      </c>
      <c r="BF40" s="45">
        <f t="shared" si="71"/>
        <v>0</v>
      </c>
      <c r="BG40" s="132">
        <v>1</v>
      </c>
      <c r="BH40" s="142"/>
      <c r="BI40" s="68"/>
      <c r="BJ40" s="68"/>
      <c r="BK40" s="43">
        <f t="shared" si="72"/>
        <v>3</v>
      </c>
      <c r="BL40" s="43">
        <f t="shared" si="73"/>
        <v>0</v>
      </c>
      <c r="BM40" s="106">
        <f t="shared" si="74"/>
        <v>3</v>
      </c>
      <c r="BN40" s="75"/>
      <c r="BO40" s="107">
        <v>1</v>
      </c>
      <c r="BP40" s="107">
        <v>2</v>
      </c>
      <c r="BQ40" s="107"/>
      <c r="BR40" s="43">
        <f t="shared" si="75"/>
        <v>2</v>
      </c>
      <c r="BS40" s="43">
        <f t="shared" si="76"/>
        <v>3</v>
      </c>
      <c r="BT40" s="106">
        <f t="shared" si="77"/>
        <v>5</v>
      </c>
      <c r="BU40" s="75"/>
      <c r="BV40" s="107"/>
      <c r="BW40" s="107">
        <v>3</v>
      </c>
      <c r="BX40" s="107"/>
      <c r="BY40" s="43">
        <f t="shared" si="78"/>
        <v>3</v>
      </c>
      <c r="BZ40" s="43">
        <f t="shared" si="79"/>
        <v>0</v>
      </c>
      <c r="CA40" s="106">
        <f t="shared" si="80"/>
        <v>3</v>
      </c>
      <c r="CB40" s="75">
        <v>1</v>
      </c>
      <c r="CC40" s="107"/>
      <c r="CD40" s="107"/>
      <c r="CE40" s="196"/>
      <c r="CF40" s="43">
        <f t="shared" si="81"/>
        <v>3</v>
      </c>
      <c r="CG40" s="43">
        <f t="shared" si="82"/>
        <v>0</v>
      </c>
      <c r="CH40" s="106">
        <f t="shared" si="83"/>
        <v>3</v>
      </c>
      <c r="CI40" s="107"/>
      <c r="CJ40" s="107"/>
      <c r="CK40" s="107">
        <v>1</v>
      </c>
      <c r="CL40" s="207"/>
      <c r="CM40" s="43">
        <f t="shared" si="34"/>
        <v>1</v>
      </c>
      <c r="CN40" s="43">
        <f t="shared" si="35"/>
        <v>0</v>
      </c>
      <c r="CO40" s="106">
        <f t="shared" si="36"/>
        <v>1</v>
      </c>
      <c r="CP40" s="75"/>
      <c r="CQ40" s="107">
        <v>1</v>
      </c>
      <c r="CR40" s="107"/>
      <c r="CS40" s="107"/>
      <c r="CT40" s="43">
        <f t="shared" si="37"/>
        <v>0</v>
      </c>
      <c r="CU40" s="43">
        <f t="shared" si="38"/>
        <v>3</v>
      </c>
      <c r="CV40" s="106">
        <f t="shared" si="39"/>
        <v>3</v>
      </c>
      <c r="CW40" s="75"/>
      <c r="CX40" s="107"/>
      <c r="CY40" s="107"/>
      <c r="CZ40" s="107"/>
      <c r="DA40" s="43">
        <f t="shared" si="40"/>
        <v>0</v>
      </c>
      <c r="DB40" s="43">
        <f t="shared" si="41"/>
        <v>0</v>
      </c>
      <c r="DC40" s="106">
        <f t="shared" si="42"/>
        <v>0</v>
      </c>
      <c r="DD40" s="181">
        <f t="shared" si="43"/>
        <v>12</v>
      </c>
      <c r="DE40" s="182">
        <f t="shared" ca="1" si="44"/>
        <v>6.2827225130890049E-2</v>
      </c>
      <c r="DF40" s="183">
        <f t="shared" si="45"/>
        <v>6</v>
      </c>
      <c r="DG40" s="182">
        <f t="shared" ca="1" si="46"/>
        <v>3.1413612565445025E-2</v>
      </c>
      <c r="DH40" s="183">
        <f t="shared" si="47"/>
        <v>18</v>
      </c>
      <c r="DI40" s="182">
        <f t="shared" ca="1" si="48"/>
        <v>9.4240837696335067E-2</v>
      </c>
      <c r="DJ40" s="183">
        <f t="shared" si="49"/>
        <v>2</v>
      </c>
      <c r="DK40" s="183">
        <f t="shared" si="50"/>
        <v>2</v>
      </c>
      <c r="DL40" s="183">
        <f t="shared" si="51"/>
        <v>4</v>
      </c>
    </row>
    <row r="41" spans="1:116" ht="15.75" thickBot="1" x14ac:dyDescent="0.3">
      <c r="A41" s="261" t="s">
        <v>78</v>
      </c>
      <c r="B41" s="70" t="s">
        <v>222</v>
      </c>
      <c r="C41" s="242" t="str">
        <f t="shared" si="0"/>
        <v>רוני אחודה</v>
      </c>
      <c r="D41" s="95" t="s">
        <v>6</v>
      </c>
      <c r="E41" s="95" t="s">
        <v>6</v>
      </c>
      <c r="F41" s="74" t="s">
        <v>266</v>
      </c>
      <c r="G41" s="72">
        <v>43282</v>
      </c>
      <c r="H41" s="115"/>
      <c r="I41" s="177"/>
      <c r="J41" s="136"/>
      <c r="K41" s="137"/>
      <c r="L41" s="137"/>
      <c r="M41" s="137"/>
      <c r="N41" s="135"/>
      <c r="O41" s="135"/>
      <c r="P41" s="44"/>
      <c r="Q41" s="66"/>
      <c r="R41" s="68"/>
      <c r="S41" s="68"/>
      <c r="T41" s="68"/>
      <c r="U41" s="43"/>
      <c r="V41" s="43"/>
      <c r="W41" s="45"/>
      <c r="X41" s="39"/>
      <c r="Y41" s="41"/>
      <c r="Z41" s="41"/>
      <c r="AA41" s="41"/>
      <c r="AB41" s="46"/>
      <c r="AC41" s="46"/>
      <c r="AD41" s="47"/>
      <c r="AE41" s="66"/>
      <c r="AF41" s="68"/>
      <c r="AG41" s="68"/>
      <c r="AH41" s="68"/>
      <c r="AI41" s="43"/>
      <c r="AJ41" s="43"/>
      <c r="AK41" s="45"/>
      <c r="AL41" s="66"/>
      <c r="AM41" s="68"/>
      <c r="AN41" s="68"/>
      <c r="AO41" s="68"/>
      <c r="AP41" s="43"/>
      <c r="AQ41" s="43"/>
      <c r="AR41" s="45"/>
      <c r="AS41" s="66"/>
      <c r="AT41" s="68"/>
      <c r="AU41" s="68"/>
      <c r="AV41" s="68"/>
      <c r="AW41" s="43"/>
      <c r="AX41" s="43"/>
      <c r="AY41" s="45"/>
      <c r="AZ41" s="66"/>
      <c r="BA41" s="68"/>
      <c r="BB41" s="68"/>
      <c r="BC41" s="68"/>
      <c r="BD41" s="43"/>
      <c r="BE41" s="43"/>
      <c r="BF41" s="45"/>
      <c r="BG41" s="132"/>
      <c r="BH41" s="142"/>
      <c r="BI41" s="68"/>
      <c r="BJ41" s="68"/>
      <c r="BK41" s="43"/>
      <c r="BL41" s="43"/>
      <c r="BM41" s="106"/>
      <c r="BN41" s="75"/>
      <c r="BO41" s="107"/>
      <c r="BP41" s="107"/>
      <c r="BQ41" s="107"/>
      <c r="BR41" s="43"/>
      <c r="BS41" s="43"/>
      <c r="BT41" s="106"/>
      <c r="BU41" s="75"/>
      <c r="BV41" s="107"/>
      <c r="BW41" s="107"/>
      <c r="BX41" s="107"/>
      <c r="BY41" s="43"/>
      <c r="BZ41" s="43"/>
      <c r="CA41" s="106"/>
      <c r="CB41" s="75"/>
      <c r="CC41" s="107"/>
      <c r="CD41" s="107"/>
      <c r="CE41" s="196"/>
      <c r="CF41" s="43"/>
      <c r="CG41" s="43"/>
      <c r="CH41" s="106"/>
      <c r="CI41" s="107"/>
      <c r="CJ41" s="107"/>
      <c r="CK41" s="107"/>
      <c r="CL41" s="207"/>
      <c r="CM41" s="43">
        <f t="shared" si="34"/>
        <v>0</v>
      </c>
      <c r="CN41" s="43">
        <f t="shared" si="35"/>
        <v>0</v>
      </c>
      <c r="CO41" s="106">
        <f t="shared" si="36"/>
        <v>0</v>
      </c>
      <c r="CP41" s="75"/>
      <c r="CQ41" s="107"/>
      <c r="CR41" s="107"/>
      <c r="CS41" s="107"/>
      <c r="CT41" s="43">
        <f t="shared" si="37"/>
        <v>0</v>
      </c>
      <c r="CU41" s="43">
        <f t="shared" si="38"/>
        <v>0</v>
      </c>
      <c r="CV41" s="106">
        <f t="shared" si="39"/>
        <v>0</v>
      </c>
      <c r="CW41" s="75"/>
      <c r="CX41" s="107"/>
      <c r="CY41" s="107"/>
      <c r="CZ41" s="107"/>
      <c r="DA41" s="43">
        <f t="shared" si="40"/>
        <v>0</v>
      </c>
      <c r="DB41" s="43">
        <f t="shared" si="41"/>
        <v>0</v>
      </c>
      <c r="DC41" s="106">
        <f t="shared" si="42"/>
        <v>0</v>
      </c>
      <c r="DD41" s="181">
        <f t="shared" si="43"/>
        <v>0</v>
      </c>
      <c r="DE41" s="182">
        <f t="shared" ca="1" si="44"/>
        <v>0</v>
      </c>
      <c r="DF41" s="183">
        <f t="shared" si="45"/>
        <v>0</v>
      </c>
      <c r="DG41" s="182">
        <f t="shared" ca="1" si="46"/>
        <v>0</v>
      </c>
      <c r="DH41" s="183">
        <f t="shared" si="47"/>
        <v>0</v>
      </c>
      <c r="DI41" s="182">
        <f t="shared" ca="1" si="48"/>
        <v>0</v>
      </c>
      <c r="DJ41" s="183">
        <f t="shared" si="49"/>
        <v>0</v>
      </c>
      <c r="DK41" s="183">
        <f t="shared" si="50"/>
        <v>0</v>
      </c>
      <c r="DL41" s="183">
        <f t="shared" si="51"/>
        <v>0</v>
      </c>
    </row>
    <row r="42" spans="1:116" ht="15.75" thickBot="1" x14ac:dyDescent="0.3">
      <c r="A42" s="262" t="s">
        <v>78</v>
      </c>
      <c r="B42" s="124" t="s">
        <v>14</v>
      </c>
      <c r="C42" s="67" t="str">
        <f t="shared" si="0"/>
        <v>שיר אחודה</v>
      </c>
      <c r="D42" s="95" t="s">
        <v>6</v>
      </c>
      <c r="E42" s="95" t="s">
        <v>6</v>
      </c>
      <c r="F42" s="74" t="s">
        <v>262</v>
      </c>
      <c r="G42" s="72">
        <v>43252</v>
      </c>
      <c r="H42" s="115"/>
      <c r="I42" s="177"/>
      <c r="J42" s="136"/>
      <c r="K42" s="137"/>
      <c r="L42" s="137"/>
      <c r="M42" s="137"/>
      <c r="N42" s="135">
        <f t="shared" ref="N42:O48" si="85">J42*3+L42</f>
        <v>0</v>
      </c>
      <c r="O42" s="135">
        <f t="shared" si="85"/>
        <v>0</v>
      </c>
      <c r="P42" s="44">
        <f t="shared" ref="P42:P48" si="86">O42+N42</f>
        <v>0</v>
      </c>
      <c r="Q42" s="66"/>
      <c r="R42" s="68"/>
      <c r="S42" s="68"/>
      <c r="T42" s="68"/>
      <c r="U42" s="43">
        <f t="shared" ref="U42:V48" si="87">Q42*3+S42</f>
        <v>0</v>
      </c>
      <c r="V42" s="43">
        <f t="shared" si="87"/>
        <v>0</v>
      </c>
      <c r="W42" s="45">
        <f t="shared" ref="W42:W48" si="88">V42+U42</f>
        <v>0</v>
      </c>
      <c r="X42" s="39"/>
      <c r="Y42" s="41"/>
      <c r="Z42" s="41"/>
      <c r="AA42" s="41"/>
      <c r="AB42" s="46">
        <f t="shared" ref="AB42:AC48" si="89">X42*3+Z42</f>
        <v>0</v>
      </c>
      <c r="AC42" s="46">
        <f t="shared" si="89"/>
        <v>0</v>
      </c>
      <c r="AD42" s="47">
        <f t="shared" ref="AD42:AD48" si="90">AC42+AB42</f>
        <v>0</v>
      </c>
      <c r="AE42" s="66"/>
      <c r="AF42" s="68"/>
      <c r="AG42" s="68"/>
      <c r="AH42" s="68"/>
      <c r="AI42" s="43">
        <f t="shared" ref="AI42:AJ48" si="91">AE42*3+AG42</f>
        <v>0</v>
      </c>
      <c r="AJ42" s="43">
        <f t="shared" si="91"/>
        <v>0</v>
      </c>
      <c r="AK42" s="45">
        <f t="shared" ref="AK42:AK48" si="92">AJ42+AI42</f>
        <v>0</v>
      </c>
      <c r="AL42" s="66"/>
      <c r="AM42" s="68"/>
      <c r="AN42" s="68"/>
      <c r="AO42" s="68"/>
      <c r="AP42" s="43">
        <f t="shared" ref="AP42:AQ48" si="93">AL42*3+AN42</f>
        <v>0</v>
      </c>
      <c r="AQ42" s="43">
        <f t="shared" si="93"/>
        <v>0</v>
      </c>
      <c r="AR42" s="45">
        <f t="shared" ref="AR42:AR48" si="94">AQ42+AP42</f>
        <v>0</v>
      </c>
      <c r="AS42" s="66"/>
      <c r="AT42" s="68"/>
      <c r="AU42" s="68"/>
      <c r="AV42" s="68"/>
      <c r="AW42" s="43">
        <f t="shared" ref="AW42:AX48" si="95">AS42*3+AU42</f>
        <v>0</v>
      </c>
      <c r="AX42" s="43">
        <f t="shared" si="95"/>
        <v>0</v>
      </c>
      <c r="AY42" s="45">
        <f t="shared" ref="AY42:AY48" si="96">AX42+AW42</f>
        <v>0</v>
      </c>
      <c r="AZ42" s="66"/>
      <c r="BA42" s="68"/>
      <c r="BB42" s="68"/>
      <c r="BC42" s="68"/>
      <c r="BD42" s="43">
        <f t="shared" ref="BD42:BE48" si="97">AZ42*3+BB42</f>
        <v>0</v>
      </c>
      <c r="BE42" s="43">
        <f t="shared" si="97"/>
        <v>0</v>
      </c>
      <c r="BF42" s="45">
        <f t="shared" ref="BF42:BF48" si="98">BE42+BD42</f>
        <v>0</v>
      </c>
      <c r="BG42" s="132"/>
      <c r="BH42" s="142"/>
      <c r="BI42" s="68"/>
      <c r="BJ42" s="68"/>
      <c r="BK42" s="43">
        <f t="shared" ref="BK42:BL48" si="99">BG42*3+BI42</f>
        <v>0</v>
      </c>
      <c r="BL42" s="43">
        <f t="shared" si="99"/>
        <v>0</v>
      </c>
      <c r="BM42" s="106">
        <f t="shared" ref="BM42:BM48" si="100">BL42+BK42</f>
        <v>0</v>
      </c>
      <c r="BN42" s="75"/>
      <c r="BO42" s="107"/>
      <c r="BP42" s="107"/>
      <c r="BQ42" s="107"/>
      <c r="BR42" s="43">
        <f t="shared" ref="BR42:BS48" si="101">BN42*3+BP42</f>
        <v>0</v>
      </c>
      <c r="BS42" s="43">
        <f t="shared" si="101"/>
        <v>0</v>
      </c>
      <c r="BT42" s="106">
        <f t="shared" ref="BT42:BT48" si="102">BS42+BR42</f>
        <v>0</v>
      </c>
      <c r="BU42" s="75"/>
      <c r="BV42" s="107"/>
      <c r="BW42" s="107"/>
      <c r="BX42" s="107"/>
      <c r="BY42" s="43">
        <f t="shared" ref="BY42:BZ48" si="103">BU42*3+BW42</f>
        <v>0</v>
      </c>
      <c r="BZ42" s="43">
        <f t="shared" si="103"/>
        <v>0</v>
      </c>
      <c r="CA42" s="106">
        <f t="shared" ref="CA42:CA48" si="104">BZ42+BY42</f>
        <v>0</v>
      </c>
      <c r="CB42" s="75"/>
      <c r="CC42" s="107"/>
      <c r="CD42" s="107"/>
      <c r="CE42" s="196"/>
      <c r="CF42" s="43">
        <f t="shared" ref="CF42:CG48" si="105">CB42*3+CD42</f>
        <v>0</v>
      </c>
      <c r="CG42" s="43">
        <f t="shared" si="105"/>
        <v>0</v>
      </c>
      <c r="CH42" s="106">
        <f t="shared" ref="CH42:CH48" si="106">CG42+CF42</f>
        <v>0</v>
      </c>
      <c r="CI42" s="107"/>
      <c r="CJ42" s="107"/>
      <c r="CK42" s="107"/>
      <c r="CL42" s="207"/>
      <c r="CM42" s="43">
        <f t="shared" si="34"/>
        <v>0</v>
      </c>
      <c r="CN42" s="43">
        <f t="shared" si="35"/>
        <v>0</v>
      </c>
      <c r="CO42" s="106">
        <f t="shared" si="36"/>
        <v>0</v>
      </c>
      <c r="CP42" s="75">
        <v>1</v>
      </c>
      <c r="CQ42" s="107"/>
      <c r="CR42" s="107">
        <v>1</v>
      </c>
      <c r="CS42" s="107"/>
      <c r="CT42" s="43">
        <f t="shared" si="37"/>
        <v>4</v>
      </c>
      <c r="CU42" s="43">
        <f t="shared" si="38"/>
        <v>0</v>
      </c>
      <c r="CV42" s="106">
        <f t="shared" si="39"/>
        <v>4</v>
      </c>
      <c r="CW42" s="75"/>
      <c r="CX42" s="107"/>
      <c r="CY42" s="107"/>
      <c r="CZ42" s="107"/>
      <c r="DA42" s="43">
        <f t="shared" si="40"/>
        <v>0</v>
      </c>
      <c r="DB42" s="43">
        <f t="shared" si="41"/>
        <v>0</v>
      </c>
      <c r="DC42" s="106">
        <f t="shared" si="42"/>
        <v>0</v>
      </c>
      <c r="DD42" s="181">
        <f t="shared" si="43"/>
        <v>4</v>
      </c>
      <c r="DE42" s="182">
        <f t="shared" ca="1" si="44"/>
        <v>0.1</v>
      </c>
      <c r="DF42" s="183">
        <f t="shared" si="45"/>
        <v>0</v>
      </c>
      <c r="DG42" s="182">
        <f t="shared" ca="1" si="46"/>
        <v>0</v>
      </c>
      <c r="DH42" s="183">
        <f t="shared" si="47"/>
        <v>4</v>
      </c>
      <c r="DI42" s="182">
        <f t="shared" ca="1" si="48"/>
        <v>0.1</v>
      </c>
      <c r="DJ42" s="183">
        <f t="shared" si="49"/>
        <v>1</v>
      </c>
      <c r="DK42" s="183">
        <f t="shared" si="50"/>
        <v>0</v>
      </c>
      <c r="DL42" s="183">
        <f t="shared" si="51"/>
        <v>1</v>
      </c>
    </row>
    <row r="43" spans="1:116" ht="15.75" thickBot="1" x14ac:dyDescent="0.3">
      <c r="A43" s="132" t="s">
        <v>78</v>
      </c>
      <c r="B43" s="124" t="s">
        <v>176</v>
      </c>
      <c r="C43" s="67" t="str">
        <f t="shared" si="0"/>
        <v>תאיר אחודה</v>
      </c>
      <c r="D43" s="95" t="s">
        <v>6</v>
      </c>
      <c r="E43" s="55" t="s">
        <v>7</v>
      </c>
      <c r="F43" s="74" t="s">
        <v>197</v>
      </c>
      <c r="G43" s="72">
        <v>43132</v>
      </c>
      <c r="H43" s="74"/>
      <c r="I43" s="148" t="s">
        <v>209</v>
      </c>
      <c r="J43" s="136"/>
      <c r="K43" s="137"/>
      <c r="L43" s="137"/>
      <c r="M43" s="137"/>
      <c r="N43" s="135">
        <f t="shared" si="85"/>
        <v>0</v>
      </c>
      <c r="O43" s="135">
        <f t="shared" si="85"/>
        <v>0</v>
      </c>
      <c r="P43" s="44">
        <f t="shared" si="86"/>
        <v>0</v>
      </c>
      <c r="Q43" s="66"/>
      <c r="R43" s="68"/>
      <c r="S43" s="68"/>
      <c r="T43" s="68"/>
      <c r="U43" s="43">
        <f t="shared" si="87"/>
        <v>0</v>
      </c>
      <c r="V43" s="43">
        <f t="shared" si="87"/>
        <v>0</v>
      </c>
      <c r="W43" s="45">
        <f t="shared" si="88"/>
        <v>0</v>
      </c>
      <c r="X43" s="39"/>
      <c r="Y43" s="41"/>
      <c r="Z43" s="41"/>
      <c r="AA43" s="41"/>
      <c r="AB43" s="46">
        <f t="shared" si="89"/>
        <v>0</v>
      </c>
      <c r="AC43" s="46">
        <f t="shared" si="89"/>
        <v>0</v>
      </c>
      <c r="AD43" s="47">
        <f t="shared" si="90"/>
        <v>0</v>
      </c>
      <c r="AE43" s="66"/>
      <c r="AF43" s="68"/>
      <c r="AG43" s="68"/>
      <c r="AH43" s="68"/>
      <c r="AI43" s="43">
        <f t="shared" si="91"/>
        <v>0</v>
      </c>
      <c r="AJ43" s="43">
        <f t="shared" si="91"/>
        <v>0</v>
      </c>
      <c r="AK43" s="45">
        <f t="shared" si="92"/>
        <v>0</v>
      </c>
      <c r="AL43" s="66"/>
      <c r="AM43" s="68"/>
      <c r="AN43" s="68"/>
      <c r="AO43" s="68"/>
      <c r="AP43" s="43">
        <f t="shared" si="93"/>
        <v>0</v>
      </c>
      <c r="AQ43" s="43">
        <f t="shared" si="93"/>
        <v>0</v>
      </c>
      <c r="AR43" s="45">
        <f t="shared" si="94"/>
        <v>0</v>
      </c>
      <c r="AS43" s="66"/>
      <c r="AT43" s="68"/>
      <c r="AU43" s="68"/>
      <c r="AV43" s="68"/>
      <c r="AW43" s="43">
        <f t="shared" si="95"/>
        <v>0</v>
      </c>
      <c r="AX43" s="43">
        <f t="shared" si="95"/>
        <v>0</v>
      </c>
      <c r="AY43" s="45">
        <f t="shared" si="96"/>
        <v>0</v>
      </c>
      <c r="AZ43" s="66"/>
      <c r="BA43" s="68"/>
      <c r="BB43" s="68"/>
      <c r="BC43" s="68"/>
      <c r="BD43" s="43">
        <f t="shared" si="97"/>
        <v>0</v>
      </c>
      <c r="BE43" s="43">
        <f t="shared" si="97"/>
        <v>0</v>
      </c>
      <c r="BF43" s="45">
        <f t="shared" si="98"/>
        <v>0</v>
      </c>
      <c r="BG43" s="132"/>
      <c r="BH43" s="142"/>
      <c r="BI43" s="68"/>
      <c r="BJ43" s="68"/>
      <c r="BK43" s="43">
        <f t="shared" si="99"/>
        <v>0</v>
      </c>
      <c r="BL43" s="43">
        <f t="shared" si="99"/>
        <v>0</v>
      </c>
      <c r="BM43" s="106">
        <f t="shared" si="100"/>
        <v>0</v>
      </c>
      <c r="BN43" s="75">
        <v>1</v>
      </c>
      <c r="BO43" s="107"/>
      <c r="BP43" s="107">
        <v>2</v>
      </c>
      <c r="BQ43" s="107"/>
      <c r="BR43" s="43">
        <f t="shared" si="101"/>
        <v>5</v>
      </c>
      <c r="BS43" s="43">
        <f t="shared" si="101"/>
        <v>0</v>
      </c>
      <c r="BT43" s="106">
        <f t="shared" si="102"/>
        <v>5</v>
      </c>
      <c r="BU43" s="75"/>
      <c r="BV43" s="107"/>
      <c r="BW43" s="107">
        <v>3</v>
      </c>
      <c r="BX43" s="107"/>
      <c r="BY43" s="43">
        <f t="shared" si="103"/>
        <v>3</v>
      </c>
      <c r="BZ43" s="43">
        <f t="shared" si="103"/>
        <v>0</v>
      </c>
      <c r="CA43" s="106">
        <f t="shared" si="104"/>
        <v>3</v>
      </c>
      <c r="CB43" s="75"/>
      <c r="CC43" s="107"/>
      <c r="CD43" s="107">
        <v>3</v>
      </c>
      <c r="CE43" s="196"/>
      <c r="CF43" s="43">
        <f t="shared" si="105"/>
        <v>3</v>
      </c>
      <c r="CG43" s="43">
        <f t="shared" si="105"/>
        <v>0</v>
      </c>
      <c r="CH43" s="106">
        <f t="shared" si="106"/>
        <v>3</v>
      </c>
      <c r="CI43" s="107"/>
      <c r="CJ43" s="107"/>
      <c r="CK43" s="107">
        <v>1</v>
      </c>
      <c r="CL43" s="207">
        <v>1</v>
      </c>
      <c r="CM43" s="43">
        <f t="shared" si="34"/>
        <v>1</v>
      </c>
      <c r="CN43" s="43">
        <f t="shared" si="35"/>
        <v>1</v>
      </c>
      <c r="CO43" s="106">
        <f t="shared" si="36"/>
        <v>2</v>
      </c>
      <c r="CP43" s="75"/>
      <c r="CQ43" s="107"/>
      <c r="CR43" s="107">
        <v>3</v>
      </c>
      <c r="CS43" s="107"/>
      <c r="CT43" s="43">
        <f t="shared" si="37"/>
        <v>3</v>
      </c>
      <c r="CU43" s="43">
        <f t="shared" si="38"/>
        <v>0</v>
      </c>
      <c r="CV43" s="106">
        <f t="shared" si="39"/>
        <v>3</v>
      </c>
      <c r="CW43" s="75"/>
      <c r="CX43" s="107"/>
      <c r="CY43" s="107"/>
      <c r="CZ43" s="107"/>
      <c r="DA43" s="43">
        <f t="shared" si="40"/>
        <v>0</v>
      </c>
      <c r="DB43" s="43">
        <f t="shared" si="41"/>
        <v>0</v>
      </c>
      <c r="DC43" s="106">
        <f t="shared" si="42"/>
        <v>0</v>
      </c>
      <c r="DD43" s="181">
        <f t="shared" si="43"/>
        <v>15</v>
      </c>
      <c r="DE43" s="182">
        <f t="shared" ca="1" si="44"/>
        <v>9.375E-2</v>
      </c>
      <c r="DF43" s="183">
        <f t="shared" si="45"/>
        <v>1</v>
      </c>
      <c r="DG43" s="182">
        <f t="shared" ca="1" si="46"/>
        <v>6.2500000000000003E-3</v>
      </c>
      <c r="DH43" s="183">
        <f t="shared" si="47"/>
        <v>16</v>
      </c>
      <c r="DI43" s="182">
        <f t="shared" ca="1" si="48"/>
        <v>0.1</v>
      </c>
      <c r="DJ43" s="183">
        <f t="shared" si="49"/>
        <v>1</v>
      </c>
      <c r="DK43" s="183">
        <f t="shared" si="50"/>
        <v>0</v>
      </c>
      <c r="DL43" s="183">
        <f t="shared" si="51"/>
        <v>1</v>
      </c>
    </row>
    <row r="44" spans="1:116" ht="15.75" thickBot="1" x14ac:dyDescent="0.3">
      <c r="A44" s="271" t="s">
        <v>15</v>
      </c>
      <c r="B44" s="241" t="s">
        <v>166</v>
      </c>
      <c r="C44" s="184" t="str">
        <f t="shared" si="0"/>
        <v>נועה מפאוג</v>
      </c>
      <c r="D44" s="95" t="s">
        <v>6</v>
      </c>
      <c r="E44" s="95" t="s">
        <v>7</v>
      </c>
      <c r="F44" s="74" t="s">
        <v>196</v>
      </c>
      <c r="G44" s="72">
        <v>43101</v>
      </c>
      <c r="H44" s="74"/>
      <c r="I44" s="177"/>
      <c r="J44" s="136"/>
      <c r="K44" s="137"/>
      <c r="L44" s="137"/>
      <c r="M44" s="137"/>
      <c r="N44" s="135">
        <f t="shared" si="85"/>
        <v>0</v>
      </c>
      <c r="O44" s="135">
        <f t="shared" si="85"/>
        <v>0</v>
      </c>
      <c r="P44" s="44">
        <f t="shared" si="86"/>
        <v>0</v>
      </c>
      <c r="Q44" s="66"/>
      <c r="R44" s="68"/>
      <c r="S44" s="68"/>
      <c r="T44" s="68"/>
      <c r="U44" s="43">
        <f t="shared" si="87"/>
        <v>0</v>
      </c>
      <c r="V44" s="43">
        <f t="shared" si="87"/>
        <v>0</v>
      </c>
      <c r="W44" s="45">
        <f t="shared" si="88"/>
        <v>0</v>
      </c>
      <c r="X44" s="39"/>
      <c r="Y44" s="41"/>
      <c r="Z44" s="41"/>
      <c r="AA44" s="41"/>
      <c r="AB44" s="46">
        <f t="shared" si="89"/>
        <v>0</v>
      </c>
      <c r="AC44" s="46">
        <f t="shared" si="89"/>
        <v>0</v>
      </c>
      <c r="AD44" s="47">
        <f t="shared" si="90"/>
        <v>0</v>
      </c>
      <c r="AE44" s="66"/>
      <c r="AF44" s="68"/>
      <c r="AG44" s="68"/>
      <c r="AH44" s="68"/>
      <c r="AI44" s="43">
        <f t="shared" si="91"/>
        <v>0</v>
      </c>
      <c r="AJ44" s="43">
        <f t="shared" si="91"/>
        <v>0</v>
      </c>
      <c r="AK44" s="45">
        <f t="shared" si="92"/>
        <v>0</v>
      </c>
      <c r="AL44" s="66"/>
      <c r="AM44" s="68"/>
      <c r="AN44" s="68"/>
      <c r="AO44" s="68"/>
      <c r="AP44" s="43">
        <f t="shared" si="93"/>
        <v>0</v>
      </c>
      <c r="AQ44" s="43">
        <f t="shared" si="93"/>
        <v>0</v>
      </c>
      <c r="AR44" s="45">
        <f t="shared" si="94"/>
        <v>0</v>
      </c>
      <c r="AS44" s="66"/>
      <c r="AT44" s="68"/>
      <c r="AU44" s="68"/>
      <c r="AV44" s="68"/>
      <c r="AW44" s="43">
        <f t="shared" si="95"/>
        <v>0</v>
      </c>
      <c r="AX44" s="43">
        <f t="shared" si="95"/>
        <v>0</v>
      </c>
      <c r="AY44" s="45">
        <f t="shared" si="96"/>
        <v>0</v>
      </c>
      <c r="AZ44" s="66"/>
      <c r="BA44" s="68"/>
      <c r="BB44" s="68"/>
      <c r="BC44" s="68"/>
      <c r="BD44" s="43">
        <f t="shared" si="97"/>
        <v>0</v>
      </c>
      <c r="BE44" s="43">
        <f t="shared" si="97"/>
        <v>0</v>
      </c>
      <c r="BF44" s="45">
        <f t="shared" si="98"/>
        <v>0</v>
      </c>
      <c r="BG44" s="132"/>
      <c r="BH44" s="142"/>
      <c r="BI44" s="142">
        <v>2</v>
      </c>
      <c r="BJ44" s="68"/>
      <c r="BK44" s="43">
        <f t="shared" si="99"/>
        <v>2</v>
      </c>
      <c r="BL44" s="43">
        <f t="shared" si="99"/>
        <v>0</v>
      </c>
      <c r="BM44" s="106">
        <f t="shared" si="100"/>
        <v>2</v>
      </c>
      <c r="BN44" s="75">
        <v>1</v>
      </c>
      <c r="BO44" s="107"/>
      <c r="BP44" s="107">
        <v>2</v>
      </c>
      <c r="BQ44" s="107"/>
      <c r="BR44" s="43">
        <f t="shared" si="101"/>
        <v>5</v>
      </c>
      <c r="BS44" s="43">
        <f t="shared" si="101"/>
        <v>0</v>
      </c>
      <c r="BT44" s="106">
        <f t="shared" si="102"/>
        <v>5</v>
      </c>
      <c r="BU44" s="75"/>
      <c r="BV44" s="107"/>
      <c r="BW44" s="107">
        <v>2</v>
      </c>
      <c r="BX44" s="107"/>
      <c r="BY44" s="43">
        <f t="shared" si="103"/>
        <v>2</v>
      </c>
      <c r="BZ44" s="43">
        <f t="shared" si="103"/>
        <v>0</v>
      </c>
      <c r="CA44" s="106">
        <f t="shared" si="104"/>
        <v>2</v>
      </c>
      <c r="CB44" s="194"/>
      <c r="CC44" s="107"/>
      <c r="CD44" s="107">
        <v>1</v>
      </c>
      <c r="CE44" s="196"/>
      <c r="CF44" s="43">
        <f t="shared" si="105"/>
        <v>1</v>
      </c>
      <c r="CG44" s="43">
        <f t="shared" si="105"/>
        <v>0</v>
      </c>
      <c r="CH44" s="106">
        <f t="shared" si="106"/>
        <v>1</v>
      </c>
      <c r="CI44" s="107"/>
      <c r="CJ44" s="107"/>
      <c r="CK44" s="107">
        <v>3</v>
      </c>
      <c r="CL44" s="207">
        <v>2</v>
      </c>
      <c r="CM44" s="43">
        <f t="shared" si="34"/>
        <v>3</v>
      </c>
      <c r="CN44" s="43">
        <f t="shared" si="35"/>
        <v>2</v>
      </c>
      <c r="CO44" s="106">
        <f t="shared" si="36"/>
        <v>5</v>
      </c>
      <c r="CP44" s="75">
        <v>1</v>
      </c>
      <c r="CQ44" s="107"/>
      <c r="CR44" s="107">
        <v>1</v>
      </c>
      <c r="CS44" s="107"/>
      <c r="CT44" s="43">
        <f t="shared" si="37"/>
        <v>4</v>
      </c>
      <c r="CU44" s="43">
        <f t="shared" si="38"/>
        <v>0</v>
      </c>
      <c r="CV44" s="106">
        <f t="shared" si="39"/>
        <v>4</v>
      </c>
      <c r="CW44" s="75"/>
      <c r="CX44" s="107"/>
      <c r="CY44" s="107"/>
      <c r="CZ44" s="107"/>
      <c r="DA44" s="43">
        <f t="shared" si="40"/>
        <v>0</v>
      </c>
      <c r="DB44" s="43">
        <f t="shared" si="41"/>
        <v>0</v>
      </c>
      <c r="DC44" s="106">
        <f t="shared" si="42"/>
        <v>0</v>
      </c>
      <c r="DD44" s="181">
        <f t="shared" si="43"/>
        <v>17</v>
      </c>
      <c r="DE44" s="182">
        <f t="shared" ca="1" si="44"/>
        <v>8.9005235602094238E-2</v>
      </c>
      <c r="DF44" s="183">
        <f t="shared" si="45"/>
        <v>2</v>
      </c>
      <c r="DG44" s="182">
        <f t="shared" ca="1" si="46"/>
        <v>1.0471204188481676E-2</v>
      </c>
      <c r="DH44" s="183">
        <f t="shared" si="47"/>
        <v>19</v>
      </c>
      <c r="DI44" s="182">
        <f t="shared" ca="1" si="48"/>
        <v>9.947643979057591E-2</v>
      </c>
      <c r="DJ44" s="183">
        <f t="shared" si="49"/>
        <v>2</v>
      </c>
      <c r="DK44" s="183">
        <f t="shared" si="50"/>
        <v>0</v>
      </c>
      <c r="DL44" s="183">
        <f t="shared" si="51"/>
        <v>2</v>
      </c>
    </row>
    <row r="45" spans="1:116" ht="15.75" thickBot="1" x14ac:dyDescent="0.3">
      <c r="A45" s="262" t="s">
        <v>15</v>
      </c>
      <c r="B45" s="124" t="s">
        <v>138</v>
      </c>
      <c r="C45" s="67" t="str">
        <f t="shared" si="0"/>
        <v>רבקה מפאוג</v>
      </c>
      <c r="D45" s="95" t="s">
        <v>6</v>
      </c>
      <c r="E45" s="95" t="s">
        <v>7</v>
      </c>
      <c r="F45" s="74" t="s">
        <v>195</v>
      </c>
      <c r="G45" s="72">
        <v>43040</v>
      </c>
      <c r="H45" s="74"/>
      <c r="I45" s="177"/>
      <c r="J45" s="136"/>
      <c r="K45" s="137"/>
      <c r="L45" s="137"/>
      <c r="M45" s="137"/>
      <c r="N45" s="135">
        <f t="shared" si="85"/>
        <v>0</v>
      </c>
      <c r="O45" s="135">
        <f t="shared" si="85"/>
        <v>0</v>
      </c>
      <c r="P45" s="44">
        <f t="shared" si="86"/>
        <v>0</v>
      </c>
      <c r="Q45" s="66"/>
      <c r="R45" s="68"/>
      <c r="S45" s="68"/>
      <c r="T45" s="68"/>
      <c r="U45" s="43">
        <f t="shared" si="87"/>
        <v>0</v>
      </c>
      <c r="V45" s="43">
        <f t="shared" si="87"/>
        <v>0</v>
      </c>
      <c r="W45" s="45">
        <f t="shared" si="88"/>
        <v>0</v>
      </c>
      <c r="X45" s="66"/>
      <c r="Y45" s="68"/>
      <c r="Z45" s="68"/>
      <c r="AA45" s="68"/>
      <c r="AB45" s="46">
        <f t="shared" si="89"/>
        <v>0</v>
      </c>
      <c r="AC45" s="46">
        <f t="shared" si="89"/>
        <v>0</v>
      </c>
      <c r="AD45" s="47">
        <f t="shared" si="90"/>
        <v>0</v>
      </c>
      <c r="AE45" s="66"/>
      <c r="AF45" s="68"/>
      <c r="AG45" s="68"/>
      <c r="AH45" s="68"/>
      <c r="AI45" s="43">
        <f t="shared" si="91"/>
        <v>0</v>
      </c>
      <c r="AJ45" s="43">
        <f t="shared" si="91"/>
        <v>0</v>
      </c>
      <c r="AK45" s="45">
        <f t="shared" si="92"/>
        <v>0</v>
      </c>
      <c r="AL45" s="66"/>
      <c r="AM45" s="68"/>
      <c r="AN45" s="68"/>
      <c r="AO45" s="68"/>
      <c r="AP45" s="43">
        <f t="shared" si="93"/>
        <v>0</v>
      </c>
      <c r="AQ45" s="43">
        <f t="shared" si="93"/>
        <v>0</v>
      </c>
      <c r="AR45" s="45">
        <f t="shared" si="94"/>
        <v>0</v>
      </c>
      <c r="AS45" s="66"/>
      <c r="AT45" s="68"/>
      <c r="AU45" s="68">
        <v>1</v>
      </c>
      <c r="AV45" s="68"/>
      <c r="AW45" s="43">
        <f t="shared" si="95"/>
        <v>1</v>
      </c>
      <c r="AX45" s="43">
        <f t="shared" si="95"/>
        <v>0</v>
      </c>
      <c r="AY45" s="45">
        <f t="shared" si="96"/>
        <v>1</v>
      </c>
      <c r="AZ45" s="66">
        <v>1</v>
      </c>
      <c r="BA45" s="68"/>
      <c r="BB45" s="68">
        <v>2</v>
      </c>
      <c r="BC45" s="68"/>
      <c r="BD45" s="43">
        <f t="shared" si="97"/>
        <v>5</v>
      </c>
      <c r="BE45" s="43">
        <f t="shared" si="97"/>
        <v>0</v>
      </c>
      <c r="BF45" s="45">
        <f t="shared" si="98"/>
        <v>5</v>
      </c>
      <c r="BG45" s="132"/>
      <c r="BH45" s="142"/>
      <c r="BI45" s="68">
        <v>3</v>
      </c>
      <c r="BJ45" s="68"/>
      <c r="BK45" s="43">
        <f t="shared" si="99"/>
        <v>3</v>
      </c>
      <c r="BL45" s="43">
        <f t="shared" si="99"/>
        <v>0</v>
      </c>
      <c r="BM45" s="106">
        <f t="shared" si="100"/>
        <v>3</v>
      </c>
      <c r="BN45" s="132"/>
      <c r="BO45" s="142"/>
      <c r="BP45" s="142">
        <v>4</v>
      </c>
      <c r="BQ45" s="142"/>
      <c r="BR45" s="43">
        <f t="shared" si="101"/>
        <v>4</v>
      </c>
      <c r="BS45" s="43">
        <f t="shared" si="101"/>
        <v>0</v>
      </c>
      <c r="BT45" s="106">
        <f t="shared" si="102"/>
        <v>4</v>
      </c>
      <c r="BU45" s="132">
        <v>1</v>
      </c>
      <c r="BV45" s="142"/>
      <c r="BW45" s="142">
        <v>1</v>
      </c>
      <c r="BX45" s="142">
        <v>1</v>
      </c>
      <c r="BY45" s="43">
        <f t="shared" si="103"/>
        <v>4</v>
      </c>
      <c r="BZ45" s="43">
        <f t="shared" si="103"/>
        <v>1</v>
      </c>
      <c r="CA45" s="106">
        <f t="shared" si="104"/>
        <v>5</v>
      </c>
      <c r="CB45" s="132">
        <v>1</v>
      </c>
      <c r="CC45" s="142"/>
      <c r="CD45" s="142"/>
      <c r="CE45" s="198"/>
      <c r="CF45" s="43">
        <f t="shared" si="105"/>
        <v>3</v>
      </c>
      <c r="CG45" s="43">
        <f t="shared" si="105"/>
        <v>0</v>
      </c>
      <c r="CH45" s="106">
        <f t="shared" si="106"/>
        <v>3</v>
      </c>
      <c r="CI45" s="107"/>
      <c r="CJ45" s="107"/>
      <c r="CK45" s="107"/>
      <c r="CL45" s="207"/>
      <c r="CM45" s="43">
        <f t="shared" si="34"/>
        <v>0</v>
      </c>
      <c r="CN45" s="43">
        <f t="shared" si="35"/>
        <v>0</v>
      </c>
      <c r="CO45" s="106">
        <f t="shared" si="36"/>
        <v>0</v>
      </c>
      <c r="CP45" s="132"/>
      <c r="CQ45" s="142"/>
      <c r="CR45" s="142">
        <v>2</v>
      </c>
      <c r="CS45" s="142">
        <v>1</v>
      </c>
      <c r="CT45" s="43">
        <f t="shared" si="37"/>
        <v>2</v>
      </c>
      <c r="CU45" s="43">
        <f t="shared" si="38"/>
        <v>1</v>
      </c>
      <c r="CV45" s="106">
        <f t="shared" si="39"/>
        <v>3</v>
      </c>
      <c r="CW45" s="132"/>
      <c r="CX45" s="142"/>
      <c r="CY45" s="142"/>
      <c r="CZ45" s="142"/>
      <c r="DA45" s="43">
        <f t="shared" si="40"/>
        <v>0</v>
      </c>
      <c r="DB45" s="43">
        <f t="shared" si="41"/>
        <v>0</v>
      </c>
      <c r="DC45" s="106">
        <f t="shared" si="42"/>
        <v>0</v>
      </c>
      <c r="DD45" s="181">
        <f t="shared" si="43"/>
        <v>22</v>
      </c>
      <c r="DE45" s="182">
        <f t="shared" ca="1" si="44"/>
        <v>8.7301587301587297E-2</v>
      </c>
      <c r="DF45" s="183">
        <f t="shared" si="45"/>
        <v>2</v>
      </c>
      <c r="DG45" s="182">
        <f t="shared" ca="1" si="46"/>
        <v>7.9365079365079361E-3</v>
      </c>
      <c r="DH45" s="183">
        <f t="shared" si="47"/>
        <v>24</v>
      </c>
      <c r="DI45" s="182">
        <f t="shared" ca="1" si="48"/>
        <v>9.5238095238095233E-2</v>
      </c>
      <c r="DJ45" s="183">
        <f t="shared" si="49"/>
        <v>3</v>
      </c>
      <c r="DK45" s="183">
        <f t="shared" si="50"/>
        <v>0</v>
      </c>
      <c r="DL45" s="183">
        <f t="shared" si="51"/>
        <v>3</v>
      </c>
    </row>
    <row r="46" spans="1:116" ht="15.75" thickBot="1" x14ac:dyDescent="0.3">
      <c r="A46" s="271" t="s">
        <v>17</v>
      </c>
      <c r="B46" s="241" t="s">
        <v>250</v>
      </c>
      <c r="C46" s="184" t="str">
        <f t="shared" si="0"/>
        <v>יונתן מרחבים</v>
      </c>
      <c r="D46" s="95" t="s">
        <v>6</v>
      </c>
      <c r="E46" s="95" t="s">
        <v>6</v>
      </c>
      <c r="F46" s="74" t="s">
        <v>249</v>
      </c>
      <c r="G46" s="72">
        <v>43221</v>
      </c>
      <c r="H46" s="115"/>
      <c r="I46" s="148" t="s">
        <v>252</v>
      </c>
      <c r="J46" s="136"/>
      <c r="K46" s="137"/>
      <c r="L46" s="137"/>
      <c r="M46" s="137"/>
      <c r="N46" s="135">
        <f t="shared" si="85"/>
        <v>0</v>
      </c>
      <c r="O46" s="135">
        <f t="shared" si="85"/>
        <v>0</v>
      </c>
      <c r="P46" s="44">
        <f t="shared" si="86"/>
        <v>0</v>
      </c>
      <c r="Q46" s="66"/>
      <c r="R46" s="68"/>
      <c r="S46" s="68"/>
      <c r="T46" s="68"/>
      <c r="U46" s="43">
        <f t="shared" si="87"/>
        <v>0</v>
      </c>
      <c r="V46" s="43">
        <f t="shared" si="87"/>
        <v>0</v>
      </c>
      <c r="W46" s="45">
        <f t="shared" si="88"/>
        <v>0</v>
      </c>
      <c r="X46" s="66"/>
      <c r="Y46" s="68"/>
      <c r="Z46" s="68"/>
      <c r="AA46" s="68"/>
      <c r="AB46" s="46">
        <f t="shared" si="89"/>
        <v>0</v>
      </c>
      <c r="AC46" s="46">
        <f t="shared" si="89"/>
        <v>0</v>
      </c>
      <c r="AD46" s="47">
        <f t="shared" si="90"/>
        <v>0</v>
      </c>
      <c r="AE46" s="66"/>
      <c r="AF46" s="68"/>
      <c r="AG46" s="68"/>
      <c r="AH46" s="68"/>
      <c r="AI46" s="43">
        <f t="shared" si="91"/>
        <v>0</v>
      </c>
      <c r="AJ46" s="43">
        <f t="shared" si="91"/>
        <v>0</v>
      </c>
      <c r="AK46" s="45">
        <f t="shared" si="92"/>
        <v>0</v>
      </c>
      <c r="AL46" s="66"/>
      <c r="AM46" s="68"/>
      <c r="AN46" s="68"/>
      <c r="AO46" s="68"/>
      <c r="AP46" s="43">
        <f t="shared" si="93"/>
        <v>0</v>
      </c>
      <c r="AQ46" s="43">
        <f t="shared" si="93"/>
        <v>0</v>
      </c>
      <c r="AR46" s="45">
        <f t="shared" si="94"/>
        <v>0</v>
      </c>
      <c r="AS46" s="66"/>
      <c r="AT46" s="68"/>
      <c r="AU46" s="68"/>
      <c r="AV46" s="68"/>
      <c r="AW46" s="43">
        <f t="shared" si="95"/>
        <v>0</v>
      </c>
      <c r="AX46" s="43">
        <f t="shared" si="95"/>
        <v>0</v>
      </c>
      <c r="AY46" s="45">
        <f t="shared" si="96"/>
        <v>0</v>
      </c>
      <c r="AZ46" s="66"/>
      <c r="BA46" s="68"/>
      <c r="BB46" s="68"/>
      <c r="BC46" s="68"/>
      <c r="BD46" s="43">
        <f t="shared" si="97"/>
        <v>0</v>
      </c>
      <c r="BE46" s="43">
        <f t="shared" si="97"/>
        <v>0</v>
      </c>
      <c r="BF46" s="45">
        <f t="shared" si="98"/>
        <v>0</v>
      </c>
      <c r="BG46" s="132"/>
      <c r="BH46" s="142"/>
      <c r="BI46" s="68"/>
      <c r="BJ46" s="68"/>
      <c r="BK46" s="43">
        <f t="shared" si="99"/>
        <v>0</v>
      </c>
      <c r="BL46" s="43">
        <f t="shared" si="99"/>
        <v>0</v>
      </c>
      <c r="BM46" s="106">
        <f t="shared" si="100"/>
        <v>0</v>
      </c>
      <c r="BN46" s="132"/>
      <c r="BO46" s="142"/>
      <c r="BP46" s="142"/>
      <c r="BQ46" s="142"/>
      <c r="BR46" s="43">
        <f t="shared" si="101"/>
        <v>0</v>
      </c>
      <c r="BS46" s="43">
        <f t="shared" si="101"/>
        <v>0</v>
      </c>
      <c r="BT46" s="106">
        <f t="shared" si="102"/>
        <v>0</v>
      </c>
      <c r="BU46" s="132"/>
      <c r="BV46" s="142"/>
      <c r="BW46" s="142"/>
      <c r="BX46" s="142"/>
      <c r="BY46" s="43">
        <f t="shared" si="103"/>
        <v>0</v>
      </c>
      <c r="BZ46" s="43">
        <f t="shared" si="103"/>
        <v>0</v>
      </c>
      <c r="CA46" s="106">
        <f t="shared" si="104"/>
        <v>0</v>
      </c>
      <c r="CB46" s="132"/>
      <c r="CC46" s="142"/>
      <c r="CD46" s="142"/>
      <c r="CE46" s="198"/>
      <c r="CF46" s="43">
        <f t="shared" si="105"/>
        <v>0</v>
      </c>
      <c r="CG46" s="43">
        <f t="shared" si="105"/>
        <v>0</v>
      </c>
      <c r="CH46" s="106">
        <f t="shared" si="106"/>
        <v>0</v>
      </c>
      <c r="CI46" s="107"/>
      <c r="CJ46" s="107"/>
      <c r="CK46" s="107">
        <v>1</v>
      </c>
      <c r="CL46" s="207"/>
      <c r="CM46" s="43">
        <f t="shared" si="34"/>
        <v>1</v>
      </c>
      <c r="CN46" s="43">
        <f t="shared" si="35"/>
        <v>0</v>
      </c>
      <c r="CO46" s="106">
        <f t="shared" si="36"/>
        <v>1</v>
      </c>
      <c r="CP46" s="132"/>
      <c r="CQ46" s="142"/>
      <c r="CR46" s="142">
        <v>3</v>
      </c>
      <c r="CS46" s="142"/>
      <c r="CT46" s="43">
        <f t="shared" si="37"/>
        <v>3</v>
      </c>
      <c r="CU46" s="43">
        <f t="shared" si="38"/>
        <v>0</v>
      </c>
      <c r="CV46" s="106">
        <f t="shared" si="39"/>
        <v>3</v>
      </c>
      <c r="CW46" s="132"/>
      <c r="CX46" s="142"/>
      <c r="CY46" s="142"/>
      <c r="CZ46" s="142"/>
      <c r="DA46" s="43">
        <f t="shared" si="40"/>
        <v>0</v>
      </c>
      <c r="DB46" s="43">
        <f t="shared" si="41"/>
        <v>0</v>
      </c>
      <c r="DC46" s="106">
        <f t="shared" si="42"/>
        <v>0</v>
      </c>
      <c r="DD46" s="181">
        <f t="shared" si="43"/>
        <v>4</v>
      </c>
      <c r="DE46" s="182">
        <f t="shared" ca="1" si="44"/>
        <v>5.6338028169014086E-2</v>
      </c>
      <c r="DF46" s="183">
        <f t="shared" si="45"/>
        <v>0</v>
      </c>
      <c r="DG46" s="182">
        <f t="shared" ca="1" si="46"/>
        <v>0</v>
      </c>
      <c r="DH46" s="183">
        <f t="shared" si="47"/>
        <v>4</v>
      </c>
      <c r="DI46" s="182">
        <f t="shared" ca="1" si="48"/>
        <v>5.6338028169014086E-2</v>
      </c>
      <c r="DJ46" s="183">
        <f t="shared" si="49"/>
        <v>0</v>
      </c>
      <c r="DK46" s="183">
        <f t="shared" si="50"/>
        <v>0</v>
      </c>
      <c r="DL46" s="183">
        <f t="shared" si="51"/>
        <v>0</v>
      </c>
    </row>
    <row r="47" spans="1:116" ht="15.75" thickBot="1" x14ac:dyDescent="0.3">
      <c r="A47" s="271" t="s">
        <v>17</v>
      </c>
      <c r="B47" s="241" t="s">
        <v>166</v>
      </c>
      <c r="C47" s="184" t="str">
        <f t="shared" si="0"/>
        <v>נועה מרחבים</v>
      </c>
      <c r="D47" s="95" t="s">
        <v>6</v>
      </c>
      <c r="E47" s="95" t="s">
        <v>7</v>
      </c>
      <c r="F47" s="141" t="s">
        <v>210</v>
      </c>
      <c r="G47" s="72">
        <v>43160</v>
      </c>
      <c r="H47" s="74"/>
      <c r="I47" s="148" t="s">
        <v>209</v>
      </c>
      <c r="J47" s="136"/>
      <c r="K47" s="137"/>
      <c r="L47" s="137"/>
      <c r="M47" s="137"/>
      <c r="N47" s="135">
        <f t="shared" si="85"/>
        <v>0</v>
      </c>
      <c r="O47" s="135">
        <f t="shared" si="85"/>
        <v>0</v>
      </c>
      <c r="P47" s="44">
        <f t="shared" si="86"/>
        <v>0</v>
      </c>
      <c r="Q47" s="66"/>
      <c r="R47" s="68"/>
      <c r="S47" s="68"/>
      <c r="T47" s="68"/>
      <c r="U47" s="43">
        <f t="shared" si="87"/>
        <v>0</v>
      </c>
      <c r="V47" s="43">
        <f t="shared" si="87"/>
        <v>0</v>
      </c>
      <c r="W47" s="45">
        <f t="shared" si="88"/>
        <v>0</v>
      </c>
      <c r="X47" s="66"/>
      <c r="Y47" s="68"/>
      <c r="Z47" s="68"/>
      <c r="AA47" s="68"/>
      <c r="AB47" s="46">
        <f t="shared" si="89"/>
        <v>0</v>
      </c>
      <c r="AC47" s="46">
        <f t="shared" si="89"/>
        <v>0</v>
      </c>
      <c r="AD47" s="47">
        <f t="shared" si="90"/>
        <v>0</v>
      </c>
      <c r="AE47" s="66"/>
      <c r="AF47" s="68"/>
      <c r="AG47" s="68"/>
      <c r="AH47" s="68"/>
      <c r="AI47" s="43">
        <f t="shared" si="91"/>
        <v>0</v>
      </c>
      <c r="AJ47" s="43">
        <f t="shared" si="91"/>
        <v>0</v>
      </c>
      <c r="AK47" s="45">
        <f t="shared" si="92"/>
        <v>0</v>
      </c>
      <c r="AL47" s="66"/>
      <c r="AM47" s="68"/>
      <c r="AN47" s="68"/>
      <c r="AO47" s="68"/>
      <c r="AP47" s="43">
        <f t="shared" si="93"/>
        <v>0</v>
      </c>
      <c r="AQ47" s="43">
        <f t="shared" si="93"/>
        <v>0</v>
      </c>
      <c r="AR47" s="45">
        <f t="shared" si="94"/>
        <v>0</v>
      </c>
      <c r="AS47" s="66"/>
      <c r="AT47" s="68"/>
      <c r="AU47" s="68"/>
      <c r="AV47" s="68"/>
      <c r="AW47" s="43">
        <f t="shared" si="95"/>
        <v>0</v>
      </c>
      <c r="AX47" s="43">
        <f t="shared" si="95"/>
        <v>0</v>
      </c>
      <c r="AY47" s="45">
        <f t="shared" si="96"/>
        <v>0</v>
      </c>
      <c r="AZ47" s="66"/>
      <c r="BA47" s="68"/>
      <c r="BB47" s="68"/>
      <c r="BC47" s="68"/>
      <c r="BD47" s="43">
        <f t="shared" si="97"/>
        <v>0</v>
      </c>
      <c r="BE47" s="43">
        <f t="shared" si="97"/>
        <v>0</v>
      </c>
      <c r="BF47" s="45">
        <f t="shared" si="98"/>
        <v>0</v>
      </c>
      <c r="BG47" s="132"/>
      <c r="BH47" s="142"/>
      <c r="BI47" s="68"/>
      <c r="BJ47" s="68"/>
      <c r="BK47" s="43">
        <f t="shared" si="99"/>
        <v>0</v>
      </c>
      <c r="BL47" s="43">
        <f t="shared" si="99"/>
        <v>0</v>
      </c>
      <c r="BM47" s="106">
        <f t="shared" si="100"/>
        <v>0</v>
      </c>
      <c r="BN47" s="132"/>
      <c r="BO47" s="142"/>
      <c r="BP47" s="142"/>
      <c r="BQ47" s="142"/>
      <c r="BR47" s="43">
        <f t="shared" si="101"/>
        <v>0</v>
      </c>
      <c r="BS47" s="43">
        <f t="shared" si="101"/>
        <v>0</v>
      </c>
      <c r="BT47" s="106">
        <f t="shared" si="102"/>
        <v>0</v>
      </c>
      <c r="BU47" s="132"/>
      <c r="BV47" s="142"/>
      <c r="BW47" s="142">
        <v>3</v>
      </c>
      <c r="BX47" s="142"/>
      <c r="BY47" s="43">
        <f t="shared" si="103"/>
        <v>3</v>
      </c>
      <c r="BZ47" s="43">
        <f t="shared" si="103"/>
        <v>0</v>
      </c>
      <c r="CA47" s="106">
        <f t="shared" si="104"/>
        <v>3</v>
      </c>
      <c r="CB47" s="132"/>
      <c r="CC47" s="142"/>
      <c r="CD47" s="142">
        <v>2</v>
      </c>
      <c r="CE47" s="198"/>
      <c r="CF47" s="43">
        <f t="shared" si="105"/>
        <v>2</v>
      </c>
      <c r="CG47" s="43">
        <f t="shared" si="105"/>
        <v>0</v>
      </c>
      <c r="CH47" s="106">
        <f t="shared" si="106"/>
        <v>2</v>
      </c>
      <c r="CI47" s="107"/>
      <c r="CJ47" s="107"/>
      <c r="CK47" s="107">
        <v>2</v>
      </c>
      <c r="CL47" s="207"/>
      <c r="CM47" s="43">
        <f t="shared" si="34"/>
        <v>2</v>
      </c>
      <c r="CN47" s="43">
        <f t="shared" si="35"/>
        <v>0</v>
      </c>
      <c r="CO47" s="106">
        <f t="shared" si="36"/>
        <v>2</v>
      </c>
      <c r="CP47" s="132"/>
      <c r="CQ47" s="142"/>
      <c r="CR47" s="142">
        <v>3</v>
      </c>
      <c r="CS47" s="142">
        <v>1</v>
      </c>
      <c r="CT47" s="43">
        <f t="shared" si="37"/>
        <v>3</v>
      </c>
      <c r="CU47" s="43">
        <f t="shared" si="38"/>
        <v>1</v>
      </c>
      <c r="CV47" s="106">
        <f t="shared" si="39"/>
        <v>4</v>
      </c>
      <c r="CW47" s="132"/>
      <c r="CX47" s="142"/>
      <c r="CY47" s="142"/>
      <c r="CZ47" s="142"/>
      <c r="DA47" s="43">
        <f t="shared" si="40"/>
        <v>0</v>
      </c>
      <c r="DB47" s="43">
        <f t="shared" si="41"/>
        <v>0</v>
      </c>
      <c r="DC47" s="106">
        <f t="shared" si="42"/>
        <v>0</v>
      </c>
      <c r="DD47" s="181">
        <f t="shared" si="43"/>
        <v>10</v>
      </c>
      <c r="DE47" s="182">
        <f t="shared" ca="1" si="44"/>
        <v>7.575757575757576E-2</v>
      </c>
      <c r="DF47" s="183">
        <f t="shared" si="45"/>
        <v>1</v>
      </c>
      <c r="DG47" s="182">
        <f t="shared" ca="1" si="46"/>
        <v>7.575757575757576E-3</v>
      </c>
      <c r="DH47" s="183">
        <f t="shared" si="47"/>
        <v>11</v>
      </c>
      <c r="DI47" s="182">
        <f t="shared" ca="1" si="48"/>
        <v>8.3333333333333343E-2</v>
      </c>
      <c r="DJ47" s="183">
        <f t="shared" si="49"/>
        <v>0</v>
      </c>
      <c r="DK47" s="183">
        <f t="shared" si="50"/>
        <v>0</v>
      </c>
      <c r="DL47" s="183">
        <f t="shared" si="51"/>
        <v>0</v>
      </c>
    </row>
    <row r="48" spans="1:116" ht="15.75" thickBot="1" x14ac:dyDescent="0.3">
      <c r="A48" s="129" t="s">
        <v>17</v>
      </c>
      <c r="B48" s="259" t="s">
        <v>129</v>
      </c>
      <c r="C48" s="267" t="str">
        <f t="shared" si="0"/>
        <v>רותם מרחבים</v>
      </c>
      <c r="D48" s="143" t="s">
        <v>7</v>
      </c>
      <c r="E48" s="143" t="s">
        <v>7</v>
      </c>
      <c r="F48" s="114" t="s">
        <v>195</v>
      </c>
      <c r="G48" s="96">
        <v>43101</v>
      </c>
      <c r="H48" s="266"/>
      <c r="I48" s="269"/>
      <c r="J48" s="138"/>
      <c r="K48" s="139"/>
      <c r="L48" s="139"/>
      <c r="M48" s="139"/>
      <c r="N48" s="140">
        <f t="shared" si="85"/>
        <v>0</v>
      </c>
      <c r="O48" s="140">
        <f t="shared" si="85"/>
        <v>0</v>
      </c>
      <c r="P48" s="98">
        <f t="shared" si="86"/>
        <v>0</v>
      </c>
      <c r="Q48" s="99"/>
      <c r="R48" s="100"/>
      <c r="S48" s="100"/>
      <c r="T48" s="100"/>
      <c r="U48" s="112">
        <f t="shared" si="87"/>
        <v>0</v>
      </c>
      <c r="V48" s="112">
        <f t="shared" si="87"/>
        <v>0</v>
      </c>
      <c r="W48" s="131">
        <f t="shared" si="88"/>
        <v>0</v>
      </c>
      <c r="X48" s="99"/>
      <c r="Y48" s="100"/>
      <c r="Z48" s="100"/>
      <c r="AA48" s="100"/>
      <c r="AB48" s="97">
        <f t="shared" si="89"/>
        <v>0</v>
      </c>
      <c r="AC48" s="97">
        <f t="shared" si="89"/>
        <v>0</v>
      </c>
      <c r="AD48" s="101">
        <f t="shared" si="90"/>
        <v>0</v>
      </c>
      <c r="AE48" s="99"/>
      <c r="AF48" s="100"/>
      <c r="AG48" s="100"/>
      <c r="AH48" s="100"/>
      <c r="AI48" s="112">
        <f t="shared" si="91"/>
        <v>0</v>
      </c>
      <c r="AJ48" s="112">
        <f t="shared" si="91"/>
        <v>0</v>
      </c>
      <c r="AK48" s="131">
        <f t="shared" si="92"/>
        <v>0</v>
      </c>
      <c r="AL48" s="99"/>
      <c r="AM48" s="100"/>
      <c r="AN48" s="100"/>
      <c r="AO48" s="100"/>
      <c r="AP48" s="112">
        <f t="shared" si="93"/>
        <v>0</v>
      </c>
      <c r="AQ48" s="112">
        <f t="shared" si="93"/>
        <v>0</v>
      </c>
      <c r="AR48" s="131">
        <f t="shared" si="94"/>
        <v>0</v>
      </c>
      <c r="AS48" s="99"/>
      <c r="AT48" s="100"/>
      <c r="AU48" s="100">
        <v>1</v>
      </c>
      <c r="AV48" s="100"/>
      <c r="AW48" s="112">
        <f t="shared" si="95"/>
        <v>1</v>
      </c>
      <c r="AX48" s="112">
        <f t="shared" si="95"/>
        <v>0</v>
      </c>
      <c r="AY48" s="131">
        <f t="shared" si="96"/>
        <v>1</v>
      </c>
      <c r="AZ48" s="99"/>
      <c r="BA48" s="100"/>
      <c r="BB48" s="100">
        <v>1</v>
      </c>
      <c r="BC48" s="100"/>
      <c r="BD48" s="112">
        <f t="shared" si="97"/>
        <v>1</v>
      </c>
      <c r="BE48" s="112">
        <f t="shared" si="97"/>
        <v>0</v>
      </c>
      <c r="BF48" s="131">
        <f t="shared" si="98"/>
        <v>1</v>
      </c>
      <c r="BG48" s="129"/>
      <c r="BH48" s="108"/>
      <c r="BI48" s="100">
        <v>2</v>
      </c>
      <c r="BJ48" s="100"/>
      <c r="BK48" s="112">
        <f t="shared" si="99"/>
        <v>2</v>
      </c>
      <c r="BL48" s="112">
        <f t="shared" si="99"/>
        <v>0</v>
      </c>
      <c r="BM48" s="113">
        <f t="shared" si="100"/>
        <v>2</v>
      </c>
      <c r="BN48" s="129"/>
      <c r="BO48" s="108"/>
      <c r="BP48" s="108">
        <v>2</v>
      </c>
      <c r="BQ48" s="108"/>
      <c r="BR48" s="112">
        <f t="shared" si="101"/>
        <v>2</v>
      </c>
      <c r="BS48" s="112">
        <f t="shared" si="101"/>
        <v>0</v>
      </c>
      <c r="BT48" s="113">
        <f t="shared" si="102"/>
        <v>2</v>
      </c>
      <c r="BU48" s="129"/>
      <c r="BV48" s="108"/>
      <c r="BW48" s="108"/>
      <c r="BX48" s="108"/>
      <c r="BY48" s="112">
        <f t="shared" si="103"/>
        <v>0</v>
      </c>
      <c r="BZ48" s="112">
        <f t="shared" si="103"/>
        <v>0</v>
      </c>
      <c r="CA48" s="113">
        <f t="shared" si="104"/>
        <v>0</v>
      </c>
      <c r="CB48" s="129"/>
      <c r="CC48" s="108">
        <v>1</v>
      </c>
      <c r="CD48" s="108"/>
      <c r="CE48" s="199">
        <v>1</v>
      </c>
      <c r="CF48" s="112">
        <f t="shared" si="105"/>
        <v>0</v>
      </c>
      <c r="CG48" s="112">
        <f t="shared" si="105"/>
        <v>4</v>
      </c>
      <c r="CH48" s="113">
        <f t="shared" si="106"/>
        <v>4</v>
      </c>
      <c r="CI48" s="108"/>
      <c r="CJ48" s="108"/>
      <c r="CK48" s="108"/>
      <c r="CL48" s="239">
        <v>3</v>
      </c>
      <c r="CM48" s="112">
        <f t="shared" si="34"/>
        <v>0</v>
      </c>
      <c r="CN48" s="112">
        <f t="shared" si="35"/>
        <v>3</v>
      </c>
      <c r="CO48" s="113">
        <f t="shared" si="36"/>
        <v>3</v>
      </c>
      <c r="CP48" s="129"/>
      <c r="CQ48" s="108">
        <v>1</v>
      </c>
      <c r="CR48" s="108"/>
      <c r="CS48" s="108">
        <v>1</v>
      </c>
      <c r="CT48" s="112">
        <f t="shared" si="37"/>
        <v>0</v>
      </c>
      <c r="CU48" s="112">
        <f t="shared" si="38"/>
        <v>4</v>
      </c>
      <c r="CV48" s="113">
        <f t="shared" si="39"/>
        <v>4</v>
      </c>
      <c r="CW48" s="129"/>
      <c r="CX48" s="108"/>
      <c r="CY48" s="108"/>
      <c r="CZ48" s="108"/>
      <c r="DA48" s="112">
        <f t="shared" si="40"/>
        <v>0</v>
      </c>
      <c r="DB48" s="112">
        <f t="shared" si="41"/>
        <v>0</v>
      </c>
      <c r="DC48" s="113">
        <f t="shared" si="42"/>
        <v>0</v>
      </c>
      <c r="DD48" s="181">
        <f t="shared" si="43"/>
        <v>6</v>
      </c>
      <c r="DE48" s="182">
        <f t="shared" ca="1" si="44"/>
        <v>3.1413612565445025E-2</v>
      </c>
      <c r="DF48" s="183">
        <f t="shared" si="45"/>
        <v>11</v>
      </c>
      <c r="DG48" s="182">
        <f t="shared" ca="1" si="46"/>
        <v>5.7591623036649213E-2</v>
      </c>
      <c r="DH48" s="183">
        <f t="shared" si="47"/>
        <v>17</v>
      </c>
      <c r="DI48" s="182">
        <f t="shared" ca="1" si="48"/>
        <v>8.9005235602094238E-2</v>
      </c>
      <c r="DJ48" s="183">
        <f t="shared" si="49"/>
        <v>0</v>
      </c>
      <c r="DK48" s="183">
        <f t="shared" si="50"/>
        <v>2</v>
      </c>
      <c r="DL48" s="183">
        <f t="shared" si="51"/>
        <v>2</v>
      </c>
    </row>
    <row r="49" spans="1:107" x14ac:dyDescent="0.25">
      <c r="A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104"/>
      <c r="BO49" s="104"/>
      <c r="BP49" s="104"/>
      <c r="BQ49" s="104"/>
      <c r="BR49" s="104"/>
      <c r="BS49" s="38"/>
      <c r="BT49" s="38"/>
      <c r="BU49" s="104"/>
      <c r="BV49" s="104"/>
      <c r="BW49" s="104"/>
      <c r="BY49" s="104"/>
      <c r="BZ49" s="38"/>
      <c r="CA49" s="38"/>
      <c r="CB49" s="104"/>
      <c r="CC49" s="104"/>
      <c r="CD49" s="104"/>
      <c r="CE49" s="104"/>
      <c r="CF49" s="104"/>
      <c r="CG49" s="38"/>
      <c r="CH49" s="38"/>
      <c r="CI49" s="104"/>
      <c r="CJ49" s="104"/>
      <c r="CK49" s="104"/>
      <c r="CM49" s="104"/>
      <c r="CN49" s="38"/>
      <c r="CO49" s="38"/>
      <c r="CP49" s="104"/>
      <c r="CQ49" s="104"/>
      <c r="CR49" s="104"/>
      <c r="CS49" s="104"/>
      <c r="CT49" s="104"/>
      <c r="CU49" s="38"/>
      <c r="CV49" s="38"/>
      <c r="CW49" s="104"/>
      <c r="CX49" s="104"/>
      <c r="CY49" s="104"/>
      <c r="CZ49" s="104"/>
      <c r="DA49" s="104"/>
      <c r="DB49" s="38"/>
      <c r="DC49" s="38"/>
    </row>
    <row r="50" spans="1:107" x14ac:dyDescent="0.25">
      <c r="A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104"/>
      <c r="BO50" s="104"/>
      <c r="BP50" s="104"/>
      <c r="BQ50" s="104"/>
      <c r="BR50" s="104"/>
      <c r="BS50" s="38"/>
      <c r="BT50" s="38"/>
      <c r="BU50" s="104"/>
      <c r="BV50" s="104"/>
      <c r="BW50" s="104"/>
      <c r="BY50" s="104"/>
      <c r="BZ50" s="38"/>
      <c r="CA50" s="38"/>
      <c r="CB50" s="104"/>
      <c r="CC50" s="104"/>
      <c r="CD50" s="104"/>
      <c r="CE50" s="104"/>
      <c r="CF50" s="104"/>
      <c r="CG50" s="38"/>
      <c r="CH50" s="38"/>
      <c r="CI50" s="104"/>
      <c r="CJ50" s="104"/>
      <c r="CK50" s="104"/>
      <c r="CM50" s="104"/>
      <c r="CN50" s="38"/>
      <c r="CO50" s="38"/>
      <c r="CP50" s="104"/>
      <c r="CQ50" s="104"/>
      <c r="CR50" s="104"/>
      <c r="CS50" s="104"/>
      <c r="CT50" s="104"/>
      <c r="CU50" s="38"/>
      <c r="CV50" s="38"/>
      <c r="CW50" s="104"/>
      <c r="CX50" s="104"/>
      <c r="CY50" s="104"/>
      <c r="CZ50" s="104"/>
      <c r="DA50" s="104"/>
      <c r="DB50" s="38"/>
      <c r="DC50" s="38"/>
    </row>
    <row r="51" spans="1:107" ht="33.75" x14ac:dyDescent="0.5">
      <c r="A51" s="38"/>
      <c r="D51" s="130" t="s">
        <v>275</v>
      </c>
      <c r="I51" s="38"/>
      <c r="J51" s="38"/>
      <c r="K51" s="38"/>
      <c r="L51" s="38"/>
      <c r="M51" s="38"/>
      <c r="N51" s="38"/>
      <c r="O51" s="38"/>
      <c r="P51" s="38"/>
      <c r="Q51" s="38"/>
      <c r="R51" s="38"/>
      <c r="S51" s="38"/>
      <c r="T51" s="38"/>
      <c r="U51" s="38"/>
      <c r="V51" s="38"/>
      <c r="W51" s="38"/>
      <c r="X51" s="38"/>
      <c r="Y51" s="38"/>
      <c r="Z51" s="38"/>
      <c r="AA51" s="38"/>
    </row>
    <row r="52" spans="1:107" ht="33.75" x14ac:dyDescent="0.5">
      <c r="A52" s="38"/>
      <c r="C52" s="130"/>
      <c r="I52" s="38"/>
      <c r="J52" s="38"/>
      <c r="K52" s="38"/>
      <c r="L52" s="38"/>
      <c r="M52" s="38"/>
      <c r="N52" s="38"/>
      <c r="O52" s="38"/>
      <c r="P52" s="38"/>
      <c r="Q52" s="38"/>
      <c r="R52" s="38"/>
      <c r="S52" s="38"/>
      <c r="T52" s="38"/>
      <c r="U52" s="38"/>
      <c r="V52" s="38"/>
      <c r="W52" s="38"/>
      <c r="X52" s="38"/>
      <c r="Y52" s="38"/>
      <c r="Z52" s="38"/>
      <c r="AA52" s="38"/>
    </row>
    <row r="53" spans="1:107" x14ac:dyDescent="0.25">
      <c r="A53" s="38"/>
      <c r="I53" s="38"/>
      <c r="J53" s="38"/>
      <c r="K53" s="38"/>
      <c r="L53" s="38"/>
      <c r="M53" s="38"/>
      <c r="N53" s="38"/>
      <c r="O53" s="38"/>
      <c r="P53" s="38"/>
      <c r="Q53" s="38"/>
      <c r="R53" s="38"/>
      <c r="S53" s="38"/>
      <c r="T53" s="38"/>
      <c r="U53" s="38"/>
      <c r="V53" s="38"/>
      <c r="W53" s="38"/>
      <c r="X53" s="38"/>
      <c r="Y53" s="38"/>
      <c r="Z53" s="38"/>
      <c r="AA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row r="80" spans="1:107" x14ac:dyDescent="0.25">
      <c r="A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104"/>
      <c r="BO80" s="104"/>
      <c r="BP80" s="104"/>
      <c r="BQ80" s="104"/>
      <c r="BR80" s="104"/>
      <c r="BS80" s="38"/>
      <c r="BT80" s="38"/>
      <c r="BU80" s="104"/>
      <c r="BV80" s="104"/>
      <c r="BW80" s="104"/>
      <c r="BY80" s="104"/>
      <c r="BZ80" s="38"/>
      <c r="CA80" s="38"/>
      <c r="CB80" s="104"/>
      <c r="CC80" s="104"/>
      <c r="CD80" s="104"/>
      <c r="CE80" s="104"/>
      <c r="CF80" s="104"/>
      <c r="CG80" s="38"/>
      <c r="CH80" s="38"/>
      <c r="CI80" s="104"/>
      <c r="CJ80" s="104"/>
      <c r="CK80" s="104"/>
      <c r="CM80" s="104"/>
      <c r="CN80" s="38"/>
      <c r="CO80" s="38"/>
      <c r="CP80" s="104"/>
      <c r="CQ80" s="104"/>
      <c r="CR80" s="104"/>
      <c r="CS80" s="104"/>
      <c r="CT80" s="104"/>
      <c r="CU80" s="38"/>
      <c r="CV80" s="38"/>
      <c r="CW80" s="104"/>
      <c r="CX80" s="104"/>
      <c r="CY80" s="104"/>
      <c r="CZ80" s="104"/>
      <c r="DA80" s="104"/>
      <c r="DB80" s="38"/>
      <c r="DC80" s="38"/>
    </row>
    <row r="81" spans="1:107" x14ac:dyDescent="0.25">
      <c r="A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104"/>
      <c r="BO81" s="104"/>
      <c r="BP81" s="104"/>
      <c r="BQ81" s="104"/>
      <c r="BR81" s="104"/>
      <c r="BS81" s="38"/>
      <c r="BT81" s="38"/>
      <c r="BU81" s="104"/>
      <c r="BV81" s="104"/>
      <c r="BW81" s="104"/>
      <c r="BY81" s="104"/>
      <c r="BZ81" s="38"/>
      <c r="CA81" s="38"/>
      <c r="CB81" s="104"/>
      <c r="CC81" s="104"/>
      <c r="CD81" s="104"/>
      <c r="CE81" s="104"/>
      <c r="CF81" s="104"/>
      <c r="CG81" s="38"/>
      <c r="CH81" s="38"/>
      <c r="CI81" s="104"/>
      <c r="CJ81" s="104"/>
      <c r="CK81" s="104"/>
      <c r="CM81" s="104"/>
      <c r="CN81" s="38"/>
      <c r="CO81" s="38"/>
      <c r="CP81" s="104"/>
      <c r="CQ81" s="104"/>
      <c r="CR81" s="104"/>
      <c r="CS81" s="104"/>
      <c r="CT81" s="104"/>
      <c r="CU81" s="38"/>
      <c r="CV81" s="38"/>
      <c r="CW81" s="104"/>
      <c r="CX81" s="104"/>
      <c r="CY81" s="104"/>
      <c r="CZ81" s="104"/>
      <c r="DA81" s="104"/>
      <c r="DB81" s="38"/>
      <c r="DC81" s="38"/>
    </row>
    <row r="82" spans="1:107" x14ac:dyDescent="0.25">
      <c r="A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104"/>
      <c r="BO82" s="104"/>
      <c r="BP82" s="104"/>
      <c r="BQ82" s="104"/>
      <c r="BR82" s="104"/>
      <c r="BS82" s="38"/>
      <c r="BT82" s="38"/>
      <c r="BU82" s="104"/>
      <c r="BV82" s="104"/>
      <c r="BW82" s="104"/>
      <c r="BY82" s="104"/>
      <c r="BZ82" s="38"/>
      <c r="CA82" s="38"/>
      <c r="CB82" s="104"/>
      <c r="CC82" s="104"/>
      <c r="CD82" s="104"/>
      <c r="CE82" s="104"/>
      <c r="CF82" s="104"/>
      <c r="CG82" s="38"/>
      <c r="CH82" s="38"/>
      <c r="CI82" s="104"/>
      <c r="CJ82" s="104"/>
      <c r="CK82" s="104"/>
      <c r="CM82" s="104"/>
      <c r="CN82" s="38"/>
      <c r="CO82" s="38"/>
      <c r="CP82" s="104"/>
      <c r="CQ82" s="104"/>
      <c r="CR82" s="104"/>
      <c r="CS82" s="104"/>
      <c r="CT82" s="104"/>
      <c r="CU82" s="38"/>
      <c r="CV82" s="38"/>
      <c r="CW82" s="104"/>
      <c r="CX82" s="104"/>
      <c r="CY82" s="104"/>
      <c r="CZ82" s="104"/>
      <c r="DA82" s="104"/>
      <c r="DB82" s="38"/>
      <c r="DC82" s="38"/>
    </row>
    <row r="83" spans="1:107" x14ac:dyDescent="0.25">
      <c r="A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104"/>
      <c r="BO83" s="104"/>
      <c r="BP83" s="104"/>
      <c r="BQ83" s="104"/>
      <c r="BR83" s="104"/>
      <c r="BS83" s="38"/>
      <c r="BT83" s="38"/>
      <c r="BU83" s="104"/>
      <c r="BV83" s="104"/>
      <c r="BW83" s="104"/>
      <c r="BY83" s="104"/>
      <c r="BZ83" s="38"/>
      <c r="CA83" s="38"/>
      <c r="CB83" s="104"/>
      <c r="CC83" s="104"/>
      <c r="CD83" s="104"/>
      <c r="CE83" s="104"/>
      <c r="CF83" s="104"/>
      <c r="CG83" s="38"/>
      <c r="CH83" s="38"/>
      <c r="CI83" s="104"/>
      <c r="CJ83" s="104"/>
      <c r="CK83" s="104"/>
      <c r="CM83" s="104"/>
      <c r="CN83" s="38"/>
      <c r="CO83" s="38"/>
      <c r="CP83" s="104"/>
      <c r="CQ83" s="104"/>
      <c r="CR83" s="104"/>
      <c r="CS83" s="104"/>
      <c r="CT83" s="104"/>
      <c r="CU83" s="38"/>
      <c r="CV83" s="38"/>
      <c r="CW83" s="104"/>
      <c r="CX83" s="104"/>
      <c r="CY83" s="104"/>
      <c r="CZ83" s="104"/>
      <c r="DA83" s="104"/>
      <c r="DB83" s="38"/>
      <c r="DC83" s="38"/>
    </row>
  </sheetData>
  <autoFilter ref="A1:DL48" xr:uid="{42FE61C3-3718-4632-9A0D-63C57588609B}">
    <sortState ref="A2:DL48">
      <sortCondition ref="A1:A48"/>
    </sortState>
  </autoFilter>
  <conditionalFormatting sqref="E112:H1048576 H30:H31 G16:G19 E48:H48 E47:F47 H24:H27 E46:G46 H44:H47 E2:H9 H10:H22 E16:F31 E12:E15 E36:G44 E32:H35">
    <cfRule type="cellIs" dxfId="35" priority="81" operator="equal">
      <formula>"לא"</formula>
    </cfRule>
  </conditionalFormatting>
  <conditionalFormatting sqref="D112:D1048576 D46:D48 D2:D9 D23:D34 D12:D20 D39:D44">
    <cfRule type="cellIs" dxfId="34" priority="80" operator="equal">
      <formula>"כן"</formula>
    </cfRule>
  </conditionalFormatting>
  <conditionalFormatting sqref="Q49:W69">
    <cfRule type="cellIs" dxfId="33" priority="74" operator="notEqual">
      <formula>0</formula>
    </cfRule>
  </conditionalFormatting>
  <conditionalFormatting sqref="E11:F11 E10">
    <cfRule type="cellIs" dxfId="32" priority="66" operator="equal">
      <formula>"לא"</formula>
    </cfRule>
  </conditionalFormatting>
  <conditionalFormatting sqref="D10:D11">
    <cfRule type="cellIs" dxfId="31" priority="65" operator="equal">
      <formula>"כן"</formula>
    </cfRule>
  </conditionalFormatting>
  <conditionalFormatting sqref="H23 H29">
    <cfRule type="cellIs" dxfId="30" priority="62" operator="equal">
      <formula>"לא"</formula>
    </cfRule>
  </conditionalFormatting>
  <conditionalFormatting sqref="H28">
    <cfRule type="cellIs" dxfId="29" priority="60" operator="equal">
      <formula>"לא"</formula>
    </cfRule>
  </conditionalFormatting>
  <conditionalFormatting sqref="G20 G28 G23:G24">
    <cfRule type="cellIs" dxfId="28" priority="49" operator="equal">
      <formula>"לא"</formula>
    </cfRule>
  </conditionalFormatting>
  <conditionalFormatting sqref="D37:D38">
    <cfRule type="cellIs" dxfId="27" priority="43" operator="equal">
      <formula>"כן"</formula>
    </cfRule>
  </conditionalFormatting>
  <conditionalFormatting sqref="D21">
    <cfRule type="cellIs" dxfId="26" priority="46" operator="equal">
      <formula>"כן"</formula>
    </cfRule>
  </conditionalFormatting>
  <conditionalFormatting sqref="D22">
    <cfRule type="cellIs" dxfId="25" priority="45" operator="equal">
      <formula>"כן"</formula>
    </cfRule>
  </conditionalFormatting>
  <conditionalFormatting sqref="D35:D36">
    <cfRule type="cellIs" dxfId="24" priority="44" operator="equal">
      <formula>"כן"</formula>
    </cfRule>
  </conditionalFormatting>
  <conditionalFormatting sqref="G10">
    <cfRule type="cellIs" dxfId="23" priority="34" operator="equal">
      <formula>"לא"</formula>
    </cfRule>
  </conditionalFormatting>
  <conditionalFormatting sqref="G11">
    <cfRule type="cellIs" dxfId="22" priority="33" operator="equal">
      <formula>"לא"</formula>
    </cfRule>
  </conditionalFormatting>
  <conditionalFormatting sqref="G12">
    <cfRule type="cellIs" dxfId="21" priority="32" operator="equal">
      <formula>"לא"</formula>
    </cfRule>
  </conditionalFormatting>
  <conditionalFormatting sqref="G13:G15">
    <cfRule type="cellIs" dxfId="20" priority="31" operator="equal">
      <formula>"לא"</formula>
    </cfRule>
  </conditionalFormatting>
  <conditionalFormatting sqref="G21">
    <cfRule type="cellIs" dxfId="19" priority="28" operator="equal">
      <formula>"לא"</formula>
    </cfRule>
  </conditionalFormatting>
  <conditionalFormatting sqref="G22">
    <cfRule type="cellIs" dxfId="18" priority="27" operator="equal">
      <formula>"לא"</formula>
    </cfRule>
  </conditionalFormatting>
  <conditionalFormatting sqref="G25:G27">
    <cfRule type="cellIs" dxfId="17" priority="25" operator="equal">
      <formula>"לא"</formula>
    </cfRule>
  </conditionalFormatting>
  <conditionalFormatting sqref="G29">
    <cfRule type="cellIs" dxfId="16" priority="24" operator="equal">
      <formula>"לא"</formula>
    </cfRule>
  </conditionalFormatting>
  <conditionalFormatting sqref="G30">
    <cfRule type="cellIs" dxfId="15" priority="23" operator="equal">
      <formula>"לא"</formula>
    </cfRule>
  </conditionalFormatting>
  <conditionalFormatting sqref="G31">
    <cfRule type="cellIs" dxfId="14" priority="22" operator="equal">
      <formula>"לא"</formula>
    </cfRule>
  </conditionalFormatting>
  <conditionalFormatting sqref="H36">
    <cfRule type="cellIs" dxfId="13" priority="21" operator="equal">
      <formula>"לא"</formula>
    </cfRule>
  </conditionalFormatting>
  <conditionalFormatting sqref="H37:H38">
    <cfRule type="cellIs" dxfId="12" priority="20" operator="equal">
      <formula>"לא"</formula>
    </cfRule>
  </conditionalFormatting>
  <conditionalFormatting sqref="H39">
    <cfRule type="cellIs" dxfId="11" priority="19" operator="equal">
      <formula>"לא"</formula>
    </cfRule>
  </conditionalFormatting>
  <conditionalFormatting sqref="F10">
    <cfRule type="cellIs" dxfId="10" priority="13" operator="equal">
      <formula>"לא"</formula>
    </cfRule>
  </conditionalFormatting>
  <conditionalFormatting sqref="F12">
    <cfRule type="cellIs" dxfId="9" priority="12" operator="equal">
      <formula>"לא"</formula>
    </cfRule>
  </conditionalFormatting>
  <conditionalFormatting sqref="F13:F15">
    <cfRule type="cellIs" dxfId="8" priority="11" operator="equal">
      <formula>"לא"</formula>
    </cfRule>
  </conditionalFormatting>
  <conditionalFormatting sqref="H40:H41">
    <cfRule type="cellIs" dxfId="7" priority="9" operator="equal">
      <formula>"לא"</formula>
    </cfRule>
  </conditionalFormatting>
  <conditionalFormatting sqref="H42">
    <cfRule type="cellIs" dxfId="6" priority="8" operator="equal">
      <formula>"לא"</formula>
    </cfRule>
  </conditionalFormatting>
  <conditionalFormatting sqref="H43">
    <cfRule type="cellIs" dxfId="5" priority="7" operator="equal">
      <formula>"לא"</formula>
    </cfRule>
  </conditionalFormatting>
  <conditionalFormatting sqref="G47">
    <cfRule type="cellIs" dxfId="4" priority="5" operator="equal">
      <formula>"לא"</formula>
    </cfRule>
  </conditionalFormatting>
  <conditionalFormatting sqref="E45">
    <cfRule type="cellIs" dxfId="3" priority="4" operator="equal">
      <formula>"לא"</formula>
    </cfRule>
  </conditionalFormatting>
  <conditionalFormatting sqref="D45">
    <cfRule type="cellIs" dxfId="2" priority="3" operator="equal">
      <formula>"כן"</formula>
    </cfRule>
  </conditionalFormatting>
  <conditionalFormatting sqref="G45">
    <cfRule type="cellIs" dxfId="1" priority="2" operator="equal">
      <formula>"לא"</formula>
    </cfRule>
  </conditionalFormatting>
  <conditionalFormatting sqref="F45">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
  <sheetViews>
    <sheetView rightToLeft="1" zoomScale="118" zoomScaleNormal="118" workbookViewId="0">
      <selection activeCell="F8" sqref="F8"/>
    </sheetView>
  </sheetViews>
  <sheetFormatPr defaultRowHeight="15" x14ac:dyDescent="0.25"/>
  <cols>
    <col min="1" max="1" width="7.7109375"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G8" sqref="G8"/>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21</v>
      </c>
      <c r="C2" s="3">
        <f>COUNTIF(חיילים!D:D,"=כן")</f>
        <v>6</v>
      </c>
    </row>
    <row r="3" spans="2:10" ht="17.25" customHeight="1" thickBot="1" x14ac:dyDescent="0.3">
      <c r="B3" s="1" t="s">
        <v>20</v>
      </c>
      <c r="C3" s="1">
        <f>COUNTIF(חיילים!$D:D,"=לא")</f>
        <v>41</v>
      </c>
      <c r="F3" s="171"/>
      <c r="G3" s="252" t="s">
        <v>244</v>
      </c>
      <c r="H3" s="110" t="s">
        <v>245</v>
      </c>
      <c r="I3" s="110" t="s">
        <v>246</v>
      </c>
      <c r="J3" s="253" t="s">
        <v>247</v>
      </c>
    </row>
    <row r="4" spans="2:10" x14ac:dyDescent="0.25">
      <c r="B4" s="1" t="s">
        <v>19</v>
      </c>
      <c r="C4" s="2">
        <f>C3+C2</f>
        <v>47</v>
      </c>
      <c r="F4" s="249" t="s">
        <v>34</v>
      </c>
      <c r="G4" s="153">
        <f>SUM(חיילים!CW:CW)</f>
        <v>0</v>
      </c>
      <c r="H4" s="154">
        <f>SUM(חיילים!CX:CX)</f>
        <v>0</v>
      </c>
      <c r="I4" s="154">
        <f>SUM(חיילים!CY:CY)</f>
        <v>0</v>
      </c>
      <c r="J4" s="155">
        <f>SUM(חיילים!CZ:CZ)</f>
        <v>0</v>
      </c>
    </row>
    <row r="5" spans="2:10" x14ac:dyDescent="0.25">
      <c r="F5" s="250" t="s">
        <v>35</v>
      </c>
      <c r="G5" s="156">
        <f>G6-G4</f>
        <v>12</v>
      </c>
      <c r="H5" s="157">
        <f t="shared" ref="H5:I5" si="0">H6-H4</f>
        <v>4</v>
      </c>
      <c r="I5" s="157">
        <f t="shared" si="0"/>
        <v>48</v>
      </c>
      <c r="J5" s="158">
        <f>J6-J4</f>
        <v>16</v>
      </c>
    </row>
    <row r="6" spans="2:10" ht="15.75" thickBot="1" x14ac:dyDescent="0.3">
      <c r="F6" s="251" t="s">
        <v>36</v>
      </c>
      <c r="G6" s="159">
        <v>12</v>
      </c>
      <c r="H6" s="160">
        <v>4</v>
      </c>
      <c r="I6" s="160">
        <f>4*4*3</f>
        <v>48</v>
      </c>
      <c r="J6" s="161">
        <f>4*4*1</f>
        <v>16</v>
      </c>
    </row>
    <row r="7" spans="2:10" x14ac:dyDescent="0.25">
      <c r="B7" s="1" t="s">
        <v>22</v>
      </c>
      <c r="C7" s="1">
        <f>COUNTIF(חיילים!E:E,"=כן")</f>
        <v>41</v>
      </c>
    </row>
    <row r="8" spans="2:10" x14ac:dyDescent="0.25">
      <c r="B8" s="3" t="s">
        <v>23</v>
      </c>
      <c r="C8" s="3">
        <f>COUNTIF(חיילים!E:E,"=לא")</f>
        <v>6</v>
      </c>
    </row>
    <row r="9" spans="2:10" x14ac:dyDescent="0.25">
      <c r="B9" s="1" t="s">
        <v>19</v>
      </c>
      <c r="C9" s="2">
        <f>C8+C7</f>
        <v>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O36"/>
  <sheetViews>
    <sheetView rightToLeft="1" tabSelected="1" workbookViewId="0"/>
  </sheetViews>
  <sheetFormatPr defaultRowHeight="15" x14ac:dyDescent="0.25"/>
  <cols>
    <col min="11" max="11" width="15.28515625" bestFit="1" customWidth="1"/>
    <col min="13" max="13" width="11.140625" bestFit="1" customWidth="1"/>
    <col min="14" max="14" width="14.5703125" bestFit="1" customWidth="1"/>
  </cols>
  <sheetData>
    <row r="1" spans="1:15" x14ac:dyDescent="0.25">
      <c r="A1" s="5"/>
      <c r="B1" s="116"/>
      <c r="C1" s="116"/>
      <c r="D1" s="116"/>
      <c r="E1" s="116"/>
      <c r="F1" s="6">
        <v>30</v>
      </c>
      <c r="G1" s="6">
        <v>31</v>
      </c>
      <c r="H1" s="7">
        <v>1</v>
      </c>
    </row>
    <row r="2" spans="1:15" x14ac:dyDescent="0.25">
      <c r="A2" s="8" t="s">
        <v>27</v>
      </c>
      <c r="B2" s="255"/>
      <c r="C2" s="258"/>
      <c r="D2" s="255"/>
      <c r="E2" s="258"/>
      <c r="F2" s="279">
        <v>3</v>
      </c>
      <c r="G2" s="279"/>
      <c r="H2" s="280"/>
    </row>
    <row r="3" spans="1:15" x14ac:dyDescent="0.25">
      <c r="A3" s="8" t="s">
        <v>24</v>
      </c>
      <c r="B3" s="149"/>
      <c r="C3" s="149"/>
      <c r="D3" s="150"/>
      <c r="E3" s="150"/>
      <c r="F3" s="285"/>
      <c r="G3" s="285"/>
      <c r="H3" s="286"/>
      <c r="K3" s="1"/>
      <c r="L3" s="1" t="s">
        <v>24</v>
      </c>
      <c r="M3" s="1" t="s">
        <v>297</v>
      </c>
      <c r="N3" s="1" t="s">
        <v>298</v>
      </c>
      <c r="O3" s="1" t="s">
        <v>115</v>
      </c>
    </row>
    <row r="4" spans="1:15" x14ac:dyDescent="0.25">
      <c r="A4" s="8" t="s">
        <v>25</v>
      </c>
      <c r="B4" s="149"/>
      <c r="C4" s="150"/>
      <c r="D4" s="150"/>
      <c r="E4" s="149"/>
      <c r="F4" s="279"/>
      <c r="G4" s="279"/>
      <c r="H4" s="280"/>
      <c r="K4" s="1" t="s">
        <v>288</v>
      </c>
      <c r="L4" s="1"/>
      <c r="M4" s="1"/>
      <c r="N4" s="1"/>
      <c r="O4" s="1"/>
    </row>
    <row r="5" spans="1:15" x14ac:dyDescent="0.25">
      <c r="A5" s="8" t="s">
        <v>26</v>
      </c>
      <c r="B5" s="150"/>
      <c r="C5" s="149"/>
      <c r="D5" s="149"/>
      <c r="E5" s="150"/>
      <c r="F5" s="285"/>
      <c r="G5" s="285"/>
      <c r="H5" s="286"/>
      <c r="K5" s="1" t="s">
        <v>293</v>
      </c>
      <c r="L5" s="1"/>
      <c r="M5" s="1"/>
      <c r="N5" s="1"/>
      <c r="O5" s="1"/>
    </row>
    <row r="6" spans="1:15" ht="15.75" thickBot="1" x14ac:dyDescent="0.3">
      <c r="A6" s="8" t="s">
        <v>115</v>
      </c>
      <c r="B6" s="151"/>
      <c r="C6" s="151"/>
      <c r="D6" s="151"/>
      <c r="E6" s="152"/>
      <c r="F6" s="279"/>
      <c r="G6" s="279"/>
      <c r="H6" s="280"/>
      <c r="K6" s="1" t="s">
        <v>292</v>
      </c>
      <c r="L6" s="1"/>
      <c r="M6" s="1"/>
      <c r="N6" s="1"/>
      <c r="O6" s="1"/>
    </row>
    <row r="7" spans="1:15" x14ac:dyDescent="0.25">
      <c r="A7" s="5"/>
      <c r="B7" s="116">
        <v>2</v>
      </c>
      <c r="C7" s="116">
        <f>B7+1</f>
        <v>3</v>
      </c>
      <c r="D7" s="116">
        <f t="shared" ref="D7:H7" si="0">C7+1</f>
        <v>4</v>
      </c>
      <c r="E7" s="116">
        <f t="shared" si="0"/>
        <v>5</v>
      </c>
      <c r="F7" s="116">
        <f t="shared" si="0"/>
        <v>6</v>
      </c>
      <c r="G7" s="116">
        <f t="shared" si="0"/>
        <v>7</v>
      </c>
      <c r="H7" s="117">
        <f t="shared" si="0"/>
        <v>8</v>
      </c>
      <c r="K7" s="1" t="s">
        <v>294</v>
      </c>
      <c r="L7" s="1"/>
      <c r="M7" s="1"/>
      <c r="N7" s="1"/>
      <c r="O7" s="1"/>
    </row>
    <row r="8" spans="1:15" x14ac:dyDescent="0.25">
      <c r="A8" s="8" t="s">
        <v>27</v>
      </c>
      <c r="B8" s="255">
        <v>3</v>
      </c>
      <c r="C8" s="258">
        <v>3</v>
      </c>
      <c r="D8" s="255">
        <v>3</v>
      </c>
      <c r="E8" s="258">
        <v>3</v>
      </c>
      <c r="F8" s="279">
        <v>2</v>
      </c>
      <c r="G8" s="279"/>
      <c r="H8" s="280"/>
      <c r="K8" s="1" t="s">
        <v>290</v>
      </c>
      <c r="L8" s="1"/>
      <c r="M8" s="1"/>
      <c r="N8" s="1"/>
      <c r="O8" s="1"/>
    </row>
    <row r="9" spans="1:15" x14ac:dyDescent="0.25">
      <c r="A9" s="8" t="s">
        <v>24</v>
      </c>
      <c r="B9" s="257"/>
      <c r="C9" s="256"/>
      <c r="D9" s="258"/>
      <c r="E9" s="257"/>
      <c r="F9" s="279"/>
      <c r="G9" s="279"/>
      <c r="H9" s="280"/>
      <c r="K9" s="1" t="s">
        <v>295</v>
      </c>
      <c r="L9" s="1"/>
      <c r="M9" s="1"/>
      <c r="N9" s="1"/>
      <c r="O9" s="1"/>
    </row>
    <row r="10" spans="1:15" x14ac:dyDescent="0.25">
      <c r="A10" s="8" t="s">
        <v>25</v>
      </c>
      <c r="B10" s="255"/>
      <c r="C10" s="255"/>
      <c r="D10" s="255"/>
      <c r="E10" s="255"/>
      <c r="F10" s="279"/>
      <c r="G10" s="279"/>
      <c r="H10" s="280"/>
      <c r="K10" s="1" t="s">
        <v>291</v>
      </c>
      <c r="L10" s="1"/>
      <c r="M10" s="1"/>
      <c r="N10" s="1"/>
      <c r="O10" s="1"/>
    </row>
    <row r="11" spans="1:15" x14ac:dyDescent="0.25">
      <c r="A11" s="8" t="s">
        <v>26</v>
      </c>
      <c r="B11" s="255"/>
      <c r="C11" s="255"/>
      <c r="D11" s="256"/>
      <c r="E11" s="258"/>
      <c r="F11" s="285"/>
      <c r="G11" s="285"/>
      <c r="H11" s="286"/>
      <c r="K11" s="1" t="s">
        <v>296</v>
      </c>
      <c r="L11" s="1"/>
      <c r="M11" s="1"/>
      <c r="N11" s="1"/>
      <c r="O11" s="1"/>
    </row>
    <row r="12" spans="1:15" ht="15.75" thickBot="1" x14ac:dyDescent="0.3">
      <c r="A12" s="8" t="s">
        <v>115</v>
      </c>
      <c r="B12" s="255"/>
      <c r="C12" s="255"/>
      <c r="D12" s="70"/>
      <c r="E12" s="255"/>
      <c r="F12" s="279"/>
      <c r="G12" s="279"/>
      <c r="H12" s="280"/>
    </row>
    <row r="13" spans="1:15" x14ac:dyDescent="0.25">
      <c r="A13" s="5"/>
      <c r="B13" s="116">
        <f>B7+7</f>
        <v>9</v>
      </c>
      <c r="C13" s="116">
        <f>B13+1</f>
        <v>10</v>
      </c>
      <c r="D13" s="116">
        <f t="shared" ref="D13:H13" si="1">C13+1</f>
        <v>11</v>
      </c>
      <c r="E13" s="116">
        <f t="shared" si="1"/>
        <v>12</v>
      </c>
      <c r="F13" s="116">
        <f t="shared" si="1"/>
        <v>13</v>
      </c>
      <c r="G13" s="116">
        <f>F13+1</f>
        <v>14</v>
      </c>
      <c r="H13" s="117">
        <f t="shared" si="1"/>
        <v>15</v>
      </c>
    </row>
    <row r="14" spans="1:15" x14ac:dyDescent="0.25">
      <c r="A14" s="8" t="s">
        <v>27</v>
      </c>
      <c r="B14" s="272" t="s">
        <v>288</v>
      </c>
      <c r="C14" s="273"/>
      <c r="D14" s="274"/>
      <c r="E14" s="258">
        <v>3</v>
      </c>
      <c r="F14" s="279">
        <v>3</v>
      </c>
      <c r="G14" s="279"/>
      <c r="H14" s="280"/>
    </row>
    <row r="15" spans="1:15" x14ac:dyDescent="0.25">
      <c r="A15" s="8" t="s">
        <v>24</v>
      </c>
      <c r="B15" s="272"/>
      <c r="C15" s="273"/>
      <c r="D15" s="274"/>
      <c r="E15" s="255"/>
      <c r="F15" s="279"/>
      <c r="G15" s="279"/>
      <c r="H15" s="280"/>
    </row>
    <row r="16" spans="1:15" x14ac:dyDescent="0.25">
      <c r="A16" s="8" t="s">
        <v>25</v>
      </c>
      <c r="B16" s="272"/>
      <c r="C16" s="273"/>
      <c r="D16" s="274"/>
      <c r="E16" s="257"/>
      <c r="F16" s="285"/>
      <c r="G16" s="285"/>
      <c r="H16" s="286"/>
    </row>
    <row r="17" spans="1:8" x14ac:dyDescent="0.25">
      <c r="A17" s="8" t="s">
        <v>26</v>
      </c>
      <c r="B17" s="272"/>
      <c r="C17" s="273"/>
      <c r="D17" s="274"/>
      <c r="E17" s="258"/>
      <c r="F17" s="279"/>
      <c r="G17" s="279"/>
      <c r="H17" s="280"/>
    </row>
    <row r="18" spans="1:8" ht="15.75" thickBot="1" x14ac:dyDescent="0.3">
      <c r="A18" s="8" t="s">
        <v>115</v>
      </c>
      <c r="B18" s="272"/>
      <c r="C18" s="273"/>
      <c r="D18" s="274"/>
      <c r="E18" s="258"/>
      <c r="F18" s="279"/>
      <c r="G18" s="279"/>
      <c r="H18" s="280"/>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27</v>
      </c>
      <c r="B20" s="255">
        <v>3</v>
      </c>
      <c r="C20" s="258">
        <v>3</v>
      </c>
      <c r="D20" s="272" t="s">
        <v>289</v>
      </c>
      <c r="E20" s="274"/>
      <c r="F20" s="279">
        <v>3</v>
      </c>
      <c r="G20" s="279"/>
      <c r="H20" s="280"/>
    </row>
    <row r="21" spans="1:8" x14ac:dyDescent="0.25">
      <c r="A21" s="71" t="s">
        <v>24</v>
      </c>
      <c r="B21" s="255"/>
      <c r="C21" s="258"/>
      <c r="D21" s="272"/>
      <c r="E21" s="274"/>
      <c r="F21" s="272"/>
      <c r="G21" s="273"/>
      <c r="H21" s="281"/>
    </row>
    <row r="22" spans="1:8" x14ac:dyDescent="0.25">
      <c r="A22" s="8" t="s">
        <v>25</v>
      </c>
      <c r="B22" s="258"/>
      <c r="C22" s="255"/>
      <c r="D22" s="272"/>
      <c r="E22" s="274"/>
      <c r="F22" s="282"/>
      <c r="G22" s="283"/>
      <c r="H22" s="284"/>
    </row>
    <row r="23" spans="1:8" x14ac:dyDescent="0.25">
      <c r="A23" s="8" t="s">
        <v>26</v>
      </c>
      <c r="B23" s="256"/>
      <c r="C23" s="256"/>
      <c r="D23" s="272"/>
      <c r="E23" s="274"/>
      <c r="F23" s="285"/>
      <c r="G23" s="285"/>
      <c r="H23" s="286"/>
    </row>
    <row r="24" spans="1:8" ht="15.75" thickBot="1" x14ac:dyDescent="0.3">
      <c r="A24" s="15" t="s">
        <v>115</v>
      </c>
      <c r="B24" s="259"/>
      <c r="C24" s="259"/>
      <c r="D24" s="272"/>
      <c r="E24" s="274"/>
      <c r="F24" s="277"/>
      <c r="G24" s="277"/>
      <c r="H24" s="278"/>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27</v>
      </c>
      <c r="B26" s="272" t="s">
        <v>290</v>
      </c>
      <c r="C26" s="274"/>
      <c r="D26" s="255">
        <v>3</v>
      </c>
      <c r="E26" s="258">
        <v>3</v>
      </c>
      <c r="F26" s="279">
        <v>3</v>
      </c>
      <c r="G26" s="279"/>
      <c r="H26" s="280"/>
    </row>
    <row r="27" spans="1:8" x14ac:dyDescent="0.25">
      <c r="A27" s="8" t="s">
        <v>24</v>
      </c>
      <c r="B27" s="272"/>
      <c r="C27" s="274"/>
      <c r="D27" s="258"/>
      <c r="E27" s="257"/>
      <c r="F27" s="272"/>
      <c r="G27" s="273"/>
      <c r="H27" s="281"/>
    </row>
    <row r="28" spans="1:8" x14ac:dyDescent="0.25">
      <c r="A28" s="8" t="s">
        <v>25</v>
      </c>
      <c r="B28" s="272"/>
      <c r="C28" s="274"/>
      <c r="D28" s="257"/>
      <c r="E28" s="255"/>
      <c r="F28" s="282"/>
      <c r="G28" s="283"/>
      <c r="H28" s="284"/>
    </row>
    <row r="29" spans="1:8" x14ac:dyDescent="0.25">
      <c r="A29" s="8" t="s">
        <v>26</v>
      </c>
      <c r="B29" s="272"/>
      <c r="C29" s="274"/>
      <c r="D29" s="255"/>
      <c r="E29" s="258"/>
      <c r="F29" s="285"/>
      <c r="G29" s="285"/>
      <c r="H29" s="286"/>
    </row>
    <row r="30" spans="1:8" ht="15.75" thickBot="1" x14ac:dyDescent="0.3">
      <c r="A30" s="15" t="s">
        <v>115</v>
      </c>
      <c r="B30" s="272"/>
      <c r="C30" s="274"/>
      <c r="D30" s="260"/>
      <c r="E30" s="259"/>
      <c r="F30" s="277"/>
      <c r="G30" s="277"/>
      <c r="H30" s="278"/>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27</v>
      </c>
      <c r="B32" s="272" t="s">
        <v>291</v>
      </c>
      <c r="C32" s="274"/>
      <c r="D32" s="255">
        <v>3</v>
      </c>
      <c r="E32" s="258">
        <v>3</v>
      </c>
      <c r="F32" s="279">
        <v>2</v>
      </c>
      <c r="G32" s="279"/>
      <c r="H32" s="280"/>
    </row>
    <row r="33" spans="1:8" x14ac:dyDescent="0.25">
      <c r="A33" s="8" t="s">
        <v>24</v>
      </c>
      <c r="B33" s="272"/>
      <c r="C33" s="274"/>
      <c r="D33" s="258"/>
      <c r="E33" s="257"/>
      <c r="F33" s="272"/>
      <c r="G33" s="273"/>
      <c r="H33" s="281"/>
    </row>
    <row r="34" spans="1:8" x14ac:dyDescent="0.25">
      <c r="A34" s="8" t="s">
        <v>25</v>
      </c>
      <c r="B34" s="272"/>
      <c r="C34" s="274"/>
      <c r="D34" s="257"/>
      <c r="E34" s="255"/>
      <c r="F34" s="282"/>
      <c r="G34" s="283"/>
      <c r="H34" s="284"/>
    </row>
    <row r="35" spans="1:8" x14ac:dyDescent="0.25">
      <c r="A35" s="8" t="s">
        <v>26</v>
      </c>
      <c r="B35" s="272"/>
      <c r="C35" s="274"/>
      <c r="D35" s="255"/>
      <c r="E35" s="258"/>
      <c r="F35" s="285"/>
      <c r="G35" s="285"/>
      <c r="H35" s="286"/>
    </row>
    <row r="36" spans="1:8" ht="15.75" thickBot="1" x14ac:dyDescent="0.3">
      <c r="A36" s="15" t="s">
        <v>115</v>
      </c>
      <c r="B36" s="275"/>
      <c r="C36" s="276"/>
      <c r="D36" s="260"/>
      <c r="E36" s="259"/>
      <c r="F36" s="277"/>
      <c r="G36" s="277"/>
      <c r="H36" s="278"/>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35:C35"/>
    <mergeCell ref="B36:C36"/>
    <mergeCell ref="B27:C27"/>
    <mergeCell ref="B28:C28"/>
    <mergeCell ref="B29:C29"/>
    <mergeCell ref="B30:C30"/>
    <mergeCell ref="B15:D15"/>
    <mergeCell ref="B16:D16"/>
    <mergeCell ref="B17:D17"/>
    <mergeCell ref="B18:D18"/>
    <mergeCell ref="B34:C3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0"/>
  <sheetViews>
    <sheetView rightToLeft="1" zoomScale="136" zoomScaleNormal="136" workbookViewId="0">
      <selection activeCell="F30" sqref="A1:H30"/>
    </sheetView>
  </sheetViews>
  <sheetFormatPr defaultRowHeight="15" x14ac:dyDescent="0.25"/>
  <sheetData>
    <row r="1" spans="1:8" x14ac:dyDescent="0.25">
      <c r="A1" s="5"/>
      <c r="B1" s="116"/>
      <c r="C1" s="116"/>
      <c r="D1" s="116"/>
      <c r="E1" s="116"/>
      <c r="F1" s="116">
        <v>2</v>
      </c>
      <c r="G1" s="116">
        <v>3</v>
      </c>
      <c r="H1" s="117">
        <f>G1+1</f>
        <v>4</v>
      </c>
    </row>
    <row r="2" spans="1:8" x14ac:dyDescent="0.25">
      <c r="A2" s="8" t="s">
        <v>27</v>
      </c>
      <c r="B2" s="173"/>
      <c r="C2" s="174"/>
      <c r="D2" s="173"/>
      <c r="E2" s="174"/>
      <c r="F2" s="279">
        <v>3</v>
      </c>
      <c r="G2" s="279"/>
      <c r="H2" s="280"/>
    </row>
    <row r="3" spans="1:8" x14ac:dyDescent="0.25">
      <c r="A3" s="8" t="s">
        <v>24</v>
      </c>
      <c r="B3" s="149"/>
      <c r="C3" s="149"/>
      <c r="D3" s="150"/>
      <c r="E3" s="150"/>
      <c r="F3" s="285"/>
      <c r="G3" s="285"/>
      <c r="H3" s="286"/>
    </row>
    <row r="4" spans="1:8" x14ac:dyDescent="0.25">
      <c r="A4" s="8" t="s">
        <v>25</v>
      </c>
      <c r="B4" s="149"/>
      <c r="C4" s="150"/>
      <c r="D4" s="150"/>
      <c r="E4" s="149"/>
      <c r="F4" s="279"/>
      <c r="G4" s="279"/>
      <c r="H4" s="280"/>
    </row>
    <row r="5" spans="1:8" x14ac:dyDescent="0.25">
      <c r="A5" s="8" t="s">
        <v>26</v>
      </c>
      <c r="B5" s="150"/>
      <c r="C5" s="149"/>
      <c r="D5" s="149"/>
      <c r="E5" s="150"/>
      <c r="F5" s="285"/>
      <c r="G5" s="285"/>
      <c r="H5" s="286"/>
    </row>
    <row r="6" spans="1:8" ht="15.75" thickBot="1" x14ac:dyDescent="0.3">
      <c r="A6" s="8" t="s">
        <v>115</v>
      </c>
      <c r="B6" s="151"/>
      <c r="C6" s="151"/>
      <c r="D6" s="151"/>
      <c r="E6" s="152"/>
      <c r="F6" s="279"/>
      <c r="G6" s="279"/>
      <c r="H6" s="280"/>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27</v>
      </c>
      <c r="B8" s="173">
        <v>3</v>
      </c>
      <c r="C8" s="174">
        <v>3</v>
      </c>
      <c r="D8" s="173">
        <v>3</v>
      </c>
      <c r="E8" s="174">
        <v>3</v>
      </c>
      <c r="F8" s="279">
        <v>3</v>
      </c>
      <c r="G8" s="279"/>
      <c r="H8" s="280"/>
    </row>
    <row r="9" spans="1:8" x14ac:dyDescent="0.25">
      <c r="A9" s="8" t="s">
        <v>24</v>
      </c>
      <c r="B9" s="175"/>
      <c r="C9" s="176"/>
      <c r="D9" s="174"/>
      <c r="E9" s="175"/>
      <c r="F9" s="279"/>
      <c r="G9" s="279"/>
      <c r="H9" s="280"/>
    </row>
    <row r="10" spans="1:8" x14ac:dyDescent="0.25">
      <c r="A10" s="8" t="s">
        <v>25</v>
      </c>
      <c r="B10" s="173"/>
      <c r="C10" s="173"/>
      <c r="D10" s="173"/>
      <c r="E10" s="173"/>
      <c r="F10" s="279"/>
      <c r="G10" s="279"/>
      <c r="H10" s="280"/>
    </row>
    <row r="11" spans="1:8" x14ac:dyDescent="0.25">
      <c r="A11" s="8" t="s">
        <v>26</v>
      </c>
      <c r="B11" s="173"/>
      <c r="C11" s="173"/>
      <c r="D11" s="176"/>
      <c r="E11" s="174"/>
      <c r="F11" s="285"/>
      <c r="G11" s="285"/>
      <c r="H11" s="286"/>
    </row>
    <row r="12" spans="1:8" ht="15.75" thickBot="1" x14ac:dyDescent="0.3">
      <c r="A12" s="8" t="s">
        <v>115</v>
      </c>
      <c r="B12" s="173"/>
      <c r="C12" s="173"/>
      <c r="D12" s="70"/>
      <c r="E12" s="173"/>
      <c r="F12" s="279"/>
      <c r="G12" s="279"/>
      <c r="H12" s="280"/>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27</v>
      </c>
      <c r="B14" s="173">
        <v>3</v>
      </c>
      <c r="C14" s="174">
        <v>3</v>
      </c>
      <c r="D14" s="173">
        <v>3</v>
      </c>
      <c r="E14" s="174">
        <v>3</v>
      </c>
      <c r="F14" s="279">
        <v>3</v>
      </c>
      <c r="G14" s="279"/>
      <c r="H14" s="280"/>
    </row>
    <row r="15" spans="1:8" x14ac:dyDescent="0.25">
      <c r="A15" s="8" t="s">
        <v>24</v>
      </c>
      <c r="B15" s="174"/>
      <c r="C15" s="173"/>
      <c r="D15" s="175"/>
      <c r="E15" s="173"/>
      <c r="F15" s="279"/>
      <c r="G15" s="279"/>
      <c r="H15" s="280"/>
    </row>
    <row r="16" spans="1:8" x14ac:dyDescent="0.25">
      <c r="A16" s="8" t="s">
        <v>25</v>
      </c>
      <c r="B16" s="175"/>
      <c r="C16" s="174"/>
      <c r="D16" s="173"/>
      <c r="E16" s="175"/>
      <c r="F16" s="285"/>
      <c r="G16" s="285"/>
      <c r="H16" s="286"/>
    </row>
    <row r="17" spans="1:8" x14ac:dyDescent="0.25">
      <c r="A17" s="8" t="s">
        <v>26</v>
      </c>
      <c r="B17" s="174"/>
      <c r="C17" s="175"/>
      <c r="D17" s="173"/>
      <c r="E17" s="174"/>
      <c r="F17" s="279"/>
      <c r="G17" s="279"/>
      <c r="H17" s="280"/>
    </row>
    <row r="18" spans="1:8" ht="15.75" thickBot="1" x14ac:dyDescent="0.3">
      <c r="A18" s="8" t="s">
        <v>115</v>
      </c>
      <c r="B18" s="173"/>
      <c r="C18" s="173"/>
      <c r="D18" s="173"/>
      <c r="E18" s="174"/>
      <c r="F18" s="279"/>
      <c r="G18" s="279"/>
      <c r="H18" s="280"/>
    </row>
    <row r="19" spans="1:8" x14ac:dyDescent="0.25">
      <c r="A19" s="5"/>
      <c r="B19" s="116">
        <f>B13+7</f>
        <v>19</v>
      </c>
      <c r="C19" s="116">
        <f>B19+1</f>
        <v>20</v>
      </c>
      <c r="D19" s="116">
        <f t="shared" ref="D19:E19" si="2">C19+1</f>
        <v>21</v>
      </c>
      <c r="E19" s="116">
        <f t="shared" si="2"/>
        <v>22</v>
      </c>
      <c r="F19" s="6">
        <f>E19+1</f>
        <v>23</v>
      </c>
      <c r="G19" s="6">
        <f>F19+1</f>
        <v>24</v>
      </c>
      <c r="H19" s="7">
        <f>G19+1</f>
        <v>25</v>
      </c>
    </row>
    <row r="20" spans="1:8" x14ac:dyDescent="0.25">
      <c r="A20" s="8" t="s">
        <v>27</v>
      </c>
      <c r="B20" s="173">
        <v>3</v>
      </c>
      <c r="C20" s="174">
        <v>3</v>
      </c>
      <c r="D20" s="173">
        <v>3</v>
      </c>
      <c r="E20" s="174">
        <v>3</v>
      </c>
      <c r="F20" s="279">
        <v>3</v>
      </c>
      <c r="G20" s="279"/>
      <c r="H20" s="280"/>
    </row>
    <row r="21" spans="1:8" x14ac:dyDescent="0.25">
      <c r="A21" s="8" t="s">
        <v>24</v>
      </c>
      <c r="B21" s="173"/>
      <c r="C21" s="174"/>
      <c r="D21" s="174"/>
      <c r="E21" s="175"/>
      <c r="F21" s="272"/>
      <c r="G21" s="273"/>
      <c r="H21" s="281"/>
    </row>
    <row r="22" spans="1:8" x14ac:dyDescent="0.25">
      <c r="A22" s="8" t="s">
        <v>25</v>
      </c>
      <c r="B22" s="174"/>
      <c r="C22" s="173"/>
      <c r="D22" s="175"/>
      <c r="E22" s="173"/>
      <c r="F22" s="282"/>
      <c r="G22" s="283"/>
      <c r="H22" s="284"/>
    </row>
    <row r="23" spans="1:8" x14ac:dyDescent="0.25">
      <c r="A23" s="8" t="s">
        <v>26</v>
      </c>
      <c r="B23" s="176"/>
      <c r="C23" s="176"/>
      <c r="D23" s="173"/>
      <c r="E23" s="174"/>
      <c r="F23" s="285"/>
      <c r="G23" s="285"/>
      <c r="H23" s="286"/>
    </row>
    <row r="24" spans="1:8" ht="15.75" thickBot="1" x14ac:dyDescent="0.3">
      <c r="A24" s="15" t="s">
        <v>115</v>
      </c>
      <c r="B24" s="172"/>
      <c r="C24" s="172"/>
      <c r="D24" s="83"/>
      <c r="E24" s="172"/>
      <c r="F24" s="277"/>
      <c r="G24" s="277"/>
      <c r="H24" s="278"/>
    </row>
    <row r="25" spans="1:8" x14ac:dyDescent="0.25">
      <c r="A25" s="5"/>
      <c r="B25" s="116">
        <f>B19+7</f>
        <v>26</v>
      </c>
      <c r="C25" s="116">
        <f>B25+1</f>
        <v>27</v>
      </c>
      <c r="D25" s="116">
        <f t="shared" ref="D25:E25" si="3">C25+1</f>
        <v>28</v>
      </c>
      <c r="E25" s="116">
        <f t="shared" si="3"/>
        <v>29</v>
      </c>
      <c r="F25" s="6">
        <v>30</v>
      </c>
      <c r="G25" s="6">
        <v>31</v>
      </c>
      <c r="H25" s="7">
        <v>1</v>
      </c>
    </row>
    <row r="26" spans="1:8" x14ac:dyDescent="0.25">
      <c r="A26" s="8" t="s">
        <v>27</v>
      </c>
      <c r="B26" s="173">
        <v>3</v>
      </c>
      <c r="C26" s="174">
        <v>3</v>
      </c>
      <c r="D26" s="173">
        <v>3</v>
      </c>
      <c r="E26" s="174">
        <v>3</v>
      </c>
      <c r="F26" s="279">
        <v>3</v>
      </c>
      <c r="G26" s="279"/>
      <c r="H26" s="280"/>
    </row>
    <row r="27" spans="1:8" x14ac:dyDescent="0.25">
      <c r="A27" s="8" t="s">
        <v>24</v>
      </c>
      <c r="B27" s="173"/>
      <c r="C27" s="174"/>
      <c r="D27" s="174"/>
      <c r="E27" s="175"/>
      <c r="F27" s="272"/>
      <c r="G27" s="273"/>
      <c r="H27" s="281"/>
    </row>
    <row r="28" spans="1:8" x14ac:dyDescent="0.25">
      <c r="A28" s="8" t="s">
        <v>25</v>
      </c>
      <c r="B28" s="174"/>
      <c r="C28" s="173"/>
      <c r="D28" s="175"/>
      <c r="E28" s="173"/>
      <c r="F28" s="282"/>
      <c r="G28" s="283"/>
      <c r="H28" s="284"/>
    </row>
    <row r="29" spans="1:8" x14ac:dyDescent="0.25">
      <c r="A29" s="8" t="s">
        <v>26</v>
      </c>
      <c r="B29" s="176"/>
      <c r="C29" s="176"/>
      <c r="D29" s="173"/>
      <c r="E29" s="174"/>
      <c r="F29" s="285"/>
      <c r="G29" s="285"/>
      <c r="H29" s="286"/>
    </row>
    <row r="30" spans="1:8" ht="15.75" thickBot="1" x14ac:dyDescent="0.3">
      <c r="A30" s="15" t="s">
        <v>115</v>
      </c>
      <c r="B30" s="172"/>
      <c r="C30" s="172"/>
      <c r="D30" s="83"/>
      <c r="E30" s="172"/>
      <c r="F30" s="277"/>
      <c r="G30" s="277"/>
      <c r="H30" s="278"/>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7" zoomScale="190" zoomScaleNormal="190" workbookViewId="0">
      <selection activeCell="C21" sqref="C21"/>
    </sheetView>
  </sheetViews>
  <sheetFormatPr defaultRowHeight="15" x14ac:dyDescent="0.25"/>
  <sheetData>
    <row r="1" spans="1:10" x14ac:dyDescent="0.25">
      <c r="A1" s="5"/>
      <c r="B1" s="6"/>
      <c r="C1" s="6"/>
      <c r="D1" s="6"/>
      <c r="E1" s="6"/>
      <c r="F1" s="6">
        <v>28</v>
      </c>
      <c r="G1" s="6">
        <v>29</v>
      </c>
      <c r="H1" s="7">
        <v>30</v>
      </c>
    </row>
    <row r="2" spans="1:10" x14ac:dyDescent="0.25">
      <c r="A2" s="8" t="s">
        <v>27</v>
      </c>
      <c r="B2" s="173"/>
      <c r="C2" s="174"/>
      <c r="D2" s="173"/>
      <c r="E2" s="174"/>
      <c r="F2" s="272">
        <v>3</v>
      </c>
      <c r="G2" s="273"/>
      <c r="H2" s="281"/>
    </row>
    <row r="3" spans="1:10" x14ac:dyDescent="0.25">
      <c r="A3" s="8" t="s">
        <v>24</v>
      </c>
      <c r="B3" s="149"/>
      <c r="C3" s="149"/>
      <c r="D3" s="150"/>
      <c r="E3" s="150"/>
      <c r="F3" s="272" t="s">
        <v>233</v>
      </c>
      <c r="G3" s="273"/>
      <c r="H3" s="281"/>
    </row>
    <row r="4" spans="1:10" x14ac:dyDescent="0.25">
      <c r="A4" s="8" t="s">
        <v>25</v>
      </c>
      <c r="B4" s="149"/>
      <c r="C4" s="150"/>
      <c r="D4" s="150"/>
      <c r="E4" s="149"/>
      <c r="F4" s="282" t="s">
        <v>170</v>
      </c>
      <c r="G4" s="283"/>
      <c r="H4" s="284"/>
    </row>
    <row r="5" spans="1:10" x14ac:dyDescent="0.25">
      <c r="A5" s="8" t="s">
        <v>26</v>
      </c>
      <c r="B5" s="150"/>
      <c r="C5" s="149"/>
      <c r="D5" s="149"/>
      <c r="E5" s="150"/>
      <c r="F5" s="272" t="s">
        <v>132</v>
      </c>
      <c r="G5" s="273"/>
      <c r="H5" s="281"/>
    </row>
    <row r="6" spans="1:10" ht="15.75" thickBot="1" x14ac:dyDescent="0.3">
      <c r="A6" s="15" t="s">
        <v>115</v>
      </c>
      <c r="B6" s="151"/>
      <c r="C6" s="151"/>
      <c r="D6" s="151"/>
      <c r="E6" s="152"/>
      <c r="F6" s="275" t="s">
        <v>232</v>
      </c>
      <c r="G6" s="287"/>
      <c r="H6" s="288"/>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27</v>
      </c>
      <c r="B8" s="173">
        <v>3</v>
      </c>
      <c r="C8" s="174">
        <v>3</v>
      </c>
      <c r="D8" s="173">
        <v>3</v>
      </c>
      <c r="E8" s="174">
        <v>3</v>
      </c>
      <c r="F8" s="279">
        <v>2</v>
      </c>
      <c r="G8" s="279"/>
      <c r="H8" s="280"/>
    </row>
    <row r="9" spans="1:10" x14ac:dyDescent="0.25">
      <c r="A9" s="8" t="s">
        <v>24</v>
      </c>
      <c r="B9" s="204" t="s">
        <v>71</v>
      </c>
      <c r="C9" s="173" t="s">
        <v>67</v>
      </c>
      <c r="D9" s="175" t="s">
        <v>94</v>
      </c>
      <c r="E9" s="246" t="s">
        <v>152</v>
      </c>
      <c r="F9" s="279" t="s">
        <v>169</v>
      </c>
      <c r="G9" s="279"/>
      <c r="H9" s="280"/>
    </row>
    <row r="10" spans="1:10" x14ac:dyDescent="0.25">
      <c r="A10" s="8" t="s">
        <v>25</v>
      </c>
      <c r="B10" s="174" t="s">
        <v>254</v>
      </c>
      <c r="C10" s="240" t="s">
        <v>217</v>
      </c>
      <c r="D10" s="203" t="s">
        <v>92</v>
      </c>
      <c r="E10" s="173" t="s">
        <v>216</v>
      </c>
      <c r="F10" s="285" t="s">
        <v>154</v>
      </c>
      <c r="G10" s="285"/>
      <c r="H10" s="286"/>
      <c r="J10" s="190"/>
    </row>
    <row r="11" spans="1:10" x14ac:dyDescent="0.25">
      <c r="A11" s="8" t="s">
        <v>26</v>
      </c>
      <c r="B11" s="201" t="s">
        <v>168</v>
      </c>
      <c r="C11" s="205" t="s">
        <v>168</v>
      </c>
      <c r="D11" s="173" t="s">
        <v>218</v>
      </c>
      <c r="E11" s="203" t="s">
        <v>95</v>
      </c>
      <c r="F11" s="285" t="s">
        <v>82</v>
      </c>
      <c r="G11" s="285"/>
      <c r="H11" s="286"/>
    </row>
    <row r="12" spans="1:10" ht="15.75" thickBot="1" x14ac:dyDescent="0.3">
      <c r="A12" s="8" t="s">
        <v>115</v>
      </c>
      <c r="B12" s="173" t="s">
        <v>256</v>
      </c>
      <c r="C12" s="173" t="s">
        <v>234</v>
      </c>
      <c r="D12" s="202" t="s">
        <v>214</v>
      </c>
      <c r="E12" s="174" t="s">
        <v>189</v>
      </c>
      <c r="F12" s="279" t="s">
        <v>174</v>
      </c>
      <c r="G12" s="279"/>
      <c r="H12" s="280"/>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27</v>
      </c>
      <c r="B14" s="173">
        <v>3</v>
      </c>
      <c r="C14" s="174">
        <v>3</v>
      </c>
      <c r="D14" s="173">
        <v>3</v>
      </c>
      <c r="E14" s="174">
        <v>3</v>
      </c>
      <c r="F14" s="279">
        <v>3</v>
      </c>
      <c r="G14" s="279"/>
      <c r="H14" s="280"/>
    </row>
    <row r="15" spans="1:10" x14ac:dyDescent="0.25">
      <c r="A15" s="8" t="s">
        <v>24</v>
      </c>
      <c r="B15" s="201" t="s">
        <v>168</v>
      </c>
      <c r="C15" s="203" t="s">
        <v>189</v>
      </c>
      <c r="D15" s="205" t="s">
        <v>132</v>
      </c>
      <c r="E15" s="201" t="s">
        <v>168</v>
      </c>
      <c r="F15" s="279" t="s">
        <v>215</v>
      </c>
      <c r="G15" s="279"/>
      <c r="H15" s="280"/>
    </row>
    <row r="16" spans="1:10" x14ac:dyDescent="0.25">
      <c r="A16" s="8" t="s">
        <v>25</v>
      </c>
      <c r="B16" s="205" t="s">
        <v>232</v>
      </c>
      <c r="C16" s="173" t="s">
        <v>103</v>
      </c>
      <c r="D16" s="173" t="s">
        <v>233</v>
      </c>
      <c r="E16" s="205" t="s">
        <v>100</v>
      </c>
      <c r="F16" s="285" t="s">
        <v>131</v>
      </c>
      <c r="G16" s="285"/>
      <c r="H16" s="286"/>
    </row>
    <row r="17" spans="1:8" x14ac:dyDescent="0.25">
      <c r="A17" s="8" t="s">
        <v>26</v>
      </c>
      <c r="B17" s="173" t="s">
        <v>107</v>
      </c>
      <c r="C17" s="205" t="s">
        <v>117</v>
      </c>
      <c r="D17" s="202" t="s">
        <v>74</v>
      </c>
      <c r="E17" s="200" t="s">
        <v>107</v>
      </c>
      <c r="F17" s="279" t="s">
        <v>155</v>
      </c>
      <c r="G17" s="279"/>
      <c r="H17" s="280"/>
    </row>
    <row r="18" spans="1:8" ht="15.75" thickBot="1" x14ac:dyDescent="0.3">
      <c r="A18" s="8" t="s">
        <v>115</v>
      </c>
      <c r="B18" s="173" t="s">
        <v>215</v>
      </c>
      <c r="C18" s="70" t="s">
        <v>263</v>
      </c>
      <c r="D18" s="70" t="s">
        <v>264</v>
      </c>
      <c r="E18" s="173" t="s">
        <v>67</v>
      </c>
      <c r="F18" s="279" t="s">
        <v>153</v>
      </c>
      <c r="G18" s="279"/>
      <c r="H18" s="280"/>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27</v>
      </c>
      <c r="B20" s="173">
        <v>3</v>
      </c>
      <c r="C20" s="174">
        <v>3</v>
      </c>
      <c r="D20" s="173">
        <v>3</v>
      </c>
      <c r="E20" s="174">
        <v>3</v>
      </c>
      <c r="F20" s="279">
        <v>3</v>
      </c>
      <c r="G20" s="279"/>
      <c r="H20" s="280"/>
    </row>
    <row r="21" spans="1:8" x14ac:dyDescent="0.25">
      <c r="A21" s="8" t="s">
        <v>24</v>
      </c>
      <c r="B21" s="202" t="s">
        <v>254</v>
      </c>
      <c r="C21" s="248" t="s">
        <v>67</v>
      </c>
      <c r="D21" s="205" t="s">
        <v>217</v>
      </c>
      <c r="E21" s="205" t="s">
        <v>170</v>
      </c>
      <c r="F21" s="279" t="s">
        <v>90</v>
      </c>
      <c r="G21" s="279"/>
      <c r="H21" s="280"/>
    </row>
    <row r="22" spans="1:8" x14ac:dyDescent="0.25">
      <c r="A22" s="8" t="s">
        <v>25</v>
      </c>
      <c r="B22" s="175" t="s">
        <v>218</v>
      </c>
      <c r="C22" s="247" t="s">
        <v>132</v>
      </c>
      <c r="D22" s="245" t="s">
        <v>173</v>
      </c>
      <c r="E22" s="203" t="s">
        <v>189</v>
      </c>
      <c r="F22" s="285" t="s">
        <v>94</v>
      </c>
      <c r="G22" s="285"/>
      <c r="H22" s="286"/>
    </row>
    <row r="23" spans="1:8" x14ac:dyDescent="0.25">
      <c r="A23" s="8" t="s">
        <v>26</v>
      </c>
      <c r="B23" s="174" t="s">
        <v>233</v>
      </c>
      <c r="C23" s="203" t="s">
        <v>234</v>
      </c>
      <c r="D23" s="202" t="s">
        <v>74</v>
      </c>
      <c r="E23" s="174" t="s">
        <v>103</v>
      </c>
      <c r="F23" s="279" t="s">
        <v>69</v>
      </c>
      <c r="G23" s="279"/>
      <c r="H23" s="280"/>
    </row>
    <row r="24" spans="1:8" ht="15.75" thickBot="1" x14ac:dyDescent="0.3">
      <c r="A24" s="8" t="s">
        <v>115</v>
      </c>
      <c r="B24" s="173" t="s">
        <v>154</v>
      </c>
      <c r="C24" s="173" t="s">
        <v>216</v>
      </c>
      <c r="D24" s="173" t="s">
        <v>171</v>
      </c>
      <c r="E24" s="174" t="s">
        <v>233</v>
      </c>
      <c r="F24" s="279" t="s">
        <v>263</v>
      </c>
      <c r="G24" s="279"/>
      <c r="H24" s="280"/>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27</v>
      </c>
      <c r="B26" s="173">
        <v>3</v>
      </c>
      <c r="C26" s="174">
        <v>3</v>
      </c>
      <c r="D26" s="173">
        <v>3</v>
      </c>
      <c r="E26" s="174">
        <v>3</v>
      </c>
      <c r="F26" s="279">
        <v>3</v>
      </c>
      <c r="G26" s="279"/>
      <c r="H26" s="280"/>
    </row>
    <row r="27" spans="1:8" x14ac:dyDescent="0.25">
      <c r="A27" s="8" t="s">
        <v>24</v>
      </c>
      <c r="B27" s="202" t="s">
        <v>67</v>
      </c>
      <c r="C27" s="174" t="s">
        <v>72</v>
      </c>
      <c r="D27" s="174" t="s">
        <v>152</v>
      </c>
      <c r="E27" s="203" t="s">
        <v>95</v>
      </c>
      <c r="F27" s="272" t="s">
        <v>92</v>
      </c>
      <c r="G27" s="273"/>
      <c r="H27" s="281"/>
    </row>
    <row r="28" spans="1:8" x14ac:dyDescent="0.25">
      <c r="A28" s="8" t="s">
        <v>25</v>
      </c>
      <c r="B28" s="204" t="s">
        <v>234</v>
      </c>
      <c r="C28" s="205" t="s">
        <v>188</v>
      </c>
      <c r="D28" s="246" t="s">
        <v>233</v>
      </c>
      <c r="E28" s="204" t="s">
        <v>71</v>
      </c>
      <c r="F28" s="282" t="s">
        <v>117</v>
      </c>
      <c r="G28" s="283"/>
      <c r="H28" s="284"/>
    </row>
    <row r="29" spans="1:8" x14ac:dyDescent="0.25">
      <c r="A29" s="8" t="s">
        <v>26</v>
      </c>
      <c r="B29" s="202" t="s">
        <v>155</v>
      </c>
      <c r="C29" s="202" t="s">
        <v>169</v>
      </c>
      <c r="D29" s="173" t="s">
        <v>118</v>
      </c>
      <c r="E29" s="174" t="s">
        <v>232</v>
      </c>
      <c r="F29" s="279" t="s">
        <v>100</v>
      </c>
      <c r="G29" s="279"/>
      <c r="H29" s="280"/>
    </row>
    <row r="30" spans="1:8" ht="15.75" thickBot="1" x14ac:dyDescent="0.3">
      <c r="A30" s="15" t="s">
        <v>115</v>
      </c>
      <c r="B30" s="70" t="s">
        <v>256</v>
      </c>
      <c r="C30" s="172" t="s">
        <v>218</v>
      </c>
      <c r="D30" s="70" t="s">
        <v>264</v>
      </c>
      <c r="E30" s="172" t="s">
        <v>103</v>
      </c>
      <c r="F30" s="277" t="s">
        <v>214</v>
      </c>
      <c r="G30" s="277"/>
      <c r="H30" s="278"/>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27</v>
      </c>
      <c r="B32" s="173">
        <v>3</v>
      </c>
      <c r="C32" s="174">
        <v>3</v>
      </c>
      <c r="D32" s="173">
        <v>3</v>
      </c>
      <c r="E32" s="174">
        <v>3</v>
      </c>
      <c r="F32" s="279">
        <v>3</v>
      </c>
      <c r="G32" s="279"/>
      <c r="H32" s="280"/>
    </row>
    <row r="33" spans="1:8" x14ac:dyDescent="0.25">
      <c r="A33" s="8" t="s">
        <v>24</v>
      </c>
      <c r="B33" s="205" t="s">
        <v>131</v>
      </c>
      <c r="C33" s="174" t="s">
        <v>174</v>
      </c>
      <c r="D33" s="243" t="s">
        <v>82</v>
      </c>
      <c r="E33" s="203" t="s">
        <v>153</v>
      </c>
      <c r="F33" s="272" t="s">
        <v>132</v>
      </c>
      <c r="G33" s="273"/>
      <c r="H33" s="281"/>
    </row>
    <row r="34" spans="1:8" x14ac:dyDescent="0.25">
      <c r="A34" s="8" t="s">
        <v>25</v>
      </c>
      <c r="B34" s="174" t="s">
        <v>232</v>
      </c>
      <c r="C34" s="173" t="s">
        <v>154</v>
      </c>
      <c r="D34" s="203" t="s">
        <v>152</v>
      </c>
      <c r="E34" s="205" t="s">
        <v>170</v>
      </c>
      <c r="F34" s="282" t="s">
        <v>172</v>
      </c>
      <c r="G34" s="283"/>
      <c r="H34" s="284"/>
    </row>
    <row r="35" spans="1:8" x14ac:dyDescent="0.25">
      <c r="A35" s="8" t="s">
        <v>26</v>
      </c>
      <c r="B35" s="200" t="s">
        <v>218</v>
      </c>
      <c r="C35" s="176" t="s">
        <v>103</v>
      </c>
      <c r="D35" s="244" t="s">
        <v>94</v>
      </c>
      <c r="E35" s="174" t="s">
        <v>69</v>
      </c>
      <c r="F35" s="279" t="s">
        <v>171</v>
      </c>
      <c r="G35" s="279"/>
      <c r="H35" s="280"/>
    </row>
    <row r="36" spans="1:8" ht="15.75" thickBot="1" x14ac:dyDescent="0.3">
      <c r="A36" s="15" t="s">
        <v>115</v>
      </c>
      <c r="B36" s="172" t="s">
        <v>234</v>
      </c>
      <c r="C36" s="172" t="s">
        <v>254</v>
      </c>
      <c r="D36" s="83" t="s">
        <v>256</v>
      </c>
      <c r="E36" s="172" t="s">
        <v>264</v>
      </c>
      <c r="F36" s="277" t="s">
        <v>188</v>
      </c>
      <c r="G36" s="277"/>
      <c r="H36" s="278"/>
    </row>
  </sheetData>
  <mergeCells count="30">
    <mergeCell ref="F36:H36"/>
    <mergeCell ref="F23:H23"/>
    <mergeCell ref="F24:H24"/>
    <mergeCell ref="F26:H26"/>
    <mergeCell ref="F27:H27"/>
    <mergeCell ref="F28:H28"/>
    <mergeCell ref="F30:H30"/>
    <mergeCell ref="F32:H32"/>
    <mergeCell ref="F33:H33"/>
    <mergeCell ref="F34:H34"/>
    <mergeCell ref="F35:H35"/>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3" t="s">
        <v>287</v>
      </c>
      <c r="B1" s="154" t="s">
        <v>286</v>
      </c>
    </row>
    <row r="2" spans="1:2" x14ac:dyDescent="0.25">
      <c r="A2" s="156" t="s">
        <v>276</v>
      </c>
      <c r="B2" s="157" t="s">
        <v>281</v>
      </c>
    </row>
    <row r="3" spans="1:2" x14ac:dyDescent="0.25">
      <c r="A3" s="156" t="s">
        <v>277</v>
      </c>
      <c r="B3" s="157" t="s">
        <v>282</v>
      </c>
    </row>
    <row r="4" spans="1:2" x14ac:dyDescent="0.25">
      <c r="A4" s="156" t="s">
        <v>278</v>
      </c>
      <c r="B4" s="157" t="s">
        <v>283</v>
      </c>
    </row>
    <row r="5" spans="1:2" x14ac:dyDescent="0.25">
      <c r="A5" s="156" t="s">
        <v>279</v>
      </c>
      <c r="B5" s="157" t="s">
        <v>285</v>
      </c>
    </row>
    <row r="6" spans="1:2" ht="15.75" thickBot="1" x14ac:dyDescent="0.3">
      <c r="A6" s="159" t="s">
        <v>280</v>
      </c>
      <c r="B6" s="160" t="s">
        <v>284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topLeftCell="A4" zoomScale="130" zoomScaleNormal="130" workbookViewId="0">
      <selection activeCell="F12" sqref="F12:H12"/>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27</v>
      </c>
      <c r="B2" s="168"/>
      <c r="C2" s="169"/>
      <c r="D2" s="168"/>
      <c r="E2" s="169"/>
      <c r="F2" s="279">
        <v>2</v>
      </c>
      <c r="G2" s="279"/>
      <c r="H2" s="280"/>
    </row>
    <row r="3" spans="1:10" x14ac:dyDescent="0.25">
      <c r="A3" s="8" t="s">
        <v>24</v>
      </c>
      <c r="B3" s="149"/>
      <c r="C3" s="149"/>
      <c r="D3" s="150"/>
      <c r="E3" s="150"/>
      <c r="F3" s="272" t="s">
        <v>169</v>
      </c>
      <c r="G3" s="273"/>
      <c r="H3" s="281"/>
    </row>
    <row r="4" spans="1:10" x14ac:dyDescent="0.25">
      <c r="A4" s="8" t="s">
        <v>25</v>
      </c>
      <c r="B4" s="149"/>
      <c r="C4" s="150"/>
      <c r="D4" s="150"/>
      <c r="E4" s="149"/>
      <c r="F4" s="282" t="s">
        <v>82</v>
      </c>
      <c r="G4" s="283"/>
      <c r="H4" s="284"/>
    </row>
    <row r="5" spans="1:10" x14ac:dyDescent="0.25">
      <c r="A5" s="8" t="s">
        <v>26</v>
      </c>
      <c r="B5" s="150"/>
      <c r="C5" s="149"/>
      <c r="D5" s="149"/>
      <c r="E5" s="150"/>
      <c r="F5" s="285" t="s">
        <v>94</v>
      </c>
      <c r="G5" s="285"/>
      <c r="H5" s="286"/>
    </row>
    <row r="6" spans="1:10" ht="15.75" thickBot="1" x14ac:dyDescent="0.3">
      <c r="A6" s="15" t="s">
        <v>115</v>
      </c>
      <c r="B6" s="151"/>
      <c r="C6" s="151"/>
      <c r="D6" s="151"/>
      <c r="E6" s="152"/>
      <c r="F6" s="277" t="s">
        <v>206</v>
      </c>
      <c r="G6" s="277"/>
      <c r="H6" s="278"/>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27</v>
      </c>
      <c r="B8" s="168">
        <v>3</v>
      </c>
      <c r="C8" s="169">
        <v>3</v>
      </c>
      <c r="D8" s="168">
        <v>3</v>
      </c>
      <c r="E8" s="169">
        <v>3</v>
      </c>
      <c r="F8" s="279">
        <v>3</v>
      </c>
      <c r="G8" s="279"/>
      <c r="H8" s="280"/>
    </row>
    <row r="9" spans="1:10" x14ac:dyDescent="0.25">
      <c r="A9" s="8" t="s">
        <v>24</v>
      </c>
      <c r="B9" s="185" t="s">
        <v>132</v>
      </c>
      <c r="C9" s="168" t="s">
        <v>189</v>
      </c>
      <c r="D9" s="188" t="s">
        <v>87</v>
      </c>
      <c r="E9" s="169" t="s">
        <v>170</v>
      </c>
      <c r="F9" s="279" t="s">
        <v>116</v>
      </c>
      <c r="G9" s="279"/>
      <c r="H9" s="280"/>
      <c r="J9" s="190" t="s">
        <v>257</v>
      </c>
    </row>
    <row r="10" spans="1:10" x14ac:dyDescent="0.25">
      <c r="A10" s="8" t="s">
        <v>25</v>
      </c>
      <c r="B10" s="169" t="s">
        <v>85</v>
      </c>
      <c r="C10" s="188" t="s">
        <v>152</v>
      </c>
      <c r="D10" s="186" t="s">
        <v>74</v>
      </c>
      <c r="E10" s="186" t="s">
        <v>188</v>
      </c>
      <c r="F10" s="279" t="s">
        <v>67</v>
      </c>
      <c r="G10" s="279"/>
      <c r="H10" s="280"/>
    </row>
    <row r="11" spans="1:10" x14ac:dyDescent="0.25">
      <c r="A11" s="8" t="s">
        <v>26</v>
      </c>
      <c r="B11" s="187" t="s">
        <v>131</v>
      </c>
      <c r="C11" s="168" t="s">
        <v>168</v>
      </c>
      <c r="D11" s="186" t="s">
        <v>92</v>
      </c>
      <c r="E11" s="187" t="s">
        <v>218</v>
      </c>
      <c r="F11" s="285" t="s">
        <v>71</v>
      </c>
      <c r="G11" s="285"/>
      <c r="H11" s="286"/>
    </row>
    <row r="12" spans="1:10" ht="15.75" thickBot="1" x14ac:dyDescent="0.3">
      <c r="A12" s="8" t="s">
        <v>115</v>
      </c>
      <c r="B12" s="168" t="s">
        <v>231</v>
      </c>
      <c r="C12" s="168" t="s">
        <v>254</v>
      </c>
      <c r="D12" s="70" t="s">
        <v>214</v>
      </c>
      <c r="E12" s="70" t="s">
        <v>255</v>
      </c>
      <c r="F12" s="279" t="s">
        <v>72</v>
      </c>
      <c r="G12" s="279"/>
      <c r="H12" s="280"/>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27</v>
      </c>
      <c r="B14" s="168">
        <v>3</v>
      </c>
      <c r="C14" s="169">
        <v>3</v>
      </c>
      <c r="D14" s="168">
        <v>3</v>
      </c>
      <c r="E14" s="169">
        <v>3</v>
      </c>
      <c r="F14" s="279">
        <v>3</v>
      </c>
      <c r="G14" s="279"/>
      <c r="H14" s="280"/>
    </row>
    <row r="15" spans="1:10" x14ac:dyDescent="0.25">
      <c r="A15" s="8" t="s">
        <v>24</v>
      </c>
      <c r="B15" s="170" t="s">
        <v>213</v>
      </c>
      <c r="C15" s="188" t="s">
        <v>94</v>
      </c>
      <c r="D15" s="188" t="s">
        <v>131</v>
      </c>
      <c r="E15" s="186" t="s">
        <v>215</v>
      </c>
      <c r="F15" s="279" t="s">
        <v>100</v>
      </c>
      <c r="G15" s="279"/>
      <c r="H15" s="280"/>
      <c r="J15" t="s">
        <v>259</v>
      </c>
    </row>
    <row r="16" spans="1:10" x14ac:dyDescent="0.25">
      <c r="A16" s="8" t="s">
        <v>25</v>
      </c>
      <c r="B16" s="186" t="s">
        <v>152</v>
      </c>
      <c r="C16" s="168" t="s">
        <v>103</v>
      </c>
      <c r="D16" s="185" t="s">
        <v>69</v>
      </c>
      <c r="E16" s="168" t="s">
        <v>82</v>
      </c>
      <c r="F16" s="279" t="s">
        <v>118</v>
      </c>
      <c r="G16" s="279"/>
      <c r="H16" s="280"/>
      <c r="J16" s="190" t="s">
        <v>260</v>
      </c>
    </row>
    <row r="17" spans="1:10" x14ac:dyDescent="0.25">
      <c r="A17" s="8" t="s">
        <v>26</v>
      </c>
      <c r="B17" s="186" t="s">
        <v>217</v>
      </c>
      <c r="C17" s="168" t="s">
        <v>174</v>
      </c>
      <c r="D17" s="185" t="s">
        <v>216</v>
      </c>
      <c r="E17" s="188" t="s">
        <v>117</v>
      </c>
      <c r="F17" s="285" t="s">
        <v>154</v>
      </c>
      <c r="G17" s="285"/>
      <c r="H17" s="286"/>
    </row>
    <row r="18" spans="1:10" ht="15.75" thickBot="1" x14ac:dyDescent="0.3">
      <c r="A18" s="8" t="s">
        <v>115</v>
      </c>
      <c r="B18" s="168" t="s">
        <v>234</v>
      </c>
      <c r="C18" s="168" t="s">
        <v>231</v>
      </c>
      <c r="D18" s="70" t="s">
        <v>214</v>
      </c>
      <c r="E18" s="168" t="s">
        <v>169</v>
      </c>
      <c r="F18" s="279" t="s">
        <v>74</v>
      </c>
      <c r="G18" s="279"/>
      <c r="H18" s="280"/>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27</v>
      </c>
      <c r="B20" s="168">
        <v>3</v>
      </c>
      <c r="C20" s="169">
        <v>3</v>
      </c>
      <c r="D20" s="168">
        <v>3</v>
      </c>
      <c r="E20" s="169">
        <v>3</v>
      </c>
      <c r="F20" s="279">
        <v>3</v>
      </c>
      <c r="G20" s="279"/>
      <c r="H20" s="280"/>
    </row>
    <row r="21" spans="1:10" x14ac:dyDescent="0.25">
      <c r="A21" s="8" t="s">
        <v>24</v>
      </c>
      <c r="B21" s="185" t="s">
        <v>206</v>
      </c>
      <c r="C21" s="168" t="s">
        <v>215</v>
      </c>
      <c r="D21" s="186" t="s">
        <v>172</v>
      </c>
      <c r="E21" s="187" t="s">
        <v>169</v>
      </c>
      <c r="F21" s="279" t="s">
        <v>103</v>
      </c>
      <c r="G21" s="279"/>
      <c r="H21" s="280"/>
    </row>
    <row r="22" spans="1:10" x14ac:dyDescent="0.25">
      <c r="A22" s="8" t="s">
        <v>25</v>
      </c>
      <c r="B22" s="188" t="s">
        <v>189</v>
      </c>
      <c r="C22" s="188" t="s">
        <v>94</v>
      </c>
      <c r="D22" s="188" t="s">
        <v>131</v>
      </c>
      <c r="E22" s="186" t="s">
        <v>67</v>
      </c>
      <c r="F22" s="285" t="s">
        <v>81</v>
      </c>
      <c r="G22" s="285"/>
      <c r="H22" s="286"/>
    </row>
    <row r="23" spans="1:10" x14ac:dyDescent="0.25">
      <c r="A23" s="8" t="s">
        <v>26</v>
      </c>
      <c r="B23" s="185" t="s">
        <v>216</v>
      </c>
      <c r="C23" s="186" t="s">
        <v>218</v>
      </c>
      <c r="D23" s="186" t="s">
        <v>107</v>
      </c>
      <c r="E23" s="186" t="s">
        <v>217</v>
      </c>
      <c r="F23" s="279" t="s">
        <v>132</v>
      </c>
      <c r="G23" s="279"/>
      <c r="H23" s="280"/>
    </row>
    <row r="24" spans="1:10" ht="15.75" thickBot="1" x14ac:dyDescent="0.3">
      <c r="A24" s="8" t="s">
        <v>115</v>
      </c>
      <c r="B24" s="186" t="s">
        <v>256</v>
      </c>
      <c r="C24" s="168" t="s">
        <v>255</v>
      </c>
      <c r="D24" s="168" t="s">
        <v>171</v>
      </c>
      <c r="E24" s="169" t="s">
        <v>254</v>
      </c>
      <c r="F24" s="279" t="s">
        <v>95</v>
      </c>
      <c r="G24" s="279"/>
      <c r="H24" s="280"/>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27</v>
      </c>
      <c r="B26" s="168">
        <v>3</v>
      </c>
      <c r="C26" s="169">
        <v>3</v>
      </c>
      <c r="D26" s="168">
        <v>3</v>
      </c>
      <c r="E26" s="169">
        <v>3</v>
      </c>
      <c r="F26" s="279">
        <v>3</v>
      </c>
      <c r="G26" s="279"/>
      <c r="H26" s="280"/>
    </row>
    <row r="27" spans="1:10" x14ac:dyDescent="0.25">
      <c r="A27" s="8" t="s">
        <v>24</v>
      </c>
      <c r="B27" s="186" t="s">
        <v>215</v>
      </c>
      <c r="C27" s="185" t="s">
        <v>234</v>
      </c>
      <c r="D27" s="185" t="s">
        <v>206</v>
      </c>
      <c r="E27" s="186" t="s">
        <v>173</v>
      </c>
      <c r="F27" s="272" t="s">
        <v>233</v>
      </c>
      <c r="G27" s="273"/>
      <c r="H27" s="281"/>
    </row>
    <row r="28" spans="1:10" x14ac:dyDescent="0.25">
      <c r="A28" s="8" t="s">
        <v>25</v>
      </c>
      <c r="B28" s="186" t="s">
        <v>170</v>
      </c>
      <c r="C28" s="187" t="s">
        <v>188</v>
      </c>
      <c r="D28" s="188" t="s">
        <v>174</v>
      </c>
      <c r="E28" s="186" t="s">
        <v>152</v>
      </c>
      <c r="F28" s="282" t="s">
        <v>213</v>
      </c>
      <c r="G28" s="283"/>
      <c r="H28" s="284"/>
      <c r="J28" s="81" t="s">
        <v>258</v>
      </c>
    </row>
    <row r="29" spans="1:10" x14ac:dyDescent="0.25">
      <c r="A29" s="8" t="s">
        <v>26</v>
      </c>
      <c r="B29" s="188" t="s">
        <v>117</v>
      </c>
      <c r="C29" s="185" t="s">
        <v>216</v>
      </c>
      <c r="D29" s="186" t="s">
        <v>92</v>
      </c>
      <c r="E29" s="188" t="s">
        <v>168</v>
      </c>
      <c r="F29" s="279" t="s">
        <v>232</v>
      </c>
      <c r="G29" s="279"/>
      <c r="H29" s="280"/>
    </row>
    <row r="30" spans="1:10" ht="15.75" thickBot="1" x14ac:dyDescent="0.3">
      <c r="A30" s="15" t="s">
        <v>115</v>
      </c>
      <c r="B30" s="167" t="s">
        <v>231</v>
      </c>
      <c r="C30" s="167" t="s">
        <v>155</v>
      </c>
      <c r="D30" s="83" t="s">
        <v>214</v>
      </c>
      <c r="E30" s="167" t="s">
        <v>153</v>
      </c>
      <c r="F30" s="277" t="s">
        <v>85</v>
      </c>
      <c r="G30" s="277"/>
      <c r="H30" s="278"/>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27</v>
      </c>
      <c r="B2" s="163">
        <v>3</v>
      </c>
      <c r="C2" s="164">
        <v>3</v>
      </c>
      <c r="D2" s="163">
        <v>3</v>
      </c>
      <c r="E2" s="164">
        <v>3</v>
      </c>
      <c r="F2" s="289">
        <v>3</v>
      </c>
      <c r="G2" s="289"/>
      <c r="H2" s="290"/>
    </row>
    <row r="3" spans="1:8" x14ac:dyDescent="0.25">
      <c r="A3" s="8" t="s">
        <v>24</v>
      </c>
      <c r="B3" s="149"/>
      <c r="C3" s="149"/>
      <c r="D3" s="150"/>
      <c r="E3" s="150"/>
      <c r="F3" s="285" t="s">
        <v>82</v>
      </c>
      <c r="G3" s="285"/>
      <c r="H3" s="286"/>
    </row>
    <row r="4" spans="1:8" x14ac:dyDescent="0.25">
      <c r="A4" s="8" t="s">
        <v>25</v>
      </c>
      <c r="B4" s="149"/>
      <c r="C4" s="150"/>
      <c r="D4" s="150"/>
      <c r="E4" s="149"/>
      <c r="F4" s="279" t="s">
        <v>153</v>
      </c>
      <c r="G4" s="279"/>
      <c r="H4" s="280"/>
    </row>
    <row r="5" spans="1:8" x14ac:dyDescent="0.25">
      <c r="A5" s="8" t="s">
        <v>26</v>
      </c>
      <c r="B5" s="150"/>
      <c r="C5" s="149"/>
      <c r="D5" s="149"/>
      <c r="E5" s="150"/>
      <c r="F5" s="279" t="s">
        <v>69</v>
      </c>
      <c r="G5" s="279"/>
      <c r="H5" s="280"/>
    </row>
    <row r="6" spans="1:8" ht="15.75" thickBot="1" x14ac:dyDescent="0.3">
      <c r="A6" s="15" t="s">
        <v>115</v>
      </c>
      <c r="B6" s="151"/>
      <c r="C6" s="151"/>
      <c r="D6" s="151"/>
      <c r="E6" s="152"/>
      <c r="F6" s="277" t="s">
        <v>214</v>
      </c>
      <c r="G6" s="277"/>
      <c r="H6" s="278"/>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27</v>
      </c>
      <c r="B8" s="163">
        <v>3</v>
      </c>
      <c r="C8" s="164">
        <v>3</v>
      </c>
      <c r="D8" s="163">
        <v>3</v>
      </c>
      <c r="E8" s="164">
        <v>3</v>
      </c>
      <c r="F8" s="279">
        <v>2</v>
      </c>
      <c r="G8" s="279"/>
      <c r="H8" s="280"/>
    </row>
    <row r="9" spans="1:8" x14ac:dyDescent="0.25">
      <c r="A9" s="8" t="s">
        <v>24</v>
      </c>
      <c r="B9" s="163" t="s">
        <v>154</v>
      </c>
      <c r="C9" s="163" t="s">
        <v>169</v>
      </c>
      <c r="D9" s="165" t="s">
        <v>87</v>
      </c>
      <c r="E9" s="164" t="s">
        <v>217</v>
      </c>
      <c r="F9" s="285" t="s">
        <v>131</v>
      </c>
      <c r="G9" s="285"/>
      <c r="H9" s="286"/>
    </row>
    <row r="10" spans="1:8" x14ac:dyDescent="0.25">
      <c r="A10" s="8" t="s">
        <v>25</v>
      </c>
      <c r="B10" s="164" t="s">
        <v>152</v>
      </c>
      <c r="C10" s="165" t="s">
        <v>81</v>
      </c>
      <c r="D10" s="164" t="s">
        <v>170</v>
      </c>
      <c r="E10" s="163" t="s">
        <v>218</v>
      </c>
      <c r="F10" s="279" t="s">
        <v>172</v>
      </c>
      <c r="G10" s="279"/>
      <c r="H10" s="280"/>
    </row>
    <row r="11" spans="1:8" x14ac:dyDescent="0.25">
      <c r="A11" s="8" t="s">
        <v>26</v>
      </c>
      <c r="B11" s="165" t="s">
        <v>117</v>
      </c>
      <c r="C11" s="163" t="s">
        <v>118</v>
      </c>
      <c r="D11" s="163" t="s">
        <v>233</v>
      </c>
      <c r="E11" s="165" t="s">
        <v>94</v>
      </c>
      <c r="F11" s="285" t="s">
        <v>171</v>
      </c>
      <c r="G11" s="285"/>
      <c r="H11" s="286"/>
    </row>
    <row r="12" spans="1:8" ht="15.75" thickBot="1" x14ac:dyDescent="0.3">
      <c r="A12" s="8" t="s">
        <v>115</v>
      </c>
      <c r="B12" s="163" t="s">
        <v>189</v>
      </c>
      <c r="C12" s="163" t="s">
        <v>116</v>
      </c>
      <c r="D12" s="70" t="s">
        <v>215</v>
      </c>
      <c r="E12" s="164" t="s">
        <v>188</v>
      </c>
      <c r="F12" s="279" t="s">
        <v>216</v>
      </c>
      <c r="G12" s="279"/>
      <c r="H12" s="280"/>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27</v>
      </c>
      <c r="B14" s="163">
        <v>3</v>
      </c>
      <c r="C14" s="164">
        <v>3</v>
      </c>
      <c r="D14" s="163">
        <v>3</v>
      </c>
      <c r="E14" s="164">
        <v>3</v>
      </c>
      <c r="F14" s="279" t="s">
        <v>219</v>
      </c>
      <c r="G14" s="279"/>
      <c r="H14" s="280"/>
    </row>
    <row r="15" spans="1:8" x14ac:dyDescent="0.25">
      <c r="A15" s="8" t="s">
        <v>24</v>
      </c>
      <c r="B15" s="165" t="s">
        <v>69</v>
      </c>
      <c r="C15" s="166" t="s">
        <v>71</v>
      </c>
      <c r="D15" s="164" t="s">
        <v>92</v>
      </c>
      <c r="E15" s="165" t="s">
        <v>117</v>
      </c>
      <c r="F15" s="279" t="s">
        <v>234</v>
      </c>
      <c r="G15" s="279"/>
      <c r="H15" s="280"/>
    </row>
    <row r="16" spans="1:8" x14ac:dyDescent="0.25">
      <c r="A16" s="8" t="s">
        <v>25</v>
      </c>
      <c r="B16" s="163" t="s">
        <v>173</v>
      </c>
      <c r="C16" s="163" t="s">
        <v>103</v>
      </c>
      <c r="D16" s="163" t="s">
        <v>76</v>
      </c>
      <c r="E16" s="163" t="s">
        <v>118</v>
      </c>
      <c r="F16" s="279" t="s">
        <v>231</v>
      </c>
      <c r="G16" s="279"/>
      <c r="H16" s="280"/>
    </row>
    <row r="17" spans="1:8" x14ac:dyDescent="0.25">
      <c r="A17" s="8" t="s">
        <v>26</v>
      </c>
      <c r="B17" s="163" t="s">
        <v>174</v>
      </c>
      <c r="C17" s="163" t="s">
        <v>72</v>
      </c>
      <c r="D17" s="166" t="s">
        <v>87</v>
      </c>
      <c r="E17" s="164" t="s">
        <v>95</v>
      </c>
      <c r="F17" s="285" t="s">
        <v>132</v>
      </c>
      <c r="G17" s="285"/>
      <c r="H17" s="286"/>
    </row>
    <row r="18" spans="1:8" ht="15.75" thickBot="1" x14ac:dyDescent="0.3">
      <c r="A18" s="8" t="s">
        <v>115</v>
      </c>
      <c r="B18" s="163" t="s">
        <v>100</v>
      </c>
      <c r="C18" s="163" t="s">
        <v>102</v>
      </c>
      <c r="D18" s="70" t="s">
        <v>214</v>
      </c>
      <c r="E18" s="163" t="s">
        <v>189</v>
      </c>
      <c r="F18" s="279" t="s">
        <v>215</v>
      </c>
      <c r="G18" s="279"/>
      <c r="H18" s="280"/>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27</v>
      </c>
      <c r="B20" s="163" t="s">
        <v>219</v>
      </c>
      <c r="C20" s="164">
        <v>3</v>
      </c>
      <c r="D20" s="163">
        <v>3</v>
      </c>
      <c r="E20" s="164">
        <v>3</v>
      </c>
      <c r="F20" s="279">
        <v>3</v>
      </c>
      <c r="G20" s="279"/>
      <c r="H20" s="280"/>
    </row>
    <row r="21" spans="1:8" x14ac:dyDescent="0.25">
      <c r="A21" s="8" t="s">
        <v>24</v>
      </c>
      <c r="B21" s="164" t="s">
        <v>234</v>
      </c>
      <c r="C21" s="163" t="s">
        <v>90</v>
      </c>
      <c r="D21" s="165" t="s">
        <v>131</v>
      </c>
      <c r="E21" s="163" t="s">
        <v>233</v>
      </c>
      <c r="F21" s="279" t="s">
        <v>174</v>
      </c>
      <c r="G21" s="279"/>
      <c r="H21" s="280"/>
    </row>
    <row r="22" spans="1:8" x14ac:dyDescent="0.25">
      <c r="A22" s="8" t="s">
        <v>25</v>
      </c>
      <c r="B22" s="178" t="s">
        <v>231</v>
      </c>
      <c r="C22" s="164" t="s">
        <v>102</v>
      </c>
      <c r="D22" s="163" t="s">
        <v>173</v>
      </c>
      <c r="E22" s="165" t="s">
        <v>81</v>
      </c>
      <c r="F22" s="285" t="s">
        <v>217</v>
      </c>
      <c r="G22" s="285"/>
      <c r="H22" s="286"/>
    </row>
    <row r="23" spans="1:8" x14ac:dyDescent="0.25">
      <c r="A23" s="8" t="s">
        <v>26</v>
      </c>
      <c r="B23" s="179" t="s">
        <v>132</v>
      </c>
      <c r="C23" s="165" t="s">
        <v>71</v>
      </c>
      <c r="D23" s="163" t="s">
        <v>72</v>
      </c>
      <c r="E23" s="164" t="s">
        <v>232</v>
      </c>
      <c r="F23" s="279" t="s">
        <v>168</v>
      </c>
      <c r="G23" s="279"/>
      <c r="H23" s="280"/>
    </row>
    <row r="24" spans="1:8" ht="15.75" thickBot="1" x14ac:dyDescent="0.3">
      <c r="A24" s="8" t="s">
        <v>115</v>
      </c>
      <c r="B24" s="163" t="s">
        <v>215</v>
      </c>
      <c r="C24" s="163" t="s">
        <v>116</v>
      </c>
      <c r="D24" s="163" t="s">
        <v>155</v>
      </c>
      <c r="E24" s="164" t="s">
        <v>214</v>
      </c>
      <c r="F24" s="279" t="s">
        <v>76</v>
      </c>
      <c r="G24" s="279"/>
      <c r="H24" s="280"/>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27</v>
      </c>
      <c r="B26" s="163">
        <v>3</v>
      </c>
      <c r="C26" s="164">
        <v>3</v>
      </c>
      <c r="D26" s="163">
        <v>3</v>
      </c>
      <c r="E26" s="164">
        <v>3</v>
      </c>
      <c r="F26" s="279">
        <v>2</v>
      </c>
      <c r="G26" s="279"/>
      <c r="H26" s="280"/>
    </row>
    <row r="27" spans="1:8" x14ac:dyDescent="0.25">
      <c r="A27" s="8" t="s">
        <v>24</v>
      </c>
      <c r="B27" s="163" t="s">
        <v>69</v>
      </c>
      <c r="C27" s="164" t="s">
        <v>132</v>
      </c>
      <c r="D27" s="164" t="s">
        <v>92</v>
      </c>
      <c r="E27" s="165" t="s">
        <v>87</v>
      </c>
      <c r="F27" s="272" t="s">
        <v>169</v>
      </c>
      <c r="G27" s="273"/>
      <c r="H27" s="281"/>
    </row>
    <row r="28" spans="1:8" x14ac:dyDescent="0.25">
      <c r="A28" s="8" t="s">
        <v>25</v>
      </c>
      <c r="B28" s="164" t="s">
        <v>170</v>
      </c>
      <c r="C28" s="163" t="s">
        <v>218</v>
      </c>
      <c r="D28" s="165" t="s">
        <v>81</v>
      </c>
      <c r="E28" s="163" t="s">
        <v>103</v>
      </c>
      <c r="F28" s="282" t="s">
        <v>82</v>
      </c>
      <c r="G28" s="283"/>
      <c r="H28" s="284"/>
    </row>
    <row r="29" spans="1:8" x14ac:dyDescent="0.25">
      <c r="A29" s="8" t="s">
        <v>26</v>
      </c>
      <c r="B29" s="166" t="s">
        <v>154</v>
      </c>
      <c r="C29" s="166" t="s">
        <v>117</v>
      </c>
      <c r="D29" s="163" t="s">
        <v>168</v>
      </c>
      <c r="E29" s="164" t="s">
        <v>232</v>
      </c>
      <c r="F29" s="285" t="s">
        <v>94</v>
      </c>
      <c r="G29" s="285"/>
      <c r="H29" s="286"/>
    </row>
    <row r="30" spans="1:8" ht="15.75" thickBot="1" x14ac:dyDescent="0.3">
      <c r="A30" s="15" t="s">
        <v>115</v>
      </c>
      <c r="B30" s="162" t="s">
        <v>189</v>
      </c>
      <c r="C30" s="162" t="s">
        <v>153</v>
      </c>
      <c r="D30" s="83" t="s">
        <v>188</v>
      </c>
      <c r="E30" s="162" t="s">
        <v>100</v>
      </c>
      <c r="F30" s="277" t="s">
        <v>206</v>
      </c>
      <c r="G30" s="277"/>
      <c r="H30" s="278"/>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27</v>
      </c>
      <c r="B2" s="125">
        <v>3</v>
      </c>
      <c r="C2" s="53">
        <v>3</v>
      </c>
      <c r="D2" s="125">
        <v>3</v>
      </c>
      <c r="E2" s="53">
        <v>3</v>
      </c>
      <c r="F2" s="279" t="s">
        <v>186</v>
      </c>
      <c r="G2" s="279"/>
      <c r="H2" s="280"/>
    </row>
    <row r="3" spans="1:11" x14ac:dyDescent="0.25">
      <c r="A3" s="8" t="s">
        <v>24</v>
      </c>
      <c r="B3" s="126"/>
      <c r="C3" s="126"/>
      <c r="D3" s="128"/>
      <c r="E3" s="53"/>
      <c r="F3" s="285" t="s">
        <v>71</v>
      </c>
      <c r="G3" s="285"/>
      <c r="H3" s="286"/>
    </row>
    <row r="4" spans="1:11" x14ac:dyDescent="0.25">
      <c r="A4" s="8" t="s">
        <v>25</v>
      </c>
      <c r="B4" s="125"/>
      <c r="C4" s="53"/>
      <c r="D4" s="125"/>
      <c r="E4" s="125"/>
      <c r="F4" s="279" t="s">
        <v>168</v>
      </c>
      <c r="G4" s="279"/>
      <c r="H4" s="280"/>
    </row>
    <row r="5" spans="1:11" x14ac:dyDescent="0.25">
      <c r="A5" s="8" t="s">
        <v>26</v>
      </c>
      <c r="B5" s="53"/>
      <c r="C5" s="125"/>
      <c r="D5" s="53"/>
      <c r="E5" s="128"/>
      <c r="F5" s="279" t="s">
        <v>107</v>
      </c>
      <c r="G5" s="279"/>
      <c r="H5" s="280"/>
    </row>
    <row r="6" spans="1:11" ht="15.75" thickBot="1" x14ac:dyDescent="0.3">
      <c r="A6" s="8" t="s">
        <v>115</v>
      </c>
      <c r="B6" s="83"/>
      <c r="C6" s="127"/>
      <c r="D6" s="127"/>
      <c r="E6" s="83"/>
      <c r="F6" s="277" t="s">
        <v>72</v>
      </c>
      <c r="G6" s="277"/>
      <c r="H6" s="278"/>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27</v>
      </c>
      <c r="B8" s="125">
        <v>3</v>
      </c>
      <c r="C8" s="53">
        <v>3</v>
      </c>
      <c r="D8" s="125">
        <v>3</v>
      </c>
      <c r="E8" s="53">
        <v>3</v>
      </c>
      <c r="F8" s="279">
        <v>3</v>
      </c>
      <c r="G8" s="279"/>
      <c r="H8" s="280"/>
    </row>
    <row r="9" spans="1:11" x14ac:dyDescent="0.25">
      <c r="A9" s="8" t="s">
        <v>24</v>
      </c>
      <c r="B9" s="146" t="s">
        <v>169</v>
      </c>
      <c r="C9" s="146" t="s">
        <v>174</v>
      </c>
      <c r="D9" s="53" t="s">
        <v>85</v>
      </c>
      <c r="E9" s="146" t="s">
        <v>72</v>
      </c>
      <c r="F9" s="279" t="s">
        <v>116</v>
      </c>
      <c r="G9" s="279"/>
      <c r="H9" s="280"/>
    </row>
    <row r="10" spans="1:11" x14ac:dyDescent="0.25">
      <c r="A10" s="8" t="s">
        <v>25</v>
      </c>
      <c r="B10" s="144" t="s">
        <v>100</v>
      </c>
      <c r="C10" s="145" t="s">
        <v>117</v>
      </c>
      <c r="D10" s="126" t="s">
        <v>84</v>
      </c>
      <c r="E10" s="147" t="s">
        <v>213</v>
      </c>
      <c r="F10" s="279" t="s">
        <v>154</v>
      </c>
      <c r="G10" s="279"/>
      <c r="H10" s="280"/>
    </row>
    <row r="11" spans="1:11" x14ac:dyDescent="0.25">
      <c r="A11" s="8" t="s">
        <v>26</v>
      </c>
      <c r="B11" s="145" t="s">
        <v>116</v>
      </c>
      <c r="C11" s="144" t="s">
        <v>172</v>
      </c>
      <c r="D11" s="125" t="s">
        <v>153</v>
      </c>
      <c r="E11" s="125" t="s">
        <v>132</v>
      </c>
      <c r="F11" s="285" t="s">
        <v>81</v>
      </c>
      <c r="G11" s="285"/>
      <c r="H11" s="286"/>
    </row>
    <row r="12" spans="1:11" ht="15.75" thickBot="1" x14ac:dyDescent="0.3">
      <c r="A12" s="8" t="s">
        <v>115</v>
      </c>
      <c r="B12" s="125" t="s">
        <v>102</v>
      </c>
      <c r="C12" s="125" t="s">
        <v>218</v>
      </c>
      <c r="D12" s="70" t="s">
        <v>102</v>
      </c>
      <c r="E12" s="144" t="s">
        <v>103</v>
      </c>
      <c r="F12" s="279" t="s">
        <v>152</v>
      </c>
      <c r="G12" s="279"/>
      <c r="H12" s="280"/>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27</v>
      </c>
      <c r="B14" s="125">
        <v>3</v>
      </c>
      <c r="C14" s="53">
        <v>3</v>
      </c>
      <c r="D14" s="125">
        <v>3</v>
      </c>
      <c r="E14" s="272">
        <v>2</v>
      </c>
      <c r="F14" s="273"/>
      <c r="G14" s="273"/>
      <c r="H14" s="281"/>
    </row>
    <row r="15" spans="1:11" x14ac:dyDescent="0.25">
      <c r="A15" s="8" t="s">
        <v>24</v>
      </c>
      <c r="B15" s="128" t="s">
        <v>87</v>
      </c>
      <c r="C15" s="145" t="s">
        <v>82</v>
      </c>
      <c r="D15" s="125" t="s">
        <v>107</v>
      </c>
      <c r="E15" s="272" t="s">
        <v>170</v>
      </c>
      <c r="F15" s="273"/>
      <c r="G15" s="273"/>
      <c r="H15" s="281"/>
      <c r="I15" s="81" t="s">
        <v>169</v>
      </c>
    </row>
    <row r="16" spans="1:11" x14ac:dyDescent="0.25">
      <c r="A16" s="8" t="s">
        <v>25</v>
      </c>
      <c r="B16" s="53" t="s">
        <v>118</v>
      </c>
      <c r="C16" s="144" t="s">
        <v>218</v>
      </c>
      <c r="D16" s="145" t="s">
        <v>217</v>
      </c>
      <c r="E16" s="282" t="s">
        <v>74</v>
      </c>
      <c r="F16" s="283"/>
      <c r="G16" s="283"/>
      <c r="H16" s="284"/>
      <c r="I16" s="69" t="s">
        <v>107</v>
      </c>
      <c r="K16" s="81"/>
    </row>
    <row r="17" spans="1:9" x14ac:dyDescent="0.25">
      <c r="A17" s="71" t="s">
        <v>26</v>
      </c>
      <c r="B17" s="146" t="s">
        <v>168</v>
      </c>
      <c r="C17" s="146" t="s">
        <v>171</v>
      </c>
      <c r="D17" s="146" t="s">
        <v>168</v>
      </c>
      <c r="E17" s="282" t="s">
        <v>90</v>
      </c>
      <c r="F17" s="283"/>
      <c r="G17" s="283"/>
      <c r="H17" s="284"/>
      <c r="I17" s="69" t="s">
        <v>103</v>
      </c>
    </row>
    <row r="18" spans="1:9" ht="15.75" thickBot="1" x14ac:dyDescent="0.3">
      <c r="A18" s="8" t="s">
        <v>115</v>
      </c>
      <c r="B18" s="125" t="s">
        <v>189</v>
      </c>
      <c r="C18" s="125" t="s">
        <v>132</v>
      </c>
      <c r="D18" s="125" t="s">
        <v>189</v>
      </c>
      <c r="E18" s="272" t="s">
        <v>188</v>
      </c>
      <c r="F18" s="273"/>
      <c r="G18" s="273"/>
      <c r="H18" s="281"/>
      <c r="I18" s="81" t="s">
        <v>96</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27</v>
      </c>
      <c r="B20" s="125">
        <v>3</v>
      </c>
      <c r="C20" s="53">
        <v>3</v>
      </c>
      <c r="D20" s="125">
        <v>3</v>
      </c>
      <c r="E20" s="53">
        <v>3</v>
      </c>
      <c r="F20" s="279">
        <v>3</v>
      </c>
      <c r="G20" s="289"/>
      <c r="H20" s="290"/>
    </row>
    <row r="21" spans="1:9" x14ac:dyDescent="0.25">
      <c r="A21" s="8" t="s">
        <v>24</v>
      </c>
      <c r="B21" s="146" t="s">
        <v>169</v>
      </c>
      <c r="C21" s="145" t="s">
        <v>71</v>
      </c>
      <c r="D21" s="146" t="s">
        <v>102</v>
      </c>
      <c r="E21" s="145" t="s">
        <v>82</v>
      </c>
      <c r="F21" s="279" t="s">
        <v>96</v>
      </c>
      <c r="G21" s="279"/>
      <c r="H21" s="280"/>
    </row>
    <row r="22" spans="1:9" x14ac:dyDescent="0.25">
      <c r="A22" s="8" t="s">
        <v>25</v>
      </c>
      <c r="B22" s="145" t="s">
        <v>217</v>
      </c>
      <c r="C22" s="53" t="s">
        <v>103</v>
      </c>
      <c r="D22" s="145" t="s">
        <v>85</v>
      </c>
      <c r="E22" s="144" t="s">
        <v>218</v>
      </c>
      <c r="F22" s="272" t="s">
        <v>173</v>
      </c>
      <c r="G22" s="273"/>
      <c r="H22" s="281"/>
    </row>
    <row r="23" spans="1:9" x14ac:dyDescent="0.25">
      <c r="A23" s="8" t="s">
        <v>26</v>
      </c>
      <c r="B23" s="146" t="s">
        <v>171</v>
      </c>
      <c r="C23" s="146" t="s">
        <v>118</v>
      </c>
      <c r="D23" s="125" t="s">
        <v>95</v>
      </c>
      <c r="E23" s="53" t="s">
        <v>174</v>
      </c>
      <c r="F23" s="282" t="s">
        <v>117</v>
      </c>
      <c r="G23" s="283"/>
      <c r="H23" s="284"/>
    </row>
    <row r="24" spans="1:9" ht="15.75" thickBot="1" x14ac:dyDescent="0.3">
      <c r="A24" s="8" t="s">
        <v>115</v>
      </c>
      <c r="B24" s="91" t="s">
        <v>206</v>
      </c>
      <c r="C24" s="70" t="s">
        <v>216</v>
      </c>
      <c r="D24" s="70" t="s">
        <v>189</v>
      </c>
      <c r="E24" s="91" t="s">
        <v>206</v>
      </c>
      <c r="F24" s="279" t="s">
        <v>92</v>
      </c>
      <c r="G24" s="279"/>
      <c r="H24" s="280"/>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27</v>
      </c>
      <c r="B26" s="125">
        <v>3</v>
      </c>
      <c r="C26" s="53">
        <v>3</v>
      </c>
      <c r="D26" s="125">
        <v>3</v>
      </c>
      <c r="E26" s="53">
        <v>3</v>
      </c>
      <c r="F26" s="279">
        <v>3</v>
      </c>
      <c r="G26" s="289"/>
      <c r="H26" s="290"/>
    </row>
    <row r="27" spans="1:9" x14ac:dyDescent="0.25">
      <c r="A27" s="8" t="s">
        <v>24</v>
      </c>
      <c r="B27" s="144" t="s">
        <v>95</v>
      </c>
      <c r="C27" s="144" t="s">
        <v>132</v>
      </c>
      <c r="D27" s="145" t="s">
        <v>71</v>
      </c>
      <c r="E27" s="146" t="s">
        <v>169</v>
      </c>
      <c r="F27" s="285" t="s">
        <v>213</v>
      </c>
      <c r="G27" s="285"/>
      <c r="H27" s="286"/>
    </row>
    <row r="28" spans="1:9" x14ac:dyDescent="0.25">
      <c r="A28" s="8" t="s">
        <v>25</v>
      </c>
      <c r="B28" s="146" t="s">
        <v>118</v>
      </c>
      <c r="C28" s="145" t="s">
        <v>152</v>
      </c>
      <c r="D28" s="146" t="s">
        <v>174</v>
      </c>
      <c r="E28" s="145" t="s">
        <v>217</v>
      </c>
      <c r="F28" s="279" t="s">
        <v>153</v>
      </c>
      <c r="G28" s="279"/>
      <c r="H28" s="280"/>
    </row>
    <row r="29" spans="1:9" x14ac:dyDescent="0.25">
      <c r="A29" s="8" t="s">
        <v>26</v>
      </c>
      <c r="B29" s="147" t="s">
        <v>81</v>
      </c>
      <c r="C29" s="144" t="s">
        <v>172</v>
      </c>
      <c r="D29" s="146" t="s">
        <v>100</v>
      </c>
      <c r="E29" s="146" t="s">
        <v>171</v>
      </c>
      <c r="F29" s="279" t="s">
        <v>69</v>
      </c>
      <c r="G29" s="279"/>
      <c r="H29" s="280"/>
    </row>
    <row r="30" spans="1:9" ht="15.75" thickBot="1" x14ac:dyDescent="0.3">
      <c r="A30" s="15" t="s">
        <v>115</v>
      </c>
      <c r="B30" s="83" t="s">
        <v>215</v>
      </c>
      <c r="C30" s="127" t="s">
        <v>216</v>
      </c>
      <c r="D30" s="127" t="s">
        <v>215</v>
      </c>
      <c r="E30" s="83" t="s">
        <v>206</v>
      </c>
      <c r="F30" s="277" t="s">
        <v>214</v>
      </c>
      <c r="G30" s="277"/>
      <c r="H30" s="278"/>
    </row>
  </sheetData>
  <mergeCells count="25">
    <mergeCell ref="F9:H9"/>
    <mergeCell ref="F10:H10"/>
    <mergeCell ref="F11:H11"/>
    <mergeCell ref="F12:H12"/>
    <mergeCell ref="F2:H2"/>
    <mergeCell ref="F3:H3"/>
    <mergeCell ref="F4:H4"/>
    <mergeCell ref="F5:H5"/>
    <mergeCell ref="F6:H6"/>
    <mergeCell ref="F8:H8"/>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27</v>
      </c>
      <c r="B2" s="92"/>
      <c r="C2" s="92"/>
      <c r="D2" s="92"/>
      <c r="E2" s="10"/>
      <c r="F2" s="289">
        <v>3</v>
      </c>
      <c r="G2" s="289"/>
      <c r="H2" s="290"/>
    </row>
    <row r="3" spans="1:8" x14ac:dyDescent="0.25">
      <c r="A3" s="8" t="s">
        <v>24</v>
      </c>
      <c r="B3" s="94"/>
      <c r="C3" s="94"/>
      <c r="D3" s="12"/>
      <c r="E3" s="12"/>
      <c r="F3" s="285" t="s">
        <v>71</v>
      </c>
      <c r="G3" s="285"/>
      <c r="H3" s="286"/>
    </row>
    <row r="4" spans="1:8" x14ac:dyDescent="0.25">
      <c r="A4" s="8" t="s">
        <v>25</v>
      </c>
      <c r="B4" s="94"/>
      <c r="C4" s="10"/>
      <c r="D4" s="10"/>
      <c r="E4" s="92"/>
      <c r="F4" s="279" t="s">
        <v>172</v>
      </c>
      <c r="G4" s="279"/>
      <c r="H4" s="280"/>
    </row>
    <row r="5" spans="1:8" x14ac:dyDescent="0.25">
      <c r="A5" s="8" t="s">
        <v>26</v>
      </c>
      <c r="B5" s="10"/>
      <c r="C5" s="94"/>
      <c r="D5" s="92"/>
      <c r="E5" s="10"/>
      <c r="F5" s="279" t="s">
        <v>74</v>
      </c>
      <c r="G5" s="279"/>
      <c r="H5" s="280"/>
    </row>
    <row r="6" spans="1:8" ht="15.75" thickBot="1" x14ac:dyDescent="0.3">
      <c r="A6" s="15" t="s">
        <v>115</v>
      </c>
      <c r="B6" s="93"/>
      <c r="C6" s="93"/>
      <c r="D6" s="93"/>
      <c r="E6" s="14"/>
      <c r="F6" s="277" t="s">
        <v>170</v>
      </c>
      <c r="G6" s="291"/>
      <c r="H6" s="292"/>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27</v>
      </c>
      <c r="B8" s="103">
        <v>3</v>
      </c>
      <c r="C8" s="53">
        <v>3</v>
      </c>
      <c r="D8" s="103">
        <v>3</v>
      </c>
      <c r="E8" s="53">
        <v>3</v>
      </c>
      <c r="F8" s="279">
        <v>3</v>
      </c>
      <c r="G8" s="279"/>
      <c r="H8" s="280"/>
    </row>
    <row r="9" spans="1:8" x14ac:dyDescent="0.25">
      <c r="A9" s="8" t="s">
        <v>24</v>
      </c>
      <c r="B9" s="118" t="s">
        <v>169</v>
      </c>
      <c r="C9" s="118" t="s">
        <v>100</v>
      </c>
      <c r="D9" s="120" t="s">
        <v>82</v>
      </c>
      <c r="E9" s="120" t="s">
        <v>94</v>
      </c>
      <c r="F9" s="279" t="s">
        <v>118</v>
      </c>
      <c r="G9" s="279"/>
      <c r="H9" s="280"/>
    </row>
    <row r="10" spans="1:8" x14ac:dyDescent="0.25">
      <c r="A10" s="8" t="s">
        <v>25</v>
      </c>
      <c r="B10" s="53" t="s">
        <v>127</v>
      </c>
      <c r="C10" s="120" t="s">
        <v>81</v>
      </c>
      <c r="D10" s="53" t="s">
        <v>92</v>
      </c>
      <c r="E10" s="121" t="s">
        <v>74</v>
      </c>
      <c r="F10" s="285" t="s">
        <v>132</v>
      </c>
      <c r="G10" s="285"/>
      <c r="H10" s="286"/>
    </row>
    <row r="11" spans="1:8" x14ac:dyDescent="0.25">
      <c r="A11" s="8" t="s">
        <v>26</v>
      </c>
      <c r="B11" s="120" t="s">
        <v>87</v>
      </c>
      <c r="C11" s="103" t="s">
        <v>171</v>
      </c>
      <c r="D11" s="103" t="s">
        <v>96</v>
      </c>
      <c r="E11" s="53" t="s">
        <v>154</v>
      </c>
      <c r="F11" s="279" t="s">
        <v>102</v>
      </c>
      <c r="G11" s="279"/>
      <c r="H11" s="280"/>
    </row>
    <row r="12" spans="1:8" ht="15.75" thickBot="1" x14ac:dyDescent="0.3">
      <c r="A12" s="8" t="s">
        <v>115</v>
      </c>
      <c r="B12" s="103" t="s">
        <v>153</v>
      </c>
      <c r="C12" s="103" t="s">
        <v>85</v>
      </c>
      <c r="D12" s="70" t="s">
        <v>116</v>
      </c>
      <c r="E12" s="53" t="s">
        <v>152</v>
      </c>
      <c r="F12" s="279" t="s">
        <v>188</v>
      </c>
      <c r="G12" s="279"/>
      <c r="H12" s="280"/>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27</v>
      </c>
      <c r="B14" s="103">
        <v>3</v>
      </c>
      <c r="C14" s="53">
        <v>3</v>
      </c>
      <c r="D14" s="103">
        <v>3</v>
      </c>
      <c r="E14" s="53">
        <v>3</v>
      </c>
      <c r="F14" s="279">
        <v>3</v>
      </c>
      <c r="G14" s="279"/>
      <c r="H14" s="280"/>
    </row>
    <row r="15" spans="1:8" x14ac:dyDescent="0.25">
      <c r="A15" s="8" t="s">
        <v>24</v>
      </c>
      <c r="B15" s="120" t="s">
        <v>117</v>
      </c>
      <c r="C15" s="103" t="s">
        <v>155</v>
      </c>
      <c r="D15" s="53" t="s">
        <v>153</v>
      </c>
      <c r="E15" s="53" t="s">
        <v>154</v>
      </c>
      <c r="F15" s="279" t="s">
        <v>100</v>
      </c>
      <c r="G15" s="279"/>
      <c r="H15" s="280"/>
    </row>
    <row r="16" spans="1:8" x14ac:dyDescent="0.25">
      <c r="A16" s="8" t="s">
        <v>25</v>
      </c>
      <c r="B16" s="103" t="s">
        <v>170</v>
      </c>
      <c r="C16" s="118" t="s">
        <v>169</v>
      </c>
      <c r="D16" s="122" t="s">
        <v>127</v>
      </c>
      <c r="E16" s="103" t="s">
        <v>172</v>
      </c>
      <c r="F16" s="285" t="s">
        <v>85</v>
      </c>
      <c r="G16" s="285"/>
      <c r="H16" s="286"/>
    </row>
    <row r="17" spans="1:9" x14ac:dyDescent="0.25">
      <c r="A17" s="8" t="s">
        <v>26</v>
      </c>
      <c r="B17" s="121" t="s">
        <v>72</v>
      </c>
      <c r="C17" s="119" t="s">
        <v>81</v>
      </c>
      <c r="D17" s="103" t="s">
        <v>175</v>
      </c>
      <c r="E17" s="103" t="s">
        <v>74</v>
      </c>
      <c r="F17" s="279" t="s">
        <v>103</v>
      </c>
      <c r="G17" s="279"/>
      <c r="H17" s="280"/>
    </row>
    <row r="18" spans="1:9" ht="15.75" thickBot="1" x14ac:dyDescent="0.3">
      <c r="A18" s="8" t="s">
        <v>115</v>
      </c>
      <c r="B18" s="103" t="s">
        <v>189</v>
      </c>
      <c r="C18" s="103" t="s">
        <v>152</v>
      </c>
      <c r="D18" s="70" t="s">
        <v>174</v>
      </c>
      <c r="E18" s="119" t="s">
        <v>71</v>
      </c>
      <c r="F18" s="279" t="s">
        <v>131</v>
      </c>
      <c r="G18" s="279"/>
      <c r="H18" s="280"/>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27</v>
      </c>
      <c r="B20" s="103">
        <v>3</v>
      </c>
      <c r="C20" s="53">
        <v>3</v>
      </c>
      <c r="D20" s="103">
        <v>3</v>
      </c>
      <c r="E20" s="53">
        <v>3</v>
      </c>
      <c r="F20" s="279">
        <v>3</v>
      </c>
      <c r="G20" s="279"/>
      <c r="H20" s="280"/>
    </row>
    <row r="21" spans="1:9" x14ac:dyDescent="0.25">
      <c r="A21" s="8" t="s">
        <v>24</v>
      </c>
      <c r="B21" s="120" t="s">
        <v>81</v>
      </c>
      <c r="C21" s="118" t="s">
        <v>155</v>
      </c>
      <c r="D21" s="118" t="s">
        <v>170</v>
      </c>
      <c r="E21" s="53" t="s">
        <v>96</v>
      </c>
      <c r="F21" s="279" t="s">
        <v>175</v>
      </c>
      <c r="G21" s="279"/>
      <c r="H21" s="280"/>
    </row>
    <row r="22" spans="1:9" x14ac:dyDescent="0.25">
      <c r="A22" s="8" t="s">
        <v>25</v>
      </c>
      <c r="B22" s="53" t="s">
        <v>169</v>
      </c>
      <c r="C22" s="53" t="s">
        <v>174</v>
      </c>
      <c r="D22" s="53" t="s">
        <v>154</v>
      </c>
      <c r="E22" s="118" t="s">
        <v>103</v>
      </c>
      <c r="F22" s="285" t="s">
        <v>117</v>
      </c>
      <c r="G22" s="285"/>
      <c r="H22" s="286"/>
    </row>
    <row r="23" spans="1:9" x14ac:dyDescent="0.25">
      <c r="A23" s="8" t="s">
        <v>26</v>
      </c>
      <c r="B23" s="118" t="s">
        <v>116</v>
      </c>
      <c r="C23" s="120" t="s">
        <v>74</v>
      </c>
      <c r="D23" s="120" t="s">
        <v>87</v>
      </c>
      <c r="E23" s="120" t="s">
        <v>69</v>
      </c>
      <c r="F23" s="279" t="s">
        <v>95</v>
      </c>
      <c r="G23" s="279"/>
      <c r="H23" s="280"/>
    </row>
    <row r="24" spans="1:9" ht="15.75" thickBot="1" x14ac:dyDescent="0.3">
      <c r="A24" s="8" t="s">
        <v>115</v>
      </c>
      <c r="B24" s="103" t="s">
        <v>127</v>
      </c>
      <c r="C24" s="103" t="s">
        <v>188</v>
      </c>
      <c r="D24" s="103" t="s">
        <v>153</v>
      </c>
      <c r="E24" s="53" t="s">
        <v>92</v>
      </c>
      <c r="F24" s="279" t="s">
        <v>189</v>
      </c>
      <c r="G24" s="279"/>
      <c r="H24" s="280"/>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27</v>
      </c>
      <c r="B26" s="103">
        <v>3</v>
      </c>
      <c r="C26" s="53">
        <v>3</v>
      </c>
      <c r="D26" s="103">
        <v>3</v>
      </c>
      <c r="E26" s="53">
        <v>3</v>
      </c>
      <c r="F26" s="279" t="s">
        <v>185</v>
      </c>
      <c r="G26" s="289"/>
      <c r="H26" s="290"/>
    </row>
    <row r="27" spans="1:9" x14ac:dyDescent="0.25">
      <c r="A27" s="8" t="s">
        <v>24</v>
      </c>
      <c r="B27" s="118" t="s">
        <v>170</v>
      </c>
      <c r="C27" s="118" t="s">
        <v>155</v>
      </c>
      <c r="D27" s="120" t="s">
        <v>116</v>
      </c>
      <c r="E27" s="120" t="s">
        <v>154</v>
      </c>
      <c r="F27" s="279" t="s">
        <v>90</v>
      </c>
      <c r="G27" s="279"/>
      <c r="H27" s="280"/>
      <c r="I27" s="81" t="s">
        <v>153</v>
      </c>
    </row>
    <row r="28" spans="1:9" x14ac:dyDescent="0.25">
      <c r="A28" s="8" t="s">
        <v>25</v>
      </c>
      <c r="B28" s="53" t="s">
        <v>69</v>
      </c>
      <c r="C28" s="53" t="s">
        <v>102</v>
      </c>
      <c r="D28" s="118" t="s">
        <v>92</v>
      </c>
      <c r="E28" s="121" t="s">
        <v>103</v>
      </c>
      <c r="F28" s="282" t="s">
        <v>172</v>
      </c>
      <c r="G28" s="283"/>
      <c r="H28" s="284"/>
      <c r="I28" s="69" t="s">
        <v>132</v>
      </c>
    </row>
    <row r="29" spans="1:9" x14ac:dyDescent="0.25">
      <c r="A29" s="8" t="s">
        <v>26</v>
      </c>
      <c r="B29" s="120" t="s">
        <v>153</v>
      </c>
      <c r="C29" s="119" t="s">
        <v>72</v>
      </c>
      <c r="D29" s="103" t="s">
        <v>168</v>
      </c>
      <c r="E29" s="53" t="s">
        <v>69</v>
      </c>
      <c r="F29" s="279" t="s">
        <v>174</v>
      </c>
      <c r="G29" s="279"/>
      <c r="H29" s="280"/>
      <c r="I29" s="81" t="s">
        <v>85</v>
      </c>
    </row>
    <row r="30" spans="1:9" ht="15.75" thickBot="1" x14ac:dyDescent="0.3">
      <c r="A30" s="8" t="s">
        <v>115</v>
      </c>
      <c r="B30" s="91" t="s">
        <v>172</v>
      </c>
      <c r="C30" s="70" t="s">
        <v>188</v>
      </c>
      <c r="D30" s="70" t="s">
        <v>152</v>
      </c>
      <c r="E30" s="91" t="s">
        <v>85</v>
      </c>
      <c r="F30" s="279" t="s">
        <v>171</v>
      </c>
      <c r="G30" s="279"/>
      <c r="H30" s="280"/>
      <c r="I30" s="81" t="s">
        <v>189</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27</v>
      </c>
      <c r="B32" s="103">
        <v>3</v>
      </c>
      <c r="C32" s="53">
        <v>3</v>
      </c>
      <c r="D32" s="103">
        <v>3</v>
      </c>
      <c r="E32" s="53">
        <v>3</v>
      </c>
      <c r="F32" s="279" t="s">
        <v>186</v>
      </c>
      <c r="G32" s="289"/>
      <c r="H32" s="290"/>
    </row>
    <row r="33" spans="1:9" x14ac:dyDescent="0.25">
      <c r="A33" s="8" t="s">
        <v>24</v>
      </c>
      <c r="B33" s="119" t="s">
        <v>82</v>
      </c>
      <c r="C33" s="119" t="s">
        <v>132</v>
      </c>
      <c r="D33" s="120" t="s">
        <v>81</v>
      </c>
      <c r="E33" s="53" t="s">
        <v>92</v>
      </c>
      <c r="F33" s="285" t="s">
        <v>71</v>
      </c>
      <c r="G33" s="285"/>
      <c r="H33" s="286"/>
      <c r="I33" s="69" t="s">
        <v>155</v>
      </c>
    </row>
    <row r="34" spans="1:9" x14ac:dyDescent="0.25">
      <c r="A34" s="8" t="s">
        <v>25</v>
      </c>
      <c r="B34" s="118" t="s">
        <v>74</v>
      </c>
      <c r="C34" s="53" t="s">
        <v>155</v>
      </c>
      <c r="D34" s="118" t="s">
        <v>170</v>
      </c>
      <c r="E34" s="103" t="s">
        <v>96</v>
      </c>
      <c r="F34" s="279" t="s">
        <v>168</v>
      </c>
      <c r="G34" s="279"/>
      <c r="H34" s="280"/>
      <c r="I34" s="81" t="s">
        <v>154</v>
      </c>
    </row>
    <row r="35" spans="1:9" x14ac:dyDescent="0.25">
      <c r="A35" s="8" t="s">
        <v>26</v>
      </c>
      <c r="B35" s="53" t="s">
        <v>95</v>
      </c>
      <c r="C35" s="118" t="s">
        <v>169</v>
      </c>
      <c r="D35" s="53" t="s">
        <v>95</v>
      </c>
      <c r="E35" s="120" t="s">
        <v>87</v>
      </c>
      <c r="F35" s="279" t="s">
        <v>107</v>
      </c>
      <c r="G35" s="279"/>
      <c r="H35" s="280"/>
      <c r="I35" s="81" t="s">
        <v>69</v>
      </c>
    </row>
    <row r="36" spans="1:9" ht="15.75" thickBot="1" x14ac:dyDescent="0.3">
      <c r="A36" s="15" t="s">
        <v>115</v>
      </c>
      <c r="B36" s="83" t="s">
        <v>189</v>
      </c>
      <c r="C36" s="123" t="s">
        <v>131</v>
      </c>
      <c r="D36" s="102" t="s">
        <v>152</v>
      </c>
      <c r="E36" s="83" t="s">
        <v>175</v>
      </c>
      <c r="F36" s="277" t="s">
        <v>72</v>
      </c>
      <c r="G36" s="277"/>
      <c r="H36" s="278"/>
      <c r="I36" s="81" t="s">
        <v>100</v>
      </c>
    </row>
    <row r="38" spans="1:9" x14ac:dyDescent="0.25">
      <c r="F38" s="279" t="s">
        <v>187</v>
      </c>
      <c r="G38" s="289"/>
      <c r="H38" s="290"/>
    </row>
    <row r="39" spans="1:9" x14ac:dyDescent="0.25">
      <c r="F39" s="279" t="s">
        <v>170</v>
      </c>
      <c r="G39" s="279"/>
      <c r="H39" s="280"/>
      <c r="I39" s="81" t="s">
        <v>169</v>
      </c>
    </row>
    <row r="40" spans="1:9" x14ac:dyDescent="0.25">
      <c r="F40" s="279" t="s">
        <v>175</v>
      </c>
      <c r="G40" s="279"/>
      <c r="H40" s="280"/>
      <c r="I40" s="81" t="s">
        <v>74</v>
      </c>
    </row>
    <row r="41" spans="1:9" x14ac:dyDescent="0.25">
      <c r="F41" s="285" t="s">
        <v>90</v>
      </c>
      <c r="G41" s="285"/>
      <c r="H41" s="286"/>
      <c r="I41" s="69" t="s">
        <v>103</v>
      </c>
    </row>
    <row r="42" spans="1:9" ht="15.75" thickBot="1" x14ac:dyDescent="0.3">
      <c r="F42" s="277" t="s">
        <v>188</v>
      </c>
      <c r="G42" s="277"/>
      <c r="H42" s="278"/>
      <c r="I42" s="81" t="s">
        <v>96</v>
      </c>
    </row>
  </sheetData>
  <mergeCells count="35">
    <mergeCell ref="F38:H38"/>
    <mergeCell ref="F39:H39"/>
    <mergeCell ref="F40:H40"/>
    <mergeCell ref="F41:H41"/>
    <mergeCell ref="F42:H42"/>
    <mergeCell ref="F35:H35"/>
    <mergeCell ref="F36:H36"/>
    <mergeCell ref="F29:H29"/>
    <mergeCell ref="F30:H30"/>
    <mergeCell ref="F32:H32"/>
    <mergeCell ref="F33:H33"/>
    <mergeCell ref="F34:H34"/>
    <mergeCell ref="F23:H23"/>
    <mergeCell ref="F24:H24"/>
    <mergeCell ref="F26:H26"/>
    <mergeCell ref="F27:H27"/>
    <mergeCell ref="F28:H28"/>
    <mergeCell ref="F22:H22"/>
    <mergeCell ref="F10:H10"/>
    <mergeCell ref="F11:H11"/>
    <mergeCell ref="F12:H12"/>
    <mergeCell ref="F14:H14"/>
    <mergeCell ref="F15:H15"/>
    <mergeCell ref="F16:H16"/>
    <mergeCell ref="F17:H17"/>
    <mergeCell ref="F18:H18"/>
    <mergeCell ref="F20:H20"/>
    <mergeCell ref="F21:H21"/>
    <mergeCell ref="F9:H9"/>
    <mergeCell ref="F8:H8"/>
    <mergeCell ref="F2:H2"/>
    <mergeCell ref="F3:H3"/>
    <mergeCell ref="F4:H4"/>
    <mergeCell ref="F5:H5"/>
    <mergeCell ref="F6:H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27</v>
      </c>
      <c r="B2" s="56"/>
      <c r="C2" s="56"/>
      <c r="D2" s="56"/>
      <c r="E2" s="10"/>
      <c r="F2" s="289">
        <v>2</v>
      </c>
      <c r="G2" s="289"/>
      <c r="H2" s="290"/>
    </row>
    <row r="3" spans="1:8" x14ac:dyDescent="0.25">
      <c r="A3" s="8" t="s">
        <v>24</v>
      </c>
      <c r="B3" s="57"/>
      <c r="C3" s="57"/>
      <c r="D3" s="12"/>
      <c r="E3" s="12"/>
      <c r="F3" s="279" t="s">
        <v>82</v>
      </c>
      <c r="G3" s="289"/>
      <c r="H3" s="290"/>
    </row>
    <row r="4" spans="1:8" x14ac:dyDescent="0.25">
      <c r="A4" s="8" t="s">
        <v>25</v>
      </c>
      <c r="B4" s="57"/>
      <c r="C4" s="10"/>
      <c r="D4" s="10"/>
      <c r="E4" s="56"/>
      <c r="F4" s="285" t="s">
        <v>132</v>
      </c>
      <c r="G4" s="285"/>
      <c r="H4" s="286"/>
    </row>
    <row r="5" spans="1:8" x14ac:dyDescent="0.25">
      <c r="A5" s="8" t="s">
        <v>26</v>
      </c>
      <c r="B5" s="10"/>
      <c r="C5" s="57"/>
      <c r="D5" s="56"/>
      <c r="E5" s="10"/>
      <c r="F5" s="285" t="s">
        <v>94</v>
      </c>
      <c r="G5" s="293"/>
      <c r="H5" s="294"/>
    </row>
    <row r="6" spans="1:8" ht="15.75" thickBot="1" x14ac:dyDescent="0.3">
      <c r="A6" s="15" t="s">
        <v>115</v>
      </c>
      <c r="B6" s="58"/>
      <c r="C6" s="58"/>
      <c r="D6" s="58"/>
      <c r="E6" s="14"/>
      <c r="F6" s="277" t="s">
        <v>116</v>
      </c>
      <c r="G6" s="291"/>
      <c r="H6" s="292"/>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27</v>
      </c>
      <c r="B8" s="56">
        <v>2</v>
      </c>
      <c r="C8" s="56">
        <v>2</v>
      </c>
      <c r="D8" s="56">
        <v>3</v>
      </c>
      <c r="E8" s="10">
        <v>3</v>
      </c>
      <c r="F8" s="289">
        <v>3</v>
      </c>
      <c r="G8" s="289"/>
      <c r="H8" s="290"/>
    </row>
    <row r="9" spans="1:8" x14ac:dyDescent="0.25">
      <c r="A9" s="8" t="s">
        <v>24</v>
      </c>
      <c r="B9" s="87" t="s">
        <v>100</v>
      </c>
      <c r="C9" s="85" t="s">
        <v>96</v>
      </c>
      <c r="D9" s="53" t="s">
        <v>95</v>
      </c>
      <c r="E9" s="53" t="s">
        <v>103</v>
      </c>
      <c r="F9" s="279" t="s">
        <v>69</v>
      </c>
      <c r="G9" s="289"/>
      <c r="H9" s="290"/>
    </row>
    <row r="10" spans="1:8" x14ac:dyDescent="0.25">
      <c r="A10" s="8" t="s">
        <v>25</v>
      </c>
      <c r="B10" s="53" t="s">
        <v>102</v>
      </c>
      <c r="C10" s="53" t="s">
        <v>85</v>
      </c>
      <c r="D10" s="87" t="s">
        <v>94</v>
      </c>
      <c r="E10" s="86" t="s">
        <v>173</v>
      </c>
      <c r="F10" s="279" t="s">
        <v>154</v>
      </c>
      <c r="G10" s="289"/>
      <c r="H10" s="290"/>
    </row>
    <row r="11" spans="1:8" x14ac:dyDescent="0.25">
      <c r="A11" s="8" t="s">
        <v>26</v>
      </c>
      <c r="B11" s="85" t="s">
        <v>87</v>
      </c>
      <c r="C11" s="85" t="s">
        <v>72</v>
      </c>
      <c r="D11" s="86" t="s">
        <v>153</v>
      </c>
      <c r="E11" s="85" t="s">
        <v>87</v>
      </c>
      <c r="F11" s="285" t="s">
        <v>117</v>
      </c>
      <c r="G11" s="293"/>
      <c r="H11" s="294"/>
    </row>
    <row r="12" spans="1:8" ht="15.75" thickBot="1" x14ac:dyDescent="0.3">
      <c r="A12" s="8" t="s">
        <v>115</v>
      </c>
      <c r="B12" s="86" t="s">
        <v>131</v>
      </c>
      <c r="C12" s="86" t="s">
        <v>152</v>
      </c>
      <c r="D12" s="70" t="s">
        <v>90</v>
      </c>
      <c r="E12" s="53" t="s">
        <v>100</v>
      </c>
      <c r="F12" s="279" t="s">
        <v>84</v>
      </c>
      <c r="G12" s="289"/>
      <c r="H12" s="290"/>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27</v>
      </c>
      <c r="B14" s="56">
        <v>2</v>
      </c>
      <c r="C14" s="56">
        <v>2</v>
      </c>
      <c r="D14" s="56">
        <v>3</v>
      </c>
      <c r="E14" s="10">
        <v>3</v>
      </c>
      <c r="F14" s="289">
        <v>2</v>
      </c>
      <c r="G14" s="289"/>
      <c r="H14" s="290"/>
    </row>
    <row r="15" spans="1:8" x14ac:dyDescent="0.25">
      <c r="A15" s="8" t="s">
        <v>24</v>
      </c>
      <c r="B15" s="53" t="s">
        <v>100</v>
      </c>
      <c r="C15" s="86" t="s">
        <v>74</v>
      </c>
      <c r="D15" s="87" t="s">
        <v>71</v>
      </c>
      <c r="E15" s="53" t="s">
        <v>85</v>
      </c>
      <c r="F15" s="285" t="s">
        <v>118</v>
      </c>
      <c r="G15" s="293"/>
      <c r="H15" s="294"/>
    </row>
    <row r="16" spans="1:8" x14ac:dyDescent="0.25">
      <c r="A16" s="8" t="s">
        <v>25</v>
      </c>
      <c r="B16" s="85" t="s">
        <v>132</v>
      </c>
      <c r="C16" s="87" t="s">
        <v>102</v>
      </c>
      <c r="D16" s="53" t="s">
        <v>127</v>
      </c>
      <c r="E16" s="85" t="s">
        <v>132</v>
      </c>
      <c r="F16" s="279" t="s">
        <v>103</v>
      </c>
      <c r="G16" s="289"/>
      <c r="H16" s="290"/>
    </row>
    <row r="17" spans="1:8" x14ac:dyDescent="0.25">
      <c r="A17" s="8" t="s">
        <v>26</v>
      </c>
      <c r="B17" s="87" t="s">
        <v>81</v>
      </c>
      <c r="C17" s="85" t="s">
        <v>87</v>
      </c>
      <c r="D17" s="86" t="s">
        <v>72</v>
      </c>
      <c r="E17" s="86" t="s">
        <v>92</v>
      </c>
      <c r="F17" s="285" t="s">
        <v>90</v>
      </c>
      <c r="G17" s="293"/>
      <c r="H17" s="294"/>
    </row>
    <row r="18" spans="1:8" ht="15.75" thickBot="1" x14ac:dyDescent="0.3">
      <c r="A18" s="8" t="s">
        <v>115</v>
      </c>
      <c r="B18" s="86" t="s">
        <v>116</v>
      </c>
      <c r="C18" s="86" t="s">
        <v>153</v>
      </c>
      <c r="D18" s="70" t="s">
        <v>152</v>
      </c>
      <c r="E18" s="86" t="s">
        <v>96</v>
      </c>
      <c r="F18" s="279" t="s">
        <v>168</v>
      </c>
      <c r="G18" s="289"/>
      <c r="H18" s="290"/>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27</v>
      </c>
      <c r="B20" s="56">
        <v>2</v>
      </c>
      <c r="C20" s="56">
        <v>2</v>
      </c>
      <c r="D20" s="56">
        <v>3</v>
      </c>
      <c r="E20" s="10">
        <v>3</v>
      </c>
      <c r="F20" s="289">
        <v>3</v>
      </c>
      <c r="G20" s="289"/>
      <c r="H20" s="290"/>
    </row>
    <row r="21" spans="1:8" x14ac:dyDescent="0.25">
      <c r="A21" s="8" t="s">
        <v>24</v>
      </c>
      <c r="B21" s="87" t="s">
        <v>94</v>
      </c>
      <c r="C21" s="87" t="s">
        <v>81</v>
      </c>
      <c r="D21" s="87" t="s">
        <v>85</v>
      </c>
      <c r="E21" s="87" t="s">
        <v>96</v>
      </c>
      <c r="F21" s="279" t="s">
        <v>107</v>
      </c>
      <c r="G21" s="289"/>
      <c r="H21" s="290"/>
    </row>
    <row r="22" spans="1:8" x14ac:dyDescent="0.25">
      <c r="A22" s="8" t="s">
        <v>25</v>
      </c>
      <c r="B22" s="85" t="s">
        <v>69</v>
      </c>
      <c r="C22" s="86" t="s">
        <v>132</v>
      </c>
      <c r="D22" s="53" t="s">
        <v>72</v>
      </c>
      <c r="E22" s="86" t="s">
        <v>69</v>
      </c>
      <c r="F22" s="285" t="s">
        <v>173</v>
      </c>
      <c r="G22" s="285"/>
      <c r="H22" s="286"/>
    </row>
    <row r="23" spans="1:8" x14ac:dyDescent="0.25">
      <c r="A23" s="8" t="s">
        <v>26</v>
      </c>
      <c r="B23" s="53" t="s">
        <v>82</v>
      </c>
      <c r="C23" s="87" t="s">
        <v>117</v>
      </c>
      <c r="D23" s="53" t="s">
        <v>100</v>
      </c>
      <c r="E23" s="87" t="s">
        <v>92</v>
      </c>
      <c r="F23" s="285" t="s">
        <v>82</v>
      </c>
      <c r="G23" s="293"/>
      <c r="H23" s="294"/>
    </row>
    <row r="24" spans="1:8" x14ac:dyDescent="0.25">
      <c r="A24" s="71" t="s">
        <v>65</v>
      </c>
      <c r="B24" s="86" t="s">
        <v>131</v>
      </c>
      <c r="C24" s="86" t="s">
        <v>116</v>
      </c>
      <c r="D24" s="86" t="s">
        <v>174</v>
      </c>
      <c r="E24" s="53" t="s">
        <v>175</v>
      </c>
      <c r="F24" s="279" t="s">
        <v>169</v>
      </c>
      <c r="G24" s="279"/>
      <c r="H24" s="280"/>
    </row>
    <row r="25" spans="1:8" ht="15.75" thickBot="1" x14ac:dyDescent="0.3">
      <c r="A25" s="71" t="s">
        <v>64</v>
      </c>
      <c r="B25" s="88" t="s">
        <v>66</v>
      </c>
      <c r="C25" s="88" t="s">
        <v>66</v>
      </c>
      <c r="D25" s="88" t="s">
        <v>66</v>
      </c>
      <c r="E25" s="88" t="s">
        <v>152</v>
      </c>
      <c r="F25" s="277" t="s">
        <v>171</v>
      </c>
      <c r="G25" s="291"/>
      <c r="H25" s="292"/>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27</v>
      </c>
      <c r="B27" s="56">
        <v>2</v>
      </c>
      <c r="C27" s="56">
        <v>2</v>
      </c>
      <c r="D27" s="56">
        <v>3</v>
      </c>
      <c r="E27" s="10">
        <v>3</v>
      </c>
      <c r="F27" s="289">
        <v>2</v>
      </c>
      <c r="G27" s="289"/>
      <c r="H27" s="290"/>
    </row>
    <row r="28" spans="1:8" x14ac:dyDescent="0.25">
      <c r="A28" s="8" t="s">
        <v>24</v>
      </c>
      <c r="B28" s="85" t="s">
        <v>154</v>
      </c>
      <c r="C28" s="85" t="s">
        <v>127</v>
      </c>
      <c r="D28" s="86" t="s">
        <v>95</v>
      </c>
      <c r="E28" s="87" t="s">
        <v>107</v>
      </c>
      <c r="F28" s="285" t="s">
        <v>71</v>
      </c>
      <c r="G28" s="285"/>
      <c r="H28" s="286"/>
    </row>
    <row r="29" spans="1:8" x14ac:dyDescent="0.25">
      <c r="A29" s="8" t="s">
        <v>25</v>
      </c>
      <c r="B29" s="86" t="s">
        <v>132</v>
      </c>
      <c r="C29" s="53" t="s">
        <v>82</v>
      </c>
      <c r="D29" s="53" t="s">
        <v>102</v>
      </c>
      <c r="E29" s="85" t="s">
        <v>84</v>
      </c>
      <c r="F29" s="285" t="s">
        <v>81</v>
      </c>
      <c r="G29" s="285"/>
      <c r="H29" s="286"/>
    </row>
    <row r="30" spans="1:8" x14ac:dyDescent="0.25">
      <c r="A30" s="8" t="s">
        <v>26</v>
      </c>
      <c r="B30" s="87" t="s">
        <v>153</v>
      </c>
      <c r="C30" s="87" t="s">
        <v>117</v>
      </c>
      <c r="D30" s="85" t="s">
        <v>100</v>
      </c>
      <c r="E30" s="53" t="s">
        <v>103</v>
      </c>
      <c r="F30" s="285" t="s">
        <v>74</v>
      </c>
      <c r="G30" s="293"/>
      <c r="H30" s="294"/>
    </row>
    <row r="31" spans="1:8" x14ac:dyDescent="0.25">
      <c r="A31" s="90" t="s">
        <v>65</v>
      </c>
      <c r="B31" s="91" t="s">
        <v>174</v>
      </c>
      <c r="C31" s="70" t="s">
        <v>131</v>
      </c>
      <c r="D31" s="70" t="s">
        <v>168</v>
      </c>
      <c r="E31" s="91" t="s">
        <v>175</v>
      </c>
      <c r="F31" s="279" t="s">
        <v>170</v>
      </c>
      <c r="G31" s="279"/>
      <c r="H31" s="280"/>
    </row>
    <row r="32" spans="1:8" ht="15.75" thickBot="1" x14ac:dyDescent="0.3">
      <c r="A32" s="89" t="s">
        <v>64</v>
      </c>
      <c r="B32" s="88" t="s">
        <v>66</v>
      </c>
      <c r="C32" s="88" t="s">
        <v>66</v>
      </c>
      <c r="D32" s="88" t="s">
        <v>66</v>
      </c>
      <c r="E32" s="88" t="s">
        <v>116</v>
      </c>
      <c r="F32" s="277" t="s">
        <v>172</v>
      </c>
      <c r="G32" s="291"/>
      <c r="H32" s="292"/>
    </row>
  </sheetData>
  <mergeCells count="27">
    <mergeCell ref="F18:H18"/>
    <mergeCell ref="F20:H20"/>
    <mergeCell ref="F21:H21"/>
    <mergeCell ref="F32:H32"/>
    <mergeCell ref="F24:H24"/>
    <mergeCell ref="F25:H25"/>
    <mergeCell ref="F27:H27"/>
    <mergeCell ref="F28:H28"/>
    <mergeCell ref="F29:H29"/>
    <mergeCell ref="F30:H30"/>
    <mergeCell ref="F31:H31"/>
    <mergeCell ref="F23:H23"/>
    <mergeCell ref="F22:H22"/>
    <mergeCell ref="F8:H8"/>
    <mergeCell ref="F2:H2"/>
    <mergeCell ref="F3:H3"/>
    <mergeCell ref="F4:H4"/>
    <mergeCell ref="F5:H5"/>
    <mergeCell ref="F6:H6"/>
    <mergeCell ref="F15:H15"/>
    <mergeCell ref="F16:H16"/>
    <mergeCell ref="F17:H17"/>
    <mergeCell ref="F9:H9"/>
    <mergeCell ref="F10:H10"/>
    <mergeCell ref="F11:H11"/>
    <mergeCell ref="F12:H12"/>
    <mergeCell ref="F14:H1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27</v>
      </c>
      <c r="B2" s="56">
        <v>2</v>
      </c>
      <c r="C2" s="56">
        <v>2</v>
      </c>
      <c r="D2" s="56">
        <v>3</v>
      </c>
      <c r="E2" s="10">
        <v>3</v>
      </c>
      <c r="F2" s="289">
        <v>2</v>
      </c>
      <c r="G2" s="289"/>
      <c r="H2" s="290"/>
    </row>
    <row r="3" spans="1:8" x14ac:dyDescent="0.25">
      <c r="A3" s="8" t="s">
        <v>24</v>
      </c>
      <c r="B3" s="57"/>
      <c r="C3" s="57"/>
      <c r="D3" s="12"/>
      <c r="E3" s="12"/>
      <c r="F3" s="285" t="s">
        <v>86</v>
      </c>
      <c r="G3" s="293"/>
      <c r="H3" s="294"/>
    </row>
    <row r="4" spans="1:8" x14ac:dyDescent="0.25">
      <c r="A4" s="8" t="s">
        <v>25</v>
      </c>
      <c r="B4" s="57"/>
      <c r="C4" s="10"/>
      <c r="D4" s="10"/>
      <c r="E4" s="56"/>
      <c r="F4" s="285" t="s">
        <v>117</v>
      </c>
      <c r="G4" s="293"/>
      <c r="H4" s="294"/>
    </row>
    <row r="5" spans="1:8" x14ac:dyDescent="0.25">
      <c r="A5" s="8" t="s">
        <v>26</v>
      </c>
      <c r="B5" s="10"/>
      <c r="C5" s="57"/>
      <c r="D5" s="56"/>
      <c r="E5" s="10"/>
      <c r="F5" s="279" t="s">
        <v>70</v>
      </c>
      <c r="G5" s="289"/>
      <c r="H5" s="290"/>
    </row>
    <row r="6" spans="1:8" ht="15.75" thickBot="1" x14ac:dyDescent="0.3">
      <c r="A6" s="8" t="s">
        <v>115</v>
      </c>
      <c r="B6" s="56"/>
      <c r="C6" s="56"/>
      <c r="D6" s="70" t="s">
        <v>153</v>
      </c>
      <c r="E6" s="10"/>
      <c r="F6" s="279" t="s">
        <v>102</v>
      </c>
      <c r="G6" s="289"/>
      <c r="H6" s="290"/>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27</v>
      </c>
      <c r="B8" s="56">
        <v>2</v>
      </c>
      <c r="C8" s="56">
        <v>2</v>
      </c>
      <c r="D8" s="56">
        <v>3</v>
      </c>
      <c r="E8" s="10">
        <v>3</v>
      </c>
      <c r="F8" s="289">
        <v>3</v>
      </c>
      <c r="G8" s="289"/>
      <c r="H8" s="290"/>
    </row>
    <row r="9" spans="1:8" x14ac:dyDescent="0.25">
      <c r="A9" s="8" t="s">
        <v>24</v>
      </c>
      <c r="B9" s="78" t="s">
        <v>80</v>
      </c>
      <c r="C9" s="78" t="s">
        <v>132</v>
      </c>
      <c r="D9" s="53" t="s">
        <v>74</v>
      </c>
      <c r="E9" s="79" t="s">
        <v>97</v>
      </c>
      <c r="F9" s="279" t="s">
        <v>96</v>
      </c>
      <c r="G9" s="279"/>
      <c r="H9" s="280"/>
    </row>
    <row r="10" spans="1:8" x14ac:dyDescent="0.25">
      <c r="A10" s="8" t="s">
        <v>25</v>
      </c>
      <c r="B10" s="79" t="s">
        <v>97</v>
      </c>
      <c r="C10" s="78" t="s">
        <v>72</v>
      </c>
      <c r="D10" s="79" t="s">
        <v>95</v>
      </c>
      <c r="E10" s="78" t="s">
        <v>101</v>
      </c>
      <c r="F10" s="285" t="s">
        <v>80</v>
      </c>
      <c r="G10" s="285"/>
      <c r="H10" s="286"/>
    </row>
    <row r="11" spans="1:8" x14ac:dyDescent="0.25">
      <c r="A11" s="8" t="s">
        <v>26</v>
      </c>
      <c r="B11" s="54" t="s">
        <v>101</v>
      </c>
      <c r="C11" s="79" t="s">
        <v>107</v>
      </c>
      <c r="D11" s="80" t="s">
        <v>71</v>
      </c>
      <c r="E11" s="79" t="s">
        <v>107</v>
      </c>
      <c r="F11" s="279" t="s">
        <v>103</v>
      </c>
      <c r="G11" s="279"/>
      <c r="H11" s="280"/>
    </row>
    <row r="12" spans="1:8" ht="15.75" thickBot="1" x14ac:dyDescent="0.3">
      <c r="A12" s="8" t="s">
        <v>115</v>
      </c>
      <c r="B12" s="82" t="s">
        <v>131</v>
      </c>
      <c r="C12" s="73" t="s">
        <v>127</v>
      </c>
      <c r="D12" s="70" t="s">
        <v>154</v>
      </c>
      <c r="E12" s="53" t="s">
        <v>153</v>
      </c>
      <c r="F12" s="279" t="s">
        <v>92</v>
      </c>
      <c r="G12" s="289"/>
      <c r="H12" s="290"/>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27</v>
      </c>
      <c r="B14" s="56">
        <v>2</v>
      </c>
      <c r="C14" s="56">
        <v>2</v>
      </c>
      <c r="D14" s="56">
        <v>3</v>
      </c>
      <c r="E14" s="10">
        <v>3</v>
      </c>
      <c r="F14" s="289">
        <v>2</v>
      </c>
      <c r="G14" s="289"/>
      <c r="H14" s="290"/>
    </row>
    <row r="15" spans="1:8" x14ac:dyDescent="0.25">
      <c r="A15" s="8" t="s">
        <v>24</v>
      </c>
      <c r="B15" s="78" t="s">
        <v>89</v>
      </c>
      <c r="C15" s="79" t="s">
        <v>82</v>
      </c>
      <c r="D15" s="53" t="s">
        <v>102</v>
      </c>
      <c r="E15" s="78" t="s">
        <v>89</v>
      </c>
      <c r="F15" s="285" t="s">
        <v>71</v>
      </c>
      <c r="G15" s="293"/>
      <c r="H15" s="294"/>
    </row>
    <row r="16" spans="1:8" x14ac:dyDescent="0.25">
      <c r="A16" s="8" t="s">
        <v>25</v>
      </c>
      <c r="B16" s="79" t="s">
        <v>155</v>
      </c>
      <c r="C16" s="80" t="s">
        <v>81</v>
      </c>
      <c r="D16" s="78" t="s">
        <v>80</v>
      </c>
      <c r="E16" s="79" t="s">
        <v>90</v>
      </c>
      <c r="F16" s="279" t="s">
        <v>69</v>
      </c>
      <c r="G16" s="279"/>
      <c r="H16" s="280"/>
    </row>
    <row r="17" spans="1:9" x14ac:dyDescent="0.25">
      <c r="A17" s="8" t="s">
        <v>26</v>
      </c>
      <c r="B17" s="78" t="s">
        <v>95</v>
      </c>
      <c r="C17" s="54" t="s">
        <v>101</v>
      </c>
      <c r="D17" s="79" t="s">
        <v>95</v>
      </c>
      <c r="E17" s="53" t="s">
        <v>104</v>
      </c>
      <c r="F17" s="282" t="s">
        <v>130</v>
      </c>
      <c r="G17" s="283"/>
      <c r="H17" s="284"/>
    </row>
    <row r="18" spans="1:9" ht="15.75" thickBot="1" x14ac:dyDescent="0.3">
      <c r="A18" s="8" t="s">
        <v>115</v>
      </c>
      <c r="B18" s="79" t="s">
        <v>131</v>
      </c>
      <c r="C18" s="79" t="s">
        <v>127</v>
      </c>
      <c r="D18" s="70" t="s">
        <v>154</v>
      </c>
      <c r="E18" s="53" t="s">
        <v>152</v>
      </c>
      <c r="F18" s="279" t="s">
        <v>153</v>
      </c>
      <c r="G18" s="289"/>
      <c r="H18" s="290"/>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27</v>
      </c>
      <c r="B20" s="56">
        <v>2</v>
      </c>
      <c r="C20" s="56">
        <v>2</v>
      </c>
      <c r="D20" s="56">
        <v>3</v>
      </c>
      <c r="E20" s="10">
        <v>3</v>
      </c>
      <c r="F20" s="289">
        <v>3</v>
      </c>
      <c r="G20" s="289"/>
      <c r="H20" s="290"/>
    </row>
    <row r="21" spans="1:9" x14ac:dyDescent="0.25">
      <c r="A21" s="8" t="s">
        <v>24</v>
      </c>
      <c r="B21" s="80" t="s">
        <v>117</v>
      </c>
      <c r="C21" s="79" t="s">
        <v>155</v>
      </c>
      <c r="D21" s="80" t="s">
        <v>81</v>
      </c>
      <c r="E21" s="53" t="s">
        <v>102</v>
      </c>
      <c r="F21" s="279" t="s">
        <v>85</v>
      </c>
      <c r="G21" s="289"/>
      <c r="H21" s="290"/>
    </row>
    <row r="22" spans="1:9" x14ac:dyDescent="0.25">
      <c r="A22" s="8" t="s">
        <v>25</v>
      </c>
      <c r="B22" s="79" t="s">
        <v>118</v>
      </c>
      <c r="C22" s="80" t="s">
        <v>85</v>
      </c>
      <c r="D22" s="53" t="s">
        <v>104</v>
      </c>
      <c r="E22" s="79" t="s">
        <v>103</v>
      </c>
      <c r="F22" s="285" t="s">
        <v>132</v>
      </c>
      <c r="G22" s="293"/>
      <c r="H22" s="294"/>
    </row>
    <row r="23" spans="1:9" x14ac:dyDescent="0.25">
      <c r="A23" s="8" t="s">
        <v>26</v>
      </c>
      <c r="B23" s="80" t="s">
        <v>89</v>
      </c>
      <c r="C23" s="80" t="s">
        <v>132</v>
      </c>
      <c r="D23" s="79" t="s">
        <v>69</v>
      </c>
      <c r="E23" s="80" t="s">
        <v>117</v>
      </c>
      <c r="F23" s="279" t="s">
        <v>72</v>
      </c>
      <c r="G23" s="279"/>
      <c r="H23" s="280"/>
    </row>
    <row r="24" spans="1:9" ht="15.75" thickBot="1" x14ac:dyDescent="0.3">
      <c r="A24" s="8" t="s">
        <v>115</v>
      </c>
      <c r="B24" s="77" t="s">
        <v>116</v>
      </c>
      <c r="C24" s="79" t="s">
        <v>127</v>
      </c>
      <c r="D24" s="70" t="s">
        <v>154</v>
      </c>
      <c r="E24" s="83" t="s">
        <v>131</v>
      </c>
      <c r="F24" s="277" t="s">
        <v>152</v>
      </c>
      <c r="G24" s="291"/>
      <c r="H24" s="292"/>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27</v>
      </c>
      <c r="B26" s="56">
        <v>2</v>
      </c>
      <c r="C26" s="56">
        <v>2</v>
      </c>
      <c r="D26" s="56">
        <v>3</v>
      </c>
      <c r="E26" s="10">
        <v>3</v>
      </c>
      <c r="F26" s="289">
        <v>2</v>
      </c>
      <c r="G26" s="289"/>
      <c r="H26" s="290"/>
    </row>
    <row r="27" spans="1:9" x14ac:dyDescent="0.25">
      <c r="A27" s="8" t="s">
        <v>24</v>
      </c>
      <c r="B27" s="78" t="s">
        <v>74</v>
      </c>
      <c r="C27" s="78" t="s">
        <v>127</v>
      </c>
      <c r="D27" s="53" t="s">
        <v>92</v>
      </c>
      <c r="E27" s="79" t="s">
        <v>90</v>
      </c>
      <c r="F27" s="279" t="s">
        <v>82</v>
      </c>
      <c r="G27" s="289"/>
      <c r="H27" s="290"/>
      <c r="I27" s="81"/>
    </row>
    <row r="28" spans="1:9" x14ac:dyDescent="0.25">
      <c r="A28" s="8" t="s">
        <v>25</v>
      </c>
      <c r="B28" s="79" t="s">
        <v>97</v>
      </c>
      <c r="C28" s="79" t="s">
        <v>103</v>
      </c>
      <c r="D28" s="80" t="s">
        <v>71</v>
      </c>
      <c r="E28" s="78" t="s">
        <v>107</v>
      </c>
      <c r="F28" s="285" t="s">
        <v>81</v>
      </c>
      <c r="G28" s="285"/>
      <c r="H28" s="286"/>
    </row>
    <row r="29" spans="1:9" x14ac:dyDescent="0.25">
      <c r="A29" s="8" t="s">
        <v>26</v>
      </c>
      <c r="B29" s="80" t="s">
        <v>87</v>
      </c>
      <c r="C29" s="80" t="s">
        <v>117</v>
      </c>
      <c r="D29" s="79" t="s">
        <v>118</v>
      </c>
      <c r="E29" s="53" t="s">
        <v>74</v>
      </c>
      <c r="F29" s="285" t="s">
        <v>94</v>
      </c>
      <c r="G29" s="293"/>
      <c r="H29" s="294"/>
    </row>
    <row r="30" spans="1:9" ht="15.75" thickBot="1" x14ac:dyDescent="0.3">
      <c r="A30" s="15" t="s">
        <v>115</v>
      </c>
      <c r="B30" s="77" t="s">
        <v>131</v>
      </c>
      <c r="C30" s="58" t="s">
        <v>155</v>
      </c>
      <c r="D30" s="77" t="s">
        <v>153</v>
      </c>
      <c r="E30" s="83" t="s">
        <v>152</v>
      </c>
      <c r="F30" s="277" t="s">
        <v>116</v>
      </c>
      <c r="G30" s="291"/>
      <c r="H30" s="292"/>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27</v>
      </c>
      <c r="C3" s="9"/>
      <c r="D3" s="9"/>
      <c r="E3" s="9"/>
      <c r="F3" s="10"/>
      <c r="G3" s="289">
        <v>3</v>
      </c>
      <c r="H3" s="289"/>
      <c r="I3" s="290"/>
    </row>
    <row r="4" spans="2:11" x14ac:dyDescent="0.25">
      <c r="B4" s="8" t="s">
        <v>24</v>
      </c>
      <c r="C4" s="11"/>
      <c r="D4" s="11"/>
      <c r="E4" s="12"/>
      <c r="F4" s="53"/>
      <c r="G4" s="279" t="s">
        <v>86</v>
      </c>
      <c r="H4" s="295"/>
      <c r="I4" s="296"/>
    </row>
    <row r="5" spans="2:11" x14ac:dyDescent="0.25">
      <c r="B5" s="8" t="s">
        <v>25</v>
      </c>
      <c r="C5" s="11"/>
      <c r="D5" s="10"/>
      <c r="E5" s="10"/>
      <c r="F5" s="32"/>
      <c r="G5" s="279" t="s">
        <v>91</v>
      </c>
      <c r="H5" s="295"/>
      <c r="I5" s="296"/>
    </row>
    <row r="6" spans="2:11" x14ac:dyDescent="0.25">
      <c r="B6" s="8" t="s">
        <v>26</v>
      </c>
      <c r="C6" s="10"/>
      <c r="D6" s="11"/>
      <c r="E6" s="9"/>
      <c r="F6" s="54"/>
      <c r="G6" s="285" t="s">
        <v>117</v>
      </c>
      <c r="H6" s="297"/>
      <c r="I6" s="298"/>
    </row>
    <row r="7" spans="2:11" ht="15.75" thickBot="1" x14ac:dyDescent="0.3">
      <c r="B7" s="8" t="s">
        <v>115</v>
      </c>
      <c r="C7" s="9"/>
      <c r="D7" s="9"/>
      <c r="E7" s="13"/>
      <c r="F7" s="52"/>
      <c r="G7" s="279" t="s">
        <v>71</v>
      </c>
      <c r="H7" s="295"/>
      <c r="I7" s="296"/>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27</v>
      </c>
      <c r="C9" s="9">
        <v>2</v>
      </c>
      <c r="D9" s="9">
        <v>2</v>
      </c>
      <c r="E9" s="9">
        <v>3</v>
      </c>
      <c r="F9" s="10">
        <v>3</v>
      </c>
      <c r="G9" s="289">
        <v>2</v>
      </c>
      <c r="H9" s="289"/>
      <c r="I9" s="290"/>
    </row>
    <row r="10" spans="2:11" x14ac:dyDescent="0.25">
      <c r="B10" s="8" t="s">
        <v>24</v>
      </c>
      <c r="C10" s="54" t="s">
        <v>79</v>
      </c>
      <c r="D10" s="60" t="s">
        <v>89</v>
      </c>
      <c r="E10" s="53" t="s">
        <v>74</v>
      </c>
      <c r="F10" s="53" t="s">
        <v>69</v>
      </c>
      <c r="G10" s="285" t="s">
        <v>101</v>
      </c>
      <c r="H10" s="285"/>
      <c r="I10" s="286"/>
      <c r="K10" s="69"/>
    </row>
    <row r="11" spans="2:11" x14ac:dyDescent="0.25">
      <c r="B11" s="8" t="s">
        <v>25</v>
      </c>
      <c r="C11" s="54" t="s">
        <v>81</v>
      </c>
      <c r="D11" s="54" t="s">
        <v>87</v>
      </c>
      <c r="E11" s="54" t="s">
        <v>67</v>
      </c>
      <c r="F11" s="60" t="s">
        <v>90</v>
      </c>
      <c r="G11" s="279" t="s">
        <v>90</v>
      </c>
      <c r="H11" s="279"/>
      <c r="I11" s="280"/>
    </row>
    <row r="12" spans="2:11" x14ac:dyDescent="0.25">
      <c r="B12" s="71" t="s">
        <v>26</v>
      </c>
      <c r="C12" s="53" t="s">
        <v>69</v>
      </c>
      <c r="D12" s="53" t="s">
        <v>68</v>
      </c>
      <c r="E12" s="53" t="s">
        <v>82</v>
      </c>
      <c r="F12" s="53" t="s">
        <v>92</v>
      </c>
      <c r="G12" s="285" t="s">
        <v>70</v>
      </c>
      <c r="H12" s="285"/>
      <c r="I12" s="286"/>
    </row>
    <row r="13" spans="2:11" ht="15.75" thickBot="1" x14ac:dyDescent="0.3">
      <c r="B13" s="8" t="s">
        <v>115</v>
      </c>
      <c r="C13" s="59" t="s">
        <v>100</v>
      </c>
      <c r="D13" s="63" t="s">
        <v>103</v>
      </c>
      <c r="E13" s="53" t="s">
        <v>116</v>
      </c>
      <c r="F13" s="53" t="s">
        <v>100</v>
      </c>
      <c r="G13" s="279" t="s">
        <v>96</v>
      </c>
      <c r="H13" s="289"/>
      <c r="I13" s="290"/>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27</v>
      </c>
      <c r="C15" s="9">
        <v>2</v>
      </c>
      <c r="D15" s="9">
        <v>2</v>
      </c>
      <c r="E15" s="9">
        <v>3</v>
      </c>
      <c r="F15" s="10">
        <v>3</v>
      </c>
      <c r="G15" s="289">
        <v>3</v>
      </c>
      <c r="H15" s="289"/>
      <c r="I15" s="290"/>
    </row>
    <row r="16" spans="2:11" x14ac:dyDescent="0.25">
      <c r="B16" s="8" t="s">
        <v>24</v>
      </c>
      <c r="C16" s="60" t="s">
        <v>94</v>
      </c>
      <c r="D16" s="54" t="s">
        <v>81</v>
      </c>
      <c r="E16" s="54" t="s">
        <v>71</v>
      </c>
      <c r="F16" s="54" t="s">
        <v>80</v>
      </c>
      <c r="G16" s="279" t="s">
        <v>67</v>
      </c>
      <c r="H16" s="289"/>
      <c r="I16" s="290"/>
    </row>
    <row r="17" spans="2:9" x14ac:dyDescent="0.25">
      <c r="B17" s="8" t="s">
        <v>25</v>
      </c>
      <c r="C17" s="54" t="s">
        <v>80</v>
      </c>
      <c r="D17" s="54" t="s">
        <v>117</v>
      </c>
      <c r="E17" s="53" t="s">
        <v>74</v>
      </c>
      <c r="F17" s="53" t="s">
        <v>132</v>
      </c>
      <c r="G17" s="285" t="s">
        <v>79</v>
      </c>
      <c r="H17" s="285"/>
      <c r="I17" s="286"/>
    </row>
    <row r="18" spans="2:9" x14ac:dyDescent="0.25">
      <c r="B18" s="8" t="s">
        <v>26</v>
      </c>
      <c r="C18" s="53" t="s">
        <v>102</v>
      </c>
      <c r="D18" s="53" t="s">
        <v>92</v>
      </c>
      <c r="E18" s="63" t="s">
        <v>82</v>
      </c>
      <c r="F18" s="53" t="s">
        <v>70</v>
      </c>
      <c r="G18" s="279" t="s">
        <v>97</v>
      </c>
      <c r="H18" s="279"/>
      <c r="I18" s="280"/>
    </row>
    <row r="19" spans="2:9" ht="15.75" thickBot="1" x14ac:dyDescent="0.3">
      <c r="B19" s="8" t="s">
        <v>115</v>
      </c>
      <c r="C19" s="59" t="s">
        <v>72</v>
      </c>
      <c r="D19" s="63" t="s">
        <v>127</v>
      </c>
      <c r="E19" s="70" t="s">
        <v>75</v>
      </c>
      <c r="F19" s="63" t="s">
        <v>72</v>
      </c>
      <c r="G19" s="279" t="s">
        <v>100</v>
      </c>
      <c r="H19" s="289"/>
      <c r="I19" s="290"/>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27</v>
      </c>
      <c r="C21" s="9">
        <v>2</v>
      </c>
      <c r="D21" s="9">
        <v>2</v>
      </c>
      <c r="E21" s="9">
        <v>3</v>
      </c>
      <c r="F21" s="10">
        <v>3</v>
      </c>
      <c r="G21" s="289">
        <v>2</v>
      </c>
      <c r="H21" s="289"/>
      <c r="I21" s="290"/>
    </row>
    <row r="22" spans="2:9" x14ac:dyDescent="0.25">
      <c r="B22" s="8" t="s">
        <v>24</v>
      </c>
      <c r="C22" s="60" t="s">
        <v>80</v>
      </c>
      <c r="D22" s="60" t="s">
        <v>73</v>
      </c>
      <c r="E22" s="54" t="s">
        <v>71</v>
      </c>
      <c r="F22" s="63" t="s">
        <v>93</v>
      </c>
      <c r="G22" s="285" t="s">
        <v>87</v>
      </c>
      <c r="H22" s="293"/>
      <c r="I22" s="294"/>
    </row>
    <row r="23" spans="2:9" x14ac:dyDescent="0.25">
      <c r="B23" s="8" t="s">
        <v>25</v>
      </c>
      <c r="C23" s="54" t="s">
        <v>81</v>
      </c>
      <c r="D23" s="54" t="s">
        <v>117</v>
      </c>
      <c r="E23" s="53" t="s">
        <v>74</v>
      </c>
      <c r="F23" s="60" t="s">
        <v>100</v>
      </c>
      <c r="G23" s="285" t="s">
        <v>89</v>
      </c>
      <c r="H23" s="285"/>
      <c r="I23" s="286"/>
    </row>
    <row r="24" spans="2:9" x14ac:dyDescent="0.25">
      <c r="B24" s="8" t="s">
        <v>26</v>
      </c>
      <c r="C24" s="53" t="s">
        <v>132</v>
      </c>
      <c r="D24" s="63" t="s">
        <v>91</v>
      </c>
      <c r="E24" s="63" t="s">
        <v>72</v>
      </c>
      <c r="F24" s="53" t="s">
        <v>70</v>
      </c>
      <c r="G24" s="279" t="s">
        <v>102</v>
      </c>
      <c r="H24" s="289"/>
      <c r="I24" s="290"/>
    </row>
    <row r="25" spans="2:9" ht="15.75" thickBot="1" x14ac:dyDescent="0.3">
      <c r="B25" s="8" t="s">
        <v>115</v>
      </c>
      <c r="C25" s="70" t="s">
        <v>75</v>
      </c>
      <c r="D25" s="61" t="s">
        <v>116</v>
      </c>
      <c r="E25" s="70" t="s">
        <v>107</v>
      </c>
      <c r="F25" s="53" t="s">
        <v>132</v>
      </c>
      <c r="G25" s="279" t="s">
        <v>118</v>
      </c>
      <c r="H25" s="279"/>
      <c r="I25" s="280"/>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27</v>
      </c>
      <c r="C27" s="9">
        <v>2</v>
      </c>
      <c r="D27" s="9">
        <v>2</v>
      </c>
      <c r="E27" s="9">
        <v>3</v>
      </c>
      <c r="F27" s="10">
        <v>3</v>
      </c>
      <c r="G27" s="289">
        <v>3</v>
      </c>
      <c r="H27" s="289"/>
      <c r="I27" s="290"/>
    </row>
    <row r="28" spans="2:9" x14ac:dyDescent="0.25">
      <c r="B28" s="8" t="s">
        <v>24</v>
      </c>
      <c r="C28" s="63" t="s">
        <v>69</v>
      </c>
      <c r="D28" s="64" t="s">
        <v>100</v>
      </c>
      <c r="E28" s="53" t="s">
        <v>107</v>
      </c>
      <c r="F28" s="54" t="s">
        <v>80</v>
      </c>
      <c r="G28" s="279" t="s">
        <v>104</v>
      </c>
      <c r="H28" s="289"/>
      <c r="I28" s="290"/>
    </row>
    <row r="29" spans="2:9" x14ac:dyDescent="0.25">
      <c r="B29" s="8" t="s">
        <v>25</v>
      </c>
      <c r="C29" s="60" t="s">
        <v>101</v>
      </c>
      <c r="D29" s="54" t="s">
        <v>87</v>
      </c>
      <c r="E29" s="54" t="s">
        <v>71</v>
      </c>
      <c r="F29" s="59" t="s">
        <v>68</v>
      </c>
      <c r="G29" s="279" t="s">
        <v>84</v>
      </c>
      <c r="H29" s="279"/>
      <c r="I29" s="280"/>
    </row>
    <row r="30" spans="2:9" x14ac:dyDescent="0.25">
      <c r="B30" s="8" t="s">
        <v>26</v>
      </c>
      <c r="C30" s="54" t="s">
        <v>117</v>
      </c>
      <c r="D30" s="53" t="s">
        <v>132</v>
      </c>
      <c r="E30" s="63" t="s">
        <v>72</v>
      </c>
      <c r="F30" s="53" t="s">
        <v>70</v>
      </c>
      <c r="G30" s="285" t="s">
        <v>94</v>
      </c>
      <c r="H30" s="285"/>
      <c r="I30" s="286"/>
    </row>
    <row r="31" spans="2:9" ht="15.75" thickBot="1" x14ac:dyDescent="0.3">
      <c r="B31" s="8" t="s">
        <v>115</v>
      </c>
      <c r="C31" s="53" t="s">
        <v>85</v>
      </c>
      <c r="D31" s="59" t="s">
        <v>131</v>
      </c>
      <c r="E31" s="61" t="s">
        <v>116</v>
      </c>
      <c r="F31" s="53" t="s">
        <v>100</v>
      </c>
      <c r="G31" s="277" t="s">
        <v>127</v>
      </c>
      <c r="H31" s="291"/>
      <c r="I31" s="292"/>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27</v>
      </c>
      <c r="C33" s="9">
        <v>2</v>
      </c>
      <c r="D33" s="9">
        <v>2</v>
      </c>
      <c r="E33" s="9">
        <v>3</v>
      </c>
      <c r="F33" s="10">
        <v>3</v>
      </c>
      <c r="G33" s="289">
        <v>2</v>
      </c>
      <c r="H33" s="289"/>
      <c r="I33" s="290"/>
    </row>
    <row r="34" spans="2:9" x14ac:dyDescent="0.25">
      <c r="B34" s="8" t="s">
        <v>24</v>
      </c>
      <c r="C34" s="59" t="s">
        <v>90</v>
      </c>
      <c r="D34" s="60" t="s">
        <v>92</v>
      </c>
      <c r="E34" s="53" t="s">
        <v>93</v>
      </c>
      <c r="F34" s="53" t="s">
        <v>82</v>
      </c>
      <c r="G34" s="285" t="s">
        <v>86</v>
      </c>
      <c r="H34" s="285"/>
      <c r="I34" s="286"/>
    </row>
    <row r="35" spans="2:9" x14ac:dyDescent="0.25">
      <c r="B35" s="8" t="s">
        <v>25</v>
      </c>
      <c r="C35" s="60" t="s">
        <v>89</v>
      </c>
      <c r="D35" s="60" t="s">
        <v>101</v>
      </c>
      <c r="E35" s="54" t="s">
        <v>71</v>
      </c>
      <c r="F35" s="60" t="s">
        <v>130</v>
      </c>
      <c r="G35" s="285" t="s">
        <v>117</v>
      </c>
      <c r="H35" s="285"/>
      <c r="I35" s="286"/>
    </row>
    <row r="36" spans="2:9" x14ac:dyDescent="0.25">
      <c r="B36" s="8" t="s">
        <v>26</v>
      </c>
      <c r="C36" s="54" t="s">
        <v>117</v>
      </c>
      <c r="D36" s="63" t="s">
        <v>91</v>
      </c>
      <c r="E36" s="53" t="s">
        <v>107</v>
      </c>
      <c r="F36" s="53" t="s">
        <v>96</v>
      </c>
      <c r="G36" s="279" t="s">
        <v>70</v>
      </c>
      <c r="H36" s="279"/>
      <c r="I36" s="280"/>
    </row>
    <row r="37" spans="2:9" ht="15.75" thickBot="1" x14ac:dyDescent="0.3">
      <c r="B37" s="15" t="s">
        <v>115</v>
      </c>
      <c r="C37" s="65" t="s">
        <v>75</v>
      </c>
      <c r="D37" s="61" t="s">
        <v>131</v>
      </c>
      <c r="E37" s="61" t="s">
        <v>68</v>
      </c>
      <c r="F37" s="61" t="s">
        <v>116</v>
      </c>
      <c r="G37" s="277" t="s">
        <v>103</v>
      </c>
      <c r="H37" s="291"/>
      <c r="I37" s="292"/>
    </row>
  </sheetData>
  <mergeCells count="30">
    <mergeCell ref="G15:I15"/>
    <mergeCell ref="G3:I3"/>
    <mergeCell ref="G4:I4"/>
    <mergeCell ref="G5:I5"/>
    <mergeCell ref="G6:I6"/>
    <mergeCell ref="G7:I7"/>
    <mergeCell ref="G9:I9"/>
    <mergeCell ref="G10:I10"/>
    <mergeCell ref="G11:I11"/>
    <mergeCell ref="G12:I12"/>
    <mergeCell ref="G13:I13"/>
    <mergeCell ref="G29:I29"/>
    <mergeCell ref="G16:I16"/>
    <mergeCell ref="G17:I17"/>
    <mergeCell ref="G18:I18"/>
    <mergeCell ref="G19:I19"/>
    <mergeCell ref="G21:I21"/>
    <mergeCell ref="G22:I22"/>
    <mergeCell ref="G23:I23"/>
    <mergeCell ref="G24:I24"/>
    <mergeCell ref="G25:I25"/>
    <mergeCell ref="G27:I27"/>
    <mergeCell ref="G28:I28"/>
    <mergeCell ref="G37:I37"/>
    <mergeCell ref="G30:I30"/>
    <mergeCell ref="G31:I31"/>
    <mergeCell ref="G33:I33"/>
    <mergeCell ref="G34:I34"/>
    <mergeCell ref="G35:I35"/>
    <mergeCell ref="G36:I36"/>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27</v>
      </c>
      <c r="B2" s="28"/>
      <c r="C2" s="28"/>
      <c r="D2" s="28"/>
      <c r="E2" s="29">
        <v>3</v>
      </c>
      <c r="F2" s="295">
        <v>3</v>
      </c>
      <c r="G2" s="295"/>
      <c r="H2" s="296"/>
    </row>
    <row r="3" spans="1:8" x14ac:dyDescent="0.25">
      <c r="A3" s="27" t="s">
        <v>24</v>
      </c>
      <c r="B3" s="31"/>
      <c r="C3" s="31"/>
      <c r="D3" s="32"/>
      <c r="E3" s="32" t="s">
        <v>80</v>
      </c>
      <c r="F3" s="295" t="s">
        <v>88</v>
      </c>
      <c r="G3" s="295"/>
      <c r="H3" s="296"/>
    </row>
    <row r="4" spans="1:8" x14ac:dyDescent="0.25">
      <c r="A4" s="27" t="s">
        <v>25</v>
      </c>
      <c r="B4" s="31"/>
      <c r="C4" s="29"/>
      <c r="D4" s="29"/>
      <c r="E4" s="28" t="s">
        <v>103</v>
      </c>
      <c r="F4" s="303" t="s">
        <v>68</v>
      </c>
      <c r="G4" s="304"/>
      <c r="H4" s="305"/>
    </row>
    <row r="5" spans="1:8" x14ac:dyDescent="0.25">
      <c r="A5" s="27" t="s">
        <v>26</v>
      </c>
      <c r="B5" s="29"/>
      <c r="C5" s="31"/>
      <c r="D5" s="28"/>
      <c r="E5" s="29" t="s">
        <v>96</v>
      </c>
      <c r="F5" s="306" t="s">
        <v>99</v>
      </c>
      <c r="G5" s="306"/>
      <c r="H5" s="307"/>
    </row>
    <row r="6" spans="1:8" ht="15.75" thickBot="1" x14ac:dyDescent="0.3">
      <c r="A6" s="27" t="s">
        <v>65</v>
      </c>
      <c r="B6" s="28"/>
      <c r="C6" s="28"/>
      <c r="D6" s="33"/>
      <c r="E6" s="29" t="s">
        <v>107</v>
      </c>
      <c r="F6" s="279" t="s">
        <v>106</v>
      </c>
      <c r="G6" s="295"/>
      <c r="H6" s="296"/>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27</v>
      </c>
      <c r="B8" s="28">
        <v>2</v>
      </c>
      <c r="C8" s="28">
        <v>2</v>
      </c>
      <c r="D8" s="28">
        <v>3</v>
      </c>
      <c r="E8" s="29">
        <v>3</v>
      </c>
      <c r="F8" s="295">
        <v>2</v>
      </c>
      <c r="G8" s="295"/>
      <c r="H8" s="296"/>
    </row>
    <row r="9" spans="1:8" x14ac:dyDescent="0.25">
      <c r="A9" s="27" t="s">
        <v>24</v>
      </c>
      <c r="B9" s="17" t="s">
        <v>96</v>
      </c>
      <c r="C9" s="18" t="s">
        <v>84</v>
      </c>
      <c r="D9" s="19" t="s">
        <v>102</v>
      </c>
      <c r="E9" s="18" t="s">
        <v>96</v>
      </c>
      <c r="F9" s="297" t="s">
        <v>87</v>
      </c>
      <c r="G9" s="297"/>
      <c r="H9" s="298"/>
    </row>
    <row r="10" spans="1:8" x14ac:dyDescent="0.25">
      <c r="A10" s="27" t="s">
        <v>25</v>
      </c>
      <c r="B10" s="18" t="s">
        <v>80</v>
      </c>
      <c r="C10" s="21" t="s">
        <v>73</v>
      </c>
      <c r="D10" s="31" t="s">
        <v>79</v>
      </c>
      <c r="E10" s="28" t="s">
        <v>82</v>
      </c>
      <c r="F10" s="297" t="s">
        <v>101</v>
      </c>
      <c r="G10" s="297"/>
      <c r="H10" s="298"/>
    </row>
    <row r="11" spans="1:8" x14ac:dyDescent="0.25">
      <c r="A11" s="27" t="s">
        <v>26</v>
      </c>
      <c r="B11" s="22" t="s">
        <v>102</v>
      </c>
      <c r="C11" s="18" t="s">
        <v>91</v>
      </c>
      <c r="D11" s="21" t="s">
        <v>68</v>
      </c>
      <c r="E11" s="30" t="s">
        <v>85</v>
      </c>
      <c r="F11" s="295" t="s">
        <v>83</v>
      </c>
      <c r="G11" s="295"/>
      <c r="H11" s="296"/>
    </row>
    <row r="12" spans="1:8" ht="15.75" thickBot="1" x14ac:dyDescent="0.3">
      <c r="A12" s="27" t="s">
        <v>65</v>
      </c>
      <c r="B12" s="28" t="s">
        <v>100</v>
      </c>
      <c r="C12" s="28" t="s">
        <v>72</v>
      </c>
      <c r="D12" s="33" t="s">
        <v>75</v>
      </c>
      <c r="E12" s="28" t="s">
        <v>106</v>
      </c>
      <c r="F12" s="295" t="s">
        <v>107</v>
      </c>
      <c r="G12" s="295"/>
      <c r="H12" s="296"/>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27</v>
      </c>
      <c r="B14" s="28">
        <v>2</v>
      </c>
      <c r="C14" s="28">
        <v>2</v>
      </c>
      <c r="D14" s="28">
        <v>3</v>
      </c>
      <c r="E14" s="29">
        <v>3</v>
      </c>
      <c r="F14" s="295">
        <v>3</v>
      </c>
      <c r="G14" s="295"/>
      <c r="H14" s="296"/>
    </row>
    <row r="15" spans="1:8" x14ac:dyDescent="0.25">
      <c r="A15" s="27" t="s">
        <v>24</v>
      </c>
      <c r="B15" s="19" t="s">
        <v>96</v>
      </c>
      <c r="C15" s="31" t="s">
        <v>92</v>
      </c>
      <c r="D15" s="19" t="s">
        <v>82</v>
      </c>
      <c r="E15" s="17" t="s">
        <v>85</v>
      </c>
      <c r="F15" s="295" t="s">
        <v>93</v>
      </c>
      <c r="G15" s="295"/>
      <c r="H15" s="296"/>
    </row>
    <row r="16" spans="1:8" x14ac:dyDescent="0.25">
      <c r="A16" s="27" t="s">
        <v>25</v>
      </c>
      <c r="B16" s="31" t="s">
        <v>85</v>
      </c>
      <c r="C16" s="18" t="s">
        <v>89</v>
      </c>
      <c r="D16" s="29" t="s">
        <v>118</v>
      </c>
      <c r="E16" s="29" t="s">
        <v>118</v>
      </c>
      <c r="F16" s="295" t="s">
        <v>69</v>
      </c>
      <c r="G16" s="295"/>
      <c r="H16" s="296"/>
    </row>
    <row r="17" spans="1:8" x14ac:dyDescent="0.25">
      <c r="A17" s="27" t="s">
        <v>26</v>
      </c>
      <c r="B17" s="18" t="s">
        <v>73</v>
      </c>
      <c r="C17" s="19" t="s">
        <v>84</v>
      </c>
      <c r="D17" s="31" t="s">
        <v>70</v>
      </c>
      <c r="E17" s="18" t="s">
        <v>104</v>
      </c>
      <c r="F17" s="297" t="s">
        <v>81</v>
      </c>
      <c r="G17" s="297"/>
      <c r="H17" s="298"/>
    </row>
    <row r="18" spans="1:8" ht="15.75" thickBot="1" x14ac:dyDescent="0.3">
      <c r="A18" s="27" t="s">
        <v>65</v>
      </c>
      <c r="B18" s="28" t="s">
        <v>106</v>
      </c>
      <c r="C18" s="28" t="s">
        <v>72</v>
      </c>
      <c r="D18" s="28" t="s">
        <v>100</v>
      </c>
      <c r="E18" s="28" t="s">
        <v>75</v>
      </c>
      <c r="F18" s="295" t="s">
        <v>116</v>
      </c>
      <c r="G18" s="295"/>
      <c r="H18" s="296"/>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27</v>
      </c>
      <c r="B20" s="28">
        <v>2</v>
      </c>
      <c r="C20" s="28">
        <v>2</v>
      </c>
      <c r="D20" s="28">
        <v>3</v>
      </c>
      <c r="E20" s="29">
        <v>3</v>
      </c>
      <c r="F20" s="295">
        <v>2</v>
      </c>
      <c r="G20" s="295"/>
      <c r="H20" s="296"/>
    </row>
    <row r="21" spans="1:8" x14ac:dyDescent="0.25">
      <c r="A21" s="27" t="s">
        <v>24</v>
      </c>
      <c r="B21" s="18" t="s">
        <v>68</v>
      </c>
      <c r="C21" s="31" t="s">
        <v>103</v>
      </c>
      <c r="D21" s="28" t="s">
        <v>83</v>
      </c>
      <c r="E21" s="31" t="s">
        <v>90</v>
      </c>
      <c r="F21" s="297" t="s">
        <v>97</v>
      </c>
      <c r="G21" s="297"/>
      <c r="H21" s="298"/>
    </row>
    <row r="22" spans="1:8" x14ac:dyDescent="0.25">
      <c r="A22" s="27" t="s">
        <v>25</v>
      </c>
      <c r="B22" s="18" t="s">
        <v>101</v>
      </c>
      <c r="C22" s="54" t="s">
        <v>94</v>
      </c>
      <c r="D22" s="18" t="s">
        <v>91</v>
      </c>
      <c r="E22" s="19" t="s">
        <v>92</v>
      </c>
      <c r="F22" s="285" t="s">
        <v>80</v>
      </c>
      <c r="G22" s="297"/>
      <c r="H22" s="298"/>
    </row>
    <row r="23" spans="1:8" x14ac:dyDescent="0.25">
      <c r="A23" s="27" t="s">
        <v>26</v>
      </c>
      <c r="B23" s="29" t="s">
        <v>90</v>
      </c>
      <c r="C23" s="29" t="s">
        <v>70</v>
      </c>
      <c r="D23" s="19" t="s">
        <v>104</v>
      </c>
      <c r="E23" s="31" t="s">
        <v>73</v>
      </c>
      <c r="F23" s="295" t="s">
        <v>95</v>
      </c>
      <c r="G23" s="295"/>
      <c r="H23" s="296"/>
    </row>
    <row r="24" spans="1:8" x14ac:dyDescent="0.25">
      <c r="A24" s="27" t="s">
        <v>65</v>
      </c>
      <c r="B24" s="28" t="s">
        <v>107</v>
      </c>
      <c r="C24" s="28" t="s">
        <v>67</v>
      </c>
      <c r="D24" s="28" t="s">
        <v>72</v>
      </c>
      <c r="E24" s="36" t="s">
        <v>100</v>
      </c>
      <c r="F24" s="295" t="s">
        <v>74</v>
      </c>
      <c r="G24" s="295"/>
      <c r="H24" s="296"/>
    </row>
    <row r="25" spans="1:8" ht="15.75" thickBot="1" x14ac:dyDescent="0.3">
      <c r="A25" s="27" t="s">
        <v>64</v>
      </c>
      <c r="B25" s="20" t="s">
        <v>66</v>
      </c>
      <c r="C25" s="20" t="s">
        <v>66</v>
      </c>
      <c r="D25" s="20" t="s">
        <v>66</v>
      </c>
      <c r="E25" s="37" t="s">
        <v>107</v>
      </c>
      <c r="F25" s="301" t="s">
        <v>66</v>
      </c>
      <c r="G25" s="301"/>
      <c r="H25" s="302"/>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27</v>
      </c>
      <c r="B27" s="28">
        <v>2</v>
      </c>
      <c r="C27" s="28">
        <v>2</v>
      </c>
      <c r="D27" s="28">
        <v>3</v>
      </c>
      <c r="E27" s="29">
        <v>3</v>
      </c>
      <c r="F27" s="295">
        <v>3</v>
      </c>
      <c r="G27" s="295"/>
      <c r="H27" s="296"/>
    </row>
    <row r="28" spans="1:8" x14ac:dyDescent="0.25">
      <c r="A28" s="27" t="s">
        <v>24</v>
      </c>
      <c r="B28" s="31" t="s">
        <v>101</v>
      </c>
      <c r="C28" s="19" t="s">
        <v>102</v>
      </c>
      <c r="D28" s="19" t="s">
        <v>92</v>
      </c>
      <c r="E28" s="19" t="s">
        <v>104</v>
      </c>
      <c r="F28" s="295" t="s">
        <v>86</v>
      </c>
      <c r="G28" s="295"/>
      <c r="H28" s="296"/>
    </row>
    <row r="29" spans="1:8" x14ac:dyDescent="0.25">
      <c r="A29" s="27" t="s">
        <v>25</v>
      </c>
      <c r="B29" s="19" t="s">
        <v>84</v>
      </c>
      <c r="C29" s="22" t="s">
        <v>89</v>
      </c>
      <c r="D29" s="31" t="s">
        <v>79</v>
      </c>
      <c r="E29" s="32" t="s">
        <v>68</v>
      </c>
      <c r="F29" s="295" t="s">
        <v>91</v>
      </c>
      <c r="G29" s="295"/>
      <c r="H29" s="296"/>
    </row>
    <row r="30" spans="1:8" x14ac:dyDescent="0.25">
      <c r="A30" s="27" t="s">
        <v>26</v>
      </c>
      <c r="B30" s="18" t="s">
        <v>81</v>
      </c>
      <c r="C30" s="22" t="s">
        <v>103</v>
      </c>
      <c r="D30" s="16" t="s">
        <v>73</v>
      </c>
      <c r="E30" s="18" t="s">
        <v>82</v>
      </c>
      <c r="F30" s="297" t="s">
        <v>117</v>
      </c>
      <c r="G30" s="297"/>
      <c r="H30" s="298"/>
    </row>
    <row r="31" spans="1:8" x14ac:dyDescent="0.25">
      <c r="A31" s="27" t="s">
        <v>65</v>
      </c>
      <c r="B31" s="28" t="s">
        <v>76</v>
      </c>
      <c r="C31" s="28" t="s">
        <v>67</v>
      </c>
      <c r="D31" s="28" t="s">
        <v>75</v>
      </c>
      <c r="E31" s="28" t="s">
        <v>72</v>
      </c>
      <c r="F31" s="295" t="s">
        <v>71</v>
      </c>
      <c r="G31" s="295"/>
      <c r="H31" s="296"/>
    </row>
    <row r="32" spans="1:8" ht="15.75" thickBot="1" x14ac:dyDescent="0.3">
      <c r="A32" s="35" t="s">
        <v>64</v>
      </c>
      <c r="B32" s="20" t="s">
        <v>66</v>
      </c>
      <c r="C32" s="20" t="s">
        <v>66</v>
      </c>
      <c r="D32" s="20" t="s">
        <v>116</v>
      </c>
      <c r="E32" s="34" t="s">
        <v>100</v>
      </c>
      <c r="F32" s="299" t="s">
        <v>66</v>
      </c>
      <c r="G32" s="299"/>
      <c r="H32" s="300"/>
    </row>
  </sheetData>
  <mergeCells count="27">
    <mergeCell ref="F14:H14"/>
    <mergeCell ref="F27:H27"/>
    <mergeCell ref="F21:H21"/>
    <mergeCell ref="F22:H22"/>
    <mergeCell ref="F23:H23"/>
    <mergeCell ref="F24:H24"/>
    <mergeCell ref="F15:H15"/>
    <mergeCell ref="F16:H16"/>
    <mergeCell ref="F17:H17"/>
    <mergeCell ref="F18:H18"/>
    <mergeCell ref="F20:H20"/>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6" t="s">
        <v>0</v>
      </c>
      <c r="B1" s="206" t="s">
        <v>1</v>
      </c>
      <c r="C1" s="206" t="s">
        <v>267</v>
      </c>
    </row>
    <row r="2" spans="1:3" x14ac:dyDescent="0.25">
      <c r="A2" s="254">
        <v>11</v>
      </c>
      <c r="B2" s="254" t="s">
        <v>265</v>
      </c>
      <c r="C2" s="2" t="s">
        <v>272</v>
      </c>
    </row>
    <row r="3" spans="1:3" x14ac:dyDescent="0.25">
      <c r="A3" s="62">
        <v>11</v>
      </c>
      <c r="B3" s="62" t="s">
        <v>211</v>
      </c>
      <c r="C3" s="2" t="s">
        <v>268</v>
      </c>
    </row>
    <row r="4" spans="1:3" x14ac:dyDescent="0.25">
      <c r="A4" s="62">
        <v>11</v>
      </c>
      <c r="B4" s="62" t="s">
        <v>164</v>
      </c>
      <c r="C4" s="2" t="s">
        <v>269</v>
      </c>
    </row>
    <row r="5" spans="1:3" x14ac:dyDescent="0.25">
      <c r="A5" s="62" t="s">
        <v>78</v>
      </c>
      <c r="B5" s="62" t="s">
        <v>274</v>
      </c>
      <c r="C5" s="2" t="s">
        <v>273</v>
      </c>
    </row>
    <row r="6" spans="1:3" x14ac:dyDescent="0.25">
      <c r="A6" s="254" t="s">
        <v>78</v>
      </c>
      <c r="B6" s="254" t="s">
        <v>222</v>
      </c>
      <c r="C6" s="2" t="s">
        <v>271</v>
      </c>
    </row>
    <row r="7" spans="1:3" x14ac:dyDescent="0.25">
      <c r="A7" s="254" t="s">
        <v>17</v>
      </c>
      <c r="B7" s="254" t="s">
        <v>250</v>
      </c>
      <c r="C7" s="2" t="s">
        <v>270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4"/>
  <sheetViews>
    <sheetView rightToLeft="1" zoomScale="145" zoomScaleNormal="145" workbookViewId="0">
      <selection activeCell="A14" sqref="A2:A14"/>
    </sheetView>
  </sheetViews>
  <sheetFormatPr defaultRowHeight="15" x14ac:dyDescent="0.25"/>
  <cols>
    <col min="1" max="1" width="56.28515625" customWidth="1"/>
    <col min="3" max="3" width="52.85546875" customWidth="1"/>
  </cols>
  <sheetData>
    <row r="1" spans="1:3" x14ac:dyDescent="0.25">
      <c r="A1" s="81" t="s">
        <v>235</v>
      </c>
      <c r="C1" s="81" t="s">
        <v>236</v>
      </c>
    </row>
    <row r="2" spans="1:3" x14ac:dyDescent="0.25">
      <c r="A2" t="s">
        <v>154</v>
      </c>
      <c r="C2" t="s">
        <v>71</v>
      </c>
    </row>
    <row r="3" spans="1:3" x14ac:dyDescent="0.25">
      <c r="A3" t="s">
        <v>152</v>
      </c>
      <c r="C3" t="s">
        <v>234</v>
      </c>
    </row>
    <row r="4" spans="1:3" x14ac:dyDescent="0.25">
      <c r="A4" t="s">
        <v>153</v>
      </c>
      <c r="C4" t="s">
        <v>173</v>
      </c>
    </row>
    <row r="5" spans="1:3" x14ac:dyDescent="0.25">
      <c r="A5" t="s">
        <v>117</v>
      </c>
      <c r="C5" t="s">
        <v>188</v>
      </c>
    </row>
    <row r="6" spans="1:3" x14ac:dyDescent="0.25">
      <c r="A6" t="s">
        <v>103</v>
      </c>
      <c r="C6" t="s">
        <v>90</v>
      </c>
    </row>
    <row r="7" spans="1:3" x14ac:dyDescent="0.25">
      <c r="A7" t="s">
        <v>100</v>
      </c>
      <c r="C7" t="s">
        <v>72</v>
      </c>
    </row>
    <row r="8" spans="1:3" x14ac:dyDescent="0.25">
      <c r="A8" t="s">
        <v>85</v>
      </c>
    </row>
    <row r="9" spans="1:3" x14ac:dyDescent="0.25">
      <c r="A9" t="s">
        <v>169</v>
      </c>
    </row>
    <row r="10" spans="1:3" x14ac:dyDescent="0.25">
      <c r="A10" t="s">
        <v>233</v>
      </c>
    </row>
    <row r="11" spans="1:3" x14ac:dyDescent="0.25">
      <c r="A11" t="s">
        <v>82</v>
      </c>
    </row>
    <row r="12" spans="1:3" x14ac:dyDescent="0.25">
      <c r="A12" t="s">
        <v>132</v>
      </c>
    </row>
    <row r="13" spans="1:3" x14ac:dyDescent="0.25">
      <c r="A13" t="s">
        <v>232</v>
      </c>
    </row>
    <row r="14" spans="1:3" x14ac:dyDescent="0.25">
      <c r="A14" t="s">
        <v>263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חיילים</vt:lpstr>
      <vt:lpstr>הזנת לוח</vt:lpstr>
      <vt:lpstr>סטטיסטיקה</vt:lpstr>
      <vt:lpstr>לוח ספטמבר</vt:lpstr>
      <vt:lpstr>לוח אוגוסט</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2018-07-11T08:45:31Z</dcterms:modified>
</cp:coreProperties>
</file>