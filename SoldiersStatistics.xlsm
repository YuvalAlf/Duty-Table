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bookViews>
    <workbookView xWindow="0" yWindow="0" windowWidth="28800" windowHeight="13635" tabRatio="1000" activeTab="1" xr2:uid="{00000000-000D-0000-FFFF-FFFF00000000}"/>
  </bookViews>
  <sheets>
    <sheet name="חיילים" sheetId="1" r:id="rId1"/>
    <sheet name="לוח מרץ" sheetId="13" r:id="rId2"/>
    <sheet name="סטטיסטיקה" sheetId="3" r:id="rId3"/>
    <sheet name="סתם" sheetId="9" r:id="rId4"/>
    <sheet name="לוח פברואר" sheetId="12" r:id="rId5"/>
    <sheet name="לוח ינואר" sheetId="11" r:id="rId6"/>
    <sheet name="לוח דצמבר" sheetId="10" r:id="rId7"/>
    <sheet name="לוח נובמבר" sheetId="8" r:id="rId8"/>
  </sheets>
  <definedNames>
    <definedName name="_xlnm._FilterDatabase" localSheetId="0" hidden="1">חיילים!$A$1:$CC$38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3" l="1"/>
  <c r="I3" i="3"/>
  <c r="G6" i="3"/>
  <c r="G5" i="3"/>
  <c r="G4" i="3"/>
  <c r="G3" i="3"/>
  <c r="CB22" i="1"/>
  <c r="CB35" i="1"/>
  <c r="CB7" i="1"/>
  <c r="CB11" i="1"/>
  <c r="CB36" i="1"/>
  <c r="CB30" i="1"/>
  <c r="CB29" i="1"/>
  <c r="CB14" i="1"/>
  <c r="CB12" i="1"/>
  <c r="CB9" i="1"/>
  <c r="CB8" i="1"/>
  <c r="CB15" i="1"/>
  <c r="CB2" i="1"/>
  <c r="CB31" i="1"/>
  <c r="CB37" i="1"/>
  <c r="CB38" i="1"/>
  <c r="CB10" i="1"/>
  <c r="CB16" i="1"/>
  <c r="CB32" i="1"/>
  <c r="CB3" i="1"/>
  <c r="CB5" i="1"/>
  <c r="CB4" i="1"/>
  <c r="CB33" i="1"/>
  <c r="CB23" i="1"/>
  <c r="CB21" i="1"/>
  <c r="CB17" i="1"/>
  <c r="CB28" i="1"/>
  <c r="CB24" i="1"/>
  <c r="CB18" i="1"/>
  <c r="CB19" i="1"/>
  <c r="CB13" i="1"/>
  <c r="CB34" i="1"/>
  <c r="CB6" i="1"/>
  <c r="CB25" i="1"/>
  <c r="CB26" i="1"/>
  <c r="CB20" i="1"/>
  <c r="CB27" i="1"/>
  <c r="CA22" i="1"/>
  <c r="CA35" i="1"/>
  <c r="CA7" i="1"/>
  <c r="CA11" i="1"/>
  <c r="CA36" i="1"/>
  <c r="CA30" i="1"/>
  <c r="CA29" i="1"/>
  <c r="CA14" i="1"/>
  <c r="CA12" i="1"/>
  <c r="CA9" i="1"/>
  <c r="CA8" i="1"/>
  <c r="CA15" i="1"/>
  <c r="CA2" i="1"/>
  <c r="CA31" i="1"/>
  <c r="CA37" i="1"/>
  <c r="CA38" i="1"/>
  <c r="CA10" i="1"/>
  <c r="CA16" i="1"/>
  <c r="CA32" i="1"/>
  <c r="CA3" i="1"/>
  <c r="CA5" i="1"/>
  <c r="CA4" i="1"/>
  <c r="CA33" i="1"/>
  <c r="CA23" i="1"/>
  <c r="CA21" i="1"/>
  <c r="CA17" i="1"/>
  <c r="CA28" i="1"/>
  <c r="CA24" i="1"/>
  <c r="CA18" i="1"/>
  <c r="CA19" i="1"/>
  <c r="CA13" i="1"/>
  <c r="CA34" i="1"/>
  <c r="CA6" i="1"/>
  <c r="CA25" i="1"/>
  <c r="CA26" i="1"/>
  <c r="CA20" i="1"/>
  <c r="CA27" i="1"/>
  <c r="BR22" i="1"/>
  <c r="BS22" i="1"/>
  <c r="BR35" i="1"/>
  <c r="BS35" i="1"/>
  <c r="BR7" i="1"/>
  <c r="BS7" i="1"/>
  <c r="BR11" i="1"/>
  <c r="BS11" i="1"/>
  <c r="BR36" i="1"/>
  <c r="BS36" i="1"/>
  <c r="BR30" i="1"/>
  <c r="BS30" i="1"/>
  <c r="BR29" i="1"/>
  <c r="BS29" i="1"/>
  <c r="BR14" i="1"/>
  <c r="BS14" i="1"/>
  <c r="BR12" i="1"/>
  <c r="BS12" i="1"/>
  <c r="BR9" i="1"/>
  <c r="BS9" i="1"/>
  <c r="BR8" i="1"/>
  <c r="BS8" i="1"/>
  <c r="BR15" i="1"/>
  <c r="BS15" i="1"/>
  <c r="BR2" i="1"/>
  <c r="BS2" i="1"/>
  <c r="BR31" i="1"/>
  <c r="BS31" i="1"/>
  <c r="BR37" i="1"/>
  <c r="BS37" i="1"/>
  <c r="BR38" i="1"/>
  <c r="BS38" i="1"/>
  <c r="BR10" i="1"/>
  <c r="BS10" i="1"/>
  <c r="BR16" i="1"/>
  <c r="BS16" i="1"/>
  <c r="BR32" i="1"/>
  <c r="BS32" i="1"/>
  <c r="BR3" i="1"/>
  <c r="BS3" i="1"/>
  <c r="BR5" i="1"/>
  <c r="BS5" i="1"/>
  <c r="BR4" i="1"/>
  <c r="BS4" i="1"/>
  <c r="BR33" i="1"/>
  <c r="BS33" i="1"/>
  <c r="BR23" i="1"/>
  <c r="BS23" i="1"/>
  <c r="BR21" i="1"/>
  <c r="BS21" i="1"/>
  <c r="BR17" i="1"/>
  <c r="BS17" i="1"/>
  <c r="BR28" i="1"/>
  <c r="BS28" i="1"/>
  <c r="BR24" i="1"/>
  <c r="BS24" i="1"/>
  <c r="BR18" i="1"/>
  <c r="BS18" i="1"/>
  <c r="BR19" i="1"/>
  <c r="BS19" i="1"/>
  <c r="BR13" i="1"/>
  <c r="BS13" i="1"/>
  <c r="BR34" i="1"/>
  <c r="BS34" i="1"/>
  <c r="BR6" i="1"/>
  <c r="BS6" i="1"/>
  <c r="BR25" i="1"/>
  <c r="BS25" i="1"/>
  <c r="BR26" i="1"/>
  <c r="BS26" i="1"/>
  <c r="BR20" i="1"/>
  <c r="BS20" i="1"/>
  <c r="BS27" i="1"/>
  <c r="BR27" i="1"/>
  <c r="BT7" i="1" l="1"/>
  <c r="BT22" i="1"/>
  <c r="BT25" i="1"/>
  <c r="BT17" i="1"/>
  <c r="BT27" i="1"/>
  <c r="BT4" i="1"/>
  <c r="BT3" i="1"/>
  <c r="BT30" i="1"/>
  <c r="BT15" i="1"/>
  <c r="BT20" i="1"/>
  <c r="BT19" i="1"/>
  <c r="BT24" i="1"/>
  <c r="BT16" i="1"/>
  <c r="BT31" i="1"/>
  <c r="BT9" i="1"/>
  <c r="BT26" i="1"/>
  <c r="BT13" i="1"/>
  <c r="BT28" i="1"/>
  <c r="BT33" i="1"/>
  <c r="BT35" i="1"/>
  <c r="BT32" i="1"/>
  <c r="BT37" i="1"/>
  <c r="BT8" i="1"/>
  <c r="BT29" i="1"/>
  <c r="BT18" i="1"/>
  <c r="BT2" i="1"/>
  <c r="BT5" i="1"/>
  <c r="BT36" i="1"/>
  <c r="BT34" i="1"/>
  <c r="BT23" i="1"/>
  <c r="BT38" i="1"/>
  <c r="BT14" i="1"/>
  <c r="BT6" i="1"/>
  <c r="BT21" i="1"/>
  <c r="BT10" i="1"/>
  <c r="BT12" i="1"/>
  <c r="BT11" i="1"/>
  <c r="BK15" i="1"/>
  <c r="BL15" i="1"/>
  <c r="U15" i="1"/>
  <c r="V15" i="1"/>
  <c r="AB15" i="1"/>
  <c r="AC15" i="1"/>
  <c r="AI15" i="1"/>
  <c r="AJ15" i="1"/>
  <c r="AP15" i="1"/>
  <c r="AQ15" i="1"/>
  <c r="AW15" i="1"/>
  <c r="AX15" i="1"/>
  <c r="BD15" i="1"/>
  <c r="BE15" i="1"/>
  <c r="C15" i="1"/>
  <c r="BK19" i="1"/>
  <c r="BL19" i="1"/>
  <c r="P19" i="1"/>
  <c r="U19" i="1"/>
  <c r="V19" i="1"/>
  <c r="AB19" i="1"/>
  <c r="AC19" i="1"/>
  <c r="AI19" i="1"/>
  <c r="AJ19" i="1"/>
  <c r="AP19" i="1"/>
  <c r="AQ19" i="1"/>
  <c r="AW19" i="1"/>
  <c r="AX19" i="1"/>
  <c r="BD19" i="1"/>
  <c r="BE19" i="1"/>
  <c r="C19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BU19" i="1" l="1"/>
  <c r="BV19" i="1" s="1"/>
  <c r="BU15" i="1"/>
  <c r="BW19" i="1"/>
  <c r="BX19" i="1" s="1"/>
  <c r="BW15" i="1"/>
  <c r="BX15" i="1" s="1"/>
  <c r="AY19" i="1"/>
  <c r="W19" i="1"/>
  <c r="CC19" i="1"/>
  <c r="CC15" i="1"/>
  <c r="BF19" i="1"/>
  <c r="AR19" i="1"/>
  <c r="AD19" i="1"/>
  <c r="AY15" i="1"/>
  <c r="BM15" i="1"/>
  <c r="BF15" i="1"/>
  <c r="AK15" i="1"/>
  <c r="AK19" i="1"/>
  <c r="BM19" i="1"/>
  <c r="AR15" i="1"/>
  <c r="AD15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34" i="1"/>
  <c r="B19" i="12"/>
  <c r="BK14" i="1"/>
  <c r="BL14" i="1"/>
  <c r="BK3" i="1"/>
  <c r="BL3" i="1"/>
  <c r="BK5" i="1"/>
  <c r="BL5" i="1"/>
  <c r="BK24" i="1"/>
  <c r="BL24" i="1"/>
  <c r="BK18" i="1"/>
  <c r="BL18" i="1"/>
  <c r="BK25" i="1"/>
  <c r="BL25" i="1"/>
  <c r="BD14" i="1"/>
  <c r="BE14" i="1"/>
  <c r="BD3" i="1"/>
  <c r="BE3" i="1"/>
  <c r="BD5" i="1"/>
  <c r="BE5" i="1"/>
  <c r="BD24" i="1"/>
  <c r="BE24" i="1"/>
  <c r="BD18" i="1"/>
  <c r="BE18" i="1"/>
  <c r="BD25" i="1"/>
  <c r="BE25" i="1"/>
  <c r="AW14" i="1"/>
  <c r="AX14" i="1"/>
  <c r="AW3" i="1"/>
  <c r="AX3" i="1"/>
  <c r="AW5" i="1"/>
  <c r="AX5" i="1"/>
  <c r="AW24" i="1"/>
  <c r="AX24" i="1"/>
  <c r="AW18" i="1"/>
  <c r="AX18" i="1"/>
  <c r="AW25" i="1"/>
  <c r="AX25" i="1"/>
  <c r="AP14" i="1"/>
  <c r="AQ14" i="1"/>
  <c r="AP3" i="1"/>
  <c r="AQ3" i="1"/>
  <c r="AP5" i="1"/>
  <c r="AQ5" i="1"/>
  <c r="AP24" i="1"/>
  <c r="AQ24" i="1"/>
  <c r="AP18" i="1"/>
  <c r="AQ18" i="1"/>
  <c r="AP25" i="1"/>
  <c r="AQ25" i="1"/>
  <c r="AI14" i="1"/>
  <c r="AJ14" i="1"/>
  <c r="AI3" i="1"/>
  <c r="AJ3" i="1"/>
  <c r="AI5" i="1"/>
  <c r="AJ5" i="1"/>
  <c r="AI24" i="1"/>
  <c r="AJ24" i="1"/>
  <c r="AI18" i="1"/>
  <c r="AJ18" i="1"/>
  <c r="AI25" i="1"/>
  <c r="AJ25" i="1"/>
  <c r="AB14" i="1"/>
  <c r="AC14" i="1"/>
  <c r="AB3" i="1"/>
  <c r="AC3" i="1"/>
  <c r="AB5" i="1"/>
  <c r="AC5" i="1"/>
  <c r="AB24" i="1"/>
  <c r="AC24" i="1"/>
  <c r="AB18" i="1"/>
  <c r="AC18" i="1"/>
  <c r="AB25" i="1"/>
  <c r="AC25" i="1"/>
  <c r="U14" i="1"/>
  <c r="V14" i="1"/>
  <c r="U3" i="1"/>
  <c r="V3" i="1"/>
  <c r="U5" i="1"/>
  <c r="V5" i="1"/>
  <c r="U24" i="1"/>
  <c r="V24" i="1"/>
  <c r="U18" i="1"/>
  <c r="V18" i="1"/>
  <c r="U25" i="1"/>
  <c r="V25" i="1"/>
  <c r="N14" i="1"/>
  <c r="O14" i="1"/>
  <c r="N3" i="1"/>
  <c r="O3" i="1"/>
  <c r="N5" i="1"/>
  <c r="O5" i="1"/>
  <c r="N24" i="1"/>
  <c r="O24" i="1"/>
  <c r="N18" i="1"/>
  <c r="O18" i="1"/>
  <c r="N25" i="1"/>
  <c r="O25" i="1"/>
  <c r="C7" i="1"/>
  <c r="C22" i="1"/>
  <c r="C8" i="1"/>
  <c r="C9" i="1"/>
  <c r="C12" i="1"/>
  <c r="C14" i="1"/>
  <c r="C35" i="1"/>
  <c r="C2" i="1"/>
  <c r="C36" i="1"/>
  <c r="C11" i="1"/>
  <c r="C37" i="1"/>
  <c r="C31" i="1"/>
  <c r="C10" i="1"/>
  <c r="C16" i="1"/>
  <c r="C38" i="1"/>
  <c r="C4" i="1"/>
  <c r="C3" i="1"/>
  <c r="C5" i="1"/>
  <c r="C32" i="1"/>
  <c r="C23" i="1"/>
  <c r="C21" i="1"/>
  <c r="C33" i="1"/>
  <c r="C17" i="1"/>
  <c r="C29" i="1"/>
  <c r="C30" i="1"/>
  <c r="C13" i="1"/>
  <c r="C34" i="1"/>
  <c r="C24" i="1"/>
  <c r="C18" i="1"/>
  <c r="C28" i="1"/>
  <c r="C20" i="1"/>
  <c r="C6" i="1"/>
  <c r="C25" i="1"/>
  <c r="BW5" i="1" l="1"/>
  <c r="BU18" i="1"/>
  <c r="BV18" i="1" s="1"/>
  <c r="BU5" i="1"/>
  <c r="BV5" i="1" s="1"/>
  <c r="BU14" i="1"/>
  <c r="BV14" i="1" s="1"/>
  <c r="BY15" i="1"/>
  <c r="BW14" i="1"/>
  <c r="BX14" i="1" s="1"/>
  <c r="BW25" i="1"/>
  <c r="BX25" i="1" s="1"/>
  <c r="BW24" i="1"/>
  <c r="BX24" i="1" s="1"/>
  <c r="BW3" i="1"/>
  <c r="BX3" i="1" s="1"/>
  <c r="BW18" i="1"/>
  <c r="BX18" i="1" s="1"/>
  <c r="BU25" i="1"/>
  <c r="BV25" i="1" s="1"/>
  <c r="BU24" i="1"/>
  <c r="BV24" i="1" s="1"/>
  <c r="BU3" i="1"/>
  <c r="BZ19" i="1"/>
  <c r="BY19" i="1"/>
  <c r="BV15" i="1"/>
  <c r="BZ15" i="1" s="1"/>
  <c r="W24" i="1"/>
  <c r="AD25" i="1"/>
  <c r="AK24" i="1"/>
  <c r="AY25" i="1"/>
  <c r="AY24" i="1"/>
  <c r="AY3" i="1"/>
  <c r="CC5" i="1"/>
  <c r="AY5" i="1"/>
  <c r="BM25" i="1"/>
  <c r="BM24" i="1"/>
  <c r="BM14" i="1"/>
  <c r="AR3" i="1"/>
  <c r="CC18" i="1"/>
  <c r="CC14" i="1"/>
  <c r="BM3" i="1"/>
  <c r="P24" i="1"/>
  <c r="P3" i="1"/>
  <c r="AD24" i="1"/>
  <c r="AD3" i="1"/>
  <c r="AR24" i="1"/>
  <c r="BF5" i="1"/>
  <c r="P18" i="1"/>
  <c r="P14" i="1"/>
  <c r="W18" i="1"/>
  <c r="BV3" i="1"/>
  <c r="BF24" i="1"/>
  <c r="CC25" i="1"/>
  <c r="AD5" i="1"/>
  <c r="AD14" i="1"/>
  <c r="AK18" i="1"/>
  <c r="AR5" i="1"/>
  <c r="AR14" i="1"/>
  <c r="CC24" i="1"/>
  <c r="CC3" i="1"/>
  <c r="P5" i="1"/>
  <c r="W25" i="1"/>
  <c r="W3" i="1"/>
  <c r="AK5" i="1"/>
  <c r="AK14" i="1"/>
  <c r="AR18" i="1"/>
  <c r="AY14" i="1"/>
  <c r="BF18" i="1"/>
  <c r="BF3" i="1"/>
  <c r="BM18" i="1"/>
  <c r="BX5" i="1"/>
  <c r="P25" i="1"/>
  <c r="W5" i="1"/>
  <c r="W14" i="1"/>
  <c r="AD18" i="1"/>
  <c r="AK25" i="1"/>
  <c r="AK3" i="1"/>
  <c r="AR25" i="1"/>
  <c r="AY18" i="1"/>
  <c r="BF25" i="1"/>
  <c r="BF14" i="1"/>
  <c r="BM5" i="1"/>
  <c r="BZ25" i="1" l="1"/>
  <c r="BZ24" i="1"/>
  <c r="BY25" i="1"/>
  <c r="BY24" i="1"/>
  <c r="BY18" i="1"/>
  <c r="BZ18" i="1"/>
  <c r="BZ3" i="1"/>
  <c r="BZ5" i="1"/>
  <c r="BY3" i="1"/>
  <c r="BZ14" i="1"/>
  <c r="BY5" i="1"/>
  <c r="BY14" i="1"/>
  <c r="BL7" i="1"/>
  <c r="BK7" i="1"/>
  <c r="BD2" i="1"/>
  <c r="BE7" i="1"/>
  <c r="O7" i="1"/>
  <c r="BD22" i="1"/>
  <c r="BE22" i="1"/>
  <c r="BD8" i="1"/>
  <c r="BE8" i="1"/>
  <c r="BD9" i="1"/>
  <c r="BE9" i="1"/>
  <c r="BD12" i="1"/>
  <c r="BE12" i="1"/>
  <c r="BD35" i="1"/>
  <c r="BE35" i="1"/>
  <c r="BE2" i="1"/>
  <c r="BD36" i="1"/>
  <c r="BE36" i="1"/>
  <c r="BD11" i="1"/>
  <c r="BE11" i="1"/>
  <c r="BD37" i="1"/>
  <c r="BE37" i="1"/>
  <c r="BD31" i="1"/>
  <c r="BE31" i="1"/>
  <c r="BD10" i="1"/>
  <c r="BE10" i="1"/>
  <c r="BD16" i="1"/>
  <c r="BE16" i="1"/>
  <c r="BD38" i="1"/>
  <c r="BE38" i="1"/>
  <c r="BD4" i="1"/>
  <c r="BE4" i="1"/>
  <c r="AW22" i="1"/>
  <c r="AX22" i="1"/>
  <c r="AW8" i="1"/>
  <c r="AX8" i="1"/>
  <c r="AW9" i="1"/>
  <c r="AX9" i="1"/>
  <c r="AW12" i="1"/>
  <c r="AX12" i="1"/>
  <c r="AW35" i="1"/>
  <c r="AX35" i="1"/>
  <c r="AW2" i="1"/>
  <c r="AX2" i="1"/>
  <c r="AW36" i="1"/>
  <c r="AX36" i="1"/>
  <c r="AW11" i="1"/>
  <c r="AX11" i="1"/>
  <c r="AW37" i="1"/>
  <c r="AX37" i="1"/>
  <c r="AP22" i="1"/>
  <c r="AQ22" i="1"/>
  <c r="AP8" i="1"/>
  <c r="AQ8" i="1"/>
  <c r="AP9" i="1"/>
  <c r="AQ9" i="1"/>
  <c r="AP12" i="1"/>
  <c r="AQ12" i="1"/>
  <c r="AP35" i="1"/>
  <c r="AQ35" i="1"/>
  <c r="AP2" i="1"/>
  <c r="AQ2" i="1"/>
  <c r="AP36" i="1"/>
  <c r="AQ36" i="1"/>
  <c r="AP11" i="1"/>
  <c r="AQ11" i="1"/>
  <c r="AP37" i="1"/>
  <c r="AQ37" i="1"/>
  <c r="AP31" i="1"/>
  <c r="AQ31" i="1"/>
  <c r="AP10" i="1"/>
  <c r="AQ10" i="1"/>
  <c r="AP16" i="1"/>
  <c r="AQ16" i="1"/>
  <c r="AP38" i="1"/>
  <c r="AQ38" i="1"/>
  <c r="AI22" i="1"/>
  <c r="AJ22" i="1"/>
  <c r="AI8" i="1"/>
  <c r="AJ8" i="1"/>
  <c r="AI9" i="1"/>
  <c r="AJ9" i="1"/>
  <c r="AI12" i="1"/>
  <c r="AJ12" i="1"/>
  <c r="AI35" i="1"/>
  <c r="AJ35" i="1"/>
  <c r="AI2" i="1"/>
  <c r="AJ2" i="1"/>
  <c r="AI36" i="1"/>
  <c r="AJ36" i="1"/>
  <c r="AI11" i="1"/>
  <c r="AJ11" i="1"/>
  <c r="AI37" i="1"/>
  <c r="AJ37" i="1"/>
  <c r="AI31" i="1"/>
  <c r="AJ31" i="1"/>
  <c r="AI10" i="1"/>
  <c r="AJ10" i="1"/>
  <c r="AI16" i="1"/>
  <c r="AJ16" i="1"/>
  <c r="AI38" i="1"/>
  <c r="AJ38" i="1"/>
  <c r="AI4" i="1"/>
  <c r="AJ4" i="1"/>
  <c r="AI32" i="1"/>
  <c r="AJ32" i="1"/>
  <c r="AI23" i="1"/>
  <c r="AJ23" i="1"/>
  <c r="AB22" i="1"/>
  <c r="AC22" i="1"/>
  <c r="AB8" i="1"/>
  <c r="AC8" i="1"/>
  <c r="AB9" i="1"/>
  <c r="AC9" i="1"/>
  <c r="AB12" i="1"/>
  <c r="AC12" i="1"/>
  <c r="AB35" i="1"/>
  <c r="AC35" i="1"/>
  <c r="AB2" i="1"/>
  <c r="AC2" i="1"/>
  <c r="AB36" i="1"/>
  <c r="AC36" i="1"/>
  <c r="AB11" i="1"/>
  <c r="AC11" i="1"/>
  <c r="AB37" i="1"/>
  <c r="AC37" i="1"/>
  <c r="AB31" i="1"/>
  <c r="AC31" i="1"/>
  <c r="AB10" i="1"/>
  <c r="AC10" i="1"/>
  <c r="AB16" i="1"/>
  <c r="AC16" i="1"/>
  <c r="AB38" i="1"/>
  <c r="AC38" i="1"/>
  <c r="U22" i="1"/>
  <c r="V22" i="1"/>
  <c r="U8" i="1"/>
  <c r="V8" i="1"/>
  <c r="U9" i="1"/>
  <c r="V9" i="1"/>
  <c r="U12" i="1"/>
  <c r="V12" i="1"/>
  <c r="U35" i="1"/>
  <c r="V35" i="1"/>
  <c r="U2" i="1"/>
  <c r="V2" i="1"/>
  <c r="U36" i="1"/>
  <c r="V36" i="1"/>
  <c r="U11" i="1"/>
  <c r="V11" i="1"/>
  <c r="U37" i="1"/>
  <c r="V37" i="1"/>
  <c r="U31" i="1"/>
  <c r="V31" i="1"/>
  <c r="U10" i="1"/>
  <c r="V10" i="1"/>
  <c r="U16" i="1"/>
  <c r="V16" i="1"/>
  <c r="U38" i="1"/>
  <c r="V38" i="1"/>
  <c r="N22" i="1"/>
  <c r="O22" i="1"/>
  <c r="N8" i="1"/>
  <c r="O8" i="1"/>
  <c r="N9" i="1"/>
  <c r="O9" i="1"/>
  <c r="N12" i="1"/>
  <c r="O12" i="1"/>
  <c r="N35" i="1"/>
  <c r="O35" i="1"/>
  <c r="N2" i="1"/>
  <c r="O2" i="1"/>
  <c r="N36" i="1"/>
  <c r="O36" i="1"/>
  <c r="N11" i="1"/>
  <c r="O11" i="1"/>
  <c r="N37" i="1"/>
  <c r="O37" i="1"/>
  <c r="N31" i="1"/>
  <c r="O31" i="1"/>
  <c r="N10" i="1"/>
  <c r="O10" i="1"/>
  <c r="N16" i="1"/>
  <c r="O16" i="1"/>
  <c r="N38" i="1"/>
  <c r="O38" i="1"/>
  <c r="N4" i="1"/>
  <c r="O4" i="1"/>
  <c r="BK37" i="1"/>
  <c r="BL37" i="1"/>
  <c r="BL27" i="1"/>
  <c r="BK27" i="1"/>
  <c r="BL26" i="1"/>
  <c r="BK26" i="1"/>
  <c r="BL6" i="1"/>
  <c r="BK6" i="1"/>
  <c r="BL20" i="1"/>
  <c r="BK20" i="1"/>
  <c r="BL28" i="1"/>
  <c r="BK28" i="1"/>
  <c r="BL34" i="1"/>
  <c r="BL13" i="1"/>
  <c r="BK13" i="1"/>
  <c r="BL30" i="1"/>
  <c r="BK30" i="1"/>
  <c r="BL29" i="1"/>
  <c r="BK29" i="1"/>
  <c r="BL17" i="1"/>
  <c r="BK17" i="1"/>
  <c r="BL33" i="1"/>
  <c r="BK33" i="1"/>
  <c r="BL21" i="1"/>
  <c r="BK21" i="1"/>
  <c r="BL23" i="1"/>
  <c r="BK23" i="1"/>
  <c r="BL32" i="1"/>
  <c r="BK32" i="1"/>
  <c r="BL4" i="1"/>
  <c r="BK4" i="1"/>
  <c r="BL38" i="1"/>
  <c r="BK38" i="1"/>
  <c r="BL16" i="1"/>
  <c r="BK16" i="1"/>
  <c r="BL10" i="1"/>
  <c r="BK10" i="1"/>
  <c r="BL31" i="1"/>
  <c r="BK31" i="1"/>
  <c r="BL11" i="1"/>
  <c r="BK11" i="1"/>
  <c r="BL36" i="1"/>
  <c r="BK36" i="1"/>
  <c r="BL2" i="1"/>
  <c r="BK2" i="1"/>
  <c r="BL35" i="1"/>
  <c r="BK35" i="1"/>
  <c r="BL12" i="1"/>
  <c r="BK12" i="1"/>
  <c r="BL9" i="1"/>
  <c r="BK9" i="1"/>
  <c r="BL8" i="1"/>
  <c r="BK8" i="1"/>
  <c r="BL22" i="1"/>
  <c r="BK22" i="1"/>
  <c r="BW37" i="1" l="1"/>
  <c r="BX37" i="1" s="1"/>
  <c r="BW36" i="1"/>
  <c r="BW35" i="1"/>
  <c r="BW9" i="1"/>
  <c r="BW22" i="1"/>
  <c r="BX22" i="1" s="1"/>
  <c r="BU37" i="1"/>
  <c r="BV37" i="1" s="1"/>
  <c r="BU36" i="1"/>
  <c r="BU35" i="1"/>
  <c r="BU9" i="1"/>
  <c r="BU22" i="1"/>
  <c r="BV22" i="1" s="1"/>
  <c r="BW11" i="1"/>
  <c r="BW2" i="1"/>
  <c r="BW12" i="1"/>
  <c r="BW8" i="1"/>
  <c r="BU11" i="1"/>
  <c r="BU2" i="1"/>
  <c r="BU12" i="1"/>
  <c r="BU8" i="1"/>
  <c r="W35" i="1"/>
  <c r="AR37" i="1"/>
  <c r="AR22" i="1"/>
  <c r="AY37" i="1"/>
  <c r="AY35" i="1"/>
  <c r="P36" i="1"/>
  <c r="BF35" i="1"/>
  <c r="BM7" i="1"/>
  <c r="BM37" i="1"/>
  <c r="P38" i="1"/>
  <c r="P37" i="1"/>
  <c r="W16" i="1"/>
  <c r="W31" i="1"/>
  <c r="W11" i="1"/>
  <c r="W2" i="1"/>
  <c r="W22" i="1"/>
  <c r="AK16" i="1"/>
  <c r="AK11" i="1"/>
  <c r="AK2" i="1"/>
  <c r="W38" i="1"/>
  <c r="W10" i="1"/>
  <c r="W36" i="1"/>
  <c r="BF12" i="1"/>
  <c r="AD9" i="1"/>
  <c r="AD22" i="1"/>
  <c r="AR31" i="1"/>
  <c r="AR35" i="1"/>
  <c r="AY12" i="1"/>
  <c r="BF16" i="1"/>
  <c r="P11" i="1"/>
  <c r="P12" i="1"/>
  <c r="AD11" i="1"/>
  <c r="AD12" i="1"/>
  <c r="AD8" i="1"/>
  <c r="AK12" i="1"/>
  <c r="AR10" i="1"/>
  <c r="BM22" i="1"/>
  <c r="BM9" i="1"/>
  <c r="BM35" i="1"/>
  <c r="BM36" i="1"/>
  <c r="BM31" i="1"/>
  <c r="BM16" i="1"/>
  <c r="BM4" i="1"/>
  <c r="BM23" i="1"/>
  <c r="BM33" i="1"/>
  <c r="BM17" i="1"/>
  <c r="BM30" i="1"/>
  <c r="BM34" i="1"/>
  <c r="BM20" i="1"/>
  <c r="BM26" i="1"/>
  <c r="BM27" i="1"/>
  <c r="P35" i="1"/>
  <c r="P22" i="1"/>
  <c r="W37" i="1"/>
  <c r="W9" i="1"/>
  <c r="AD16" i="1"/>
  <c r="AK35" i="1"/>
  <c r="AR38" i="1"/>
  <c r="AR36" i="1"/>
  <c r="AR9" i="1"/>
  <c r="AY22" i="1"/>
  <c r="BF38" i="1"/>
  <c r="BF36" i="1"/>
  <c r="BM8" i="1"/>
  <c r="BM12" i="1"/>
  <c r="BM2" i="1"/>
  <c r="BM11" i="1"/>
  <c r="BM38" i="1"/>
  <c r="BM21" i="1"/>
  <c r="BM29" i="1"/>
  <c r="BM28" i="1"/>
  <c r="P16" i="1"/>
  <c r="W12" i="1"/>
  <c r="W8" i="1"/>
  <c r="AD10" i="1"/>
  <c r="AD37" i="1"/>
  <c r="AK23" i="1"/>
  <c r="AR11" i="1"/>
  <c r="AR2" i="1"/>
  <c r="AR8" i="1"/>
  <c r="AY11" i="1"/>
  <c r="AY2" i="1"/>
  <c r="BF4" i="1"/>
  <c r="BF11" i="1"/>
  <c r="BF2" i="1"/>
  <c r="P4" i="1"/>
  <c r="P10" i="1"/>
  <c r="P2" i="1"/>
  <c r="P9" i="1"/>
  <c r="AD38" i="1"/>
  <c r="AD31" i="1"/>
  <c r="AD2" i="1"/>
  <c r="AK32" i="1"/>
  <c r="AK38" i="1"/>
  <c r="AK31" i="1"/>
  <c r="AK36" i="1"/>
  <c r="AK8" i="1"/>
  <c r="AR16" i="1"/>
  <c r="AR12" i="1"/>
  <c r="AY36" i="1"/>
  <c r="AY8" i="1"/>
  <c r="BF10" i="1"/>
  <c r="BF37" i="1"/>
  <c r="BF8" i="1"/>
  <c r="BM10" i="1"/>
  <c r="BM32" i="1"/>
  <c r="BM13" i="1"/>
  <c r="BM6" i="1"/>
  <c r="P31" i="1"/>
  <c r="P8" i="1"/>
  <c r="AD36" i="1"/>
  <c r="AD35" i="1"/>
  <c r="AK4" i="1"/>
  <c r="AK10" i="1"/>
  <c r="AK37" i="1"/>
  <c r="AK9" i="1"/>
  <c r="AK22" i="1"/>
  <c r="AY9" i="1"/>
  <c r="BF31" i="1"/>
  <c r="BF9" i="1"/>
  <c r="BF22" i="1"/>
  <c r="CC37" i="1"/>
  <c r="CC22" i="1"/>
  <c r="BY36" i="1" l="1"/>
  <c r="BY22" i="1"/>
  <c r="BY8" i="1"/>
  <c r="BY9" i="1"/>
  <c r="BY12" i="1"/>
  <c r="BZ22" i="1"/>
  <c r="BY2" i="1"/>
  <c r="BZ37" i="1"/>
  <c r="BY37" i="1"/>
  <c r="BY11" i="1"/>
  <c r="BY35" i="1"/>
  <c r="CC8" i="1" l="1"/>
  <c r="CC27" i="1"/>
  <c r="CC17" i="1"/>
  <c r="CC11" i="1"/>
  <c r="CC29" i="1"/>
  <c r="CC33" i="1"/>
  <c r="CC31" i="1"/>
  <c r="CC6" i="1"/>
  <c r="CC10" i="1"/>
  <c r="CC13" i="1"/>
  <c r="CC2" i="1"/>
  <c r="CC20" i="1"/>
  <c r="CC35" i="1"/>
  <c r="CC21" i="1"/>
  <c r="CC23" i="1"/>
  <c r="CC12" i="1"/>
  <c r="CC32" i="1"/>
  <c r="CC30" i="1"/>
  <c r="CC36" i="1"/>
  <c r="CC7" i="1"/>
  <c r="CC28" i="1"/>
  <c r="CC9" i="1"/>
  <c r="CC38" i="1"/>
  <c r="CC16" i="1"/>
  <c r="CC34" i="1"/>
  <c r="CC26" i="1"/>
  <c r="CC4" i="1"/>
  <c r="BE27" i="1"/>
  <c r="BD27" i="1"/>
  <c r="BE26" i="1"/>
  <c r="BD26" i="1"/>
  <c r="BE6" i="1"/>
  <c r="BD6" i="1"/>
  <c r="BE20" i="1"/>
  <c r="BD20" i="1"/>
  <c r="BE28" i="1"/>
  <c r="BD28" i="1"/>
  <c r="BE34" i="1"/>
  <c r="BD34" i="1"/>
  <c r="BE13" i="1"/>
  <c r="BD13" i="1"/>
  <c r="BE30" i="1"/>
  <c r="BD30" i="1"/>
  <c r="BE29" i="1"/>
  <c r="BD29" i="1"/>
  <c r="BE17" i="1"/>
  <c r="BD17" i="1"/>
  <c r="BE33" i="1"/>
  <c r="BD33" i="1"/>
  <c r="BE21" i="1"/>
  <c r="BD21" i="1"/>
  <c r="BE23" i="1"/>
  <c r="BD23" i="1"/>
  <c r="BE32" i="1"/>
  <c r="BD32" i="1"/>
  <c r="BD7" i="1"/>
  <c r="AW10" i="1"/>
  <c r="BU10" i="1" s="1"/>
  <c r="AX10" i="1"/>
  <c r="BW10" i="1" s="1"/>
  <c r="AW6" i="1"/>
  <c r="AX6" i="1"/>
  <c r="AP6" i="1"/>
  <c r="AQ6" i="1"/>
  <c r="AI6" i="1"/>
  <c r="AJ6" i="1"/>
  <c r="U6" i="1"/>
  <c r="V6" i="1"/>
  <c r="AB6" i="1"/>
  <c r="AC6" i="1"/>
  <c r="N6" i="1"/>
  <c r="O6" i="1"/>
  <c r="N27" i="1"/>
  <c r="O27" i="1"/>
  <c r="BW6" i="1" l="1"/>
  <c r="BX6" i="1" s="1"/>
  <c r="BU6" i="1"/>
  <c r="BY10" i="1"/>
  <c r="BV10" i="1"/>
  <c r="BX8" i="1"/>
  <c r="BV8" i="1"/>
  <c r="BX10" i="1"/>
  <c r="BF7" i="1"/>
  <c r="BF32" i="1"/>
  <c r="BF23" i="1"/>
  <c r="BF33" i="1"/>
  <c r="BF17" i="1"/>
  <c r="BF30" i="1"/>
  <c r="BF34" i="1"/>
  <c r="BF28" i="1"/>
  <c r="BF6" i="1"/>
  <c r="BF27" i="1"/>
  <c r="BF21" i="1"/>
  <c r="BF29" i="1"/>
  <c r="BF13" i="1"/>
  <c r="BF20" i="1"/>
  <c r="BF26" i="1"/>
  <c r="P27" i="1"/>
  <c r="AD6" i="1"/>
  <c r="W6" i="1"/>
  <c r="AK6" i="1"/>
  <c r="AY6" i="1"/>
  <c r="P6" i="1"/>
  <c r="AR6" i="1"/>
  <c r="AY10" i="1"/>
  <c r="BY6" i="1" l="1"/>
  <c r="BV6" i="1"/>
  <c r="BZ6" i="1" s="1"/>
  <c r="BZ10" i="1"/>
  <c r="BZ8" i="1"/>
  <c r="AX31" i="1" l="1"/>
  <c r="BW31" i="1" s="1"/>
  <c r="AW31" i="1"/>
  <c r="BU31" i="1" s="1"/>
  <c r="AX13" i="1"/>
  <c r="AW13" i="1"/>
  <c r="AX23" i="1"/>
  <c r="AW23" i="1"/>
  <c r="AX21" i="1"/>
  <c r="AW21" i="1"/>
  <c r="AX34" i="1"/>
  <c r="AW34" i="1"/>
  <c r="AX32" i="1"/>
  <c r="AW32" i="1"/>
  <c r="AX28" i="1"/>
  <c r="AW28" i="1"/>
  <c r="AX27" i="1"/>
  <c r="AW27" i="1"/>
  <c r="AX38" i="1"/>
  <c r="BW38" i="1" s="1"/>
  <c r="AW38" i="1"/>
  <c r="BU38" i="1" s="1"/>
  <c r="AX30" i="1"/>
  <c r="AW30" i="1"/>
  <c r="AX4" i="1"/>
  <c r="AW4" i="1"/>
  <c r="AX26" i="1"/>
  <c r="AW26" i="1"/>
  <c r="AX16" i="1"/>
  <c r="BW16" i="1" s="1"/>
  <c r="AW16" i="1"/>
  <c r="BU16" i="1" s="1"/>
  <c r="AX29" i="1"/>
  <c r="AW29" i="1"/>
  <c r="AX7" i="1"/>
  <c r="AW7" i="1"/>
  <c r="AX33" i="1"/>
  <c r="AW33" i="1"/>
  <c r="AX20" i="1"/>
  <c r="AW20" i="1"/>
  <c r="AX17" i="1"/>
  <c r="AW17" i="1"/>
  <c r="BY16" i="1" l="1"/>
  <c r="BY38" i="1"/>
  <c r="BY31" i="1"/>
  <c r="AY20" i="1"/>
  <c r="AY33" i="1"/>
  <c r="AY7" i="1"/>
  <c r="AY29" i="1"/>
  <c r="AY26" i="1"/>
  <c r="AY4" i="1"/>
  <c r="AY30" i="1"/>
  <c r="AY28" i="1"/>
  <c r="AY32" i="1"/>
  <c r="AY34" i="1"/>
  <c r="AY23" i="1"/>
  <c r="AY13" i="1"/>
  <c r="AY17" i="1"/>
  <c r="AY16" i="1"/>
  <c r="AY38" i="1"/>
  <c r="AY27" i="1"/>
  <c r="AY21" i="1"/>
  <c r="AY31" i="1"/>
  <c r="G1" i="12"/>
  <c r="H1" i="12" s="1"/>
  <c r="G26" i="12"/>
  <c r="H26" i="12" s="1"/>
  <c r="B13" i="12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P13" i="1" l="1"/>
  <c r="AQ13" i="1"/>
  <c r="AI13" i="1"/>
  <c r="AJ13" i="1"/>
  <c r="AB13" i="1"/>
  <c r="AC13" i="1"/>
  <c r="U13" i="1"/>
  <c r="V13" i="1"/>
  <c r="N13" i="1"/>
  <c r="O13" i="1"/>
  <c r="BU13" i="1" l="1"/>
  <c r="BV13" i="1" s="1"/>
  <c r="BW13" i="1"/>
  <c r="BX13" i="1" s="1"/>
  <c r="W13" i="1"/>
  <c r="AK13" i="1"/>
  <c r="P13" i="1"/>
  <c r="AD13" i="1"/>
  <c r="AR13" i="1"/>
  <c r="C32" i="10"/>
  <c r="E32" i="10" s="1"/>
  <c r="F32" i="10" s="1"/>
  <c r="G32" i="10" s="1"/>
  <c r="H32" i="10" s="1"/>
  <c r="I32" i="10" s="1"/>
  <c r="H26" i="10"/>
  <c r="I26" i="10" s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BY13" i="1" l="1"/>
  <c r="BZ13" i="1"/>
  <c r="C20" i="10"/>
  <c r="C26" i="10" s="1"/>
  <c r="D26" i="10" s="1"/>
  <c r="E26" i="10" s="1"/>
  <c r="F26" i="10" s="1"/>
  <c r="G26" i="10" s="1"/>
  <c r="D20" i="10" l="1"/>
  <c r="E20" i="10" s="1"/>
  <c r="F20" i="10" s="1"/>
  <c r="G20" i="10" s="1"/>
  <c r="H20" i="10" s="1"/>
  <c r="I20" i="10" s="1"/>
  <c r="AP7" i="1"/>
  <c r="AQ7" i="1"/>
  <c r="AP32" i="1"/>
  <c r="AQ32" i="1"/>
  <c r="AP4" i="1"/>
  <c r="AQ4" i="1"/>
  <c r="AP29" i="1"/>
  <c r="AQ29" i="1"/>
  <c r="AP33" i="1"/>
  <c r="AQ33" i="1"/>
  <c r="AP17" i="1"/>
  <c r="AQ17" i="1"/>
  <c r="AP30" i="1"/>
  <c r="AQ30" i="1"/>
  <c r="AP21" i="1"/>
  <c r="AQ21" i="1"/>
  <c r="AP23" i="1"/>
  <c r="AQ23" i="1"/>
  <c r="AP28" i="1"/>
  <c r="AQ28" i="1"/>
  <c r="AP34" i="1"/>
  <c r="AQ34" i="1"/>
  <c r="AP26" i="1"/>
  <c r="AQ26" i="1"/>
  <c r="AP20" i="1"/>
  <c r="AQ20" i="1"/>
  <c r="AP27" i="1"/>
  <c r="AQ27" i="1"/>
  <c r="BX31" i="1" l="1"/>
  <c r="BV31" i="1"/>
  <c r="AR34" i="1"/>
  <c r="AR17" i="1"/>
  <c r="AR26" i="1"/>
  <c r="AR21" i="1"/>
  <c r="AR33" i="1"/>
  <c r="AR4" i="1"/>
  <c r="AR27" i="1"/>
  <c r="AR20" i="1"/>
  <c r="AR28" i="1"/>
  <c r="AR23" i="1"/>
  <c r="AR30" i="1"/>
  <c r="AR29" i="1"/>
  <c r="AR32" i="1"/>
  <c r="AR7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BZ31" i="1" l="1"/>
  <c r="C13" i="8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32" i="1"/>
  <c r="O32" i="1"/>
  <c r="N23" i="1"/>
  <c r="O23" i="1"/>
  <c r="N21" i="1"/>
  <c r="O21" i="1"/>
  <c r="N33" i="1"/>
  <c r="O33" i="1"/>
  <c r="N17" i="1"/>
  <c r="O17" i="1"/>
  <c r="N29" i="1"/>
  <c r="O29" i="1"/>
  <c r="N30" i="1"/>
  <c r="O30" i="1"/>
  <c r="N34" i="1"/>
  <c r="O34" i="1"/>
  <c r="N28" i="1"/>
  <c r="O28" i="1"/>
  <c r="N20" i="1"/>
  <c r="O20" i="1"/>
  <c r="N26" i="1"/>
  <c r="O26" i="1"/>
  <c r="U4" i="1"/>
  <c r="V4" i="1"/>
  <c r="U32" i="1"/>
  <c r="V32" i="1"/>
  <c r="U23" i="1"/>
  <c r="V23" i="1"/>
  <c r="U21" i="1"/>
  <c r="V21" i="1"/>
  <c r="U33" i="1"/>
  <c r="V33" i="1"/>
  <c r="U17" i="1"/>
  <c r="V17" i="1"/>
  <c r="U29" i="1"/>
  <c r="V29" i="1"/>
  <c r="U30" i="1"/>
  <c r="V30" i="1"/>
  <c r="U34" i="1"/>
  <c r="V34" i="1"/>
  <c r="U28" i="1"/>
  <c r="V28" i="1"/>
  <c r="U20" i="1"/>
  <c r="V20" i="1"/>
  <c r="U26" i="1"/>
  <c r="V26" i="1"/>
  <c r="U27" i="1"/>
  <c r="V27" i="1"/>
  <c r="AB4" i="1"/>
  <c r="BU4" i="1" s="1"/>
  <c r="AC4" i="1"/>
  <c r="AB32" i="1"/>
  <c r="AC32" i="1"/>
  <c r="AB23" i="1"/>
  <c r="BU23" i="1" s="1"/>
  <c r="AC23" i="1"/>
  <c r="AB21" i="1"/>
  <c r="AC21" i="1"/>
  <c r="AB33" i="1"/>
  <c r="AC33" i="1"/>
  <c r="AB17" i="1"/>
  <c r="AC17" i="1"/>
  <c r="AB29" i="1"/>
  <c r="AC29" i="1"/>
  <c r="AB30" i="1"/>
  <c r="AC30" i="1"/>
  <c r="AB34" i="1"/>
  <c r="AC34" i="1"/>
  <c r="AB28" i="1"/>
  <c r="AC28" i="1"/>
  <c r="AB20" i="1"/>
  <c r="AC20" i="1"/>
  <c r="AB26" i="1"/>
  <c r="AC26" i="1"/>
  <c r="AB27" i="1"/>
  <c r="AC27" i="1"/>
  <c r="AI21" i="1"/>
  <c r="AJ21" i="1"/>
  <c r="AI33" i="1"/>
  <c r="AJ33" i="1"/>
  <c r="AI17" i="1"/>
  <c r="AJ17" i="1"/>
  <c r="AI29" i="1"/>
  <c r="BU29" i="1" s="1"/>
  <c r="AJ29" i="1"/>
  <c r="AI30" i="1"/>
  <c r="AJ30" i="1"/>
  <c r="AI34" i="1"/>
  <c r="BU34" i="1" s="1"/>
  <c r="AJ34" i="1"/>
  <c r="AI28" i="1"/>
  <c r="AJ28" i="1"/>
  <c r="AI20" i="1"/>
  <c r="BU20" i="1" s="1"/>
  <c r="AJ20" i="1"/>
  <c r="AI26" i="1"/>
  <c r="AJ26" i="1"/>
  <c r="AI27" i="1"/>
  <c r="BU27" i="1" s="1"/>
  <c r="AJ27" i="1"/>
  <c r="BU33" i="1" l="1"/>
  <c r="BW28" i="1"/>
  <c r="BW30" i="1"/>
  <c r="BX30" i="1" s="1"/>
  <c r="BW21" i="1"/>
  <c r="BX21" i="1" s="1"/>
  <c r="BW32" i="1"/>
  <c r="BX32" i="1" s="1"/>
  <c r="BW27" i="1"/>
  <c r="BY27" i="1" s="1"/>
  <c r="BW20" i="1"/>
  <c r="BW34" i="1"/>
  <c r="BX34" i="1" s="1"/>
  <c r="BW29" i="1"/>
  <c r="BX29" i="1" s="1"/>
  <c r="BW26" i="1"/>
  <c r="BX26" i="1" s="1"/>
  <c r="BW17" i="1"/>
  <c r="BX17" i="1" s="1"/>
  <c r="BW33" i="1"/>
  <c r="BX33" i="1" s="1"/>
  <c r="BW23" i="1"/>
  <c r="BX23" i="1" s="1"/>
  <c r="BW4" i="1"/>
  <c r="BX4" i="1" s="1"/>
  <c r="BU26" i="1"/>
  <c r="BV26" i="1" s="1"/>
  <c r="BU28" i="1"/>
  <c r="BV28" i="1" s="1"/>
  <c r="BU30" i="1"/>
  <c r="BV30" i="1" s="1"/>
  <c r="BU17" i="1"/>
  <c r="BV17" i="1" s="1"/>
  <c r="BU21" i="1"/>
  <c r="BV21" i="1" s="1"/>
  <c r="BU32" i="1"/>
  <c r="BV27" i="1"/>
  <c r="P26" i="1"/>
  <c r="BX20" i="1"/>
  <c r="BX28" i="1"/>
  <c r="BV29" i="1"/>
  <c r="BX38" i="1"/>
  <c r="BX16" i="1"/>
  <c r="BX11" i="1"/>
  <c r="BX35" i="1"/>
  <c r="BX12" i="1"/>
  <c r="BV23" i="1"/>
  <c r="BV38" i="1"/>
  <c r="BV16" i="1"/>
  <c r="BV11" i="1"/>
  <c r="BV35" i="1"/>
  <c r="BV12" i="1"/>
  <c r="BV4" i="1"/>
  <c r="BV36" i="1"/>
  <c r="BV2" i="1"/>
  <c r="BV9" i="1"/>
  <c r="BX36" i="1"/>
  <c r="BX2" i="1"/>
  <c r="BX9" i="1"/>
  <c r="P21" i="1"/>
  <c r="W28" i="1"/>
  <c r="AD29" i="1"/>
  <c r="AD21" i="1"/>
  <c r="P28" i="1"/>
  <c r="AK33" i="1"/>
  <c r="AK26" i="1"/>
  <c r="AK20" i="1"/>
  <c r="P34" i="1"/>
  <c r="W26" i="1"/>
  <c r="AD34" i="1"/>
  <c r="AK17" i="1"/>
  <c r="W17" i="1"/>
  <c r="P23" i="1"/>
  <c r="AK27" i="1"/>
  <c r="AD4" i="1"/>
  <c r="AK28" i="1"/>
  <c r="AD28" i="1"/>
  <c r="W20" i="1"/>
  <c r="AD32" i="1"/>
  <c r="W34" i="1"/>
  <c r="W23" i="1"/>
  <c r="AK30" i="1"/>
  <c r="AD23" i="1"/>
  <c r="W30" i="1"/>
  <c r="W29" i="1"/>
  <c r="W32" i="1"/>
  <c r="P17" i="1"/>
  <c r="P33" i="1"/>
  <c r="AK34" i="1"/>
  <c r="AD20" i="1"/>
  <c r="W21" i="1"/>
  <c r="P32" i="1"/>
  <c r="W4" i="1"/>
  <c r="AK29" i="1"/>
  <c r="AK21" i="1"/>
  <c r="AD27" i="1"/>
  <c r="AD26" i="1"/>
  <c r="AD30" i="1"/>
  <c r="AD33" i="1"/>
  <c r="W27" i="1"/>
  <c r="W33" i="1"/>
  <c r="P20" i="1"/>
  <c r="P30" i="1"/>
  <c r="P29" i="1"/>
  <c r="AD17" i="1"/>
  <c r="BX27" i="1" l="1"/>
  <c r="BZ27" i="1" s="1"/>
  <c r="BY23" i="1"/>
  <c r="BY26" i="1"/>
  <c r="BY34" i="1"/>
  <c r="BY30" i="1"/>
  <c r="BY33" i="1"/>
  <c r="BY28" i="1"/>
  <c r="BV33" i="1"/>
  <c r="BZ33" i="1" s="1"/>
  <c r="BY4" i="1"/>
  <c r="BY17" i="1"/>
  <c r="BY32" i="1"/>
  <c r="BY20" i="1"/>
  <c r="BY21" i="1"/>
  <c r="BV34" i="1"/>
  <c r="BZ34" i="1" s="1"/>
  <c r="BV32" i="1"/>
  <c r="BZ32" i="1" s="1"/>
  <c r="BV20" i="1"/>
  <c r="BZ20" i="1" s="1"/>
  <c r="BY29" i="1"/>
  <c r="BZ23" i="1"/>
  <c r="BZ26" i="1"/>
  <c r="BZ11" i="1"/>
  <c r="BZ35" i="1"/>
  <c r="BZ38" i="1"/>
  <c r="BZ17" i="1"/>
  <c r="BZ30" i="1"/>
  <c r="BZ12" i="1"/>
  <c r="BZ16" i="1"/>
  <c r="BZ2" i="1"/>
  <c r="BZ4" i="1"/>
  <c r="BZ29" i="1"/>
  <c r="BZ21" i="1"/>
  <c r="BZ9" i="1"/>
  <c r="BZ36" i="1"/>
  <c r="BZ28" i="1"/>
  <c r="C7" i="3"/>
  <c r="C3" i="3"/>
  <c r="H5" i="3" l="1"/>
  <c r="H4" i="3"/>
  <c r="H3" i="3"/>
  <c r="C26" i="1"/>
  <c r="C27" i="1"/>
  <c r="H6" i="3" l="1"/>
  <c r="AJ7" i="1"/>
  <c r="AI7" i="1"/>
  <c r="AK7" i="1" l="1"/>
  <c r="C8" i="3"/>
  <c r="C9" i="3" s="1"/>
  <c r="C2" i="3"/>
  <c r="C4" i="3" s="1"/>
  <c r="AC7" i="1" l="1"/>
  <c r="AB7" i="1"/>
  <c r="V7" i="1"/>
  <c r="U7" i="1"/>
  <c r="N7" i="1"/>
  <c r="BU7" i="1" l="1"/>
  <c r="BV7" i="1" s="1"/>
  <c r="BW7" i="1"/>
  <c r="P7" i="1"/>
  <c r="W7" i="1"/>
  <c r="AD7" i="1"/>
  <c r="BY7" i="1" l="1"/>
  <c r="BX7" i="1"/>
  <c r="BZ7" i="1" s="1"/>
</calcChain>
</file>

<file path=xl/sharedStrings.xml><?xml version="1.0" encoding="utf-8"?>
<sst xmlns="http://schemas.openxmlformats.org/spreadsheetml/2006/main" count="919" uniqueCount="215">
  <si>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</si>
  <si>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</si>
  <si>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</si>
  <si>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</si>
  <si>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</si>
  <si>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</si>
  <si>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</si>
  <si>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</si>
  <si>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</si>
  <si>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שחר</t>
  </si>
  <si>
    <t>טאי</t>
  </si>
  <si>
    <t>מירב</t>
  </si>
  <si>
    <t>שגית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</si>
  <si>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</si>
  <si>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</si>
  <si>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</si>
  <si>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</si>
  <si>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</si>
  <si>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</si>
  <si>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</si>
  <si>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</si>
  <si>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</si>
  <si>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</si>
  <si>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</si>
  <si>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</si>
  <si>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</si>
  <si>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</si>
  <si>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</si>
  <si>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</si>
  <si>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</si>
  <si>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</si>
  <si>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</si>
  <si>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</si>
  <si>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</si>
  <si>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</si>
  <si>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</si>
  <si>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</si>
  <si>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</si>
  <si>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</si>
  <si>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</si>
  <si>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</si>
  <si>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</si>
  <si>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</si>
  <si>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</si>
  <si>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</si>
  <si>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</si>
  <si>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</si>
  <si>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</si>
  <si>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</si>
  <si>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</si>
  <si>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</si>
  <si>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</si>
  <si>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</si>
  <si>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</si>
  <si>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</si>
  <si>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</si>
  <si>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תש 4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</si>
  <si>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</si>
  <si>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</si>
  <si>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</si>
  <si>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</si>
  <si>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</si>
  <si>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</si>
  <si>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סופיה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</si>
  <si>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</si>
  <si>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</si>
  <si>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</si>
  <si>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</si>
  <si>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</si>
  <si>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</si>
  <si>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</si>
  <si>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</si>
  <si>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</si>
  <si>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</si>
  <si>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</si>
  <si>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</si>
  <si>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</si>
  <si>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</si>
  <si>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</si>
  <si>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</si>
  <si>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</si>
  <si>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</si>
  <si>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</si>
  <si>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</si>
  <si>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</si>
  <si>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</si>
  <si>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</si>
  <si>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</si>
  <si>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</si>
  <si>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</si>
  <si>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</si>
  <si>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</si>
  <si>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</si>
  <si>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</si>
  <si>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</si>
  <si>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</si>
  <si>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</si>
  <si>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</si>
  <si>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</si>
  <si>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</si>
  <si>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</si>
  <si>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</si>
  <si>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</si>
  <si>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</si>
  <si>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</si>
  <si>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</si>
  <si>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</si>
  <si>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</si>
  <si>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</si>
  <si>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</si>
  <si>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</si>
  <si>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</si>
  <si>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</si>
  <si>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</si>
  <si>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</si>
  <si>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</si>
  <si>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</si>
  <si>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</si>
  <si>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</si>
  <si>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</si>
  <si>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</si>
  <si>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</si>
  <si>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</si>
  <si>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</si>
  <si>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</si>
  <si>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</si>
  <si>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</si>
  <si>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</si>
  <si>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</si>
  <si>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</si>
  <si>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</si>
  <si>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</si>
  <si>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</si>
  <si>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</si>
  <si>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</si>
  <si>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</si>
  <si>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</si>
  <si>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</si>
  <si>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</si>
  <si>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</si>
  <si>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</si>
  <si>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</si>
  <si>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</si>
  <si>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</si>
  <si>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</si>
  <si>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</si>
  <si>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</si>
  <si>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</si>
  <si>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</si>
  <si>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</si>
  <si>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</si>
  <si>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</si>
  <si>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</si>
  <si>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</si>
  <si>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</si>
  <si>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</si>
  <si>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</si>
  <si>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</si>
  <si>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</si>
  <si>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</si>
  <si>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</si>
  <si>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</si>
  <si>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</si>
  <si>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</si>
  <si>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</si>
  <si>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</si>
  <si>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</si>
  <si>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</si>
  <si>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קקצ יוני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</si>
  <si>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</si>
  <si>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</si>
  <si>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</si>
  <si>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</si>
  <si>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</si>
  <si>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</si>
  <si>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</si>
  <si>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</si>
  <si>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</si>
  <si>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אור</t>
  </si>
  <si>
    <t>נועה</t>
  </si>
  <si>
    <t>עמית</t>
  </si>
  <si>
    <t>להפחית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</si>
  <si>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</si>
  <si>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</si>
  <si>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</si>
  <si>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</si>
  <si>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</si>
  <si>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</si>
  <si>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</si>
  <si>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</si>
  <si>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</si>
  <si>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</si>
  <si>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תש 5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</si>
  <si>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</si>
  <si>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</si>
  <si>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</si>
  <si>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</si>
  <si>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</si>
  <si>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</si>
  <si>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</si>
  <si>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</si>
  <si>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</si>
  <si>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</si>
  <si>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</si>
  <si>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</si>
  <si>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כמות אמיתית שמירה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</si>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</sst>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5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0" borderId="5" xfId="0" applyFont="1" applyBorder="1"/>
    <xf numFmtId="0" fontId="8" fillId="0" borderId="1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9" fillId="0" borderId="26" xfId="0" applyFont="1" applyBorder="1"/>
    <xf numFmtId="0" fontId="8" fillId="0" borderId="25" xfId="0" applyFont="1" applyBorder="1"/>
    <xf numFmtId="0" fontId="8" fillId="0" borderId="21" xfId="0" applyFont="1" applyBorder="1"/>
    <xf numFmtId="0" fontId="0" fillId="0" borderId="0" xfId="0" applyFont="1"/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0" fontId="8" fillId="2" borderId="10" xfId="0" applyNumberFormat="1" applyFont="1" applyFill="1" applyBorder="1" applyAlignment="1">
      <alignment horizontal="center"/>
    </xf>
    <xf numFmtId="0" fontId="0" fillId="0" borderId="4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27" xfId="0" applyFont="1" applyFill="1" applyBorder="1"/>
    <xf numFmtId="0" fontId="0" fillId="0" borderId="1" xfId="0" applyFont="1" applyFill="1" applyBorder="1"/>
    <xf numFmtId="0" fontId="2" fillId="0" borderId="2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0" borderId="6" xfId="0" applyFont="1" applyBorder="1"/>
    <xf numFmtId="0" fontId="8" fillId="0" borderId="7" xfId="0" applyFont="1" applyBorder="1"/>
    <xf numFmtId="0" fontId="8" fillId="4" borderId="7" xfId="0" applyFont="1" applyFill="1" applyBorder="1"/>
    <xf numFmtId="0" fontId="8" fillId="3" borderId="22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/>
    </xf>
    <xf numFmtId="10" fontId="8" fillId="2" borderId="22" xfId="0" applyNumberFormat="1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8" fillId="4" borderId="15" xfId="0" applyFont="1" applyFill="1" applyBorder="1"/>
    <xf numFmtId="0" fontId="8" fillId="3" borderId="3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 vertical="center" wrapText="1"/>
    </xf>
    <xf numFmtId="0" fontId="8" fillId="2" borderId="34" xfId="0" applyFont="1" applyFill="1" applyBorder="1" applyAlignment="1">
      <alignment horizontal="center"/>
    </xf>
    <xf numFmtId="0" fontId="8" fillId="2" borderId="23" xfId="0" applyFont="1" applyFill="1" applyBorder="1" applyAlignment="1">
      <alignment horizont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9" fillId="0" borderId="8" xfId="0" applyFont="1" applyBorder="1"/>
    <xf numFmtId="0" fontId="2" fillId="0" borderId="16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6" xfId="0" applyFont="1" applyBorder="1"/>
    <xf numFmtId="164" fontId="8" fillId="0" borderId="8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</cellXfs>
  <cellStyles count="1">
    <cellStyle name="Normal" xfId="0" builtinId="0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C73"/>
  <sheetViews>
    <sheetView rightToLeft="1" zoomScale="85" zoomScaleNormal="85" zoomScaleSheetLayoutView="100" workbookViewId="0">
      <pane ySplit="1" topLeftCell="A2" activePane="bottomLeft" state="frozen"/>
      <selection pane="bottomLeft" activeCell="E28" sqref="A14:E28"/>
    </sheetView>
  </sheetViews>
  <sheetFormatPr defaultRowHeight="15" x14ac:dyDescent="0.25"/>
  <cols>
    <col min="1" max="1" width="7.140625" style="60" customWidth="1"/>
    <col min="2" max="2" width="8" style="44" bestFit="1" customWidth="1"/>
    <col min="3" max="3" width="12.140625" style="44" customWidth="1"/>
    <col min="4" max="4" width="8" style="44" customWidth="1"/>
    <col min="5" max="5" width="12.5703125" style="44" bestFit="1" customWidth="1"/>
    <col min="6" max="6" width="15.85546875" style="44" bestFit="1" customWidth="1"/>
    <col min="7" max="7" width="13.28515625" style="44" hidden="1" customWidth="1"/>
    <col min="8" max="8" width="12.42578125" style="44" customWidth="1"/>
    <col min="9" max="9" width="11.28515625" style="61" hidden="1" customWidth="1"/>
    <col min="10" max="10" width="13.140625" style="61" hidden="1" customWidth="1"/>
    <col min="11" max="11" width="13.42578125" style="61" hidden="1" customWidth="1"/>
    <col min="12" max="13" width="13.85546875" style="61" hidden="1" customWidth="1"/>
    <col min="14" max="14" width="16.140625" style="61" hidden="1" customWidth="1"/>
    <col min="15" max="15" width="16.42578125" style="61" hidden="1" customWidth="1"/>
    <col min="16" max="16" width="6.7109375" style="61" hidden="1" customWidth="1"/>
    <col min="17" max="17" width="13" style="59" hidden="1" customWidth="1"/>
    <col min="18" max="18" width="15.85546875" style="59" hidden="1" customWidth="1"/>
    <col min="19" max="19" width="13" style="59" hidden="1" customWidth="1"/>
    <col min="20" max="20" width="16.28515625" style="59" hidden="1" customWidth="1"/>
    <col min="21" max="22" width="9.28515625" style="59" hidden="1" customWidth="1"/>
    <col min="23" max="23" width="6.42578125" style="59" hidden="1" customWidth="1"/>
    <col min="24" max="24" width="13" style="59" hidden="1" customWidth="1"/>
    <col min="25" max="25" width="13.7109375" style="59" hidden="1" customWidth="1"/>
    <col min="26" max="26" width="13" style="59" hidden="1" customWidth="1"/>
    <col min="27" max="27" width="8.85546875" style="59" hidden="1" customWidth="1"/>
    <col min="28" max="28" width="7.5703125" style="59" hidden="1" customWidth="1"/>
    <col min="29" max="29" width="8.85546875" style="59" hidden="1" customWidth="1"/>
    <col min="30" max="33" width="8.42578125" style="59" hidden="1" customWidth="1"/>
    <col min="34" max="34" width="13" style="59" hidden="1" customWidth="1"/>
    <col min="35" max="54" width="8.42578125" style="59" hidden="1" customWidth="1"/>
    <col min="55" max="55" width="13" style="59" hidden="1" customWidth="1"/>
    <col min="56" max="61" width="8.42578125" style="59" hidden="1" customWidth="1"/>
    <col min="62" max="62" width="10.140625" style="59" hidden="1" customWidth="1"/>
    <col min="63" max="64" width="8.42578125" style="59" hidden="1" customWidth="1"/>
    <col min="65" max="65" width="8.42578125" style="59" customWidth="1"/>
    <col min="66" max="70" width="8.42578125" style="132" customWidth="1"/>
    <col min="71" max="72" width="8.42578125" style="59" customWidth="1"/>
    <col min="73" max="73" width="9.140625" style="44" customWidth="1"/>
    <col min="74" max="74" width="11" style="44" bestFit="1" customWidth="1"/>
    <col min="75" max="16384" width="9.140625" style="44"/>
  </cols>
  <sheetData>
    <row r="1" spans="1:81" ht="60.75" thickBot="1" x14ac:dyDescent="0.3">
      <c r="A1" s="38" t="s">
        <v>0</v>
      </c>
      <c r="B1" s="70" t="s">
        <v>1</v>
      </c>
      <c r="C1" s="39" t="s">
        <v>87</v>
      </c>
      <c r="D1" s="70" t="s">
        <v>3</v>
      </c>
      <c r="E1" s="39" t="s">
        <v>4</v>
      </c>
      <c r="F1" s="91" t="s">
        <v>214</v>
      </c>
      <c r="G1" s="91" t="s">
        <v>157</v>
      </c>
      <c r="H1" s="91" t="s">
        <v>55</v>
      </c>
      <c r="I1" s="40" t="s">
        <v>2</v>
      </c>
      <c r="J1" s="38" t="s">
        <v>40</v>
      </c>
      <c r="K1" s="39" t="s">
        <v>41</v>
      </c>
      <c r="L1" s="39" t="s">
        <v>42</v>
      </c>
      <c r="M1" s="39" t="s">
        <v>43</v>
      </c>
      <c r="N1" s="41" t="s">
        <v>53</v>
      </c>
      <c r="O1" s="41" t="s">
        <v>54</v>
      </c>
      <c r="P1" s="42" t="s">
        <v>52</v>
      </c>
      <c r="Q1" s="38" t="s">
        <v>31</v>
      </c>
      <c r="R1" s="39" t="s">
        <v>32</v>
      </c>
      <c r="S1" s="39" t="s">
        <v>33</v>
      </c>
      <c r="T1" s="39" t="s">
        <v>34</v>
      </c>
      <c r="U1" s="41" t="s">
        <v>35</v>
      </c>
      <c r="V1" s="41" t="s">
        <v>36</v>
      </c>
      <c r="W1" s="42" t="s">
        <v>51</v>
      </c>
      <c r="X1" s="38" t="s">
        <v>47</v>
      </c>
      <c r="Y1" s="39" t="s">
        <v>48</v>
      </c>
      <c r="Z1" s="39" t="s">
        <v>49</v>
      </c>
      <c r="AA1" s="39" t="s">
        <v>50</v>
      </c>
      <c r="AB1" s="41" t="s">
        <v>44</v>
      </c>
      <c r="AC1" s="41" t="s">
        <v>45</v>
      </c>
      <c r="AD1" s="42" t="s">
        <v>46</v>
      </c>
      <c r="AE1" s="38" t="s">
        <v>66</v>
      </c>
      <c r="AF1" s="39" t="s">
        <v>67</v>
      </c>
      <c r="AG1" s="39" t="s">
        <v>68</v>
      </c>
      <c r="AH1" s="39" t="s">
        <v>69</v>
      </c>
      <c r="AI1" s="41" t="s">
        <v>70</v>
      </c>
      <c r="AJ1" s="41" t="s">
        <v>71</v>
      </c>
      <c r="AK1" s="42" t="s">
        <v>72</v>
      </c>
      <c r="AL1" s="38" t="s">
        <v>118</v>
      </c>
      <c r="AM1" s="39" t="s">
        <v>119</v>
      </c>
      <c r="AN1" s="39" t="s">
        <v>120</v>
      </c>
      <c r="AO1" s="39" t="s">
        <v>121</v>
      </c>
      <c r="AP1" s="41" t="s">
        <v>122</v>
      </c>
      <c r="AQ1" s="41" t="s">
        <v>123</v>
      </c>
      <c r="AR1" s="42" t="s">
        <v>124</v>
      </c>
      <c r="AS1" s="69" t="s">
        <v>131</v>
      </c>
      <c r="AT1" s="70" t="s">
        <v>132</v>
      </c>
      <c r="AU1" s="70" t="s">
        <v>133</v>
      </c>
      <c r="AV1" s="70" t="s">
        <v>134</v>
      </c>
      <c r="AW1" s="71" t="s">
        <v>135</v>
      </c>
      <c r="AX1" s="71" t="s">
        <v>136</v>
      </c>
      <c r="AY1" s="72" t="s">
        <v>137</v>
      </c>
      <c r="AZ1" s="69" t="s">
        <v>150</v>
      </c>
      <c r="BA1" s="70" t="s">
        <v>151</v>
      </c>
      <c r="BB1" s="70" t="s">
        <v>152</v>
      </c>
      <c r="BC1" s="70" t="s">
        <v>153</v>
      </c>
      <c r="BD1" s="71" t="s">
        <v>154</v>
      </c>
      <c r="BE1" s="71" t="s">
        <v>155</v>
      </c>
      <c r="BF1" s="72" t="s">
        <v>156</v>
      </c>
      <c r="BG1" s="69" t="s">
        <v>170</v>
      </c>
      <c r="BH1" s="70" t="s">
        <v>171</v>
      </c>
      <c r="BI1" s="70" t="s">
        <v>205</v>
      </c>
      <c r="BJ1" s="70" t="s">
        <v>172</v>
      </c>
      <c r="BK1" s="71" t="s">
        <v>175</v>
      </c>
      <c r="BL1" s="71" t="s">
        <v>174</v>
      </c>
      <c r="BM1" s="139" t="s">
        <v>173</v>
      </c>
      <c r="BN1" s="140" t="s">
        <v>193</v>
      </c>
      <c r="BO1" s="141" t="s">
        <v>194</v>
      </c>
      <c r="BP1" s="141" t="s">
        <v>195</v>
      </c>
      <c r="BQ1" s="142" t="s">
        <v>196</v>
      </c>
      <c r="BR1" s="147" t="s">
        <v>197</v>
      </c>
      <c r="BS1" s="71" t="s">
        <v>198</v>
      </c>
      <c r="BT1" s="72" t="s">
        <v>199</v>
      </c>
      <c r="BU1" s="145" t="s">
        <v>159</v>
      </c>
      <c r="BV1" s="90" t="s">
        <v>161</v>
      </c>
      <c r="BW1" s="90" t="s">
        <v>160</v>
      </c>
      <c r="BX1" s="90" t="s">
        <v>162</v>
      </c>
      <c r="BY1" s="43" t="s">
        <v>130</v>
      </c>
      <c r="BZ1" s="90" t="s">
        <v>158</v>
      </c>
      <c r="CA1" s="43" t="s">
        <v>144</v>
      </c>
      <c r="CB1" s="43" t="s">
        <v>145</v>
      </c>
      <c r="CC1" s="90" t="s">
        <v>146</v>
      </c>
    </row>
    <row r="2" spans="1:81" x14ac:dyDescent="0.25">
      <c r="A2" s="45">
        <v>11</v>
      </c>
      <c r="B2" s="46" t="s">
        <v>10</v>
      </c>
      <c r="C2" s="81" t="str">
        <f t="shared" ref="C2:C38" si="0">B2&amp;" "&amp;A2</f>
        <v>טאי 11</v>
      </c>
      <c r="D2" s="47" t="s">
        <v>6</v>
      </c>
      <c r="E2" s="47" t="s">
        <v>7</v>
      </c>
      <c r="F2" s="95" t="s">
        <v>206</v>
      </c>
      <c r="G2" s="89">
        <v>42887</v>
      </c>
      <c r="H2" s="58">
        <v>43360</v>
      </c>
      <c r="I2" s="48"/>
      <c r="J2" s="49">
        <v>1</v>
      </c>
      <c r="K2" s="50"/>
      <c r="L2" s="50">
        <v>1</v>
      </c>
      <c r="M2" s="50">
        <v>1</v>
      </c>
      <c r="N2" s="51">
        <f t="shared" ref="N2:N14" si="1">J2*3+L2</f>
        <v>4</v>
      </c>
      <c r="O2" s="51">
        <f t="shared" ref="O2:O14" si="2">K2*3+M2</f>
        <v>1</v>
      </c>
      <c r="P2" s="52">
        <f t="shared" ref="P2:P14" si="3">O2+N2</f>
        <v>5</v>
      </c>
      <c r="Q2" s="45">
        <v>1</v>
      </c>
      <c r="R2" s="47"/>
      <c r="S2" s="47"/>
      <c r="T2" s="47">
        <v>1</v>
      </c>
      <c r="U2" s="51">
        <f t="shared" ref="U2:U38" si="4">Q2*3+S2</f>
        <v>3</v>
      </c>
      <c r="V2" s="51">
        <f t="shared" ref="V2:V38" si="5">R2*3+T2</f>
        <v>1</v>
      </c>
      <c r="W2" s="53">
        <f t="shared" ref="W2:W14" si="6">V2+U2</f>
        <v>4</v>
      </c>
      <c r="X2" s="45"/>
      <c r="Y2" s="47"/>
      <c r="Z2" s="47">
        <v>2</v>
      </c>
      <c r="AA2" s="47"/>
      <c r="AB2" s="54">
        <f t="shared" ref="AB2:AB38" si="7">X2*3+Z2</f>
        <v>2</v>
      </c>
      <c r="AC2" s="54">
        <f t="shared" ref="AC2:AC38" si="8">Y2*3+AA2</f>
        <v>0</v>
      </c>
      <c r="AD2" s="55">
        <f t="shared" ref="AD2:AD38" si="9">AC2+AB2</f>
        <v>2</v>
      </c>
      <c r="AE2" s="45">
        <v>1</v>
      </c>
      <c r="AF2" s="47"/>
      <c r="AG2" s="47">
        <v>1</v>
      </c>
      <c r="AH2" s="47"/>
      <c r="AI2" s="51">
        <f t="shared" ref="AI2:AI38" si="10">AE2*3+AG2</f>
        <v>4</v>
      </c>
      <c r="AJ2" s="51">
        <f t="shared" ref="AJ2:AJ38" si="11">AF2*3+AH2</f>
        <v>0</v>
      </c>
      <c r="AK2" s="53">
        <f t="shared" ref="AK2:AK38" si="12">AJ2+AI2</f>
        <v>4</v>
      </c>
      <c r="AL2" s="45"/>
      <c r="AM2" s="47"/>
      <c r="AN2" s="47">
        <v>2</v>
      </c>
      <c r="AO2" s="47"/>
      <c r="AP2" s="51">
        <f t="shared" ref="AP2:AP38" si="13">AL2*3+AN2</f>
        <v>2</v>
      </c>
      <c r="AQ2" s="51">
        <f t="shared" ref="AQ2:AQ38" si="14">AM2*3+AO2</f>
        <v>0</v>
      </c>
      <c r="AR2" s="53">
        <f t="shared" ref="AR2:AR38" si="15">AQ2+AP2</f>
        <v>2</v>
      </c>
      <c r="AS2" s="45"/>
      <c r="AT2" s="47"/>
      <c r="AU2" s="47">
        <v>2</v>
      </c>
      <c r="AV2" s="47">
        <v>1</v>
      </c>
      <c r="AW2" s="51">
        <f t="shared" ref="AW2:AW38" si="16">AS2*3+AU2</f>
        <v>2</v>
      </c>
      <c r="AX2" s="51">
        <f t="shared" ref="AX2:AX38" si="17">AT2*3+AV2</f>
        <v>1</v>
      </c>
      <c r="AY2" s="53">
        <f t="shared" ref="AY2:AY38" si="18">AX2+AW2</f>
        <v>3</v>
      </c>
      <c r="AZ2" s="45">
        <v>1</v>
      </c>
      <c r="BA2" s="47"/>
      <c r="BB2" s="47">
        <v>1</v>
      </c>
      <c r="BC2" s="47"/>
      <c r="BD2" s="51">
        <f t="shared" ref="BD2:BD38" si="19">AZ2*3+BB2</f>
        <v>4</v>
      </c>
      <c r="BE2" s="51">
        <f t="shared" ref="BE2:BE38" si="20">BA2*3+BC2</f>
        <v>0</v>
      </c>
      <c r="BF2" s="53">
        <f t="shared" ref="BF2:BF38" si="21">BE2+BD2</f>
        <v>4</v>
      </c>
      <c r="BG2" s="45"/>
      <c r="BH2" s="47"/>
      <c r="BI2" s="65">
        <v>1</v>
      </c>
      <c r="BJ2" s="47">
        <v>1</v>
      </c>
      <c r="BK2" s="51">
        <f t="shared" ref="BK2:BK38" si="22">BG2*3+BI2</f>
        <v>1</v>
      </c>
      <c r="BL2" s="51">
        <f t="shared" ref="BL2:BL38" si="23">BH2*3+BJ2</f>
        <v>1</v>
      </c>
      <c r="BM2" s="133">
        <f t="shared" ref="BM2:BM38" si="24">BL2+BK2</f>
        <v>2</v>
      </c>
      <c r="BN2" s="136"/>
      <c r="BO2" s="137"/>
      <c r="BP2" s="137">
        <v>4</v>
      </c>
      <c r="BQ2" s="137"/>
      <c r="BR2" s="51">
        <f t="shared" ref="BR2:BR38" si="25">BN2*3+BP2</f>
        <v>4</v>
      </c>
      <c r="BS2" s="51">
        <f t="shared" ref="BS2:BS38" si="26">BO2*3+BQ2</f>
        <v>0</v>
      </c>
      <c r="BT2" s="133">
        <f t="shared" ref="BT2:BT38" si="27">BS2+BR2</f>
        <v>4</v>
      </c>
      <c r="BU2" s="146">
        <f t="shared" ref="BU2:BU38" si="28">SUM(AP2,AI2,AB2,U2,N2,AW2,BD2,BK2,BR2)</f>
        <v>26</v>
      </c>
      <c r="BV2" s="92">
        <f t="shared" ref="BV2:BV38" ca="1" si="29">BU2/(TODAY()-G2)</f>
        <v>9.6654275092936809E-2</v>
      </c>
      <c r="BW2" s="56">
        <f t="shared" ref="BW2:BW38" si="30">SUM(AQ2,AJ2,AC2,V2,O2,AX2,BE2,BL2,BS2)</f>
        <v>4</v>
      </c>
      <c r="BX2" s="92">
        <f t="shared" ref="BX2:BX38" ca="1" si="31">BW2/(TODAY()-G2)</f>
        <v>1.4869888475836431E-2</v>
      </c>
      <c r="BY2" s="56">
        <f t="shared" ref="BY2:BY38" si="32">BU2+BW2</f>
        <v>30</v>
      </c>
      <c r="BZ2" s="92">
        <f t="shared" ref="BZ2:BZ38" ca="1" si="33">BX2+BV2</f>
        <v>0.11152416356877323</v>
      </c>
      <c r="CA2" s="56">
        <f t="shared" ref="CA2:CA38" si="34">SUM(AS2,AL2,AE2,X2,Q2,Q2,J2,AZ2,BG2,BN2)</f>
        <v>5</v>
      </c>
      <c r="CB2" s="56">
        <f t="shared" ref="CB2:CB38" si="35">SUM(AT2,AM2,AF2,Y2,R2,R2,K2,BA2,BH2,BO2)</f>
        <v>0</v>
      </c>
      <c r="CC2" s="56">
        <f t="shared" ref="CC2:CC38" si="36">CB2+CA2</f>
        <v>5</v>
      </c>
    </row>
    <row r="3" spans="1:81" x14ac:dyDescent="0.25">
      <c r="A3" s="45">
        <v>474</v>
      </c>
      <c r="B3" s="76" t="s">
        <v>176</v>
      </c>
      <c r="C3" s="81" t="str">
        <f t="shared" si="0"/>
        <v>אתי 474</v>
      </c>
      <c r="D3" s="47" t="s">
        <v>6</v>
      </c>
      <c r="E3" s="65" t="s">
        <v>7</v>
      </c>
      <c r="F3" s="95" t="s">
        <v>212</v>
      </c>
      <c r="G3" s="89">
        <v>43101</v>
      </c>
      <c r="H3" s="93" t="s">
        <v>86</v>
      </c>
      <c r="I3" s="48"/>
      <c r="J3" s="49"/>
      <c r="K3" s="50"/>
      <c r="L3" s="50"/>
      <c r="M3" s="50"/>
      <c r="N3" s="51">
        <f t="shared" si="1"/>
        <v>0</v>
      </c>
      <c r="O3" s="51">
        <f t="shared" si="2"/>
        <v>0</v>
      </c>
      <c r="P3" s="52">
        <f t="shared" si="3"/>
        <v>0</v>
      </c>
      <c r="Q3" s="45"/>
      <c r="R3" s="47"/>
      <c r="S3" s="47"/>
      <c r="T3" s="47"/>
      <c r="U3" s="51">
        <f t="shared" si="4"/>
        <v>0</v>
      </c>
      <c r="V3" s="51">
        <f t="shared" si="5"/>
        <v>0</v>
      </c>
      <c r="W3" s="53">
        <f t="shared" si="6"/>
        <v>0</v>
      </c>
      <c r="X3" s="45"/>
      <c r="Y3" s="47"/>
      <c r="Z3" s="47"/>
      <c r="AA3" s="47"/>
      <c r="AB3" s="54">
        <f t="shared" si="7"/>
        <v>0</v>
      </c>
      <c r="AC3" s="54">
        <f t="shared" si="8"/>
        <v>0</v>
      </c>
      <c r="AD3" s="55">
        <f t="shared" si="9"/>
        <v>0</v>
      </c>
      <c r="AE3" s="45"/>
      <c r="AF3" s="47"/>
      <c r="AG3" s="47"/>
      <c r="AH3" s="47"/>
      <c r="AI3" s="51">
        <f t="shared" si="10"/>
        <v>0</v>
      </c>
      <c r="AJ3" s="51">
        <f t="shared" si="11"/>
        <v>0</v>
      </c>
      <c r="AK3" s="53">
        <f t="shared" si="12"/>
        <v>0</v>
      </c>
      <c r="AL3" s="45"/>
      <c r="AM3" s="47"/>
      <c r="AN3" s="47"/>
      <c r="AO3" s="47"/>
      <c r="AP3" s="51">
        <f t="shared" si="13"/>
        <v>0</v>
      </c>
      <c r="AQ3" s="51">
        <f t="shared" si="14"/>
        <v>0</v>
      </c>
      <c r="AR3" s="53">
        <f t="shared" si="15"/>
        <v>0</v>
      </c>
      <c r="AS3" s="45"/>
      <c r="AT3" s="47"/>
      <c r="AU3" s="47"/>
      <c r="AV3" s="47"/>
      <c r="AW3" s="51">
        <f t="shared" si="16"/>
        <v>0</v>
      </c>
      <c r="AX3" s="51">
        <f t="shared" si="17"/>
        <v>0</v>
      </c>
      <c r="AY3" s="53">
        <f t="shared" si="18"/>
        <v>0</v>
      </c>
      <c r="AZ3" s="45"/>
      <c r="BA3" s="47"/>
      <c r="BB3" s="47"/>
      <c r="BC3" s="47"/>
      <c r="BD3" s="51">
        <f t="shared" si="19"/>
        <v>0</v>
      </c>
      <c r="BE3" s="51">
        <f t="shared" si="20"/>
        <v>0</v>
      </c>
      <c r="BF3" s="53">
        <f t="shared" si="21"/>
        <v>0</v>
      </c>
      <c r="BG3" s="45">
        <v>1</v>
      </c>
      <c r="BH3" s="47"/>
      <c r="BI3" s="47"/>
      <c r="BJ3" s="47"/>
      <c r="BK3" s="51">
        <f t="shared" si="22"/>
        <v>3</v>
      </c>
      <c r="BL3" s="51">
        <f t="shared" si="23"/>
        <v>0</v>
      </c>
      <c r="BM3" s="133">
        <f t="shared" si="24"/>
        <v>3</v>
      </c>
      <c r="BN3" s="96"/>
      <c r="BO3" s="135"/>
      <c r="BP3" s="135">
        <v>4</v>
      </c>
      <c r="BQ3" s="135"/>
      <c r="BR3" s="51">
        <f t="shared" si="25"/>
        <v>4</v>
      </c>
      <c r="BS3" s="51">
        <f t="shared" si="26"/>
        <v>0</v>
      </c>
      <c r="BT3" s="133">
        <f t="shared" si="27"/>
        <v>4</v>
      </c>
      <c r="BU3" s="146">
        <f t="shared" si="28"/>
        <v>7</v>
      </c>
      <c r="BV3" s="92">
        <f t="shared" ca="1" si="29"/>
        <v>0.12727272727272726</v>
      </c>
      <c r="BW3" s="56">
        <f t="shared" si="30"/>
        <v>0</v>
      </c>
      <c r="BX3" s="92">
        <f t="shared" ca="1" si="31"/>
        <v>0</v>
      </c>
      <c r="BY3" s="56">
        <f t="shared" si="32"/>
        <v>7</v>
      </c>
      <c r="BZ3" s="92">
        <f t="shared" ca="1" si="33"/>
        <v>0.12727272727272726</v>
      </c>
      <c r="CA3" s="56">
        <f t="shared" si="34"/>
        <v>1</v>
      </c>
      <c r="CB3" s="56">
        <f t="shared" si="35"/>
        <v>0</v>
      </c>
      <c r="CC3" s="56">
        <f t="shared" si="36"/>
        <v>1</v>
      </c>
    </row>
    <row r="4" spans="1:81" x14ac:dyDescent="0.25">
      <c r="A4" s="45">
        <v>474</v>
      </c>
      <c r="B4" s="46" t="s">
        <v>108</v>
      </c>
      <c r="C4" s="81" t="str">
        <f t="shared" si="0"/>
        <v>יהל אור 474</v>
      </c>
      <c r="D4" s="47" t="s">
        <v>6</v>
      </c>
      <c r="E4" s="47" t="s">
        <v>7</v>
      </c>
      <c r="F4" s="95" t="s">
        <v>207</v>
      </c>
      <c r="G4" s="89">
        <v>42917</v>
      </c>
      <c r="H4" s="58">
        <v>43748</v>
      </c>
      <c r="I4" s="48"/>
      <c r="J4" s="49"/>
      <c r="K4" s="50"/>
      <c r="L4" s="50"/>
      <c r="M4" s="50"/>
      <c r="N4" s="51">
        <f t="shared" si="1"/>
        <v>0</v>
      </c>
      <c r="O4" s="51">
        <f t="shared" si="2"/>
        <v>0</v>
      </c>
      <c r="P4" s="52">
        <f t="shared" si="3"/>
        <v>0</v>
      </c>
      <c r="Q4" s="45"/>
      <c r="R4" s="47"/>
      <c r="S4" s="47">
        <v>4</v>
      </c>
      <c r="T4" s="47"/>
      <c r="U4" s="51">
        <f t="shared" si="4"/>
        <v>4</v>
      </c>
      <c r="V4" s="51">
        <f t="shared" si="5"/>
        <v>0</v>
      </c>
      <c r="W4" s="53">
        <f t="shared" si="6"/>
        <v>4</v>
      </c>
      <c r="X4" s="45">
        <v>1</v>
      </c>
      <c r="Y4" s="47"/>
      <c r="Z4" s="47">
        <v>1</v>
      </c>
      <c r="AA4" s="47"/>
      <c r="AB4" s="54">
        <f t="shared" si="7"/>
        <v>4</v>
      </c>
      <c r="AC4" s="54">
        <f t="shared" si="8"/>
        <v>0</v>
      </c>
      <c r="AD4" s="55">
        <f t="shared" si="9"/>
        <v>4</v>
      </c>
      <c r="AE4" s="45"/>
      <c r="AF4" s="47"/>
      <c r="AG4" s="47">
        <v>2</v>
      </c>
      <c r="AH4" s="47">
        <v>2</v>
      </c>
      <c r="AI4" s="51">
        <f t="shared" si="10"/>
        <v>2</v>
      </c>
      <c r="AJ4" s="51">
        <f t="shared" si="11"/>
        <v>2</v>
      </c>
      <c r="AK4" s="53">
        <f t="shared" si="12"/>
        <v>4</v>
      </c>
      <c r="AL4" s="45"/>
      <c r="AM4" s="47"/>
      <c r="AN4" s="47">
        <v>2</v>
      </c>
      <c r="AO4" s="47">
        <v>1</v>
      </c>
      <c r="AP4" s="51">
        <f t="shared" si="13"/>
        <v>2</v>
      </c>
      <c r="AQ4" s="51">
        <f t="shared" si="14"/>
        <v>1</v>
      </c>
      <c r="AR4" s="53">
        <f t="shared" si="15"/>
        <v>3</v>
      </c>
      <c r="AS4" s="45">
        <v>1</v>
      </c>
      <c r="AT4" s="47"/>
      <c r="AU4" s="47"/>
      <c r="AV4" s="47"/>
      <c r="AW4" s="51">
        <f t="shared" si="16"/>
        <v>3</v>
      </c>
      <c r="AX4" s="51">
        <f t="shared" si="17"/>
        <v>0</v>
      </c>
      <c r="AY4" s="53">
        <f t="shared" si="18"/>
        <v>3</v>
      </c>
      <c r="AZ4" s="45"/>
      <c r="BA4" s="47"/>
      <c r="BB4" s="47">
        <v>3</v>
      </c>
      <c r="BC4" s="47"/>
      <c r="BD4" s="51">
        <f t="shared" si="19"/>
        <v>3</v>
      </c>
      <c r="BE4" s="51">
        <f t="shared" si="20"/>
        <v>0</v>
      </c>
      <c r="BF4" s="53">
        <f t="shared" si="21"/>
        <v>3</v>
      </c>
      <c r="BG4" s="45">
        <v>1</v>
      </c>
      <c r="BH4" s="47"/>
      <c r="BI4" s="47"/>
      <c r="BJ4" s="47">
        <v>1</v>
      </c>
      <c r="BK4" s="51">
        <f t="shared" si="22"/>
        <v>3</v>
      </c>
      <c r="BL4" s="51">
        <f t="shared" si="23"/>
        <v>1</v>
      </c>
      <c r="BM4" s="133">
        <f t="shared" si="24"/>
        <v>4</v>
      </c>
      <c r="BN4" s="96"/>
      <c r="BO4" s="135"/>
      <c r="BP4" s="135">
        <v>4</v>
      </c>
      <c r="BQ4" s="135"/>
      <c r="BR4" s="51">
        <f t="shared" si="25"/>
        <v>4</v>
      </c>
      <c r="BS4" s="51">
        <f t="shared" si="26"/>
        <v>0</v>
      </c>
      <c r="BT4" s="133">
        <f t="shared" si="27"/>
        <v>4</v>
      </c>
      <c r="BU4" s="146">
        <f t="shared" si="28"/>
        <v>25</v>
      </c>
      <c r="BV4" s="92">
        <f t="shared" ca="1" si="29"/>
        <v>0.10460251046025104</v>
      </c>
      <c r="BW4" s="56">
        <f t="shared" si="30"/>
        <v>4</v>
      </c>
      <c r="BX4" s="92">
        <f t="shared" ca="1" si="31"/>
        <v>1.6736401673640166E-2</v>
      </c>
      <c r="BY4" s="56">
        <f t="shared" si="32"/>
        <v>29</v>
      </c>
      <c r="BZ4" s="92">
        <f t="shared" ca="1" si="33"/>
        <v>0.12133891213389121</v>
      </c>
      <c r="CA4" s="56">
        <f t="shared" si="34"/>
        <v>3</v>
      </c>
      <c r="CB4" s="56">
        <f t="shared" si="35"/>
        <v>0</v>
      </c>
      <c r="CC4" s="56">
        <f t="shared" si="36"/>
        <v>3</v>
      </c>
    </row>
    <row r="5" spans="1:81" x14ac:dyDescent="0.25">
      <c r="A5" s="45">
        <v>474</v>
      </c>
      <c r="B5" s="76" t="s">
        <v>177</v>
      </c>
      <c r="C5" s="81" t="str">
        <f t="shared" si="0"/>
        <v>שובל 474</v>
      </c>
      <c r="D5" s="47" t="s">
        <v>6</v>
      </c>
      <c r="E5" s="65" t="s">
        <v>7</v>
      </c>
      <c r="F5" s="95" t="s">
        <v>212</v>
      </c>
      <c r="G5" s="89">
        <v>43101</v>
      </c>
      <c r="H5" s="93" t="s">
        <v>86</v>
      </c>
      <c r="I5" s="48"/>
      <c r="J5" s="49"/>
      <c r="K5" s="50"/>
      <c r="L5" s="50"/>
      <c r="M5" s="50"/>
      <c r="N5" s="51">
        <f t="shared" si="1"/>
        <v>0</v>
      </c>
      <c r="O5" s="51">
        <f t="shared" si="2"/>
        <v>0</v>
      </c>
      <c r="P5" s="52">
        <f t="shared" si="3"/>
        <v>0</v>
      </c>
      <c r="Q5" s="45"/>
      <c r="R5" s="47"/>
      <c r="S5" s="47"/>
      <c r="T5" s="47"/>
      <c r="U5" s="51">
        <f t="shared" si="4"/>
        <v>0</v>
      </c>
      <c r="V5" s="51">
        <f t="shared" si="5"/>
        <v>0</v>
      </c>
      <c r="W5" s="53">
        <f t="shared" si="6"/>
        <v>0</v>
      </c>
      <c r="X5" s="45"/>
      <c r="Y5" s="47"/>
      <c r="Z5" s="47"/>
      <c r="AA5" s="47"/>
      <c r="AB5" s="54">
        <f t="shared" si="7"/>
        <v>0</v>
      </c>
      <c r="AC5" s="54">
        <f t="shared" si="8"/>
        <v>0</v>
      </c>
      <c r="AD5" s="55">
        <f t="shared" si="9"/>
        <v>0</v>
      </c>
      <c r="AE5" s="45"/>
      <c r="AF5" s="47"/>
      <c r="AG5" s="47"/>
      <c r="AH5" s="47"/>
      <c r="AI5" s="51">
        <f t="shared" si="10"/>
        <v>0</v>
      </c>
      <c r="AJ5" s="51">
        <f t="shared" si="11"/>
        <v>0</v>
      </c>
      <c r="AK5" s="53">
        <f t="shared" si="12"/>
        <v>0</v>
      </c>
      <c r="AL5" s="45"/>
      <c r="AM5" s="47"/>
      <c r="AN5" s="47"/>
      <c r="AO5" s="47"/>
      <c r="AP5" s="51">
        <f t="shared" si="13"/>
        <v>0</v>
      </c>
      <c r="AQ5" s="51">
        <f t="shared" si="14"/>
        <v>0</v>
      </c>
      <c r="AR5" s="53">
        <f t="shared" si="15"/>
        <v>0</v>
      </c>
      <c r="AS5" s="45"/>
      <c r="AT5" s="47"/>
      <c r="AU5" s="47"/>
      <c r="AV5" s="47"/>
      <c r="AW5" s="51">
        <f t="shared" si="16"/>
        <v>0</v>
      </c>
      <c r="AX5" s="51">
        <f t="shared" si="17"/>
        <v>0</v>
      </c>
      <c r="AY5" s="53">
        <f t="shared" si="18"/>
        <v>0</v>
      </c>
      <c r="AZ5" s="45"/>
      <c r="BA5" s="47"/>
      <c r="BB5" s="47"/>
      <c r="BC5" s="47"/>
      <c r="BD5" s="51">
        <f t="shared" si="19"/>
        <v>0</v>
      </c>
      <c r="BE5" s="51">
        <f t="shared" si="20"/>
        <v>0</v>
      </c>
      <c r="BF5" s="53">
        <f t="shared" si="21"/>
        <v>0</v>
      </c>
      <c r="BG5" s="45">
        <v>1</v>
      </c>
      <c r="BH5" s="47"/>
      <c r="BI5" s="47"/>
      <c r="BJ5" s="47"/>
      <c r="BK5" s="51">
        <f t="shared" si="22"/>
        <v>3</v>
      </c>
      <c r="BL5" s="51">
        <f t="shared" si="23"/>
        <v>0</v>
      </c>
      <c r="BM5" s="133">
        <f t="shared" si="24"/>
        <v>3</v>
      </c>
      <c r="BN5" s="96"/>
      <c r="BO5" s="135"/>
      <c r="BP5" s="135">
        <v>4</v>
      </c>
      <c r="BQ5" s="135"/>
      <c r="BR5" s="51">
        <f t="shared" si="25"/>
        <v>4</v>
      </c>
      <c r="BS5" s="51">
        <f t="shared" si="26"/>
        <v>0</v>
      </c>
      <c r="BT5" s="133">
        <f t="shared" si="27"/>
        <v>4</v>
      </c>
      <c r="BU5" s="146">
        <f t="shared" si="28"/>
        <v>7</v>
      </c>
      <c r="BV5" s="92">
        <f t="shared" ca="1" si="29"/>
        <v>0.12727272727272726</v>
      </c>
      <c r="BW5" s="56">
        <f t="shared" si="30"/>
        <v>0</v>
      </c>
      <c r="BX5" s="92">
        <f t="shared" ca="1" si="31"/>
        <v>0</v>
      </c>
      <c r="BY5" s="56">
        <f t="shared" si="32"/>
        <v>7</v>
      </c>
      <c r="BZ5" s="92">
        <f t="shared" ca="1" si="33"/>
        <v>0.12727272727272726</v>
      </c>
      <c r="CA5" s="56">
        <f t="shared" si="34"/>
        <v>1</v>
      </c>
      <c r="CB5" s="56">
        <f t="shared" si="35"/>
        <v>0</v>
      </c>
      <c r="CC5" s="56">
        <f t="shared" si="36"/>
        <v>1</v>
      </c>
    </row>
    <row r="6" spans="1:81" x14ac:dyDescent="0.25">
      <c r="A6" s="110" t="s">
        <v>17</v>
      </c>
      <c r="B6" s="76" t="s">
        <v>149</v>
      </c>
      <c r="C6" s="81" t="str">
        <f t="shared" si="0"/>
        <v>רבקה מפאוג</v>
      </c>
      <c r="D6" s="65" t="s">
        <v>6</v>
      </c>
      <c r="E6" s="65" t="s">
        <v>6</v>
      </c>
      <c r="F6" s="95" t="s">
        <v>211</v>
      </c>
      <c r="G6" s="89">
        <v>43040</v>
      </c>
      <c r="H6" s="95" t="s">
        <v>86</v>
      </c>
      <c r="I6" s="48"/>
      <c r="J6" s="49"/>
      <c r="K6" s="50"/>
      <c r="L6" s="50"/>
      <c r="M6" s="50"/>
      <c r="N6" s="51">
        <f t="shared" si="1"/>
        <v>0</v>
      </c>
      <c r="O6" s="51">
        <f t="shared" si="2"/>
        <v>0</v>
      </c>
      <c r="P6" s="52">
        <f t="shared" si="3"/>
        <v>0</v>
      </c>
      <c r="Q6" s="45"/>
      <c r="R6" s="47"/>
      <c r="S6" s="47"/>
      <c r="T6" s="47"/>
      <c r="U6" s="51">
        <f t="shared" si="4"/>
        <v>0</v>
      </c>
      <c r="V6" s="51">
        <f t="shared" si="5"/>
        <v>0</v>
      </c>
      <c r="W6" s="53">
        <f t="shared" si="6"/>
        <v>0</v>
      </c>
      <c r="X6" s="45"/>
      <c r="Y6" s="47"/>
      <c r="Z6" s="47"/>
      <c r="AA6" s="47"/>
      <c r="AB6" s="54">
        <f t="shared" si="7"/>
        <v>0</v>
      </c>
      <c r="AC6" s="54">
        <f t="shared" si="8"/>
        <v>0</v>
      </c>
      <c r="AD6" s="55">
        <f t="shared" si="9"/>
        <v>0</v>
      </c>
      <c r="AE6" s="45"/>
      <c r="AF6" s="47"/>
      <c r="AG6" s="47"/>
      <c r="AH6" s="47"/>
      <c r="AI6" s="51">
        <f t="shared" si="10"/>
        <v>0</v>
      </c>
      <c r="AJ6" s="51">
        <f t="shared" si="11"/>
        <v>0</v>
      </c>
      <c r="AK6" s="53">
        <f t="shared" si="12"/>
        <v>0</v>
      </c>
      <c r="AL6" s="45"/>
      <c r="AM6" s="47"/>
      <c r="AN6" s="47"/>
      <c r="AO6" s="47"/>
      <c r="AP6" s="51">
        <f t="shared" si="13"/>
        <v>0</v>
      </c>
      <c r="AQ6" s="51">
        <f t="shared" si="14"/>
        <v>0</v>
      </c>
      <c r="AR6" s="53">
        <f t="shared" si="15"/>
        <v>0</v>
      </c>
      <c r="AS6" s="45"/>
      <c r="AT6" s="47"/>
      <c r="AU6" s="47">
        <v>1</v>
      </c>
      <c r="AV6" s="47"/>
      <c r="AW6" s="51">
        <f t="shared" si="16"/>
        <v>1</v>
      </c>
      <c r="AX6" s="51">
        <f t="shared" si="17"/>
        <v>0</v>
      </c>
      <c r="AY6" s="53">
        <f t="shared" si="18"/>
        <v>1</v>
      </c>
      <c r="AZ6" s="45">
        <v>1</v>
      </c>
      <c r="BA6" s="47"/>
      <c r="BB6" s="47">
        <v>2</v>
      </c>
      <c r="BC6" s="47"/>
      <c r="BD6" s="51">
        <f t="shared" si="19"/>
        <v>5</v>
      </c>
      <c r="BE6" s="51">
        <f t="shared" si="20"/>
        <v>0</v>
      </c>
      <c r="BF6" s="53">
        <f t="shared" si="21"/>
        <v>5</v>
      </c>
      <c r="BG6" s="45"/>
      <c r="BH6" s="47"/>
      <c r="BI6" s="47">
        <v>3</v>
      </c>
      <c r="BJ6" s="47"/>
      <c r="BK6" s="51">
        <f t="shared" si="22"/>
        <v>3</v>
      </c>
      <c r="BL6" s="51">
        <f t="shared" si="23"/>
        <v>0</v>
      </c>
      <c r="BM6" s="133">
        <f t="shared" si="24"/>
        <v>3</v>
      </c>
      <c r="BN6" s="96"/>
      <c r="BO6" s="135"/>
      <c r="BP6" s="135">
        <v>4</v>
      </c>
      <c r="BQ6" s="135"/>
      <c r="BR6" s="51">
        <f t="shared" si="25"/>
        <v>4</v>
      </c>
      <c r="BS6" s="51">
        <f t="shared" si="26"/>
        <v>0</v>
      </c>
      <c r="BT6" s="133">
        <f t="shared" si="27"/>
        <v>4</v>
      </c>
      <c r="BU6" s="146">
        <f t="shared" si="28"/>
        <v>13</v>
      </c>
      <c r="BV6" s="92">
        <f t="shared" ca="1" si="29"/>
        <v>0.11206896551724138</v>
      </c>
      <c r="BW6" s="56">
        <f t="shared" si="30"/>
        <v>0</v>
      </c>
      <c r="BX6" s="92">
        <f t="shared" ca="1" si="31"/>
        <v>0</v>
      </c>
      <c r="BY6" s="56">
        <f t="shared" si="32"/>
        <v>13</v>
      </c>
      <c r="BZ6" s="92">
        <f t="shared" ca="1" si="33"/>
        <v>0.11206896551724138</v>
      </c>
      <c r="CA6" s="56">
        <f t="shared" si="34"/>
        <v>1</v>
      </c>
      <c r="CB6" s="56">
        <f t="shared" si="35"/>
        <v>0</v>
      </c>
      <c r="CC6" s="56">
        <f t="shared" si="36"/>
        <v>1</v>
      </c>
    </row>
    <row r="7" spans="1:81" x14ac:dyDescent="0.25">
      <c r="A7" s="45">
        <v>9</v>
      </c>
      <c r="B7" s="46" t="s">
        <v>14</v>
      </c>
      <c r="C7" s="81" t="str">
        <f t="shared" si="0"/>
        <v>בר 9</v>
      </c>
      <c r="D7" s="47" t="s">
        <v>6</v>
      </c>
      <c r="E7" s="47" t="s">
        <v>7</v>
      </c>
      <c r="F7" s="95" t="s">
        <v>207</v>
      </c>
      <c r="G7" s="89">
        <v>42917</v>
      </c>
      <c r="H7" s="57">
        <v>43560</v>
      </c>
      <c r="I7" s="105" t="s">
        <v>168</v>
      </c>
      <c r="J7" s="49"/>
      <c r="K7" s="50"/>
      <c r="L7" s="50"/>
      <c r="M7" s="50"/>
      <c r="N7" s="51">
        <f t="shared" si="1"/>
        <v>0</v>
      </c>
      <c r="O7" s="51">
        <f t="shared" si="2"/>
        <v>0</v>
      </c>
      <c r="P7" s="52">
        <f t="shared" si="3"/>
        <v>0</v>
      </c>
      <c r="Q7" s="45">
        <v>1</v>
      </c>
      <c r="R7" s="47"/>
      <c r="S7" s="47">
        <v>2</v>
      </c>
      <c r="T7" s="47"/>
      <c r="U7" s="51">
        <f t="shared" si="4"/>
        <v>5</v>
      </c>
      <c r="V7" s="51">
        <f t="shared" si="5"/>
        <v>0</v>
      </c>
      <c r="W7" s="53">
        <f t="shared" si="6"/>
        <v>5</v>
      </c>
      <c r="X7" s="45"/>
      <c r="Y7" s="47"/>
      <c r="Z7" s="47">
        <v>2</v>
      </c>
      <c r="AA7" s="47"/>
      <c r="AB7" s="54">
        <f t="shared" si="7"/>
        <v>2</v>
      </c>
      <c r="AC7" s="54">
        <f t="shared" si="8"/>
        <v>0</v>
      </c>
      <c r="AD7" s="55">
        <f t="shared" si="9"/>
        <v>2</v>
      </c>
      <c r="AE7" s="45"/>
      <c r="AF7" s="47">
        <v>1</v>
      </c>
      <c r="AG7" s="47">
        <v>2</v>
      </c>
      <c r="AH7" s="47">
        <v>1</v>
      </c>
      <c r="AI7" s="51">
        <f t="shared" si="10"/>
        <v>2</v>
      </c>
      <c r="AJ7" s="51">
        <f t="shared" si="11"/>
        <v>4</v>
      </c>
      <c r="AK7" s="53">
        <f t="shared" si="12"/>
        <v>6</v>
      </c>
      <c r="AL7" s="45">
        <v>1</v>
      </c>
      <c r="AM7" s="47"/>
      <c r="AN7" s="47"/>
      <c r="AO7" s="47"/>
      <c r="AP7" s="51">
        <f t="shared" si="13"/>
        <v>3</v>
      </c>
      <c r="AQ7" s="51">
        <f t="shared" si="14"/>
        <v>0</v>
      </c>
      <c r="AR7" s="53">
        <f t="shared" si="15"/>
        <v>3</v>
      </c>
      <c r="AS7" s="45"/>
      <c r="AT7" s="47"/>
      <c r="AU7" s="47">
        <v>2</v>
      </c>
      <c r="AV7" s="47"/>
      <c r="AW7" s="51">
        <f t="shared" si="16"/>
        <v>2</v>
      </c>
      <c r="AX7" s="51">
        <f t="shared" si="17"/>
        <v>0</v>
      </c>
      <c r="AY7" s="53">
        <f t="shared" si="18"/>
        <v>2</v>
      </c>
      <c r="AZ7" s="45"/>
      <c r="BA7" s="47"/>
      <c r="BB7" s="47">
        <v>1</v>
      </c>
      <c r="BC7" s="47"/>
      <c r="BD7" s="51">
        <f t="shared" si="19"/>
        <v>1</v>
      </c>
      <c r="BE7" s="51">
        <f t="shared" si="20"/>
        <v>0</v>
      </c>
      <c r="BF7" s="53">
        <f t="shared" si="21"/>
        <v>1</v>
      </c>
      <c r="BG7" s="45">
        <v>1</v>
      </c>
      <c r="BH7" s="47"/>
      <c r="BI7" s="47">
        <v>2</v>
      </c>
      <c r="BJ7" s="47"/>
      <c r="BK7" s="51">
        <f t="shared" si="22"/>
        <v>5</v>
      </c>
      <c r="BL7" s="51">
        <f t="shared" si="23"/>
        <v>0</v>
      </c>
      <c r="BM7" s="133">
        <f t="shared" si="24"/>
        <v>5</v>
      </c>
      <c r="BN7" s="96"/>
      <c r="BO7" s="135"/>
      <c r="BP7" s="135">
        <v>2</v>
      </c>
      <c r="BQ7" s="135">
        <v>1</v>
      </c>
      <c r="BR7" s="51">
        <f t="shared" si="25"/>
        <v>2</v>
      </c>
      <c r="BS7" s="51">
        <f t="shared" si="26"/>
        <v>1</v>
      </c>
      <c r="BT7" s="133">
        <f t="shared" si="27"/>
        <v>3</v>
      </c>
      <c r="BU7" s="146">
        <f t="shared" si="28"/>
        <v>22</v>
      </c>
      <c r="BV7" s="92">
        <f t="shared" ca="1" si="29"/>
        <v>9.2050209205020925E-2</v>
      </c>
      <c r="BW7" s="56">
        <f t="shared" si="30"/>
        <v>5</v>
      </c>
      <c r="BX7" s="92">
        <f t="shared" ca="1" si="31"/>
        <v>2.0920502092050208E-2</v>
      </c>
      <c r="BY7" s="56">
        <f t="shared" si="32"/>
        <v>27</v>
      </c>
      <c r="BZ7" s="92">
        <f t="shared" ca="1" si="33"/>
        <v>0.11297071129707113</v>
      </c>
      <c r="CA7" s="56">
        <f t="shared" si="34"/>
        <v>4</v>
      </c>
      <c r="CB7" s="56">
        <f t="shared" si="35"/>
        <v>1</v>
      </c>
      <c r="CC7" s="56">
        <f t="shared" si="36"/>
        <v>5</v>
      </c>
    </row>
    <row r="8" spans="1:81" x14ac:dyDescent="0.25">
      <c r="A8" s="45">
        <v>9</v>
      </c>
      <c r="B8" s="76" t="s">
        <v>147</v>
      </c>
      <c r="C8" s="81" t="str">
        <f t="shared" si="0"/>
        <v>ירדן 9</v>
      </c>
      <c r="D8" s="65" t="s">
        <v>6</v>
      </c>
      <c r="E8" s="65" t="s">
        <v>7</v>
      </c>
      <c r="F8" s="95" t="s">
        <v>211</v>
      </c>
      <c r="G8" s="89">
        <v>43040</v>
      </c>
      <c r="H8" s="95" t="s">
        <v>86</v>
      </c>
      <c r="I8" s="48"/>
      <c r="J8" s="49"/>
      <c r="K8" s="50"/>
      <c r="L8" s="50"/>
      <c r="M8" s="50"/>
      <c r="N8" s="51">
        <f t="shared" si="1"/>
        <v>0</v>
      </c>
      <c r="O8" s="51">
        <f t="shared" si="2"/>
        <v>0</v>
      </c>
      <c r="P8" s="52">
        <f t="shared" si="3"/>
        <v>0</v>
      </c>
      <c r="Q8" s="45"/>
      <c r="R8" s="47"/>
      <c r="S8" s="47"/>
      <c r="T8" s="47"/>
      <c r="U8" s="51">
        <f t="shared" si="4"/>
        <v>0</v>
      </c>
      <c r="V8" s="51">
        <f t="shared" si="5"/>
        <v>0</v>
      </c>
      <c r="W8" s="53">
        <f t="shared" si="6"/>
        <v>0</v>
      </c>
      <c r="X8" s="45"/>
      <c r="Y8" s="47"/>
      <c r="Z8" s="47"/>
      <c r="AA8" s="47"/>
      <c r="AB8" s="54">
        <f t="shared" si="7"/>
        <v>0</v>
      </c>
      <c r="AC8" s="54">
        <f t="shared" si="8"/>
        <v>0</v>
      </c>
      <c r="AD8" s="55">
        <f t="shared" si="9"/>
        <v>0</v>
      </c>
      <c r="AE8" s="45"/>
      <c r="AF8" s="47"/>
      <c r="AG8" s="47"/>
      <c r="AH8" s="47"/>
      <c r="AI8" s="51">
        <f t="shared" si="10"/>
        <v>0</v>
      </c>
      <c r="AJ8" s="51">
        <f t="shared" si="11"/>
        <v>0</v>
      </c>
      <c r="AK8" s="53">
        <f t="shared" si="12"/>
        <v>0</v>
      </c>
      <c r="AL8" s="45"/>
      <c r="AM8" s="47"/>
      <c r="AN8" s="47"/>
      <c r="AO8" s="47"/>
      <c r="AP8" s="51">
        <f t="shared" si="13"/>
        <v>0</v>
      </c>
      <c r="AQ8" s="51">
        <f t="shared" si="14"/>
        <v>0</v>
      </c>
      <c r="AR8" s="53">
        <f t="shared" si="15"/>
        <v>0</v>
      </c>
      <c r="AS8" s="45">
        <v>1</v>
      </c>
      <c r="AT8" s="47"/>
      <c r="AU8" s="47"/>
      <c r="AV8" s="47"/>
      <c r="AW8" s="51">
        <f t="shared" si="16"/>
        <v>3</v>
      </c>
      <c r="AX8" s="51">
        <f t="shared" si="17"/>
        <v>0</v>
      </c>
      <c r="AY8" s="53">
        <f t="shared" si="18"/>
        <v>3</v>
      </c>
      <c r="AZ8" s="45"/>
      <c r="BA8" s="47"/>
      <c r="BB8" s="47">
        <v>3</v>
      </c>
      <c r="BC8" s="47"/>
      <c r="BD8" s="51">
        <f t="shared" si="19"/>
        <v>3</v>
      </c>
      <c r="BE8" s="51">
        <f t="shared" si="20"/>
        <v>0</v>
      </c>
      <c r="BF8" s="53">
        <f t="shared" si="21"/>
        <v>3</v>
      </c>
      <c r="BG8" s="45">
        <v>1</v>
      </c>
      <c r="BH8" s="47"/>
      <c r="BI8" s="47">
        <v>1</v>
      </c>
      <c r="BJ8" s="47"/>
      <c r="BK8" s="51">
        <f t="shared" si="22"/>
        <v>4</v>
      </c>
      <c r="BL8" s="51">
        <f t="shared" si="23"/>
        <v>0</v>
      </c>
      <c r="BM8" s="133">
        <f t="shared" si="24"/>
        <v>4</v>
      </c>
      <c r="BN8" s="96"/>
      <c r="BO8" s="135"/>
      <c r="BP8" s="135">
        <v>3</v>
      </c>
      <c r="BQ8" s="135">
        <v>1</v>
      </c>
      <c r="BR8" s="51">
        <f t="shared" si="25"/>
        <v>3</v>
      </c>
      <c r="BS8" s="51">
        <f t="shared" si="26"/>
        <v>1</v>
      </c>
      <c r="BT8" s="133">
        <f t="shared" si="27"/>
        <v>4</v>
      </c>
      <c r="BU8" s="146">
        <f t="shared" si="28"/>
        <v>13</v>
      </c>
      <c r="BV8" s="92">
        <f t="shared" ca="1" si="29"/>
        <v>0.11206896551724138</v>
      </c>
      <c r="BW8" s="56">
        <f t="shared" si="30"/>
        <v>1</v>
      </c>
      <c r="BX8" s="92">
        <f t="shared" ca="1" si="31"/>
        <v>8.6206896551724137E-3</v>
      </c>
      <c r="BY8" s="56">
        <f t="shared" si="32"/>
        <v>14</v>
      </c>
      <c r="BZ8" s="92">
        <f t="shared" ca="1" si="33"/>
        <v>0.1206896551724138</v>
      </c>
      <c r="CA8" s="56">
        <f t="shared" si="34"/>
        <v>2</v>
      </c>
      <c r="CB8" s="56">
        <f t="shared" si="35"/>
        <v>0</v>
      </c>
      <c r="CC8" s="56">
        <f t="shared" si="36"/>
        <v>2</v>
      </c>
    </row>
    <row r="9" spans="1:81" x14ac:dyDescent="0.25">
      <c r="A9" s="45">
        <v>9</v>
      </c>
      <c r="B9" s="46" t="s">
        <v>64</v>
      </c>
      <c r="C9" s="81" t="str">
        <f t="shared" si="0"/>
        <v>כלנית 9</v>
      </c>
      <c r="D9" s="47" t="s">
        <v>6</v>
      </c>
      <c r="E9" s="65" t="s">
        <v>7</v>
      </c>
      <c r="F9" s="95" t="s">
        <v>209</v>
      </c>
      <c r="G9" s="89">
        <v>42979</v>
      </c>
      <c r="H9" s="57">
        <v>43661</v>
      </c>
      <c r="I9" s="48"/>
      <c r="J9" s="49"/>
      <c r="K9" s="50"/>
      <c r="L9" s="50"/>
      <c r="M9" s="50"/>
      <c r="N9" s="51">
        <f t="shared" si="1"/>
        <v>0</v>
      </c>
      <c r="O9" s="51">
        <f t="shared" si="2"/>
        <v>0</v>
      </c>
      <c r="P9" s="52">
        <f t="shared" si="3"/>
        <v>0</v>
      </c>
      <c r="Q9" s="45"/>
      <c r="R9" s="47"/>
      <c r="S9" s="47"/>
      <c r="T9" s="47"/>
      <c r="U9" s="51">
        <f t="shared" si="4"/>
        <v>0</v>
      </c>
      <c r="V9" s="51">
        <f t="shared" si="5"/>
        <v>0</v>
      </c>
      <c r="W9" s="53">
        <f t="shared" si="6"/>
        <v>0</v>
      </c>
      <c r="X9" s="45"/>
      <c r="Y9" s="47"/>
      <c r="Z9" s="47"/>
      <c r="AA9" s="47"/>
      <c r="AB9" s="54">
        <f t="shared" si="7"/>
        <v>0</v>
      </c>
      <c r="AC9" s="54">
        <f t="shared" si="8"/>
        <v>0</v>
      </c>
      <c r="AD9" s="55">
        <f t="shared" si="9"/>
        <v>0</v>
      </c>
      <c r="AE9" s="45">
        <v>1</v>
      </c>
      <c r="AF9" s="47"/>
      <c r="AG9" s="47">
        <v>2</v>
      </c>
      <c r="AH9" s="47"/>
      <c r="AI9" s="51">
        <f t="shared" si="10"/>
        <v>5</v>
      </c>
      <c r="AJ9" s="51">
        <f t="shared" si="11"/>
        <v>0</v>
      </c>
      <c r="AK9" s="53">
        <f t="shared" si="12"/>
        <v>5</v>
      </c>
      <c r="AL9" s="45">
        <v>1</v>
      </c>
      <c r="AM9" s="47"/>
      <c r="AN9" s="47"/>
      <c r="AO9" s="47"/>
      <c r="AP9" s="51">
        <f t="shared" si="13"/>
        <v>3</v>
      </c>
      <c r="AQ9" s="51">
        <f t="shared" si="14"/>
        <v>0</v>
      </c>
      <c r="AR9" s="53">
        <f t="shared" si="15"/>
        <v>3</v>
      </c>
      <c r="AS9" s="45"/>
      <c r="AT9" s="47"/>
      <c r="AU9" s="47">
        <v>4</v>
      </c>
      <c r="AV9" s="47"/>
      <c r="AW9" s="51">
        <f t="shared" si="16"/>
        <v>4</v>
      </c>
      <c r="AX9" s="51">
        <f t="shared" si="17"/>
        <v>0</v>
      </c>
      <c r="AY9" s="53">
        <f t="shared" si="18"/>
        <v>4</v>
      </c>
      <c r="AZ9" s="45"/>
      <c r="BA9" s="47"/>
      <c r="BB9" s="47">
        <v>2</v>
      </c>
      <c r="BC9" s="47">
        <v>1</v>
      </c>
      <c r="BD9" s="51">
        <f t="shared" si="19"/>
        <v>2</v>
      </c>
      <c r="BE9" s="51">
        <f t="shared" si="20"/>
        <v>1</v>
      </c>
      <c r="BF9" s="53">
        <f t="shared" si="21"/>
        <v>3</v>
      </c>
      <c r="BG9" s="45">
        <v>1</v>
      </c>
      <c r="BH9" s="47"/>
      <c r="BI9" s="47">
        <v>1</v>
      </c>
      <c r="BJ9" s="47"/>
      <c r="BK9" s="51">
        <f t="shared" si="22"/>
        <v>4</v>
      </c>
      <c r="BL9" s="51">
        <f t="shared" si="23"/>
        <v>0</v>
      </c>
      <c r="BM9" s="133">
        <f t="shared" si="24"/>
        <v>4</v>
      </c>
      <c r="BN9" s="96"/>
      <c r="BO9" s="135"/>
      <c r="BP9" s="135">
        <v>3</v>
      </c>
      <c r="BQ9" s="135">
        <v>1</v>
      </c>
      <c r="BR9" s="51">
        <f t="shared" si="25"/>
        <v>3</v>
      </c>
      <c r="BS9" s="51">
        <f t="shared" si="26"/>
        <v>1</v>
      </c>
      <c r="BT9" s="133">
        <f t="shared" si="27"/>
        <v>4</v>
      </c>
      <c r="BU9" s="146">
        <f t="shared" si="28"/>
        <v>21</v>
      </c>
      <c r="BV9" s="92">
        <f t="shared" ca="1" si="29"/>
        <v>0.11864406779661017</v>
      </c>
      <c r="BW9" s="56">
        <f t="shared" si="30"/>
        <v>2</v>
      </c>
      <c r="BX9" s="92">
        <f t="shared" ca="1" si="31"/>
        <v>1.1299435028248588E-2</v>
      </c>
      <c r="BY9" s="56">
        <f t="shared" si="32"/>
        <v>23</v>
      </c>
      <c r="BZ9" s="92">
        <f t="shared" ca="1" si="33"/>
        <v>0.12994350282485875</v>
      </c>
      <c r="CA9" s="56">
        <f t="shared" si="34"/>
        <v>3</v>
      </c>
      <c r="CB9" s="56">
        <f t="shared" si="35"/>
        <v>0</v>
      </c>
      <c r="CC9" s="56">
        <f t="shared" si="36"/>
        <v>3</v>
      </c>
    </row>
    <row r="10" spans="1:81" x14ac:dyDescent="0.25">
      <c r="A10" s="45">
        <v>209</v>
      </c>
      <c r="B10" s="76" t="s">
        <v>148</v>
      </c>
      <c r="C10" s="46" t="str">
        <f t="shared" si="0"/>
        <v>ולריה 209</v>
      </c>
      <c r="D10" s="65" t="s">
        <v>6</v>
      </c>
      <c r="E10" s="65" t="s">
        <v>7</v>
      </c>
      <c r="F10" s="95" t="s">
        <v>211</v>
      </c>
      <c r="G10" s="89">
        <v>43040</v>
      </c>
      <c r="H10" s="95" t="s">
        <v>86</v>
      </c>
      <c r="I10" s="48"/>
      <c r="J10" s="49"/>
      <c r="K10" s="50"/>
      <c r="L10" s="50"/>
      <c r="M10" s="50"/>
      <c r="N10" s="51">
        <f t="shared" si="1"/>
        <v>0</v>
      </c>
      <c r="O10" s="51">
        <f t="shared" si="2"/>
        <v>0</v>
      </c>
      <c r="P10" s="52">
        <f t="shared" si="3"/>
        <v>0</v>
      </c>
      <c r="Q10" s="45"/>
      <c r="R10" s="47"/>
      <c r="S10" s="47"/>
      <c r="T10" s="47"/>
      <c r="U10" s="51">
        <f t="shared" si="4"/>
        <v>0</v>
      </c>
      <c r="V10" s="51">
        <f t="shared" si="5"/>
        <v>0</v>
      </c>
      <c r="W10" s="53">
        <f t="shared" si="6"/>
        <v>0</v>
      </c>
      <c r="X10" s="45"/>
      <c r="Y10" s="47"/>
      <c r="Z10" s="47"/>
      <c r="AA10" s="47"/>
      <c r="AB10" s="54">
        <f t="shared" si="7"/>
        <v>0</v>
      </c>
      <c r="AC10" s="54">
        <f t="shared" si="8"/>
        <v>0</v>
      </c>
      <c r="AD10" s="55">
        <f t="shared" si="9"/>
        <v>0</v>
      </c>
      <c r="AE10" s="45"/>
      <c r="AF10" s="47"/>
      <c r="AG10" s="47"/>
      <c r="AH10" s="47"/>
      <c r="AI10" s="51">
        <f t="shared" si="10"/>
        <v>0</v>
      </c>
      <c r="AJ10" s="51">
        <f t="shared" si="11"/>
        <v>0</v>
      </c>
      <c r="AK10" s="53">
        <f t="shared" si="12"/>
        <v>0</v>
      </c>
      <c r="AL10" s="45"/>
      <c r="AM10" s="47"/>
      <c r="AN10" s="47"/>
      <c r="AO10" s="47"/>
      <c r="AP10" s="51">
        <f t="shared" si="13"/>
        <v>0</v>
      </c>
      <c r="AQ10" s="51">
        <f t="shared" si="14"/>
        <v>0</v>
      </c>
      <c r="AR10" s="53">
        <f t="shared" si="15"/>
        <v>0</v>
      </c>
      <c r="AS10" s="45"/>
      <c r="AT10" s="47"/>
      <c r="AU10" s="47">
        <v>1</v>
      </c>
      <c r="AV10" s="47"/>
      <c r="AW10" s="51">
        <f t="shared" si="16"/>
        <v>1</v>
      </c>
      <c r="AX10" s="51">
        <f t="shared" si="17"/>
        <v>0</v>
      </c>
      <c r="AY10" s="53">
        <f t="shared" si="18"/>
        <v>1</v>
      </c>
      <c r="AZ10" s="45">
        <v>1</v>
      </c>
      <c r="BA10" s="47"/>
      <c r="BB10" s="47">
        <v>2</v>
      </c>
      <c r="BC10" s="47"/>
      <c r="BD10" s="51">
        <f t="shared" si="19"/>
        <v>5</v>
      </c>
      <c r="BE10" s="51">
        <f t="shared" si="20"/>
        <v>0</v>
      </c>
      <c r="BF10" s="53">
        <f t="shared" si="21"/>
        <v>5</v>
      </c>
      <c r="BG10" s="45"/>
      <c r="BH10" s="47"/>
      <c r="BI10" s="47">
        <v>3</v>
      </c>
      <c r="BJ10" s="47"/>
      <c r="BK10" s="51">
        <f t="shared" si="22"/>
        <v>3</v>
      </c>
      <c r="BL10" s="51">
        <f t="shared" si="23"/>
        <v>0</v>
      </c>
      <c r="BM10" s="133">
        <f t="shared" si="24"/>
        <v>3</v>
      </c>
      <c r="BN10" s="96"/>
      <c r="BO10" s="135"/>
      <c r="BP10" s="135">
        <v>3</v>
      </c>
      <c r="BQ10" s="135">
        <v>1</v>
      </c>
      <c r="BR10" s="51">
        <f t="shared" si="25"/>
        <v>3</v>
      </c>
      <c r="BS10" s="51">
        <f t="shared" si="26"/>
        <v>1</v>
      </c>
      <c r="BT10" s="133">
        <f t="shared" si="27"/>
        <v>4</v>
      </c>
      <c r="BU10" s="146">
        <f t="shared" si="28"/>
        <v>12</v>
      </c>
      <c r="BV10" s="92">
        <f t="shared" ca="1" si="29"/>
        <v>0.10344827586206896</v>
      </c>
      <c r="BW10" s="56">
        <f t="shared" si="30"/>
        <v>1</v>
      </c>
      <c r="BX10" s="92">
        <f t="shared" ca="1" si="31"/>
        <v>8.6206896551724137E-3</v>
      </c>
      <c r="BY10" s="56">
        <f t="shared" si="32"/>
        <v>13</v>
      </c>
      <c r="BZ10" s="92">
        <f t="shared" ca="1" si="33"/>
        <v>0.11206896551724138</v>
      </c>
      <c r="CA10" s="56">
        <f t="shared" si="34"/>
        <v>1</v>
      </c>
      <c r="CB10" s="56">
        <f t="shared" si="35"/>
        <v>0</v>
      </c>
      <c r="CC10" s="56">
        <f t="shared" si="36"/>
        <v>1</v>
      </c>
    </row>
    <row r="11" spans="1:81" x14ac:dyDescent="0.25">
      <c r="A11" s="45">
        <v>11</v>
      </c>
      <c r="B11" s="46" t="s">
        <v>9</v>
      </c>
      <c r="C11" s="81" t="str">
        <f t="shared" si="0"/>
        <v>שחר 11</v>
      </c>
      <c r="D11" s="47" t="s">
        <v>6</v>
      </c>
      <c r="E11" s="47" t="s">
        <v>7</v>
      </c>
      <c r="F11" s="95" t="s">
        <v>207</v>
      </c>
      <c r="G11" s="89">
        <v>42917</v>
      </c>
      <c r="H11" s="57">
        <v>43560</v>
      </c>
      <c r="I11" s="105" t="s">
        <v>168</v>
      </c>
      <c r="J11" s="49"/>
      <c r="K11" s="50"/>
      <c r="L11" s="50">
        <v>1</v>
      </c>
      <c r="M11" s="50"/>
      <c r="N11" s="51">
        <f t="shared" si="1"/>
        <v>1</v>
      </c>
      <c r="O11" s="51">
        <f t="shared" si="2"/>
        <v>0</v>
      </c>
      <c r="P11" s="52">
        <f t="shared" si="3"/>
        <v>1</v>
      </c>
      <c r="Q11" s="45">
        <v>1</v>
      </c>
      <c r="R11" s="47"/>
      <c r="S11" s="47">
        <v>2</v>
      </c>
      <c r="T11" s="47"/>
      <c r="U11" s="51">
        <f t="shared" si="4"/>
        <v>5</v>
      </c>
      <c r="V11" s="51">
        <f t="shared" si="5"/>
        <v>0</v>
      </c>
      <c r="W11" s="53">
        <f t="shared" si="6"/>
        <v>5</v>
      </c>
      <c r="X11" s="45">
        <v>1</v>
      </c>
      <c r="Y11" s="47"/>
      <c r="Z11" s="47">
        <v>1</v>
      </c>
      <c r="AA11" s="47"/>
      <c r="AB11" s="54">
        <f t="shared" si="7"/>
        <v>4</v>
      </c>
      <c r="AC11" s="54">
        <f t="shared" si="8"/>
        <v>0</v>
      </c>
      <c r="AD11" s="55">
        <f t="shared" si="9"/>
        <v>4</v>
      </c>
      <c r="AE11" s="45"/>
      <c r="AF11" s="47"/>
      <c r="AG11" s="47">
        <v>2</v>
      </c>
      <c r="AH11" s="47"/>
      <c r="AI11" s="51">
        <f t="shared" si="10"/>
        <v>2</v>
      </c>
      <c r="AJ11" s="51">
        <f t="shared" si="11"/>
        <v>0</v>
      </c>
      <c r="AK11" s="53">
        <f t="shared" si="12"/>
        <v>2</v>
      </c>
      <c r="AL11" s="45"/>
      <c r="AM11" s="47"/>
      <c r="AN11" s="47">
        <v>2</v>
      </c>
      <c r="AO11" s="47">
        <v>1</v>
      </c>
      <c r="AP11" s="51">
        <f t="shared" si="13"/>
        <v>2</v>
      </c>
      <c r="AQ11" s="51">
        <f t="shared" si="14"/>
        <v>1</v>
      </c>
      <c r="AR11" s="53">
        <f t="shared" si="15"/>
        <v>3</v>
      </c>
      <c r="AS11" s="45">
        <v>1</v>
      </c>
      <c r="AT11" s="47"/>
      <c r="AU11" s="47">
        <v>1</v>
      </c>
      <c r="AV11" s="47"/>
      <c r="AW11" s="51">
        <f t="shared" si="16"/>
        <v>4</v>
      </c>
      <c r="AX11" s="51">
        <f t="shared" si="17"/>
        <v>0</v>
      </c>
      <c r="AY11" s="53">
        <f t="shared" si="18"/>
        <v>4</v>
      </c>
      <c r="AZ11" s="45">
        <v>1</v>
      </c>
      <c r="BA11" s="47"/>
      <c r="BB11" s="47"/>
      <c r="BC11" s="47">
        <v>1</v>
      </c>
      <c r="BD11" s="51">
        <f t="shared" si="19"/>
        <v>3</v>
      </c>
      <c r="BE11" s="51">
        <f t="shared" si="20"/>
        <v>1</v>
      </c>
      <c r="BF11" s="53">
        <f t="shared" si="21"/>
        <v>4</v>
      </c>
      <c r="BG11" s="45"/>
      <c r="BH11" s="47"/>
      <c r="BI11" s="47">
        <v>1</v>
      </c>
      <c r="BJ11" s="47">
        <v>1</v>
      </c>
      <c r="BK11" s="51">
        <f t="shared" si="22"/>
        <v>1</v>
      </c>
      <c r="BL11" s="51">
        <f t="shared" si="23"/>
        <v>1</v>
      </c>
      <c r="BM11" s="133">
        <f t="shared" si="24"/>
        <v>2</v>
      </c>
      <c r="BN11" s="96"/>
      <c r="BO11" s="135"/>
      <c r="BP11" s="135">
        <v>3</v>
      </c>
      <c r="BQ11" s="135"/>
      <c r="BR11" s="51">
        <f t="shared" si="25"/>
        <v>3</v>
      </c>
      <c r="BS11" s="51">
        <f t="shared" si="26"/>
        <v>0</v>
      </c>
      <c r="BT11" s="133">
        <f t="shared" si="27"/>
        <v>3</v>
      </c>
      <c r="BU11" s="146">
        <f t="shared" si="28"/>
        <v>25</v>
      </c>
      <c r="BV11" s="92">
        <f t="shared" ca="1" si="29"/>
        <v>0.10460251046025104</v>
      </c>
      <c r="BW11" s="56">
        <f t="shared" si="30"/>
        <v>3</v>
      </c>
      <c r="BX11" s="92">
        <f t="shared" ca="1" si="31"/>
        <v>1.2552301255230125E-2</v>
      </c>
      <c r="BY11" s="56">
        <f t="shared" si="32"/>
        <v>28</v>
      </c>
      <c r="BZ11" s="92">
        <f t="shared" ca="1" si="33"/>
        <v>0.11715481171548117</v>
      </c>
      <c r="CA11" s="56">
        <f t="shared" si="34"/>
        <v>5</v>
      </c>
      <c r="CB11" s="56">
        <f t="shared" si="35"/>
        <v>0</v>
      </c>
      <c r="CC11" s="56">
        <f t="shared" si="36"/>
        <v>5</v>
      </c>
    </row>
    <row r="12" spans="1:81" x14ac:dyDescent="0.25">
      <c r="A12" s="45">
        <v>9</v>
      </c>
      <c r="B12" s="76" t="s">
        <v>139</v>
      </c>
      <c r="C12" s="81" t="str">
        <f t="shared" si="0"/>
        <v>מעין 9</v>
      </c>
      <c r="D12" s="47" t="s">
        <v>6</v>
      </c>
      <c r="E12" s="65" t="s">
        <v>7</v>
      </c>
      <c r="F12" s="95" t="s">
        <v>209</v>
      </c>
      <c r="G12" s="89">
        <v>42979</v>
      </c>
      <c r="H12" s="57">
        <v>43661</v>
      </c>
      <c r="I12" s="48"/>
      <c r="J12" s="49"/>
      <c r="K12" s="50"/>
      <c r="L12" s="50"/>
      <c r="M12" s="50"/>
      <c r="N12" s="51">
        <f t="shared" si="1"/>
        <v>0</v>
      </c>
      <c r="O12" s="51">
        <f t="shared" si="2"/>
        <v>0</v>
      </c>
      <c r="P12" s="52">
        <f t="shared" si="3"/>
        <v>0</v>
      </c>
      <c r="Q12" s="45"/>
      <c r="R12" s="47"/>
      <c r="S12" s="47"/>
      <c r="T12" s="47"/>
      <c r="U12" s="51">
        <f t="shared" si="4"/>
        <v>0</v>
      </c>
      <c r="V12" s="51">
        <f t="shared" si="5"/>
        <v>0</v>
      </c>
      <c r="W12" s="53">
        <f t="shared" si="6"/>
        <v>0</v>
      </c>
      <c r="X12" s="45"/>
      <c r="Y12" s="47"/>
      <c r="Z12" s="47"/>
      <c r="AA12" s="47"/>
      <c r="AB12" s="54">
        <f t="shared" si="7"/>
        <v>0</v>
      </c>
      <c r="AC12" s="54">
        <f t="shared" si="8"/>
        <v>0</v>
      </c>
      <c r="AD12" s="55">
        <f t="shared" si="9"/>
        <v>0</v>
      </c>
      <c r="AE12" s="45">
        <v>1</v>
      </c>
      <c r="AF12" s="47"/>
      <c r="AG12" s="47">
        <v>3</v>
      </c>
      <c r="AH12" s="47"/>
      <c r="AI12" s="51">
        <f t="shared" si="10"/>
        <v>6</v>
      </c>
      <c r="AJ12" s="51">
        <f t="shared" si="11"/>
        <v>0</v>
      </c>
      <c r="AK12" s="53">
        <f t="shared" si="12"/>
        <v>6</v>
      </c>
      <c r="AL12" s="45"/>
      <c r="AM12" s="47"/>
      <c r="AN12" s="47">
        <v>1</v>
      </c>
      <c r="AO12" s="47"/>
      <c r="AP12" s="51">
        <f t="shared" si="13"/>
        <v>1</v>
      </c>
      <c r="AQ12" s="51">
        <f t="shared" si="14"/>
        <v>0</v>
      </c>
      <c r="AR12" s="53">
        <f t="shared" si="15"/>
        <v>1</v>
      </c>
      <c r="AS12" s="45">
        <v>1</v>
      </c>
      <c r="AT12" s="47"/>
      <c r="AU12" s="47">
        <v>1</v>
      </c>
      <c r="AV12" s="47"/>
      <c r="AW12" s="51">
        <f t="shared" si="16"/>
        <v>4</v>
      </c>
      <c r="AX12" s="51">
        <f t="shared" si="17"/>
        <v>0</v>
      </c>
      <c r="AY12" s="53">
        <f t="shared" si="18"/>
        <v>4</v>
      </c>
      <c r="AZ12" s="45">
        <v>1</v>
      </c>
      <c r="BA12" s="47"/>
      <c r="BB12" s="47">
        <v>3</v>
      </c>
      <c r="BC12" s="47">
        <v>1</v>
      </c>
      <c r="BD12" s="51">
        <f t="shared" si="19"/>
        <v>6</v>
      </c>
      <c r="BE12" s="51">
        <f t="shared" si="20"/>
        <v>1</v>
      </c>
      <c r="BF12" s="53">
        <f t="shared" si="21"/>
        <v>7</v>
      </c>
      <c r="BG12" s="45"/>
      <c r="BH12" s="47"/>
      <c r="BI12" s="47">
        <v>2</v>
      </c>
      <c r="BJ12" s="47"/>
      <c r="BK12" s="51">
        <f t="shared" si="22"/>
        <v>2</v>
      </c>
      <c r="BL12" s="51">
        <f t="shared" si="23"/>
        <v>0</v>
      </c>
      <c r="BM12" s="133">
        <f t="shared" si="24"/>
        <v>2</v>
      </c>
      <c r="BN12" s="96"/>
      <c r="BO12" s="135"/>
      <c r="BP12" s="135">
        <v>2</v>
      </c>
      <c r="BQ12" s="135">
        <v>1</v>
      </c>
      <c r="BR12" s="51">
        <f t="shared" si="25"/>
        <v>2</v>
      </c>
      <c r="BS12" s="51">
        <f t="shared" si="26"/>
        <v>1</v>
      </c>
      <c r="BT12" s="133">
        <f t="shared" si="27"/>
        <v>3</v>
      </c>
      <c r="BU12" s="146">
        <f t="shared" si="28"/>
        <v>21</v>
      </c>
      <c r="BV12" s="92">
        <f t="shared" ca="1" si="29"/>
        <v>0.11864406779661017</v>
      </c>
      <c r="BW12" s="56">
        <f t="shared" si="30"/>
        <v>2</v>
      </c>
      <c r="BX12" s="92">
        <f t="shared" ca="1" si="31"/>
        <v>1.1299435028248588E-2</v>
      </c>
      <c r="BY12" s="56">
        <f t="shared" si="32"/>
        <v>23</v>
      </c>
      <c r="BZ12" s="92">
        <f t="shared" ca="1" si="33"/>
        <v>0.12994350282485875</v>
      </c>
      <c r="CA12" s="56">
        <f t="shared" si="34"/>
        <v>3</v>
      </c>
      <c r="CB12" s="56">
        <f t="shared" si="35"/>
        <v>0</v>
      </c>
      <c r="CC12" s="56">
        <f t="shared" si="36"/>
        <v>3</v>
      </c>
    </row>
    <row r="13" spans="1:81" x14ac:dyDescent="0.25">
      <c r="A13" s="96" t="s">
        <v>88</v>
      </c>
      <c r="B13" s="97" t="s">
        <v>126</v>
      </c>
      <c r="C13" s="81" t="str">
        <f t="shared" si="0"/>
        <v>דיאנה אחודה</v>
      </c>
      <c r="D13" s="47" t="s">
        <v>6</v>
      </c>
      <c r="E13" s="65" t="s">
        <v>7</v>
      </c>
      <c r="F13" s="95" t="s">
        <v>210</v>
      </c>
      <c r="G13" s="89">
        <v>43009</v>
      </c>
      <c r="H13" s="57">
        <v>43291</v>
      </c>
      <c r="I13" s="48"/>
      <c r="J13" s="49"/>
      <c r="K13" s="50"/>
      <c r="L13" s="50"/>
      <c r="M13" s="50"/>
      <c r="N13" s="51">
        <f t="shared" si="1"/>
        <v>0</v>
      </c>
      <c r="O13" s="51">
        <f t="shared" si="2"/>
        <v>0</v>
      </c>
      <c r="P13" s="52">
        <f t="shared" si="3"/>
        <v>0</v>
      </c>
      <c r="Q13" s="45"/>
      <c r="R13" s="47"/>
      <c r="S13" s="47"/>
      <c r="T13" s="47"/>
      <c r="U13" s="51">
        <f t="shared" si="4"/>
        <v>0</v>
      </c>
      <c r="V13" s="51">
        <f t="shared" si="5"/>
        <v>0</v>
      </c>
      <c r="W13" s="53">
        <f t="shared" si="6"/>
        <v>0</v>
      </c>
      <c r="X13" s="45"/>
      <c r="Y13" s="47"/>
      <c r="Z13" s="47"/>
      <c r="AA13" s="47"/>
      <c r="AB13" s="54">
        <f t="shared" si="7"/>
        <v>0</v>
      </c>
      <c r="AC13" s="54">
        <f t="shared" si="8"/>
        <v>0</v>
      </c>
      <c r="AD13" s="55">
        <f t="shared" si="9"/>
        <v>0</v>
      </c>
      <c r="AE13" s="45"/>
      <c r="AF13" s="47"/>
      <c r="AG13" s="47"/>
      <c r="AH13" s="47"/>
      <c r="AI13" s="51">
        <f t="shared" si="10"/>
        <v>0</v>
      </c>
      <c r="AJ13" s="51">
        <f t="shared" si="11"/>
        <v>0</v>
      </c>
      <c r="AK13" s="53">
        <f t="shared" si="12"/>
        <v>0</v>
      </c>
      <c r="AL13" s="45">
        <v>1</v>
      </c>
      <c r="AM13" s="47"/>
      <c r="AN13" s="47">
        <v>1</v>
      </c>
      <c r="AO13" s="47"/>
      <c r="AP13" s="51">
        <f t="shared" si="13"/>
        <v>4</v>
      </c>
      <c r="AQ13" s="51">
        <f t="shared" si="14"/>
        <v>0</v>
      </c>
      <c r="AR13" s="53">
        <f t="shared" si="15"/>
        <v>4</v>
      </c>
      <c r="AS13" s="45"/>
      <c r="AT13" s="47"/>
      <c r="AU13" s="47">
        <v>4</v>
      </c>
      <c r="AV13" s="47"/>
      <c r="AW13" s="51">
        <f t="shared" si="16"/>
        <v>4</v>
      </c>
      <c r="AX13" s="51">
        <f t="shared" si="17"/>
        <v>0</v>
      </c>
      <c r="AY13" s="53">
        <f t="shared" si="18"/>
        <v>4</v>
      </c>
      <c r="AZ13" s="45">
        <v>1</v>
      </c>
      <c r="BA13" s="47"/>
      <c r="BB13" s="47">
        <v>1</v>
      </c>
      <c r="BC13" s="47"/>
      <c r="BD13" s="51">
        <f t="shared" si="19"/>
        <v>4</v>
      </c>
      <c r="BE13" s="51">
        <f t="shared" si="20"/>
        <v>0</v>
      </c>
      <c r="BF13" s="53">
        <f t="shared" si="21"/>
        <v>4</v>
      </c>
      <c r="BG13" s="45"/>
      <c r="BH13" s="47"/>
      <c r="BI13" s="47">
        <v>3</v>
      </c>
      <c r="BJ13" s="47"/>
      <c r="BK13" s="51">
        <f t="shared" si="22"/>
        <v>3</v>
      </c>
      <c r="BL13" s="51">
        <f t="shared" si="23"/>
        <v>0</v>
      </c>
      <c r="BM13" s="133">
        <f t="shared" si="24"/>
        <v>3</v>
      </c>
      <c r="BN13" s="96"/>
      <c r="BO13" s="135"/>
      <c r="BP13" s="135">
        <v>2</v>
      </c>
      <c r="BQ13" s="135">
        <v>1</v>
      </c>
      <c r="BR13" s="51">
        <f t="shared" si="25"/>
        <v>2</v>
      </c>
      <c r="BS13" s="51">
        <f t="shared" si="26"/>
        <v>1</v>
      </c>
      <c r="BT13" s="133">
        <f t="shared" si="27"/>
        <v>3</v>
      </c>
      <c r="BU13" s="146">
        <f t="shared" si="28"/>
        <v>17</v>
      </c>
      <c r="BV13" s="92">
        <f t="shared" ca="1" si="29"/>
        <v>0.11564625850340136</v>
      </c>
      <c r="BW13" s="56">
        <f t="shared" si="30"/>
        <v>1</v>
      </c>
      <c r="BX13" s="92">
        <f t="shared" ca="1" si="31"/>
        <v>6.8027210884353739E-3</v>
      </c>
      <c r="BY13" s="56">
        <f t="shared" si="32"/>
        <v>18</v>
      </c>
      <c r="BZ13" s="92">
        <f t="shared" ca="1" si="33"/>
        <v>0.12244897959183673</v>
      </c>
      <c r="CA13" s="56">
        <f t="shared" si="34"/>
        <v>2</v>
      </c>
      <c r="CB13" s="56">
        <f t="shared" si="35"/>
        <v>0</v>
      </c>
      <c r="CC13" s="56">
        <f t="shared" si="36"/>
        <v>2</v>
      </c>
    </row>
    <row r="14" spans="1:81" x14ac:dyDescent="0.25">
      <c r="A14" s="45">
        <v>9</v>
      </c>
      <c r="B14" s="76" t="s">
        <v>178</v>
      </c>
      <c r="C14" s="81" t="str">
        <f t="shared" si="0"/>
        <v>אור 9</v>
      </c>
      <c r="D14" s="47" t="s">
        <v>6</v>
      </c>
      <c r="E14" s="65" t="s">
        <v>7</v>
      </c>
      <c r="F14" s="95" t="s">
        <v>212</v>
      </c>
      <c r="G14" s="89">
        <v>43101</v>
      </c>
      <c r="H14" s="95" t="s">
        <v>86</v>
      </c>
      <c r="I14" s="48"/>
      <c r="J14" s="49"/>
      <c r="K14" s="50"/>
      <c r="L14" s="50"/>
      <c r="M14" s="50"/>
      <c r="N14" s="51">
        <f t="shared" si="1"/>
        <v>0</v>
      </c>
      <c r="O14" s="51">
        <f t="shared" si="2"/>
        <v>0</v>
      </c>
      <c r="P14" s="52">
        <f t="shared" si="3"/>
        <v>0</v>
      </c>
      <c r="Q14" s="45"/>
      <c r="R14" s="47"/>
      <c r="S14" s="47"/>
      <c r="T14" s="47"/>
      <c r="U14" s="51">
        <f t="shared" si="4"/>
        <v>0</v>
      </c>
      <c r="V14" s="51">
        <f t="shared" si="5"/>
        <v>0</v>
      </c>
      <c r="W14" s="53">
        <f t="shared" si="6"/>
        <v>0</v>
      </c>
      <c r="X14" s="45"/>
      <c r="Y14" s="47"/>
      <c r="Z14" s="47"/>
      <c r="AA14" s="47"/>
      <c r="AB14" s="54">
        <f t="shared" si="7"/>
        <v>0</v>
      </c>
      <c r="AC14" s="54">
        <f t="shared" si="8"/>
        <v>0</v>
      </c>
      <c r="AD14" s="55">
        <f t="shared" si="9"/>
        <v>0</v>
      </c>
      <c r="AE14" s="45"/>
      <c r="AF14" s="47"/>
      <c r="AG14" s="47"/>
      <c r="AH14" s="47"/>
      <c r="AI14" s="51">
        <f t="shared" si="10"/>
        <v>0</v>
      </c>
      <c r="AJ14" s="51">
        <f t="shared" si="11"/>
        <v>0</v>
      </c>
      <c r="AK14" s="53">
        <f t="shared" si="12"/>
        <v>0</v>
      </c>
      <c r="AL14" s="45"/>
      <c r="AM14" s="47"/>
      <c r="AN14" s="47"/>
      <c r="AO14" s="47"/>
      <c r="AP14" s="51">
        <f t="shared" si="13"/>
        <v>0</v>
      </c>
      <c r="AQ14" s="51">
        <f t="shared" si="14"/>
        <v>0</v>
      </c>
      <c r="AR14" s="53">
        <f t="shared" si="15"/>
        <v>0</v>
      </c>
      <c r="AS14" s="45"/>
      <c r="AT14" s="47"/>
      <c r="AU14" s="47"/>
      <c r="AV14" s="47"/>
      <c r="AW14" s="51">
        <f t="shared" si="16"/>
        <v>0</v>
      </c>
      <c r="AX14" s="51">
        <f t="shared" si="17"/>
        <v>0</v>
      </c>
      <c r="AY14" s="53">
        <f t="shared" si="18"/>
        <v>0</v>
      </c>
      <c r="AZ14" s="45"/>
      <c r="BA14" s="47"/>
      <c r="BB14" s="47"/>
      <c r="BC14" s="47"/>
      <c r="BD14" s="51">
        <f t="shared" si="19"/>
        <v>0</v>
      </c>
      <c r="BE14" s="51">
        <f t="shared" si="20"/>
        <v>0</v>
      </c>
      <c r="BF14" s="53">
        <f t="shared" si="21"/>
        <v>0</v>
      </c>
      <c r="BG14" s="45"/>
      <c r="BH14" s="47"/>
      <c r="BI14" s="47">
        <v>2</v>
      </c>
      <c r="BJ14" s="47"/>
      <c r="BK14" s="51">
        <f t="shared" si="22"/>
        <v>2</v>
      </c>
      <c r="BL14" s="51">
        <f t="shared" si="23"/>
        <v>0</v>
      </c>
      <c r="BM14" s="133">
        <f t="shared" si="24"/>
        <v>2</v>
      </c>
      <c r="BN14" s="96">
        <v>1</v>
      </c>
      <c r="BO14" s="135"/>
      <c r="BP14" s="135">
        <v>2</v>
      </c>
      <c r="BQ14" s="135"/>
      <c r="BR14" s="51">
        <f t="shared" si="25"/>
        <v>5</v>
      </c>
      <c r="BS14" s="51">
        <f t="shared" si="26"/>
        <v>0</v>
      </c>
      <c r="BT14" s="133">
        <f t="shared" si="27"/>
        <v>5</v>
      </c>
      <c r="BU14" s="146">
        <f t="shared" si="28"/>
        <v>7</v>
      </c>
      <c r="BV14" s="92">
        <f t="shared" ca="1" si="29"/>
        <v>0.12727272727272726</v>
      </c>
      <c r="BW14" s="56">
        <f t="shared" si="30"/>
        <v>0</v>
      </c>
      <c r="BX14" s="92">
        <f t="shared" ca="1" si="31"/>
        <v>0</v>
      </c>
      <c r="BY14" s="56">
        <f t="shared" si="32"/>
        <v>7</v>
      </c>
      <c r="BZ14" s="92">
        <f t="shared" ca="1" si="33"/>
        <v>0.12727272727272726</v>
      </c>
      <c r="CA14" s="56">
        <f t="shared" si="34"/>
        <v>1</v>
      </c>
      <c r="CB14" s="56">
        <f t="shared" si="35"/>
        <v>0</v>
      </c>
      <c r="CC14" s="56">
        <f t="shared" si="36"/>
        <v>1</v>
      </c>
    </row>
    <row r="15" spans="1:81" x14ac:dyDescent="0.25">
      <c r="A15" s="45">
        <v>11</v>
      </c>
      <c r="B15" s="76" t="s">
        <v>191</v>
      </c>
      <c r="C15" s="81" t="str">
        <f t="shared" si="0"/>
        <v>ניקול 11</v>
      </c>
      <c r="D15" s="65" t="s">
        <v>6</v>
      </c>
      <c r="E15" s="65" t="s">
        <v>6</v>
      </c>
      <c r="F15" s="95" t="s">
        <v>213</v>
      </c>
      <c r="G15" s="89">
        <v>43132</v>
      </c>
      <c r="H15" s="151" t="s">
        <v>86</v>
      </c>
      <c r="I15" s="48"/>
      <c r="J15" s="49"/>
      <c r="K15" s="50"/>
      <c r="L15" s="50"/>
      <c r="M15" s="50"/>
      <c r="N15" s="51"/>
      <c r="O15" s="51"/>
      <c r="P15" s="52">
        <v>0</v>
      </c>
      <c r="Q15" s="45"/>
      <c r="R15" s="47"/>
      <c r="S15" s="47"/>
      <c r="T15" s="47"/>
      <c r="U15" s="51">
        <f t="shared" si="4"/>
        <v>0</v>
      </c>
      <c r="V15" s="51">
        <f t="shared" si="5"/>
        <v>0</v>
      </c>
      <c r="W15" s="53">
        <v>0</v>
      </c>
      <c r="X15" s="45"/>
      <c r="Y15" s="47"/>
      <c r="Z15" s="47"/>
      <c r="AA15" s="47"/>
      <c r="AB15" s="54">
        <f t="shared" si="7"/>
        <v>0</v>
      </c>
      <c r="AC15" s="54">
        <f t="shared" si="8"/>
        <v>0</v>
      </c>
      <c r="AD15" s="55">
        <f t="shared" si="9"/>
        <v>0</v>
      </c>
      <c r="AE15" s="45"/>
      <c r="AF15" s="47"/>
      <c r="AG15" s="47"/>
      <c r="AH15" s="47"/>
      <c r="AI15" s="51">
        <f t="shared" si="10"/>
        <v>0</v>
      </c>
      <c r="AJ15" s="51">
        <f t="shared" si="11"/>
        <v>0</v>
      </c>
      <c r="AK15" s="53">
        <f t="shared" si="12"/>
        <v>0</v>
      </c>
      <c r="AL15" s="45"/>
      <c r="AM15" s="47"/>
      <c r="AN15" s="47"/>
      <c r="AO15" s="47"/>
      <c r="AP15" s="51">
        <f t="shared" si="13"/>
        <v>0</v>
      </c>
      <c r="AQ15" s="51">
        <f t="shared" si="14"/>
        <v>0</v>
      </c>
      <c r="AR15" s="53">
        <f t="shared" si="15"/>
        <v>0</v>
      </c>
      <c r="AS15" s="45"/>
      <c r="AT15" s="47"/>
      <c r="AU15" s="47"/>
      <c r="AV15" s="47"/>
      <c r="AW15" s="51">
        <f t="shared" si="16"/>
        <v>0</v>
      </c>
      <c r="AX15" s="51">
        <f t="shared" si="17"/>
        <v>0</v>
      </c>
      <c r="AY15" s="53">
        <f t="shared" si="18"/>
        <v>0</v>
      </c>
      <c r="AZ15" s="45"/>
      <c r="BA15" s="47"/>
      <c r="BB15" s="47"/>
      <c r="BC15" s="47"/>
      <c r="BD15" s="51">
        <f t="shared" si="19"/>
        <v>0</v>
      </c>
      <c r="BE15" s="51">
        <f t="shared" si="20"/>
        <v>0</v>
      </c>
      <c r="BF15" s="53">
        <f t="shared" si="21"/>
        <v>0</v>
      </c>
      <c r="BG15" s="45"/>
      <c r="BH15" s="47"/>
      <c r="BI15" s="47"/>
      <c r="BJ15" s="47"/>
      <c r="BK15" s="51">
        <f t="shared" si="22"/>
        <v>0</v>
      </c>
      <c r="BL15" s="51">
        <f t="shared" si="23"/>
        <v>0</v>
      </c>
      <c r="BM15" s="133">
        <f t="shared" si="24"/>
        <v>0</v>
      </c>
      <c r="BN15" s="96">
        <v>1</v>
      </c>
      <c r="BO15" s="135"/>
      <c r="BP15" s="135">
        <v>2</v>
      </c>
      <c r="BQ15" s="135"/>
      <c r="BR15" s="51">
        <f t="shared" si="25"/>
        <v>5</v>
      </c>
      <c r="BS15" s="51">
        <f t="shared" si="26"/>
        <v>0</v>
      </c>
      <c r="BT15" s="133">
        <f t="shared" si="27"/>
        <v>5</v>
      </c>
      <c r="BU15" s="146">
        <f t="shared" si="28"/>
        <v>5</v>
      </c>
      <c r="BV15" s="92">
        <f t="shared" ca="1" si="29"/>
        <v>0.20833333333333334</v>
      </c>
      <c r="BW15" s="56">
        <f t="shared" si="30"/>
        <v>0</v>
      </c>
      <c r="BX15" s="92">
        <f t="shared" ca="1" si="31"/>
        <v>0</v>
      </c>
      <c r="BY15" s="56">
        <f t="shared" si="32"/>
        <v>5</v>
      </c>
      <c r="BZ15" s="92">
        <f t="shared" ca="1" si="33"/>
        <v>0.20833333333333334</v>
      </c>
      <c r="CA15" s="56">
        <f t="shared" si="34"/>
        <v>1</v>
      </c>
      <c r="CB15" s="56">
        <f t="shared" si="35"/>
        <v>0</v>
      </c>
      <c r="CC15" s="56">
        <f t="shared" si="36"/>
        <v>1</v>
      </c>
    </row>
    <row r="16" spans="1:81" x14ac:dyDescent="0.25">
      <c r="A16" s="45">
        <v>209</v>
      </c>
      <c r="B16" s="46" t="s">
        <v>8</v>
      </c>
      <c r="C16" s="81" t="str">
        <f t="shared" si="0"/>
        <v>יובל 209</v>
      </c>
      <c r="D16" s="47" t="s">
        <v>6</v>
      </c>
      <c r="E16" s="47" t="s">
        <v>7</v>
      </c>
      <c r="F16" s="95" t="s">
        <v>206</v>
      </c>
      <c r="G16" s="89">
        <v>42887</v>
      </c>
      <c r="H16" s="57">
        <v>43437</v>
      </c>
      <c r="I16" s="48"/>
      <c r="J16" s="49"/>
      <c r="K16" s="50"/>
      <c r="L16" s="50">
        <v>2</v>
      </c>
      <c r="M16" s="50">
        <v>1</v>
      </c>
      <c r="N16" s="51">
        <f t="shared" ref="N16:O18" si="37">J16*3+L16</f>
        <v>2</v>
      </c>
      <c r="O16" s="51">
        <f t="shared" si="37"/>
        <v>1</v>
      </c>
      <c r="P16" s="52">
        <f t="shared" ref="P16:P38" si="38">O16+N16</f>
        <v>3</v>
      </c>
      <c r="Q16" s="45"/>
      <c r="R16" s="47">
        <v>1</v>
      </c>
      <c r="S16" s="47">
        <v>2</v>
      </c>
      <c r="T16" s="47"/>
      <c r="U16" s="51">
        <f t="shared" si="4"/>
        <v>2</v>
      </c>
      <c r="V16" s="51">
        <f t="shared" si="5"/>
        <v>3</v>
      </c>
      <c r="W16" s="53">
        <f t="shared" ref="W16:W38" si="39">V16+U16</f>
        <v>5</v>
      </c>
      <c r="X16" s="45">
        <v>1</v>
      </c>
      <c r="Y16" s="47"/>
      <c r="Z16" s="47"/>
      <c r="AA16" s="47"/>
      <c r="AB16" s="54">
        <f t="shared" si="7"/>
        <v>3</v>
      </c>
      <c r="AC16" s="54">
        <f t="shared" si="8"/>
        <v>0</v>
      </c>
      <c r="AD16" s="55">
        <f t="shared" si="9"/>
        <v>3</v>
      </c>
      <c r="AE16" s="45"/>
      <c r="AF16" s="47"/>
      <c r="AG16" s="47">
        <v>3</v>
      </c>
      <c r="AH16" s="47"/>
      <c r="AI16" s="51">
        <f t="shared" si="10"/>
        <v>3</v>
      </c>
      <c r="AJ16" s="51">
        <f t="shared" si="11"/>
        <v>0</v>
      </c>
      <c r="AK16" s="53">
        <f t="shared" si="12"/>
        <v>3</v>
      </c>
      <c r="AL16" s="45"/>
      <c r="AM16" s="47"/>
      <c r="AN16" s="47"/>
      <c r="AO16" s="47">
        <v>1</v>
      </c>
      <c r="AP16" s="51">
        <f t="shared" si="13"/>
        <v>0</v>
      </c>
      <c r="AQ16" s="51">
        <f t="shared" si="14"/>
        <v>1</v>
      </c>
      <c r="AR16" s="53">
        <f t="shared" si="15"/>
        <v>1</v>
      </c>
      <c r="AS16" s="45"/>
      <c r="AT16" s="47"/>
      <c r="AU16" s="47">
        <v>1</v>
      </c>
      <c r="AV16" s="47"/>
      <c r="AW16" s="51">
        <f t="shared" si="16"/>
        <v>1</v>
      </c>
      <c r="AX16" s="51">
        <f t="shared" si="17"/>
        <v>0</v>
      </c>
      <c r="AY16" s="53">
        <f t="shared" si="18"/>
        <v>1</v>
      </c>
      <c r="AZ16" s="45"/>
      <c r="BA16" s="47"/>
      <c r="BB16" s="47">
        <v>2</v>
      </c>
      <c r="BC16" s="47"/>
      <c r="BD16" s="51">
        <f t="shared" si="19"/>
        <v>2</v>
      </c>
      <c r="BE16" s="51">
        <f t="shared" si="20"/>
        <v>0</v>
      </c>
      <c r="BF16" s="53">
        <f t="shared" si="21"/>
        <v>2</v>
      </c>
      <c r="BG16" s="45">
        <v>1</v>
      </c>
      <c r="BH16" s="47"/>
      <c r="BI16" s="47">
        <v>2</v>
      </c>
      <c r="BJ16" s="47"/>
      <c r="BK16" s="51">
        <f t="shared" si="22"/>
        <v>5</v>
      </c>
      <c r="BL16" s="51">
        <f t="shared" si="23"/>
        <v>0</v>
      </c>
      <c r="BM16" s="133">
        <f t="shared" si="24"/>
        <v>5</v>
      </c>
      <c r="BN16" s="96">
        <v>1</v>
      </c>
      <c r="BO16" s="135"/>
      <c r="BP16" s="135">
        <v>2</v>
      </c>
      <c r="BQ16" s="135"/>
      <c r="BR16" s="51">
        <f t="shared" si="25"/>
        <v>5</v>
      </c>
      <c r="BS16" s="51">
        <f t="shared" si="26"/>
        <v>0</v>
      </c>
      <c r="BT16" s="133">
        <f t="shared" si="27"/>
        <v>5</v>
      </c>
      <c r="BU16" s="146">
        <f t="shared" si="28"/>
        <v>23</v>
      </c>
      <c r="BV16" s="92">
        <f t="shared" ca="1" si="29"/>
        <v>8.5501858736059477E-2</v>
      </c>
      <c r="BW16" s="56">
        <f t="shared" si="30"/>
        <v>5</v>
      </c>
      <c r="BX16" s="92">
        <f t="shared" ca="1" si="31"/>
        <v>1.858736059479554E-2</v>
      </c>
      <c r="BY16" s="56">
        <f t="shared" si="32"/>
        <v>28</v>
      </c>
      <c r="BZ16" s="92">
        <f t="shared" ca="1" si="33"/>
        <v>0.10408921933085502</v>
      </c>
      <c r="CA16" s="56">
        <f t="shared" si="34"/>
        <v>3</v>
      </c>
      <c r="CB16" s="56">
        <f t="shared" si="35"/>
        <v>2</v>
      </c>
      <c r="CC16" s="56">
        <f t="shared" si="36"/>
        <v>5</v>
      </c>
    </row>
    <row r="17" spans="1:81" x14ac:dyDescent="0.25">
      <c r="A17" s="45">
        <v>679</v>
      </c>
      <c r="B17" s="46" t="s">
        <v>11</v>
      </c>
      <c r="C17" s="81" t="str">
        <f t="shared" si="0"/>
        <v>מירב 679</v>
      </c>
      <c r="D17" s="47" t="s">
        <v>6</v>
      </c>
      <c r="E17" s="47" t="s">
        <v>7</v>
      </c>
      <c r="F17" s="95" t="s">
        <v>206</v>
      </c>
      <c r="G17" s="89">
        <v>42887</v>
      </c>
      <c r="H17" s="57">
        <v>43421</v>
      </c>
      <c r="I17" s="48"/>
      <c r="J17" s="49">
        <v>1</v>
      </c>
      <c r="K17" s="50"/>
      <c r="L17" s="50">
        <v>3</v>
      </c>
      <c r="M17" s="50">
        <v>1</v>
      </c>
      <c r="N17" s="51">
        <f t="shared" si="37"/>
        <v>6</v>
      </c>
      <c r="O17" s="51">
        <f t="shared" si="37"/>
        <v>1</v>
      </c>
      <c r="P17" s="52">
        <f t="shared" si="38"/>
        <v>7</v>
      </c>
      <c r="Q17" s="45"/>
      <c r="R17" s="47"/>
      <c r="S17" s="47">
        <v>1</v>
      </c>
      <c r="T17" s="47">
        <v>1</v>
      </c>
      <c r="U17" s="51">
        <f t="shared" si="4"/>
        <v>1</v>
      </c>
      <c r="V17" s="51">
        <f t="shared" si="5"/>
        <v>1</v>
      </c>
      <c r="W17" s="53">
        <f t="shared" si="39"/>
        <v>2</v>
      </c>
      <c r="X17" s="45"/>
      <c r="Y17" s="47"/>
      <c r="Z17" s="47">
        <v>3</v>
      </c>
      <c r="AA17" s="47"/>
      <c r="AB17" s="54">
        <f t="shared" si="7"/>
        <v>3</v>
      </c>
      <c r="AC17" s="54">
        <f t="shared" si="8"/>
        <v>0</v>
      </c>
      <c r="AD17" s="55">
        <f t="shared" si="9"/>
        <v>3</v>
      </c>
      <c r="AE17" s="45">
        <v>1</v>
      </c>
      <c r="AF17" s="47">
        <v>1</v>
      </c>
      <c r="AG17" s="47">
        <v>1</v>
      </c>
      <c r="AH17" s="47">
        <v>1</v>
      </c>
      <c r="AI17" s="51">
        <f t="shared" si="10"/>
        <v>4</v>
      </c>
      <c r="AJ17" s="51">
        <f t="shared" si="11"/>
        <v>4</v>
      </c>
      <c r="AK17" s="53">
        <f t="shared" si="12"/>
        <v>8</v>
      </c>
      <c r="AL17" s="45"/>
      <c r="AM17" s="47"/>
      <c r="AN17" s="47">
        <v>1</v>
      </c>
      <c r="AO17" s="47">
        <v>1</v>
      </c>
      <c r="AP17" s="51">
        <f t="shared" si="13"/>
        <v>1</v>
      </c>
      <c r="AQ17" s="51">
        <f t="shared" si="14"/>
        <v>1</v>
      </c>
      <c r="AR17" s="53">
        <f t="shared" si="15"/>
        <v>2</v>
      </c>
      <c r="AS17" s="45"/>
      <c r="AT17" s="47"/>
      <c r="AU17" s="47">
        <v>1</v>
      </c>
      <c r="AV17" s="47">
        <v>2</v>
      </c>
      <c r="AW17" s="51">
        <f t="shared" si="16"/>
        <v>1</v>
      </c>
      <c r="AX17" s="51">
        <f t="shared" si="17"/>
        <v>2</v>
      </c>
      <c r="AY17" s="53">
        <f t="shared" si="18"/>
        <v>3</v>
      </c>
      <c r="AZ17" s="45"/>
      <c r="BA17" s="47"/>
      <c r="BB17" s="47">
        <v>2</v>
      </c>
      <c r="BC17" s="47">
        <v>1</v>
      </c>
      <c r="BD17" s="51">
        <f t="shared" si="19"/>
        <v>2</v>
      </c>
      <c r="BE17" s="51">
        <f t="shared" si="20"/>
        <v>1</v>
      </c>
      <c r="BF17" s="53">
        <f t="shared" si="21"/>
        <v>3</v>
      </c>
      <c r="BG17" s="45"/>
      <c r="BH17" s="47"/>
      <c r="BI17" s="47">
        <v>2</v>
      </c>
      <c r="BJ17" s="47">
        <v>1</v>
      </c>
      <c r="BK17" s="51">
        <f t="shared" si="22"/>
        <v>2</v>
      </c>
      <c r="BL17" s="51">
        <f t="shared" si="23"/>
        <v>1</v>
      </c>
      <c r="BM17" s="133">
        <f t="shared" si="24"/>
        <v>3</v>
      </c>
      <c r="BN17" s="96">
        <v>1</v>
      </c>
      <c r="BO17" s="135"/>
      <c r="BP17" s="135">
        <v>2</v>
      </c>
      <c r="BQ17" s="135"/>
      <c r="BR17" s="51">
        <f t="shared" si="25"/>
        <v>5</v>
      </c>
      <c r="BS17" s="51">
        <f t="shared" si="26"/>
        <v>0</v>
      </c>
      <c r="BT17" s="133">
        <f t="shared" si="27"/>
        <v>5</v>
      </c>
      <c r="BU17" s="146">
        <f t="shared" si="28"/>
        <v>25</v>
      </c>
      <c r="BV17" s="92">
        <f t="shared" ca="1" si="29"/>
        <v>9.2936802973977689E-2</v>
      </c>
      <c r="BW17" s="56">
        <f t="shared" si="30"/>
        <v>11</v>
      </c>
      <c r="BX17" s="92">
        <f t="shared" ca="1" si="31"/>
        <v>4.0892193308550186E-2</v>
      </c>
      <c r="BY17" s="56">
        <f t="shared" si="32"/>
        <v>36</v>
      </c>
      <c r="BZ17" s="92">
        <f t="shared" ca="1" si="33"/>
        <v>0.13382899628252787</v>
      </c>
      <c r="CA17" s="56">
        <f t="shared" si="34"/>
        <v>3</v>
      </c>
      <c r="CB17" s="56">
        <f t="shared" si="35"/>
        <v>1</v>
      </c>
      <c r="CC17" s="56">
        <f t="shared" si="36"/>
        <v>4</v>
      </c>
    </row>
    <row r="18" spans="1:81" x14ac:dyDescent="0.25">
      <c r="A18" s="96" t="s">
        <v>88</v>
      </c>
      <c r="B18" s="76" t="s">
        <v>180</v>
      </c>
      <c r="C18" s="81" t="str">
        <f t="shared" si="0"/>
        <v>עמית אחודה</v>
      </c>
      <c r="D18" s="47" t="s">
        <v>6</v>
      </c>
      <c r="E18" s="65" t="s">
        <v>7</v>
      </c>
      <c r="F18" s="95" t="s">
        <v>212</v>
      </c>
      <c r="G18" s="89">
        <v>43101</v>
      </c>
      <c r="H18" s="95" t="s">
        <v>86</v>
      </c>
      <c r="I18" s="48"/>
      <c r="J18" s="49"/>
      <c r="K18" s="50"/>
      <c r="L18" s="50"/>
      <c r="M18" s="50"/>
      <c r="N18" s="51">
        <f t="shared" si="37"/>
        <v>0</v>
      </c>
      <c r="O18" s="51">
        <f t="shared" si="37"/>
        <v>0</v>
      </c>
      <c r="P18" s="52">
        <f t="shared" si="38"/>
        <v>0</v>
      </c>
      <c r="Q18" s="45"/>
      <c r="R18" s="47"/>
      <c r="S18" s="47"/>
      <c r="T18" s="47"/>
      <c r="U18" s="51">
        <f t="shared" si="4"/>
        <v>0</v>
      </c>
      <c r="V18" s="51">
        <f t="shared" si="5"/>
        <v>0</v>
      </c>
      <c r="W18" s="53">
        <f t="shared" si="39"/>
        <v>0</v>
      </c>
      <c r="X18" s="45"/>
      <c r="Y18" s="47"/>
      <c r="Z18" s="47"/>
      <c r="AA18" s="47"/>
      <c r="AB18" s="54">
        <f t="shared" si="7"/>
        <v>0</v>
      </c>
      <c r="AC18" s="54">
        <f t="shared" si="8"/>
        <v>0</v>
      </c>
      <c r="AD18" s="55">
        <f t="shared" si="9"/>
        <v>0</v>
      </c>
      <c r="AE18" s="45"/>
      <c r="AF18" s="47"/>
      <c r="AG18" s="47"/>
      <c r="AH18" s="47"/>
      <c r="AI18" s="51">
        <f t="shared" si="10"/>
        <v>0</v>
      </c>
      <c r="AJ18" s="51">
        <f t="shared" si="11"/>
        <v>0</v>
      </c>
      <c r="AK18" s="53">
        <f t="shared" si="12"/>
        <v>0</v>
      </c>
      <c r="AL18" s="45"/>
      <c r="AM18" s="47"/>
      <c r="AN18" s="47"/>
      <c r="AO18" s="47"/>
      <c r="AP18" s="51">
        <f t="shared" si="13"/>
        <v>0</v>
      </c>
      <c r="AQ18" s="51">
        <f t="shared" si="14"/>
        <v>0</v>
      </c>
      <c r="AR18" s="53">
        <f t="shared" si="15"/>
        <v>0</v>
      </c>
      <c r="AS18" s="45"/>
      <c r="AT18" s="47"/>
      <c r="AU18" s="47"/>
      <c r="AV18" s="47"/>
      <c r="AW18" s="51">
        <f t="shared" si="16"/>
        <v>0</v>
      </c>
      <c r="AX18" s="51">
        <f t="shared" si="17"/>
        <v>0</v>
      </c>
      <c r="AY18" s="53">
        <f t="shared" si="18"/>
        <v>0</v>
      </c>
      <c r="AZ18" s="45"/>
      <c r="BA18" s="47"/>
      <c r="BB18" s="47"/>
      <c r="BC18" s="47"/>
      <c r="BD18" s="51">
        <f t="shared" si="19"/>
        <v>0</v>
      </c>
      <c r="BE18" s="51">
        <f t="shared" si="20"/>
        <v>0</v>
      </c>
      <c r="BF18" s="53">
        <f t="shared" si="21"/>
        <v>0</v>
      </c>
      <c r="BG18" s="45">
        <v>1</v>
      </c>
      <c r="BH18" s="47"/>
      <c r="BI18" s="47"/>
      <c r="BJ18" s="47"/>
      <c r="BK18" s="51">
        <f t="shared" si="22"/>
        <v>3</v>
      </c>
      <c r="BL18" s="51">
        <f t="shared" si="23"/>
        <v>0</v>
      </c>
      <c r="BM18" s="133">
        <f t="shared" si="24"/>
        <v>3</v>
      </c>
      <c r="BN18" s="96"/>
      <c r="BO18" s="135">
        <v>1</v>
      </c>
      <c r="BP18" s="135">
        <v>2</v>
      </c>
      <c r="BQ18" s="135"/>
      <c r="BR18" s="51">
        <f t="shared" si="25"/>
        <v>2</v>
      </c>
      <c r="BS18" s="51">
        <f t="shared" si="26"/>
        <v>3</v>
      </c>
      <c r="BT18" s="133">
        <f t="shared" si="27"/>
        <v>5</v>
      </c>
      <c r="BU18" s="146">
        <f t="shared" si="28"/>
        <v>5</v>
      </c>
      <c r="BV18" s="92">
        <f t="shared" ca="1" si="29"/>
        <v>9.0909090909090912E-2</v>
      </c>
      <c r="BW18" s="56">
        <f t="shared" si="30"/>
        <v>3</v>
      </c>
      <c r="BX18" s="92">
        <f t="shared" ca="1" si="31"/>
        <v>5.4545454545454543E-2</v>
      </c>
      <c r="BY18" s="56">
        <f t="shared" si="32"/>
        <v>8</v>
      </c>
      <c r="BZ18" s="92">
        <f t="shared" ca="1" si="33"/>
        <v>0.14545454545454545</v>
      </c>
      <c r="CA18" s="56">
        <f t="shared" si="34"/>
        <v>1</v>
      </c>
      <c r="CB18" s="56">
        <f t="shared" si="35"/>
        <v>1</v>
      </c>
      <c r="CC18" s="56">
        <f t="shared" si="36"/>
        <v>2</v>
      </c>
    </row>
    <row r="19" spans="1:81" x14ac:dyDescent="0.25">
      <c r="A19" s="96" t="s">
        <v>88</v>
      </c>
      <c r="B19" s="76" t="s">
        <v>190</v>
      </c>
      <c r="C19" s="81" t="str">
        <f t="shared" si="0"/>
        <v>תאיר אחודה</v>
      </c>
      <c r="D19" s="65" t="s">
        <v>6</v>
      </c>
      <c r="E19" s="65" t="s">
        <v>6</v>
      </c>
      <c r="F19" s="95" t="s">
        <v>213</v>
      </c>
      <c r="G19" s="89">
        <v>43132</v>
      </c>
      <c r="H19" s="95" t="s">
        <v>86</v>
      </c>
      <c r="I19" s="48"/>
      <c r="J19" s="49"/>
      <c r="K19" s="50"/>
      <c r="L19" s="50"/>
      <c r="M19" s="50"/>
      <c r="N19" s="51"/>
      <c r="O19" s="51"/>
      <c r="P19" s="52">
        <f t="shared" si="38"/>
        <v>0</v>
      </c>
      <c r="Q19" s="45"/>
      <c r="R19" s="47"/>
      <c r="S19" s="47"/>
      <c r="T19" s="47"/>
      <c r="U19" s="51">
        <f t="shared" si="4"/>
        <v>0</v>
      </c>
      <c r="V19" s="51">
        <f t="shared" si="5"/>
        <v>0</v>
      </c>
      <c r="W19" s="53">
        <f t="shared" si="39"/>
        <v>0</v>
      </c>
      <c r="X19" s="45"/>
      <c r="Y19" s="47"/>
      <c r="Z19" s="47"/>
      <c r="AA19" s="47"/>
      <c r="AB19" s="54">
        <f t="shared" si="7"/>
        <v>0</v>
      </c>
      <c r="AC19" s="54">
        <f t="shared" si="8"/>
        <v>0</v>
      </c>
      <c r="AD19" s="55">
        <f t="shared" si="9"/>
        <v>0</v>
      </c>
      <c r="AE19" s="45"/>
      <c r="AF19" s="47"/>
      <c r="AG19" s="47"/>
      <c r="AH19" s="47"/>
      <c r="AI19" s="51">
        <f t="shared" si="10"/>
        <v>0</v>
      </c>
      <c r="AJ19" s="51">
        <f t="shared" si="11"/>
        <v>0</v>
      </c>
      <c r="AK19" s="53">
        <f t="shared" si="12"/>
        <v>0</v>
      </c>
      <c r="AL19" s="45"/>
      <c r="AM19" s="47"/>
      <c r="AN19" s="47"/>
      <c r="AO19" s="47"/>
      <c r="AP19" s="51">
        <f t="shared" si="13"/>
        <v>0</v>
      </c>
      <c r="AQ19" s="51">
        <f t="shared" si="14"/>
        <v>0</v>
      </c>
      <c r="AR19" s="53">
        <f t="shared" si="15"/>
        <v>0</v>
      </c>
      <c r="AS19" s="45"/>
      <c r="AT19" s="47"/>
      <c r="AU19" s="47"/>
      <c r="AV19" s="47"/>
      <c r="AW19" s="51">
        <f t="shared" si="16"/>
        <v>0</v>
      </c>
      <c r="AX19" s="51">
        <f t="shared" si="17"/>
        <v>0</v>
      </c>
      <c r="AY19" s="53">
        <f t="shared" si="18"/>
        <v>0</v>
      </c>
      <c r="AZ19" s="45"/>
      <c r="BA19" s="47"/>
      <c r="BB19" s="47"/>
      <c r="BC19" s="47"/>
      <c r="BD19" s="51">
        <f t="shared" si="19"/>
        <v>0</v>
      </c>
      <c r="BE19" s="51">
        <f t="shared" si="20"/>
        <v>0</v>
      </c>
      <c r="BF19" s="53">
        <f t="shared" si="21"/>
        <v>0</v>
      </c>
      <c r="BG19" s="45"/>
      <c r="BH19" s="47"/>
      <c r="BI19" s="47"/>
      <c r="BJ19" s="47"/>
      <c r="BK19" s="51">
        <f t="shared" si="22"/>
        <v>0</v>
      </c>
      <c r="BL19" s="51">
        <f t="shared" si="23"/>
        <v>0</v>
      </c>
      <c r="BM19" s="133">
        <f t="shared" si="24"/>
        <v>0</v>
      </c>
      <c r="BN19" s="96">
        <v>1</v>
      </c>
      <c r="BO19" s="135"/>
      <c r="BP19" s="135">
        <v>2</v>
      </c>
      <c r="BQ19" s="135"/>
      <c r="BR19" s="51">
        <f t="shared" si="25"/>
        <v>5</v>
      </c>
      <c r="BS19" s="51">
        <f t="shared" si="26"/>
        <v>0</v>
      </c>
      <c r="BT19" s="133">
        <f t="shared" si="27"/>
        <v>5</v>
      </c>
      <c r="BU19" s="146">
        <f t="shared" si="28"/>
        <v>5</v>
      </c>
      <c r="BV19" s="92">
        <f t="shared" ca="1" si="29"/>
        <v>0.20833333333333334</v>
      </c>
      <c r="BW19" s="56">
        <f t="shared" si="30"/>
        <v>0</v>
      </c>
      <c r="BX19" s="92">
        <f t="shared" ca="1" si="31"/>
        <v>0</v>
      </c>
      <c r="BY19" s="56">
        <f t="shared" si="32"/>
        <v>5</v>
      </c>
      <c r="BZ19" s="92">
        <f t="shared" ca="1" si="33"/>
        <v>0.20833333333333334</v>
      </c>
      <c r="CA19" s="56">
        <f t="shared" si="34"/>
        <v>1</v>
      </c>
      <c r="CB19" s="56">
        <f t="shared" si="35"/>
        <v>0</v>
      </c>
      <c r="CC19" s="56">
        <f t="shared" si="36"/>
        <v>1</v>
      </c>
    </row>
    <row r="20" spans="1:81" x14ac:dyDescent="0.25">
      <c r="A20" s="45" t="s">
        <v>17</v>
      </c>
      <c r="B20" s="46" t="s">
        <v>21</v>
      </c>
      <c r="C20" s="81" t="str">
        <f t="shared" si="0"/>
        <v>מורז מפאוג</v>
      </c>
      <c r="D20" s="47" t="s">
        <v>6</v>
      </c>
      <c r="E20" s="47" t="s">
        <v>7</v>
      </c>
      <c r="F20" s="95" t="s">
        <v>206</v>
      </c>
      <c r="G20" s="89">
        <v>42887</v>
      </c>
      <c r="H20" s="57">
        <v>43416</v>
      </c>
      <c r="I20" s="48"/>
      <c r="J20" s="49">
        <v>1</v>
      </c>
      <c r="K20" s="50"/>
      <c r="L20" s="50">
        <v>1</v>
      </c>
      <c r="M20" s="50"/>
      <c r="N20" s="51">
        <f t="shared" ref="N20:N38" si="40">J20*3+L20</f>
        <v>4</v>
      </c>
      <c r="O20" s="51">
        <f t="shared" ref="O20:O38" si="41">K20*3+M20</f>
        <v>0</v>
      </c>
      <c r="P20" s="52">
        <f t="shared" si="38"/>
        <v>4</v>
      </c>
      <c r="Q20" s="45">
        <v>1</v>
      </c>
      <c r="R20" s="47"/>
      <c r="S20" s="47">
        <v>2</v>
      </c>
      <c r="T20" s="47"/>
      <c r="U20" s="51">
        <f t="shared" si="4"/>
        <v>5</v>
      </c>
      <c r="V20" s="51">
        <f t="shared" si="5"/>
        <v>0</v>
      </c>
      <c r="W20" s="53">
        <f t="shared" si="39"/>
        <v>5</v>
      </c>
      <c r="X20" s="45"/>
      <c r="Y20" s="47"/>
      <c r="Z20" s="47">
        <v>1</v>
      </c>
      <c r="AA20" s="47">
        <v>2</v>
      </c>
      <c r="AB20" s="54">
        <f t="shared" si="7"/>
        <v>1</v>
      </c>
      <c r="AC20" s="54">
        <f t="shared" si="8"/>
        <v>2</v>
      </c>
      <c r="AD20" s="55">
        <f t="shared" si="9"/>
        <v>3</v>
      </c>
      <c r="AE20" s="45">
        <v>1</v>
      </c>
      <c r="AF20" s="47"/>
      <c r="AG20" s="47"/>
      <c r="AH20" s="47"/>
      <c r="AI20" s="51">
        <f t="shared" si="10"/>
        <v>3</v>
      </c>
      <c r="AJ20" s="51">
        <f t="shared" si="11"/>
        <v>0</v>
      </c>
      <c r="AK20" s="53">
        <f t="shared" si="12"/>
        <v>3</v>
      </c>
      <c r="AL20" s="45"/>
      <c r="AM20" s="47"/>
      <c r="AN20" s="47"/>
      <c r="AO20" s="47"/>
      <c r="AP20" s="51">
        <f t="shared" si="13"/>
        <v>0</v>
      </c>
      <c r="AQ20" s="51">
        <f t="shared" si="14"/>
        <v>0</v>
      </c>
      <c r="AR20" s="53">
        <f t="shared" si="15"/>
        <v>0</v>
      </c>
      <c r="AS20" s="45"/>
      <c r="AT20" s="47"/>
      <c r="AU20" s="47">
        <v>1</v>
      </c>
      <c r="AV20" s="47"/>
      <c r="AW20" s="51">
        <f t="shared" si="16"/>
        <v>1</v>
      </c>
      <c r="AX20" s="51">
        <f t="shared" si="17"/>
        <v>0</v>
      </c>
      <c r="AY20" s="53">
        <f t="shared" si="18"/>
        <v>1</v>
      </c>
      <c r="AZ20" s="45">
        <v>1</v>
      </c>
      <c r="BA20" s="47"/>
      <c r="BB20" s="47"/>
      <c r="BC20" s="47">
        <v>1</v>
      </c>
      <c r="BD20" s="51">
        <f t="shared" si="19"/>
        <v>3</v>
      </c>
      <c r="BE20" s="51">
        <f t="shared" si="20"/>
        <v>1</v>
      </c>
      <c r="BF20" s="53">
        <f t="shared" si="21"/>
        <v>4</v>
      </c>
      <c r="BG20" s="45"/>
      <c r="BH20" s="47"/>
      <c r="BI20" s="47">
        <v>3</v>
      </c>
      <c r="BJ20" s="47"/>
      <c r="BK20" s="51">
        <f t="shared" si="22"/>
        <v>3</v>
      </c>
      <c r="BL20" s="51">
        <f t="shared" si="23"/>
        <v>0</v>
      </c>
      <c r="BM20" s="133">
        <f t="shared" si="24"/>
        <v>3</v>
      </c>
      <c r="BN20" s="96"/>
      <c r="BO20" s="135">
        <v>1</v>
      </c>
      <c r="BP20" s="135">
        <v>2</v>
      </c>
      <c r="BQ20" s="135"/>
      <c r="BR20" s="51">
        <f t="shared" si="25"/>
        <v>2</v>
      </c>
      <c r="BS20" s="51">
        <f t="shared" si="26"/>
        <v>3</v>
      </c>
      <c r="BT20" s="133">
        <f t="shared" si="27"/>
        <v>5</v>
      </c>
      <c r="BU20" s="146">
        <f t="shared" si="28"/>
        <v>22</v>
      </c>
      <c r="BV20" s="92">
        <f t="shared" ca="1" si="29"/>
        <v>8.1784386617100371E-2</v>
      </c>
      <c r="BW20" s="56">
        <f t="shared" si="30"/>
        <v>6</v>
      </c>
      <c r="BX20" s="92">
        <f t="shared" ca="1" si="31"/>
        <v>2.2304832713754646E-2</v>
      </c>
      <c r="BY20" s="56">
        <f t="shared" si="32"/>
        <v>28</v>
      </c>
      <c r="BZ20" s="92">
        <f t="shared" ca="1" si="33"/>
        <v>0.10408921933085502</v>
      </c>
      <c r="CA20" s="56">
        <f t="shared" si="34"/>
        <v>5</v>
      </c>
      <c r="CB20" s="56">
        <f t="shared" si="35"/>
        <v>1</v>
      </c>
      <c r="CC20" s="56">
        <f t="shared" si="36"/>
        <v>6</v>
      </c>
    </row>
    <row r="21" spans="1:81" x14ac:dyDescent="0.25">
      <c r="A21" s="96">
        <v>679</v>
      </c>
      <c r="B21" s="97" t="s">
        <v>65</v>
      </c>
      <c r="C21" s="81" t="str">
        <f t="shared" si="0"/>
        <v>אלכס 679</v>
      </c>
      <c r="D21" s="47" t="s">
        <v>6</v>
      </c>
      <c r="E21" s="65" t="s">
        <v>7</v>
      </c>
      <c r="F21" s="95" t="s">
        <v>209</v>
      </c>
      <c r="G21" s="89">
        <v>42979</v>
      </c>
      <c r="H21" s="57">
        <v>43661</v>
      </c>
      <c r="I21" s="48"/>
      <c r="J21" s="49"/>
      <c r="K21" s="50"/>
      <c r="L21" s="50"/>
      <c r="M21" s="50"/>
      <c r="N21" s="51">
        <f t="shared" si="40"/>
        <v>0</v>
      </c>
      <c r="O21" s="51">
        <f t="shared" si="41"/>
        <v>0</v>
      </c>
      <c r="P21" s="52">
        <f t="shared" si="38"/>
        <v>0</v>
      </c>
      <c r="Q21" s="45"/>
      <c r="R21" s="47"/>
      <c r="S21" s="47"/>
      <c r="T21" s="47"/>
      <c r="U21" s="51">
        <f t="shared" si="4"/>
        <v>0</v>
      </c>
      <c r="V21" s="51">
        <f t="shared" si="5"/>
        <v>0</v>
      </c>
      <c r="W21" s="53">
        <f t="shared" si="39"/>
        <v>0</v>
      </c>
      <c r="X21" s="45"/>
      <c r="Y21" s="47"/>
      <c r="Z21" s="47"/>
      <c r="AA21" s="47"/>
      <c r="AB21" s="54">
        <f t="shared" si="7"/>
        <v>0</v>
      </c>
      <c r="AC21" s="54">
        <f t="shared" si="8"/>
        <v>0</v>
      </c>
      <c r="AD21" s="55">
        <f t="shared" si="9"/>
        <v>0</v>
      </c>
      <c r="AE21" s="45">
        <v>1</v>
      </c>
      <c r="AF21" s="47"/>
      <c r="AG21" s="47"/>
      <c r="AH21" s="47"/>
      <c r="AI21" s="51">
        <f t="shared" si="10"/>
        <v>3</v>
      </c>
      <c r="AJ21" s="51">
        <f t="shared" si="11"/>
        <v>0</v>
      </c>
      <c r="AK21" s="53">
        <f t="shared" si="12"/>
        <v>3</v>
      </c>
      <c r="AL21" s="45"/>
      <c r="AM21" s="47"/>
      <c r="AN21" s="47">
        <v>4</v>
      </c>
      <c r="AO21" s="47"/>
      <c r="AP21" s="51">
        <f t="shared" si="13"/>
        <v>4</v>
      </c>
      <c r="AQ21" s="51">
        <f t="shared" si="14"/>
        <v>0</v>
      </c>
      <c r="AR21" s="53">
        <f t="shared" si="15"/>
        <v>4</v>
      </c>
      <c r="AS21" s="45"/>
      <c r="AT21" s="47"/>
      <c r="AU21" s="47">
        <v>4</v>
      </c>
      <c r="AV21" s="47"/>
      <c r="AW21" s="51">
        <f t="shared" si="16"/>
        <v>4</v>
      </c>
      <c r="AX21" s="51">
        <f t="shared" si="17"/>
        <v>0</v>
      </c>
      <c r="AY21" s="53">
        <f t="shared" si="18"/>
        <v>4</v>
      </c>
      <c r="AZ21" s="45">
        <v>1</v>
      </c>
      <c r="BA21" s="47"/>
      <c r="BB21" s="47"/>
      <c r="BC21" s="47"/>
      <c r="BD21" s="51">
        <f t="shared" si="19"/>
        <v>3</v>
      </c>
      <c r="BE21" s="51">
        <f t="shared" si="20"/>
        <v>0</v>
      </c>
      <c r="BF21" s="53">
        <f t="shared" si="21"/>
        <v>3</v>
      </c>
      <c r="BG21" s="45"/>
      <c r="BH21" s="47"/>
      <c r="BI21" s="47">
        <v>2</v>
      </c>
      <c r="BJ21" s="47">
        <v>1</v>
      </c>
      <c r="BK21" s="51">
        <f t="shared" si="22"/>
        <v>2</v>
      </c>
      <c r="BL21" s="51">
        <f t="shared" si="23"/>
        <v>1</v>
      </c>
      <c r="BM21" s="133">
        <f t="shared" si="24"/>
        <v>3</v>
      </c>
      <c r="BN21" s="96">
        <v>1</v>
      </c>
      <c r="BO21" s="135"/>
      <c r="BP21" s="135">
        <v>1</v>
      </c>
      <c r="BQ21" s="135">
        <v>1</v>
      </c>
      <c r="BR21" s="51">
        <f t="shared" si="25"/>
        <v>4</v>
      </c>
      <c r="BS21" s="51">
        <f t="shared" si="26"/>
        <v>1</v>
      </c>
      <c r="BT21" s="133">
        <f t="shared" si="27"/>
        <v>5</v>
      </c>
      <c r="BU21" s="146">
        <f t="shared" si="28"/>
        <v>20</v>
      </c>
      <c r="BV21" s="92">
        <f t="shared" ca="1" si="29"/>
        <v>0.11299435028248588</v>
      </c>
      <c r="BW21" s="56">
        <f t="shared" si="30"/>
        <v>2</v>
      </c>
      <c r="BX21" s="92">
        <f t="shared" ca="1" si="31"/>
        <v>1.1299435028248588E-2</v>
      </c>
      <c r="BY21" s="56">
        <f t="shared" si="32"/>
        <v>22</v>
      </c>
      <c r="BZ21" s="92">
        <f t="shared" ca="1" si="33"/>
        <v>0.12429378531073446</v>
      </c>
      <c r="CA21" s="56">
        <f t="shared" si="34"/>
        <v>3</v>
      </c>
      <c r="CB21" s="56">
        <f t="shared" si="35"/>
        <v>0</v>
      </c>
      <c r="CC21" s="56">
        <f t="shared" si="36"/>
        <v>3</v>
      </c>
    </row>
    <row r="22" spans="1:81" x14ac:dyDescent="0.25">
      <c r="A22" s="45">
        <v>9</v>
      </c>
      <c r="B22" s="76" t="s">
        <v>167</v>
      </c>
      <c r="C22" s="46" t="str">
        <f t="shared" si="0"/>
        <v>יעל 9</v>
      </c>
      <c r="D22" s="65" t="s">
        <v>6</v>
      </c>
      <c r="E22" s="65" t="s">
        <v>7</v>
      </c>
      <c r="F22" s="95" t="s">
        <v>212</v>
      </c>
      <c r="G22" s="89">
        <v>43101</v>
      </c>
      <c r="H22" s="95" t="s">
        <v>86</v>
      </c>
      <c r="I22" s="105" t="s">
        <v>168</v>
      </c>
      <c r="J22" s="49"/>
      <c r="K22" s="50"/>
      <c r="L22" s="50"/>
      <c r="M22" s="50"/>
      <c r="N22" s="51">
        <f t="shared" si="40"/>
        <v>0</v>
      </c>
      <c r="O22" s="51">
        <f t="shared" si="41"/>
        <v>0</v>
      </c>
      <c r="P22" s="52">
        <f t="shared" si="38"/>
        <v>0</v>
      </c>
      <c r="Q22" s="45"/>
      <c r="R22" s="47"/>
      <c r="S22" s="47"/>
      <c r="T22" s="47"/>
      <c r="U22" s="51">
        <f t="shared" si="4"/>
        <v>0</v>
      </c>
      <c r="V22" s="51">
        <f t="shared" si="5"/>
        <v>0</v>
      </c>
      <c r="W22" s="53">
        <f t="shared" si="39"/>
        <v>0</v>
      </c>
      <c r="X22" s="45"/>
      <c r="Y22" s="47"/>
      <c r="Z22" s="47"/>
      <c r="AA22" s="47"/>
      <c r="AB22" s="54">
        <f t="shared" si="7"/>
        <v>0</v>
      </c>
      <c r="AC22" s="54">
        <f t="shared" si="8"/>
        <v>0</v>
      </c>
      <c r="AD22" s="55">
        <f t="shared" si="9"/>
        <v>0</v>
      </c>
      <c r="AE22" s="45"/>
      <c r="AF22" s="47"/>
      <c r="AG22" s="47"/>
      <c r="AH22" s="47"/>
      <c r="AI22" s="51">
        <f t="shared" si="10"/>
        <v>0</v>
      </c>
      <c r="AJ22" s="51">
        <f t="shared" si="11"/>
        <v>0</v>
      </c>
      <c r="AK22" s="53">
        <f t="shared" si="12"/>
        <v>0</v>
      </c>
      <c r="AL22" s="45"/>
      <c r="AM22" s="47"/>
      <c r="AN22" s="47"/>
      <c r="AO22" s="47"/>
      <c r="AP22" s="51">
        <f t="shared" si="13"/>
        <v>0</v>
      </c>
      <c r="AQ22" s="51">
        <f t="shared" si="14"/>
        <v>0</v>
      </c>
      <c r="AR22" s="53">
        <f t="shared" si="15"/>
        <v>0</v>
      </c>
      <c r="AS22" s="45"/>
      <c r="AT22" s="47"/>
      <c r="AU22" s="47"/>
      <c r="AV22" s="47"/>
      <c r="AW22" s="51">
        <f t="shared" si="16"/>
        <v>0</v>
      </c>
      <c r="AX22" s="51">
        <f t="shared" si="17"/>
        <v>0</v>
      </c>
      <c r="AY22" s="53">
        <f t="shared" si="18"/>
        <v>0</v>
      </c>
      <c r="AZ22" s="45"/>
      <c r="BA22" s="47"/>
      <c r="BB22" s="47"/>
      <c r="BC22" s="47"/>
      <c r="BD22" s="51">
        <f t="shared" si="19"/>
        <v>0</v>
      </c>
      <c r="BE22" s="51">
        <f t="shared" si="20"/>
        <v>0</v>
      </c>
      <c r="BF22" s="53">
        <f t="shared" si="21"/>
        <v>0</v>
      </c>
      <c r="BG22" s="45">
        <v>1</v>
      </c>
      <c r="BH22" s="47"/>
      <c r="BI22" s="47">
        <v>1</v>
      </c>
      <c r="BJ22" s="47"/>
      <c r="BK22" s="51">
        <f t="shared" si="22"/>
        <v>4</v>
      </c>
      <c r="BL22" s="51">
        <f t="shared" si="23"/>
        <v>0</v>
      </c>
      <c r="BM22" s="133">
        <f t="shared" si="24"/>
        <v>4</v>
      </c>
      <c r="BN22" s="96">
        <v>1</v>
      </c>
      <c r="BO22" s="135"/>
      <c r="BP22" s="135">
        <v>1</v>
      </c>
      <c r="BQ22" s="135"/>
      <c r="BR22" s="51">
        <f t="shared" si="25"/>
        <v>4</v>
      </c>
      <c r="BS22" s="51">
        <f t="shared" si="26"/>
        <v>0</v>
      </c>
      <c r="BT22" s="133">
        <f t="shared" si="27"/>
        <v>4</v>
      </c>
      <c r="BU22" s="146">
        <f t="shared" si="28"/>
        <v>8</v>
      </c>
      <c r="BV22" s="92">
        <f t="shared" ca="1" si="29"/>
        <v>0.14545454545454545</v>
      </c>
      <c r="BW22" s="56">
        <f t="shared" si="30"/>
        <v>0</v>
      </c>
      <c r="BX22" s="92">
        <f t="shared" ca="1" si="31"/>
        <v>0</v>
      </c>
      <c r="BY22" s="56">
        <f t="shared" si="32"/>
        <v>8</v>
      </c>
      <c r="BZ22" s="92">
        <f t="shared" ca="1" si="33"/>
        <v>0.14545454545454545</v>
      </c>
      <c r="CA22" s="56">
        <f t="shared" si="34"/>
        <v>2</v>
      </c>
      <c r="CB22" s="56">
        <f t="shared" si="35"/>
        <v>0</v>
      </c>
      <c r="CC22" s="56">
        <f t="shared" si="36"/>
        <v>2</v>
      </c>
    </row>
    <row r="23" spans="1:81" x14ac:dyDescent="0.25">
      <c r="A23" s="96">
        <v>679</v>
      </c>
      <c r="B23" s="97" t="s">
        <v>18</v>
      </c>
      <c r="C23" s="81" t="str">
        <f t="shared" si="0"/>
        <v>אופיר 679</v>
      </c>
      <c r="D23" s="47" t="s">
        <v>6</v>
      </c>
      <c r="E23" s="65" t="s">
        <v>7</v>
      </c>
      <c r="F23" s="95" t="s">
        <v>209</v>
      </c>
      <c r="G23" s="89">
        <v>42979</v>
      </c>
      <c r="H23" s="57">
        <v>43692</v>
      </c>
      <c r="I23" s="48"/>
      <c r="J23" s="49"/>
      <c r="K23" s="50"/>
      <c r="L23" s="50"/>
      <c r="M23" s="50"/>
      <c r="N23" s="51">
        <f t="shared" si="40"/>
        <v>0</v>
      </c>
      <c r="O23" s="51">
        <f t="shared" si="41"/>
        <v>0</v>
      </c>
      <c r="P23" s="52">
        <f t="shared" si="38"/>
        <v>0</v>
      </c>
      <c r="Q23" s="45"/>
      <c r="R23" s="47"/>
      <c r="S23" s="47"/>
      <c r="T23" s="47"/>
      <c r="U23" s="51">
        <f t="shared" si="4"/>
        <v>0</v>
      </c>
      <c r="V23" s="51">
        <f t="shared" si="5"/>
        <v>0</v>
      </c>
      <c r="W23" s="53">
        <f t="shared" si="39"/>
        <v>0</v>
      </c>
      <c r="X23" s="45"/>
      <c r="Y23" s="47"/>
      <c r="Z23" s="47"/>
      <c r="AA23" s="47"/>
      <c r="AB23" s="54">
        <f t="shared" si="7"/>
        <v>0</v>
      </c>
      <c r="AC23" s="54">
        <f t="shared" si="8"/>
        <v>0</v>
      </c>
      <c r="AD23" s="55">
        <f t="shared" si="9"/>
        <v>0</v>
      </c>
      <c r="AE23" s="45"/>
      <c r="AF23" s="47"/>
      <c r="AG23" s="47">
        <v>2</v>
      </c>
      <c r="AH23" s="47"/>
      <c r="AI23" s="51">
        <f t="shared" si="10"/>
        <v>2</v>
      </c>
      <c r="AJ23" s="51">
        <f t="shared" si="11"/>
        <v>0</v>
      </c>
      <c r="AK23" s="53">
        <f t="shared" si="12"/>
        <v>2</v>
      </c>
      <c r="AL23" s="45"/>
      <c r="AM23" s="47"/>
      <c r="AN23" s="47">
        <v>5</v>
      </c>
      <c r="AO23" s="47"/>
      <c r="AP23" s="51">
        <f t="shared" si="13"/>
        <v>5</v>
      </c>
      <c r="AQ23" s="51">
        <f t="shared" si="14"/>
        <v>0</v>
      </c>
      <c r="AR23" s="53">
        <f t="shared" si="15"/>
        <v>5</v>
      </c>
      <c r="AS23" s="45">
        <v>1</v>
      </c>
      <c r="AT23" s="47"/>
      <c r="AU23" s="47">
        <v>3</v>
      </c>
      <c r="AV23" s="47"/>
      <c r="AW23" s="51">
        <f t="shared" si="16"/>
        <v>6</v>
      </c>
      <c r="AX23" s="51">
        <f t="shared" si="17"/>
        <v>0</v>
      </c>
      <c r="AY23" s="53">
        <f t="shared" si="18"/>
        <v>6</v>
      </c>
      <c r="AZ23" s="45"/>
      <c r="BA23" s="47"/>
      <c r="BB23" s="47"/>
      <c r="BC23" s="47"/>
      <c r="BD23" s="51">
        <f t="shared" si="19"/>
        <v>0</v>
      </c>
      <c r="BE23" s="51">
        <f t="shared" si="20"/>
        <v>0</v>
      </c>
      <c r="BF23" s="53">
        <f t="shared" si="21"/>
        <v>0</v>
      </c>
      <c r="BG23" s="45"/>
      <c r="BH23" s="47"/>
      <c r="BI23" s="47">
        <v>4</v>
      </c>
      <c r="BJ23" s="47">
        <v>2</v>
      </c>
      <c r="BK23" s="51">
        <f t="shared" si="22"/>
        <v>4</v>
      </c>
      <c r="BL23" s="51">
        <f t="shared" si="23"/>
        <v>2</v>
      </c>
      <c r="BM23" s="133">
        <f t="shared" si="24"/>
        <v>6</v>
      </c>
      <c r="BN23" s="96">
        <v>1</v>
      </c>
      <c r="BO23" s="135"/>
      <c r="BP23" s="135">
        <v>1</v>
      </c>
      <c r="BQ23" s="135"/>
      <c r="BR23" s="51">
        <f t="shared" si="25"/>
        <v>4</v>
      </c>
      <c r="BS23" s="51">
        <f t="shared" si="26"/>
        <v>0</v>
      </c>
      <c r="BT23" s="133">
        <f t="shared" si="27"/>
        <v>4</v>
      </c>
      <c r="BU23" s="146">
        <f t="shared" si="28"/>
        <v>21</v>
      </c>
      <c r="BV23" s="92">
        <f t="shared" ca="1" si="29"/>
        <v>0.11864406779661017</v>
      </c>
      <c r="BW23" s="56">
        <f t="shared" si="30"/>
        <v>2</v>
      </c>
      <c r="BX23" s="92">
        <f t="shared" ca="1" si="31"/>
        <v>1.1299435028248588E-2</v>
      </c>
      <c r="BY23" s="56">
        <f t="shared" si="32"/>
        <v>23</v>
      </c>
      <c r="BZ23" s="92">
        <f t="shared" ca="1" si="33"/>
        <v>0.12994350282485875</v>
      </c>
      <c r="CA23" s="56">
        <f t="shared" si="34"/>
        <v>2</v>
      </c>
      <c r="CB23" s="56">
        <f t="shared" si="35"/>
        <v>0</v>
      </c>
      <c r="CC23" s="56">
        <f t="shared" si="36"/>
        <v>2</v>
      </c>
    </row>
    <row r="24" spans="1:81" x14ac:dyDescent="0.25">
      <c r="A24" s="96" t="s">
        <v>88</v>
      </c>
      <c r="B24" s="76" t="s">
        <v>179</v>
      </c>
      <c r="C24" s="81" t="str">
        <f t="shared" si="0"/>
        <v>נועה אחודה</v>
      </c>
      <c r="D24" s="47" t="s">
        <v>6</v>
      </c>
      <c r="E24" s="65" t="s">
        <v>7</v>
      </c>
      <c r="F24" s="95" t="s">
        <v>212</v>
      </c>
      <c r="G24" s="89">
        <v>43101</v>
      </c>
      <c r="H24" s="95" t="s">
        <v>86</v>
      </c>
      <c r="I24" s="48"/>
      <c r="J24" s="49"/>
      <c r="K24" s="50"/>
      <c r="L24" s="50"/>
      <c r="M24" s="50"/>
      <c r="N24" s="51">
        <f t="shared" si="40"/>
        <v>0</v>
      </c>
      <c r="O24" s="51">
        <f t="shared" si="41"/>
        <v>0</v>
      </c>
      <c r="P24" s="52">
        <f t="shared" si="38"/>
        <v>0</v>
      </c>
      <c r="Q24" s="45"/>
      <c r="R24" s="47"/>
      <c r="S24" s="47"/>
      <c r="T24" s="47"/>
      <c r="U24" s="51">
        <f t="shared" si="4"/>
        <v>0</v>
      </c>
      <c r="V24" s="51">
        <f t="shared" si="5"/>
        <v>0</v>
      </c>
      <c r="W24" s="53">
        <f t="shared" si="39"/>
        <v>0</v>
      </c>
      <c r="X24" s="45"/>
      <c r="Y24" s="47"/>
      <c r="Z24" s="47"/>
      <c r="AA24" s="47"/>
      <c r="AB24" s="54">
        <f t="shared" si="7"/>
        <v>0</v>
      </c>
      <c r="AC24" s="54">
        <f t="shared" si="8"/>
        <v>0</v>
      </c>
      <c r="AD24" s="55">
        <f t="shared" si="9"/>
        <v>0</v>
      </c>
      <c r="AE24" s="45"/>
      <c r="AF24" s="47"/>
      <c r="AG24" s="47"/>
      <c r="AH24" s="47"/>
      <c r="AI24" s="51">
        <f t="shared" si="10"/>
        <v>0</v>
      </c>
      <c r="AJ24" s="51">
        <f t="shared" si="11"/>
        <v>0</v>
      </c>
      <c r="AK24" s="53">
        <f t="shared" si="12"/>
        <v>0</v>
      </c>
      <c r="AL24" s="45"/>
      <c r="AM24" s="47"/>
      <c r="AN24" s="47"/>
      <c r="AO24" s="47"/>
      <c r="AP24" s="51">
        <f t="shared" si="13"/>
        <v>0</v>
      </c>
      <c r="AQ24" s="51">
        <f t="shared" si="14"/>
        <v>0</v>
      </c>
      <c r="AR24" s="53">
        <f t="shared" si="15"/>
        <v>0</v>
      </c>
      <c r="AS24" s="45"/>
      <c r="AT24" s="47"/>
      <c r="AU24" s="47"/>
      <c r="AV24" s="47"/>
      <c r="AW24" s="51">
        <f t="shared" si="16"/>
        <v>0</v>
      </c>
      <c r="AX24" s="51">
        <f t="shared" si="17"/>
        <v>0</v>
      </c>
      <c r="AY24" s="53">
        <f t="shared" si="18"/>
        <v>0</v>
      </c>
      <c r="AZ24" s="45"/>
      <c r="BA24" s="47"/>
      <c r="BB24" s="47"/>
      <c r="BC24" s="47"/>
      <c r="BD24" s="51">
        <f t="shared" si="19"/>
        <v>0</v>
      </c>
      <c r="BE24" s="51">
        <f t="shared" si="20"/>
        <v>0</v>
      </c>
      <c r="BF24" s="53">
        <f t="shared" si="21"/>
        <v>0</v>
      </c>
      <c r="BG24" s="45">
        <v>1</v>
      </c>
      <c r="BH24" s="47"/>
      <c r="BI24" s="47"/>
      <c r="BJ24" s="47"/>
      <c r="BK24" s="51">
        <f t="shared" si="22"/>
        <v>3</v>
      </c>
      <c r="BL24" s="51">
        <f t="shared" si="23"/>
        <v>0</v>
      </c>
      <c r="BM24" s="133">
        <f t="shared" si="24"/>
        <v>3</v>
      </c>
      <c r="BN24" s="96">
        <v>1</v>
      </c>
      <c r="BO24" s="135"/>
      <c r="BP24" s="135">
        <v>1</v>
      </c>
      <c r="BQ24" s="135"/>
      <c r="BR24" s="51">
        <f t="shared" si="25"/>
        <v>4</v>
      </c>
      <c r="BS24" s="51">
        <f t="shared" si="26"/>
        <v>0</v>
      </c>
      <c r="BT24" s="133">
        <f t="shared" si="27"/>
        <v>4</v>
      </c>
      <c r="BU24" s="146">
        <f t="shared" si="28"/>
        <v>7</v>
      </c>
      <c r="BV24" s="92">
        <f t="shared" ca="1" si="29"/>
        <v>0.12727272727272726</v>
      </c>
      <c r="BW24" s="56">
        <f t="shared" si="30"/>
        <v>0</v>
      </c>
      <c r="BX24" s="92">
        <f t="shared" ca="1" si="31"/>
        <v>0</v>
      </c>
      <c r="BY24" s="56">
        <f t="shared" si="32"/>
        <v>7</v>
      </c>
      <c r="BZ24" s="92">
        <f t="shared" ca="1" si="33"/>
        <v>0.12727272727272726</v>
      </c>
      <c r="CA24" s="56">
        <f t="shared" si="34"/>
        <v>2</v>
      </c>
      <c r="CB24" s="56">
        <f t="shared" si="35"/>
        <v>0</v>
      </c>
      <c r="CC24" s="56">
        <f t="shared" si="36"/>
        <v>2</v>
      </c>
    </row>
    <row r="25" spans="1:81" x14ac:dyDescent="0.25">
      <c r="A25" s="110" t="s">
        <v>17</v>
      </c>
      <c r="B25" s="76" t="s">
        <v>179</v>
      </c>
      <c r="C25" s="81" t="str">
        <f t="shared" si="0"/>
        <v>נועה מפאוג</v>
      </c>
      <c r="D25" s="65" t="s">
        <v>6</v>
      </c>
      <c r="E25" s="65" t="s">
        <v>7</v>
      </c>
      <c r="F25" s="95" t="s">
        <v>212</v>
      </c>
      <c r="G25" s="89">
        <v>43101</v>
      </c>
      <c r="H25" s="95" t="s">
        <v>86</v>
      </c>
      <c r="I25" s="48"/>
      <c r="J25" s="49"/>
      <c r="K25" s="50"/>
      <c r="L25" s="50"/>
      <c r="M25" s="50"/>
      <c r="N25" s="51">
        <f t="shared" si="40"/>
        <v>0</v>
      </c>
      <c r="O25" s="51">
        <f t="shared" si="41"/>
        <v>0</v>
      </c>
      <c r="P25" s="52">
        <f t="shared" si="38"/>
        <v>0</v>
      </c>
      <c r="Q25" s="45"/>
      <c r="R25" s="47"/>
      <c r="S25" s="47"/>
      <c r="T25" s="47"/>
      <c r="U25" s="51">
        <f t="shared" si="4"/>
        <v>0</v>
      </c>
      <c r="V25" s="51">
        <f t="shared" si="5"/>
        <v>0</v>
      </c>
      <c r="W25" s="53">
        <f t="shared" si="39"/>
        <v>0</v>
      </c>
      <c r="X25" s="45"/>
      <c r="Y25" s="47"/>
      <c r="Z25" s="47"/>
      <c r="AA25" s="47"/>
      <c r="AB25" s="54">
        <f t="shared" si="7"/>
        <v>0</v>
      </c>
      <c r="AC25" s="54">
        <f t="shared" si="8"/>
        <v>0</v>
      </c>
      <c r="AD25" s="55">
        <f t="shared" si="9"/>
        <v>0</v>
      </c>
      <c r="AE25" s="45"/>
      <c r="AF25" s="47"/>
      <c r="AG25" s="47"/>
      <c r="AH25" s="47"/>
      <c r="AI25" s="51">
        <f t="shared" si="10"/>
        <v>0</v>
      </c>
      <c r="AJ25" s="51">
        <f t="shared" si="11"/>
        <v>0</v>
      </c>
      <c r="AK25" s="53">
        <f t="shared" si="12"/>
        <v>0</v>
      </c>
      <c r="AL25" s="45"/>
      <c r="AM25" s="47"/>
      <c r="AN25" s="47"/>
      <c r="AO25" s="47"/>
      <c r="AP25" s="51">
        <f t="shared" si="13"/>
        <v>0</v>
      </c>
      <c r="AQ25" s="51">
        <f t="shared" si="14"/>
        <v>0</v>
      </c>
      <c r="AR25" s="53">
        <f t="shared" si="15"/>
        <v>0</v>
      </c>
      <c r="AS25" s="45"/>
      <c r="AT25" s="47"/>
      <c r="AU25" s="47"/>
      <c r="AV25" s="47"/>
      <c r="AW25" s="51">
        <f t="shared" si="16"/>
        <v>0</v>
      </c>
      <c r="AX25" s="51">
        <f t="shared" si="17"/>
        <v>0</v>
      </c>
      <c r="AY25" s="53">
        <f t="shared" si="18"/>
        <v>0</v>
      </c>
      <c r="AZ25" s="45"/>
      <c r="BA25" s="47"/>
      <c r="BB25" s="47"/>
      <c r="BC25" s="47"/>
      <c r="BD25" s="51">
        <f t="shared" si="19"/>
        <v>0</v>
      </c>
      <c r="BE25" s="51">
        <f t="shared" si="20"/>
        <v>0</v>
      </c>
      <c r="BF25" s="53">
        <f t="shared" si="21"/>
        <v>0</v>
      </c>
      <c r="BG25" s="45"/>
      <c r="BH25" s="47"/>
      <c r="BI25" s="47">
        <v>2</v>
      </c>
      <c r="BJ25" s="47"/>
      <c r="BK25" s="51">
        <f t="shared" si="22"/>
        <v>2</v>
      </c>
      <c r="BL25" s="51">
        <f t="shared" si="23"/>
        <v>0</v>
      </c>
      <c r="BM25" s="133">
        <f t="shared" si="24"/>
        <v>2</v>
      </c>
      <c r="BN25" s="96">
        <v>1</v>
      </c>
      <c r="BO25" s="135"/>
      <c r="BP25" s="135">
        <v>2</v>
      </c>
      <c r="BQ25" s="135"/>
      <c r="BR25" s="51">
        <f t="shared" si="25"/>
        <v>5</v>
      </c>
      <c r="BS25" s="51">
        <f t="shared" si="26"/>
        <v>0</v>
      </c>
      <c r="BT25" s="133">
        <f t="shared" si="27"/>
        <v>5</v>
      </c>
      <c r="BU25" s="146">
        <f t="shared" si="28"/>
        <v>7</v>
      </c>
      <c r="BV25" s="92">
        <f t="shared" ca="1" si="29"/>
        <v>0.12727272727272726</v>
      </c>
      <c r="BW25" s="56">
        <f t="shared" si="30"/>
        <v>0</v>
      </c>
      <c r="BX25" s="92">
        <f t="shared" ca="1" si="31"/>
        <v>0</v>
      </c>
      <c r="BY25" s="56">
        <f t="shared" si="32"/>
        <v>7</v>
      </c>
      <c r="BZ25" s="92">
        <f t="shared" ca="1" si="33"/>
        <v>0.12727272727272726</v>
      </c>
      <c r="CA25" s="56">
        <f t="shared" si="34"/>
        <v>1</v>
      </c>
      <c r="CB25" s="56">
        <f t="shared" si="35"/>
        <v>0</v>
      </c>
      <c r="CC25" s="56">
        <f t="shared" si="36"/>
        <v>1</v>
      </c>
    </row>
    <row r="26" spans="1:81" x14ac:dyDescent="0.25">
      <c r="A26" s="45" t="s">
        <v>17</v>
      </c>
      <c r="B26" s="46" t="s">
        <v>16</v>
      </c>
      <c r="C26" s="46" t="str">
        <f t="shared" si="0"/>
        <v>שיר מפאוג</v>
      </c>
      <c r="D26" s="47" t="s">
        <v>6</v>
      </c>
      <c r="E26" s="47" t="s">
        <v>7</v>
      </c>
      <c r="F26" s="95" t="s">
        <v>206</v>
      </c>
      <c r="G26" s="89">
        <v>42887</v>
      </c>
      <c r="H26" s="57">
        <v>43360</v>
      </c>
      <c r="I26" s="48"/>
      <c r="J26" s="49"/>
      <c r="K26" s="50"/>
      <c r="L26" s="50">
        <v>2</v>
      </c>
      <c r="M26" s="50"/>
      <c r="N26" s="51">
        <f t="shared" si="40"/>
        <v>2</v>
      </c>
      <c r="O26" s="51">
        <f t="shared" si="41"/>
        <v>0</v>
      </c>
      <c r="P26" s="52">
        <f t="shared" si="38"/>
        <v>2</v>
      </c>
      <c r="Q26" s="45">
        <v>1</v>
      </c>
      <c r="R26" s="47"/>
      <c r="S26" s="47"/>
      <c r="T26" s="47"/>
      <c r="U26" s="51">
        <f t="shared" si="4"/>
        <v>3</v>
      </c>
      <c r="V26" s="51">
        <f t="shared" si="5"/>
        <v>0</v>
      </c>
      <c r="W26" s="53">
        <f t="shared" si="39"/>
        <v>3</v>
      </c>
      <c r="X26" s="45"/>
      <c r="Y26" s="47">
        <v>1</v>
      </c>
      <c r="Z26" s="47">
        <v>2</v>
      </c>
      <c r="AA26" s="47"/>
      <c r="AB26" s="54">
        <f t="shared" si="7"/>
        <v>2</v>
      </c>
      <c r="AC26" s="54">
        <f t="shared" si="8"/>
        <v>3</v>
      </c>
      <c r="AD26" s="55">
        <f t="shared" si="9"/>
        <v>5</v>
      </c>
      <c r="AE26" s="45"/>
      <c r="AF26" s="47"/>
      <c r="AG26" s="47">
        <v>3</v>
      </c>
      <c r="AH26" s="47"/>
      <c r="AI26" s="51">
        <f t="shared" si="10"/>
        <v>3</v>
      </c>
      <c r="AJ26" s="51">
        <f t="shared" si="11"/>
        <v>0</v>
      </c>
      <c r="AK26" s="53">
        <f t="shared" si="12"/>
        <v>3</v>
      </c>
      <c r="AL26" s="45"/>
      <c r="AM26" s="47"/>
      <c r="AN26" s="47">
        <v>2</v>
      </c>
      <c r="AO26" s="47">
        <v>1</v>
      </c>
      <c r="AP26" s="51">
        <f t="shared" si="13"/>
        <v>2</v>
      </c>
      <c r="AQ26" s="51">
        <f t="shared" si="14"/>
        <v>1</v>
      </c>
      <c r="AR26" s="53">
        <f t="shared" si="15"/>
        <v>3</v>
      </c>
      <c r="AS26" s="45">
        <v>1</v>
      </c>
      <c r="AT26" s="47"/>
      <c r="AU26" s="47">
        <v>2</v>
      </c>
      <c r="AV26" s="47"/>
      <c r="AW26" s="51">
        <f t="shared" si="16"/>
        <v>5</v>
      </c>
      <c r="AX26" s="51">
        <f t="shared" si="17"/>
        <v>0</v>
      </c>
      <c r="AY26" s="53">
        <f t="shared" si="18"/>
        <v>5</v>
      </c>
      <c r="AZ26" s="45"/>
      <c r="BA26" s="47"/>
      <c r="BB26" s="47">
        <v>2</v>
      </c>
      <c r="BC26" s="47"/>
      <c r="BD26" s="51">
        <f t="shared" si="19"/>
        <v>2</v>
      </c>
      <c r="BE26" s="51">
        <f t="shared" si="20"/>
        <v>0</v>
      </c>
      <c r="BF26" s="53">
        <f t="shared" si="21"/>
        <v>2</v>
      </c>
      <c r="BG26" s="45"/>
      <c r="BH26" s="47"/>
      <c r="BI26" s="47">
        <v>2</v>
      </c>
      <c r="BJ26" s="47">
        <v>1</v>
      </c>
      <c r="BK26" s="51">
        <f t="shared" si="22"/>
        <v>2</v>
      </c>
      <c r="BL26" s="51">
        <f t="shared" si="23"/>
        <v>1</v>
      </c>
      <c r="BM26" s="133">
        <f t="shared" si="24"/>
        <v>3</v>
      </c>
      <c r="BN26" s="96">
        <v>1</v>
      </c>
      <c r="BO26" s="135"/>
      <c r="BP26" s="135">
        <v>1</v>
      </c>
      <c r="BQ26" s="135"/>
      <c r="BR26" s="51">
        <f t="shared" si="25"/>
        <v>4</v>
      </c>
      <c r="BS26" s="51">
        <f t="shared" si="26"/>
        <v>0</v>
      </c>
      <c r="BT26" s="133">
        <f t="shared" si="27"/>
        <v>4</v>
      </c>
      <c r="BU26" s="146">
        <f t="shared" si="28"/>
        <v>25</v>
      </c>
      <c r="BV26" s="92">
        <f t="shared" ca="1" si="29"/>
        <v>9.2936802973977689E-2</v>
      </c>
      <c r="BW26" s="56">
        <f t="shared" si="30"/>
        <v>5</v>
      </c>
      <c r="BX26" s="92">
        <f t="shared" ca="1" si="31"/>
        <v>1.858736059479554E-2</v>
      </c>
      <c r="BY26" s="56">
        <f t="shared" si="32"/>
        <v>30</v>
      </c>
      <c r="BZ26" s="92">
        <f t="shared" ca="1" si="33"/>
        <v>0.11152416356877323</v>
      </c>
      <c r="CA26" s="56">
        <f t="shared" si="34"/>
        <v>4</v>
      </c>
      <c r="CB26" s="56">
        <f t="shared" si="35"/>
        <v>1</v>
      </c>
      <c r="CC26" s="56">
        <f t="shared" si="36"/>
        <v>5</v>
      </c>
    </row>
    <row r="27" spans="1:81" x14ac:dyDescent="0.25">
      <c r="A27" s="96" t="s">
        <v>19</v>
      </c>
      <c r="B27" s="156" t="s">
        <v>140</v>
      </c>
      <c r="C27" s="81" t="str">
        <f t="shared" si="0"/>
        <v>רותם מרחבים</v>
      </c>
      <c r="D27" s="47" t="s">
        <v>6</v>
      </c>
      <c r="E27" s="65" t="s">
        <v>6</v>
      </c>
      <c r="F27" s="95" t="s">
        <v>211</v>
      </c>
      <c r="G27" s="89">
        <v>43040</v>
      </c>
      <c r="H27" s="164" t="s">
        <v>86</v>
      </c>
      <c r="I27" s="105" t="s">
        <v>181</v>
      </c>
      <c r="J27" s="49"/>
      <c r="K27" s="50"/>
      <c r="L27" s="50"/>
      <c r="M27" s="50"/>
      <c r="N27" s="51">
        <f t="shared" si="40"/>
        <v>0</v>
      </c>
      <c r="O27" s="51">
        <f t="shared" si="41"/>
        <v>0</v>
      </c>
      <c r="P27" s="52">
        <f t="shared" si="38"/>
        <v>0</v>
      </c>
      <c r="Q27" s="45"/>
      <c r="R27" s="47"/>
      <c r="S27" s="47"/>
      <c r="T27" s="47"/>
      <c r="U27" s="51">
        <f t="shared" si="4"/>
        <v>0</v>
      </c>
      <c r="V27" s="51">
        <f t="shared" si="5"/>
        <v>0</v>
      </c>
      <c r="W27" s="53">
        <f t="shared" si="39"/>
        <v>0</v>
      </c>
      <c r="X27" s="45"/>
      <c r="Y27" s="47"/>
      <c r="Z27" s="47"/>
      <c r="AA27" s="47"/>
      <c r="AB27" s="54">
        <f t="shared" si="7"/>
        <v>0</v>
      </c>
      <c r="AC27" s="54">
        <f t="shared" si="8"/>
        <v>0</v>
      </c>
      <c r="AD27" s="55">
        <f t="shared" si="9"/>
        <v>0</v>
      </c>
      <c r="AE27" s="45"/>
      <c r="AF27" s="47"/>
      <c r="AG27" s="47"/>
      <c r="AH27" s="47"/>
      <c r="AI27" s="51">
        <f t="shared" si="10"/>
        <v>0</v>
      </c>
      <c r="AJ27" s="51">
        <f t="shared" si="11"/>
        <v>0</v>
      </c>
      <c r="AK27" s="53">
        <f t="shared" si="12"/>
        <v>0</v>
      </c>
      <c r="AL27" s="45"/>
      <c r="AM27" s="47"/>
      <c r="AN27" s="47"/>
      <c r="AO27" s="47"/>
      <c r="AP27" s="51">
        <f t="shared" si="13"/>
        <v>0</v>
      </c>
      <c r="AQ27" s="51">
        <f t="shared" si="14"/>
        <v>0</v>
      </c>
      <c r="AR27" s="53">
        <f t="shared" si="15"/>
        <v>0</v>
      </c>
      <c r="AS27" s="45"/>
      <c r="AT27" s="47"/>
      <c r="AU27" s="47">
        <v>1</v>
      </c>
      <c r="AV27" s="47"/>
      <c r="AW27" s="51">
        <f t="shared" si="16"/>
        <v>1</v>
      </c>
      <c r="AX27" s="51">
        <f t="shared" si="17"/>
        <v>0</v>
      </c>
      <c r="AY27" s="53">
        <f t="shared" si="18"/>
        <v>1</v>
      </c>
      <c r="AZ27" s="45"/>
      <c r="BA27" s="47"/>
      <c r="BB27" s="47">
        <v>1</v>
      </c>
      <c r="BC27" s="47"/>
      <c r="BD27" s="51">
        <f t="shared" si="19"/>
        <v>1</v>
      </c>
      <c r="BE27" s="51">
        <f t="shared" si="20"/>
        <v>0</v>
      </c>
      <c r="BF27" s="53">
        <f t="shared" si="21"/>
        <v>1</v>
      </c>
      <c r="BG27" s="45"/>
      <c r="BH27" s="47"/>
      <c r="BI27" s="47">
        <v>3</v>
      </c>
      <c r="BJ27" s="47"/>
      <c r="BK27" s="51">
        <f t="shared" si="22"/>
        <v>3</v>
      </c>
      <c r="BL27" s="51">
        <f t="shared" si="23"/>
        <v>0</v>
      </c>
      <c r="BM27" s="133">
        <f t="shared" si="24"/>
        <v>3</v>
      </c>
      <c r="BN27" s="96">
        <v>1</v>
      </c>
      <c r="BO27" s="135"/>
      <c r="BP27" s="135">
        <v>1</v>
      </c>
      <c r="BQ27" s="135"/>
      <c r="BR27" s="51">
        <f t="shared" si="25"/>
        <v>4</v>
      </c>
      <c r="BS27" s="51">
        <f t="shared" si="26"/>
        <v>0</v>
      </c>
      <c r="BT27" s="133">
        <f t="shared" si="27"/>
        <v>4</v>
      </c>
      <c r="BU27" s="146">
        <f t="shared" si="28"/>
        <v>9</v>
      </c>
      <c r="BV27" s="92">
        <f t="shared" ca="1" si="29"/>
        <v>7.7586206896551727E-2</v>
      </c>
      <c r="BW27" s="56">
        <f t="shared" si="30"/>
        <v>0</v>
      </c>
      <c r="BX27" s="92">
        <f t="shared" ca="1" si="31"/>
        <v>0</v>
      </c>
      <c r="BY27" s="56">
        <f t="shared" si="32"/>
        <v>9</v>
      </c>
      <c r="BZ27" s="92">
        <f t="shared" ca="1" si="33"/>
        <v>7.7586206896551727E-2</v>
      </c>
      <c r="CA27" s="56">
        <f t="shared" si="34"/>
        <v>1</v>
      </c>
      <c r="CB27" s="56">
        <f t="shared" si="35"/>
        <v>0</v>
      </c>
      <c r="CC27" s="56">
        <f t="shared" si="36"/>
        <v>1</v>
      </c>
    </row>
    <row r="28" spans="1:81" x14ac:dyDescent="0.25">
      <c r="A28" s="45" t="s">
        <v>88</v>
      </c>
      <c r="B28" s="46" t="s">
        <v>63</v>
      </c>
      <c r="C28" s="81" t="str">
        <f t="shared" si="0"/>
        <v>סופיה אחודה</v>
      </c>
      <c r="D28" s="47" t="s">
        <v>7</v>
      </c>
      <c r="E28" s="47" t="s">
        <v>7</v>
      </c>
      <c r="F28" s="95" t="s">
        <v>208</v>
      </c>
      <c r="G28" s="89">
        <v>42948</v>
      </c>
      <c r="H28" s="58">
        <v>43659</v>
      </c>
      <c r="I28" s="48"/>
      <c r="J28" s="49"/>
      <c r="K28" s="50"/>
      <c r="L28" s="50"/>
      <c r="M28" s="50"/>
      <c r="N28" s="51">
        <f t="shared" si="40"/>
        <v>0</v>
      </c>
      <c r="O28" s="51">
        <f t="shared" si="41"/>
        <v>0</v>
      </c>
      <c r="P28" s="52">
        <f t="shared" si="38"/>
        <v>0</v>
      </c>
      <c r="Q28" s="45"/>
      <c r="R28" s="47"/>
      <c r="S28" s="47"/>
      <c r="T28" s="47"/>
      <c r="U28" s="51">
        <f t="shared" si="4"/>
        <v>0</v>
      </c>
      <c r="V28" s="51">
        <f t="shared" si="5"/>
        <v>0</v>
      </c>
      <c r="W28" s="53">
        <f t="shared" si="39"/>
        <v>0</v>
      </c>
      <c r="X28" s="45"/>
      <c r="Y28" s="47"/>
      <c r="Z28" s="47"/>
      <c r="AA28" s="47"/>
      <c r="AB28" s="54">
        <f t="shared" si="7"/>
        <v>0</v>
      </c>
      <c r="AC28" s="54">
        <f t="shared" si="8"/>
        <v>0</v>
      </c>
      <c r="AD28" s="55">
        <f t="shared" si="9"/>
        <v>0</v>
      </c>
      <c r="AE28" s="45"/>
      <c r="AF28" s="47">
        <v>1</v>
      </c>
      <c r="AG28" s="47"/>
      <c r="AH28" s="47">
        <v>1</v>
      </c>
      <c r="AI28" s="51">
        <f t="shared" si="10"/>
        <v>0</v>
      </c>
      <c r="AJ28" s="51">
        <f t="shared" si="11"/>
        <v>4</v>
      </c>
      <c r="AK28" s="53">
        <f t="shared" si="12"/>
        <v>4</v>
      </c>
      <c r="AL28" s="45"/>
      <c r="AM28" s="47">
        <v>1</v>
      </c>
      <c r="AN28" s="47"/>
      <c r="AO28" s="47">
        <v>1</v>
      </c>
      <c r="AP28" s="51">
        <f t="shared" si="13"/>
        <v>0</v>
      </c>
      <c r="AQ28" s="51">
        <f t="shared" si="14"/>
        <v>4</v>
      </c>
      <c r="AR28" s="53">
        <f t="shared" si="15"/>
        <v>4</v>
      </c>
      <c r="AS28" s="45"/>
      <c r="AT28" s="47"/>
      <c r="AU28" s="47"/>
      <c r="AV28" s="47">
        <v>3</v>
      </c>
      <c r="AW28" s="51">
        <f t="shared" si="16"/>
        <v>0</v>
      </c>
      <c r="AX28" s="51">
        <f t="shared" si="17"/>
        <v>3</v>
      </c>
      <c r="AY28" s="53">
        <f t="shared" si="18"/>
        <v>3</v>
      </c>
      <c r="AZ28" s="45"/>
      <c r="BA28" s="47">
        <v>1</v>
      </c>
      <c r="BB28" s="47"/>
      <c r="BC28" s="47">
        <v>1</v>
      </c>
      <c r="BD28" s="51">
        <f t="shared" si="19"/>
        <v>0</v>
      </c>
      <c r="BE28" s="51">
        <f t="shared" si="20"/>
        <v>4</v>
      </c>
      <c r="BF28" s="53">
        <f t="shared" si="21"/>
        <v>4</v>
      </c>
      <c r="BG28" s="45"/>
      <c r="BH28" s="47"/>
      <c r="BI28" s="47"/>
      <c r="BJ28" s="47">
        <v>2</v>
      </c>
      <c r="BK28" s="51">
        <f t="shared" si="22"/>
        <v>0</v>
      </c>
      <c r="BL28" s="51">
        <f t="shared" si="23"/>
        <v>2</v>
      </c>
      <c r="BM28" s="133">
        <f t="shared" si="24"/>
        <v>2</v>
      </c>
      <c r="BN28" s="96"/>
      <c r="BO28" s="135"/>
      <c r="BP28" s="135"/>
      <c r="BQ28" s="135">
        <v>4</v>
      </c>
      <c r="BR28" s="51">
        <f t="shared" si="25"/>
        <v>0</v>
      </c>
      <c r="BS28" s="51">
        <f t="shared" si="26"/>
        <v>4</v>
      </c>
      <c r="BT28" s="133">
        <f t="shared" si="27"/>
        <v>4</v>
      </c>
      <c r="BU28" s="146">
        <f t="shared" si="28"/>
        <v>0</v>
      </c>
      <c r="BV28" s="92">
        <f t="shared" ca="1" si="29"/>
        <v>0</v>
      </c>
      <c r="BW28" s="56">
        <f t="shared" si="30"/>
        <v>21</v>
      </c>
      <c r="BX28" s="92">
        <f t="shared" ca="1" si="31"/>
        <v>0.10096153846153846</v>
      </c>
      <c r="BY28" s="56">
        <f t="shared" si="32"/>
        <v>21</v>
      </c>
      <c r="BZ28" s="92">
        <f t="shared" ca="1" si="33"/>
        <v>0.10096153846153846</v>
      </c>
      <c r="CA28" s="56">
        <f t="shared" si="34"/>
        <v>0</v>
      </c>
      <c r="CB28" s="56">
        <f t="shared" si="35"/>
        <v>3</v>
      </c>
      <c r="CC28" s="56">
        <f t="shared" si="36"/>
        <v>3</v>
      </c>
    </row>
    <row r="29" spans="1:81" x14ac:dyDescent="0.25">
      <c r="A29" s="45">
        <v>679</v>
      </c>
      <c r="B29" s="46" t="s">
        <v>12</v>
      </c>
      <c r="C29" s="81" t="str">
        <f t="shared" si="0"/>
        <v>שגית 679</v>
      </c>
      <c r="D29" s="65" t="s">
        <v>7</v>
      </c>
      <c r="E29" s="47" t="s">
        <v>7</v>
      </c>
      <c r="F29" s="95" t="s">
        <v>206</v>
      </c>
      <c r="G29" s="89">
        <v>42887</v>
      </c>
      <c r="H29" s="58">
        <v>43297</v>
      </c>
      <c r="I29" s="105" t="s">
        <v>192</v>
      </c>
      <c r="J29" s="49"/>
      <c r="K29" s="50">
        <v>1</v>
      </c>
      <c r="L29" s="50"/>
      <c r="M29" s="50">
        <v>1</v>
      </c>
      <c r="N29" s="51">
        <f t="shared" si="40"/>
        <v>0</v>
      </c>
      <c r="O29" s="51">
        <f t="shared" si="41"/>
        <v>4</v>
      </c>
      <c r="P29" s="52">
        <f t="shared" si="38"/>
        <v>4</v>
      </c>
      <c r="Q29" s="45"/>
      <c r="R29" s="47">
        <v>1</v>
      </c>
      <c r="S29" s="47"/>
      <c r="T29" s="47">
        <v>1</v>
      </c>
      <c r="U29" s="51">
        <f t="shared" si="4"/>
        <v>0</v>
      </c>
      <c r="V29" s="51">
        <f t="shared" si="5"/>
        <v>4</v>
      </c>
      <c r="W29" s="53">
        <f t="shared" si="39"/>
        <v>4</v>
      </c>
      <c r="X29" s="45"/>
      <c r="Y29" s="47"/>
      <c r="Z29" s="47"/>
      <c r="AA29" s="47">
        <v>2</v>
      </c>
      <c r="AB29" s="54">
        <f t="shared" si="7"/>
        <v>0</v>
      </c>
      <c r="AC29" s="54">
        <f t="shared" si="8"/>
        <v>2</v>
      </c>
      <c r="AD29" s="55">
        <f t="shared" si="9"/>
        <v>2</v>
      </c>
      <c r="AE29" s="45"/>
      <c r="AF29" s="47"/>
      <c r="AG29" s="47"/>
      <c r="AH29" s="47">
        <v>3</v>
      </c>
      <c r="AI29" s="51">
        <f t="shared" si="10"/>
        <v>0</v>
      </c>
      <c r="AJ29" s="51">
        <f t="shared" si="11"/>
        <v>3</v>
      </c>
      <c r="AK29" s="53">
        <f t="shared" si="12"/>
        <v>3</v>
      </c>
      <c r="AL29" s="45"/>
      <c r="AM29" s="47">
        <v>1</v>
      </c>
      <c r="AN29" s="47"/>
      <c r="AO29" s="47">
        <v>1</v>
      </c>
      <c r="AP29" s="51">
        <f t="shared" si="13"/>
        <v>0</v>
      </c>
      <c r="AQ29" s="51">
        <f t="shared" si="14"/>
        <v>4</v>
      </c>
      <c r="AR29" s="53">
        <f t="shared" si="15"/>
        <v>4</v>
      </c>
      <c r="AS29" s="45"/>
      <c r="AT29" s="47">
        <v>1</v>
      </c>
      <c r="AU29" s="47"/>
      <c r="AV29" s="47">
        <v>4</v>
      </c>
      <c r="AW29" s="51">
        <f t="shared" si="16"/>
        <v>0</v>
      </c>
      <c r="AX29" s="51">
        <f t="shared" si="17"/>
        <v>7</v>
      </c>
      <c r="AY29" s="53">
        <f t="shared" si="18"/>
        <v>7</v>
      </c>
      <c r="AZ29" s="45"/>
      <c r="BA29" s="47"/>
      <c r="BB29" s="47"/>
      <c r="BC29" s="47">
        <v>1</v>
      </c>
      <c r="BD29" s="51">
        <f t="shared" si="19"/>
        <v>0</v>
      </c>
      <c r="BE29" s="51">
        <f t="shared" si="20"/>
        <v>1</v>
      </c>
      <c r="BF29" s="53">
        <f t="shared" si="21"/>
        <v>1</v>
      </c>
      <c r="BG29" s="45"/>
      <c r="BH29" s="47"/>
      <c r="BI29" s="47"/>
      <c r="BJ29" s="47">
        <v>2</v>
      </c>
      <c r="BK29" s="51">
        <f t="shared" si="22"/>
        <v>0</v>
      </c>
      <c r="BL29" s="51">
        <f t="shared" si="23"/>
        <v>2</v>
      </c>
      <c r="BM29" s="133">
        <f t="shared" si="24"/>
        <v>2</v>
      </c>
      <c r="BN29" s="96"/>
      <c r="BO29" s="135"/>
      <c r="BP29" s="135"/>
      <c r="BQ29" s="135">
        <v>3</v>
      </c>
      <c r="BR29" s="51">
        <f t="shared" si="25"/>
        <v>0</v>
      </c>
      <c r="BS29" s="51">
        <f t="shared" si="26"/>
        <v>3</v>
      </c>
      <c r="BT29" s="133">
        <f t="shared" si="27"/>
        <v>3</v>
      </c>
      <c r="BU29" s="146">
        <f t="shared" si="28"/>
        <v>0</v>
      </c>
      <c r="BV29" s="92">
        <f t="shared" ca="1" si="29"/>
        <v>0</v>
      </c>
      <c r="BW29" s="56">
        <f t="shared" si="30"/>
        <v>30</v>
      </c>
      <c r="BX29" s="92">
        <f t="shared" ca="1" si="31"/>
        <v>0.11152416356877323</v>
      </c>
      <c r="BY29" s="56">
        <f t="shared" si="32"/>
        <v>30</v>
      </c>
      <c r="BZ29" s="92">
        <f t="shared" ca="1" si="33"/>
        <v>0.11152416356877323</v>
      </c>
      <c r="CA29" s="56">
        <f t="shared" si="34"/>
        <v>0</v>
      </c>
      <c r="CB29" s="56">
        <f t="shared" si="35"/>
        <v>5</v>
      </c>
      <c r="CC29" s="56">
        <f t="shared" si="36"/>
        <v>5</v>
      </c>
    </row>
    <row r="30" spans="1:81" x14ac:dyDescent="0.25">
      <c r="A30" s="45">
        <v>679</v>
      </c>
      <c r="B30" s="46" t="s">
        <v>16</v>
      </c>
      <c r="C30" s="81" t="str">
        <f t="shared" si="0"/>
        <v>שיר 679</v>
      </c>
      <c r="D30" s="65" t="s">
        <v>7</v>
      </c>
      <c r="E30" s="47" t="s">
        <v>7</v>
      </c>
      <c r="F30" s="95" t="s">
        <v>207</v>
      </c>
      <c r="G30" s="89">
        <v>42917</v>
      </c>
      <c r="H30" s="58">
        <v>43558</v>
      </c>
      <c r="I30" s="48" t="s">
        <v>56</v>
      </c>
      <c r="J30" s="49"/>
      <c r="K30" s="50"/>
      <c r="L30" s="50"/>
      <c r="M30" s="50"/>
      <c r="N30" s="51">
        <f t="shared" si="40"/>
        <v>0</v>
      </c>
      <c r="O30" s="51">
        <f t="shared" si="41"/>
        <v>0</v>
      </c>
      <c r="P30" s="52">
        <f t="shared" si="38"/>
        <v>0</v>
      </c>
      <c r="Q30" s="45">
        <v>1</v>
      </c>
      <c r="R30" s="47"/>
      <c r="S30" s="47"/>
      <c r="T30" s="47"/>
      <c r="U30" s="51">
        <f t="shared" si="4"/>
        <v>3</v>
      </c>
      <c r="V30" s="51">
        <f t="shared" si="5"/>
        <v>0</v>
      </c>
      <c r="W30" s="53">
        <f t="shared" si="39"/>
        <v>3</v>
      </c>
      <c r="X30" s="45">
        <v>1</v>
      </c>
      <c r="Y30" s="47"/>
      <c r="Z30" s="47">
        <v>1</v>
      </c>
      <c r="AA30" s="47"/>
      <c r="AB30" s="54">
        <f t="shared" si="7"/>
        <v>4</v>
      </c>
      <c r="AC30" s="54">
        <f t="shared" si="8"/>
        <v>0</v>
      </c>
      <c r="AD30" s="55">
        <f t="shared" si="9"/>
        <v>4</v>
      </c>
      <c r="AE30" s="45"/>
      <c r="AF30" s="47"/>
      <c r="AG30" s="47">
        <v>1</v>
      </c>
      <c r="AH30" s="47">
        <v>2</v>
      </c>
      <c r="AI30" s="51">
        <f t="shared" si="10"/>
        <v>1</v>
      </c>
      <c r="AJ30" s="51">
        <f t="shared" si="11"/>
        <v>2</v>
      </c>
      <c r="AK30" s="53">
        <f t="shared" si="12"/>
        <v>3</v>
      </c>
      <c r="AL30" s="45"/>
      <c r="AM30" s="47"/>
      <c r="AN30" s="47">
        <v>2</v>
      </c>
      <c r="AO30" s="47"/>
      <c r="AP30" s="51">
        <f t="shared" si="13"/>
        <v>2</v>
      </c>
      <c r="AQ30" s="51">
        <f t="shared" si="14"/>
        <v>0</v>
      </c>
      <c r="AR30" s="53">
        <f t="shared" si="15"/>
        <v>2</v>
      </c>
      <c r="AS30" s="45"/>
      <c r="AT30" s="47"/>
      <c r="AU30" s="47">
        <v>3</v>
      </c>
      <c r="AV30" s="47"/>
      <c r="AW30" s="51">
        <f t="shared" si="16"/>
        <v>3</v>
      </c>
      <c r="AX30" s="51">
        <f t="shared" si="17"/>
        <v>0</v>
      </c>
      <c r="AY30" s="53">
        <f t="shared" si="18"/>
        <v>3</v>
      </c>
      <c r="AZ30" s="45">
        <v>1</v>
      </c>
      <c r="BA30" s="47"/>
      <c r="BB30" s="47">
        <v>1</v>
      </c>
      <c r="BC30" s="47">
        <v>1</v>
      </c>
      <c r="BD30" s="51">
        <f t="shared" si="19"/>
        <v>4</v>
      </c>
      <c r="BE30" s="51">
        <f t="shared" si="20"/>
        <v>1</v>
      </c>
      <c r="BF30" s="53">
        <f t="shared" si="21"/>
        <v>5</v>
      </c>
      <c r="BG30" s="45">
        <v>1</v>
      </c>
      <c r="BH30" s="47"/>
      <c r="BI30" s="47">
        <v>1</v>
      </c>
      <c r="BJ30" s="47">
        <v>1</v>
      </c>
      <c r="BK30" s="51">
        <f t="shared" si="22"/>
        <v>4</v>
      </c>
      <c r="BL30" s="51">
        <f t="shared" si="23"/>
        <v>1</v>
      </c>
      <c r="BM30" s="133">
        <f t="shared" si="24"/>
        <v>5</v>
      </c>
      <c r="BN30" s="96"/>
      <c r="BO30" s="135"/>
      <c r="BP30" s="135"/>
      <c r="BQ30" s="135">
        <v>2</v>
      </c>
      <c r="BR30" s="51">
        <f t="shared" si="25"/>
        <v>0</v>
      </c>
      <c r="BS30" s="51">
        <f t="shared" si="26"/>
        <v>2</v>
      </c>
      <c r="BT30" s="133">
        <f t="shared" si="27"/>
        <v>2</v>
      </c>
      <c r="BU30" s="146">
        <f t="shared" si="28"/>
        <v>21</v>
      </c>
      <c r="BV30" s="92">
        <f t="shared" ca="1" si="29"/>
        <v>8.7866108786610872E-2</v>
      </c>
      <c r="BW30" s="56">
        <f t="shared" si="30"/>
        <v>6</v>
      </c>
      <c r="BX30" s="92">
        <f t="shared" ca="1" si="31"/>
        <v>2.5104602510460251E-2</v>
      </c>
      <c r="BY30" s="56">
        <f t="shared" si="32"/>
        <v>27</v>
      </c>
      <c r="BZ30" s="92">
        <f t="shared" ca="1" si="33"/>
        <v>0.11297071129707112</v>
      </c>
      <c r="CA30" s="56">
        <f t="shared" si="34"/>
        <v>5</v>
      </c>
      <c r="CB30" s="56">
        <f t="shared" si="35"/>
        <v>0</v>
      </c>
      <c r="CC30" s="56">
        <f t="shared" si="36"/>
        <v>5</v>
      </c>
    </row>
    <row r="31" spans="1:81" x14ac:dyDescent="0.25">
      <c r="A31" s="45">
        <v>209</v>
      </c>
      <c r="B31" s="46" t="s">
        <v>115</v>
      </c>
      <c r="C31" s="81" t="str">
        <f t="shared" si="0"/>
        <v>גילי 209</v>
      </c>
      <c r="D31" s="47" t="s">
        <v>7</v>
      </c>
      <c r="E31" s="65" t="s">
        <v>7</v>
      </c>
      <c r="F31" s="95" t="s">
        <v>210</v>
      </c>
      <c r="G31" s="89">
        <v>43009</v>
      </c>
      <c r="H31" s="57" t="s">
        <v>86</v>
      </c>
      <c r="I31" s="48"/>
      <c r="J31" s="49"/>
      <c r="K31" s="50"/>
      <c r="L31" s="50"/>
      <c r="M31" s="50"/>
      <c r="N31" s="51">
        <f t="shared" si="40"/>
        <v>0</v>
      </c>
      <c r="O31" s="51">
        <f t="shared" si="41"/>
        <v>0</v>
      </c>
      <c r="P31" s="52">
        <f t="shared" si="38"/>
        <v>0</v>
      </c>
      <c r="Q31" s="45"/>
      <c r="R31" s="47"/>
      <c r="S31" s="47"/>
      <c r="T31" s="47"/>
      <c r="U31" s="51">
        <f t="shared" si="4"/>
        <v>0</v>
      </c>
      <c r="V31" s="51">
        <f t="shared" si="5"/>
        <v>0</v>
      </c>
      <c r="W31" s="53">
        <f t="shared" si="39"/>
        <v>0</v>
      </c>
      <c r="X31" s="45"/>
      <c r="Y31" s="47"/>
      <c r="Z31" s="47"/>
      <c r="AA31" s="47"/>
      <c r="AB31" s="54">
        <f t="shared" si="7"/>
        <v>0</v>
      </c>
      <c r="AC31" s="54">
        <f t="shared" si="8"/>
        <v>0</v>
      </c>
      <c r="AD31" s="55">
        <f t="shared" si="9"/>
        <v>0</v>
      </c>
      <c r="AE31" s="45"/>
      <c r="AF31" s="47"/>
      <c r="AG31" s="47"/>
      <c r="AH31" s="47"/>
      <c r="AI31" s="51">
        <f t="shared" si="10"/>
        <v>0</v>
      </c>
      <c r="AJ31" s="51">
        <f t="shared" si="11"/>
        <v>0</v>
      </c>
      <c r="AK31" s="53">
        <f t="shared" si="12"/>
        <v>0</v>
      </c>
      <c r="AL31" s="45"/>
      <c r="AM31" s="47">
        <v>1</v>
      </c>
      <c r="AN31" s="47"/>
      <c r="AO31" s="47"/>
      <c r="AP31" s="51">
        <f t="shared" si="13"/>
        <v>0</v>
      </c>
      <c r="AQ31" s="51">
        <f t="shared" si="14"/>
        <v>3</v>
      </c>
      <c r="AR31" s="53">
        <f t="shared" si="15"/>
        <v>3</v>
      </c>
      <c r="AS31" s="45"/>
      <c r="AT31" s="47">
        <v>1</v>
      </c>
      <c r="AU31" s="47"/>
      <c r="AV31" s="47">
        <v>2</v>
      </c>
      <c r="AW31" s="51">
        <f t="shared" si="16"/>
        <v>0</v>
      </c>
      <c r="AX31" s="51">
        <f t="shared" si="17"/>
        <v>5</v>
      </c>
      <c r="AY31" s="53">
        <f t="shared" si="18"/>
        <v>5</v>
      </c>
      <c r="AZ31" s="45"/>
      <c r="BA31" s="47"/>
      <c r="BB31" s="47"/>
      <c r="BC31" s="47">
        <v>3</v>
      </c>
      <c r="BD31" s="51">
        <f t="shared" si="19"/>
        <v>0</v>
      </c>
      <c r="BE31" s="51">
        <f t="shared" si="20"/>
        <v>3</v>
      </c>
      <c r="BF31" s="53">
        <f t="shared" si="21"/>
        <v>3</v>
      </c>
      <c r="BG31" s="45"/>
      <c r="BH31" s="47">
        <v>1</v>
      </c>
      <c r="BI31" s="47"/>
      <c r="BJ31" s="47">
        <v>2</v>
      </c>
      <c r="BK31" s="51">
        <f t="shared" si="22"/>
        <v>0</v>
      </c>
      <c r="BL31" s="51">
        <f t="shared" si="23"/>
        <v>5</v>
      </c>
      <c r="BM31" s="133">
        <f t="shared" si="24"/>
        <v>5</v>
      </c>
      <c r="BN31" s="96"/>
      <c r="BO31" s="135">
        <v>1</v>
      </c>
      <c r="BP31" s="135"/>
      <c r="BQ31" s="135">
        <v>1</v>
      </c>
      <c r="BR31" s="51">
        <f t="shared" si="25"/>
        <v>0</v>
      </c>
      <c r="BS31" s="51">
        <f t="shared" si="26"/>
        <v>4</v>
      </c>
      <c r="BT31" s="133">
        <f t="shared" si="27"/>
        <v>4</v>
      </c>
      <c r="BU31" s="146">
        <f t="shared" si="28"/>
        <v>0</v>
      </c>
      <c r="BV31" s="92">
        <f t="shared" ca="1" si="29"/>
        <v>0</v>
      </c>
      <c r="BW31" s="56">
        <f t="shared" si="30"/>
        <v>20</v>
      </c>
      <c r="BX31" s="92">
        <f t="shared" ca="1" si="31"/>
        <v>0.1360544217687075</v>
      </c>
      <c r="BY31" s="56">
        <f t="shared" si="32"/>
        <v>20</v>
      </c>
      <c r="BZ31" s="92">
        <f t="shared" ca="1" si="33"/>
        <v>0.1360544217687075</v>
      </c>
      <c r="CA31" s="56">
        <f t="shared" si="34"/>
        <v>0</v>
      </c>
      <c r="CB31" s="56">
        <f t="shared" si="35"/>
        <v>4</v>
      </c>
      <c r="CC31" s="56">
        <f t="shared" si="36"/>
        <v>4</v>
      </c>
    </row>
    <row r="32" spans="1:81" x14ac:dyDescent="0.25">
      <c r="A32" s="45">
        <v>474</v>
      </c>
      <c r="B32" s="46" t="s">
        <v>5</v>
      </c>
      <c r="C32" s="81" t="str">
        <f t="shared" si="0"/>
        <v>מאי 474</v>
      </c>
      <c r="D32" s="65" t="s">
        <v>7</v>
      </c>
      <c r="E32" s="65" t="s">
        <v>7</v>
      </c>
      <c r="F32" s="95" t="s">
        <v>209</v>
      </c>
      <c r="G32" s="89">
        <v>42979</v>
      </c>
      <c r="H32" s="57">
        <v>43661</v>
      </c>
      <c r="I32" s="48"/>
      <c r="J32" s="49"/>
      <c r="K32" s="50"/>
      <c r="L32" s="50"/>
      <c r="M32" s="50"/>
      <c r="N32" s="51">
        <f t="shared" si="40"/>
        <v>0</v>
      </c>
      <c r="O32" s="51">
        <f t="shared" si="41"/>
        <v>0</v>
      </c>
      <c r="P32" s="52">
        <f t="shared" si="38"/>
        <v>0</v>
      </c>
      <c r="Q32" s="45"/>
      <c r="R32" s="47"/>
      <c r="S32" s="47"/>
      <c r="T32" s="47"/>
      <c r="U32" s="51">
        <f t="shared" si="4"/>
        <v>0</v>
      </c>
      <c r="V32" s="51">
        <f t="shared" si="5"/>
        <v>0</v>
      </c>
      <c r="W32" s="53">
        <f t="shared" si="39"/>
        <v>0</v>
      </c>
      <c r="X32" s="45"/>
      <c r="Y32" s="47"/>
      <c r="Z32" s="47"/>
      <c r="AA32" s="47"/>
      <c r="AB32" s="54">
        <f t="shared" si="7"/>
        <v>0</v>
      </c>
      <c r="AC32" s="54">
        <f t="shared" si="8"/>
        <v>0</v>
      </c>
      <c r="AD32" s="55">
        <f t="shared" si="9"/>
        <v>0</v>
      </c>
      <c r="AE32" s="45">
        <v>1</v>
      </c>
      <c r="AF32" s="47"/>
      <c r="AG32" s="47">
        <v>2</v>
      </c>
      <c r="AH32" s="47"/>
      <c r="AI32" s="51">
        <f t="shared" si="10"/>
        <v>5</v>
      </c>
      <c r="AJ32" s="51">
        <f t="shared" si="11"/>
        <v>0</v>
      </c>
      <c r="AK32" s="53">
        <f t="shared" si="12"/>
        <v>5</v>
      </c>
      <c r="AL32" s="45">
        <v>1</v>
      </c>
      <c r="AM32" s="47"/>
      <c r="AN32" s="47"/>
      <c r="AO32" s="47"/>
      <c r="AP32" s="51">
        <f t="shared" si="13"/>
        <v>3</v>
      </c>
      <c r="AQ32" s="51">
        <f t="shared" si="14"/>
        <v>0</v>
      </c>
      <c r="AR32" s="53">
        <f t="shared" si="15"/>
        <v>3</v>
      </c>
      <c r="AS32" s="45"/>
      <c r="AT32" s="47"/>
      <c r="AU32" s="47"/>
      <c r="AV32" s="47">
        <v>2</v>
      </c>
      <c r="AW32" s="51">
        <f t="shared" si="16"/>
        <v>0</v>
      </c>
      <c r="AX32" s="51">
        <f t="shared" si="17"/>
        <v>2</v>
      </c>
      <c r="AY32" s="53">
        <f t="shared" si="18"/>
        <v>2</v>
      </c>
      <c r="AZ32" s="45"/>
      <c r="BA32" s="47">
        <v>1</v>
      </c>
      <c r="BB32" s="47"/>
      <c r="BC32" s="47">
        <v>2</v>
      </c>
      <c r="BD32" s="51">
        <f t="shared" si="19"/>
        <v>0</v>
      </c>
      <c r="BE32" s="51">
        <f t="shared" si="20"/>
        <v>5</v>
      </c>
      <c r="BF32" s="53">
        <f t="shared" si="21"/>
        <v>5</v>
      </c>
      <c r="BG32" s="45"/>
      <c r="BH32" s="47">
        <v>1</v>
      </c>
      <c r="BI32" s="47"/>
      <c r="BJ32" s="47">
        <v>1</v>
      </c>
      <c r="BK32" s="51">
        <f t="shared" si="22"/>
        <v>0</v>
      </c>
      <c r="BL32" s="51">
        <f t="shared" si="23"/>
        <v>4</v>
      </c>
      <c r="BM32" s="133">
        <f t="shared" si="24"/>
        <v>4</v>
      </c>
      <c r="BN32" s="96"/>
      <c r="BO32" s="135">
        <v>1</v>
      </c>
      <c r="BP32" s="135"/>
      <c r="BQ32" s="135">
        <v>1</v>
      </c>
      <c r="BR32" s="51">
        <f t="shared" si="25"/>
        <v>0</v>
      </c>
      <c r="BS32" s="51">
        <f t="shared" si="26"/>
        <v>4</v>
      </c>
      <c r="BT32" s="133">
        <f t="shared" si="27"/>
        <v>4</v>
      </c>
      <c r="BU32" s="146">
        <f t="shared" si="28"/>
        <v>8</v>
      </c>
      <c r="BV32" s="92">
        <f t="shared" ca="1" si="29"/>
        <v>4.519774011299435E-2</v>
      </c>
      <c r="BW32" s="56">
        <f t="shared" si="30"/>
        <v>15</v>
      </c>
      <c r="BX32" s="92">
        <f t="shared" ca="1" si="31"/>
        <v>8.4745762711864403E-2</v>
      </c>
      <c r="BY32" s="56">
        <f t="shared" si="32"/>
        <v>23</v>
      </c>
      <c r="BZ32" s="92">
        <f t="shared" ca="1" si="33"/>
        <v>0.12994350282485875</v>
      </c>
      <c r="CA32" s="56">
        <f t="shared" si="34"/>
        <v>2</v>
      </c>
      <c r="CB32" s="56">
        <f t="shared" si="35"/>
        <v>3</v>
      </c>
      <c r="CC32" s="56">
        <f t="shared" si="36"/>
        <v>5</v>
      </c>
    </row>
    <row r="33" spans="1:81" x14ac:dyDescent="0.25">
      <c r="A33" s="45">
        <v>679</v>
      </c>
      <c r="B33" s="46" t="s">
        <v>20</v>
      </c>
      <c r="C33" s="81" t="str">
        <f t="shared" si="0"/>
        <v>הדס 679</v>
      </c>
      <c r="D33" s="47" t="s">
        <v>7</v>
      </c>
      <c r="E33" s="47" t="s">
        <v>7</v>
      </c>
      <c r="F33" s="95" t="s">
        <v>206</v>
      </c>
      <c r="G33" s="89">
        <v>42887</v>
      </c>
      <c r="H33" s="57">
        <v>43360</v>
      </c>
      <c r="I33" s="48"/>
      <c r="J33" s="49"/>
      <c r="K33" s="50"/>
      <c r="L33" s="50"/>
      <c r="M33" s="50">
        <v>1</v>
      </c>
      <c r="N33" s="51">
        <f t="shared" si="40"/>
        <v>0</v>
      </c>
      <c r="O33" s="51">
        <f t="shared" si="41"/>
        <v>1</v>
      </c>
      <c r="P33" s="52">
        <f t="shared" si="38"/>
        <v>1</v>
      </c>
      <c r="Q33" s="45"/>
      <c r="R33" s="47">
        <v>1</v>
      </c>
      <c r="S33" s="47"/>
      <c r="T33" s="47">
        <v>1</v>
      </c>
      <c r="U33" s="51">
        <f t="shared" si="4"/>
        <v>0</v>
      </c>
      <c r="V33" s="51">
        <f t="shared" si="5"/>
        <v>4</v>
      </c>
      <c r="W33" s="53">
        <f t="shared" si="39"/>
        <v>4</v>
      </c>
      <c r="X33" s="45"/>
      <c r="Y33" s="47">
        <v>1</v>
      </c>
      <c r="Z33" s="47"/>
      <c r="AA33" s="47">
        <v>4</v>
      </c>
      <c r="AB33" s="54">
        <f t="shared" si="7"/>
        <v>0</v>
      </c>
      <c r="AC33" s="54">
        <f t="shared" si="8"/>
        <v>7</v>
      </c>
      <c r="AD33" s="55">
        <f t="shared" si="9"/>
        <v>7</v>
      </c>
      <c r="AE33" s="45"/>
      <c r="AF33" s="47">
        <v>1</v>
      </c>
      <c r="AG33" s="47"/>
      <c r="AH33" s="47">
        <v>1</v>
      </c>
      <c r="AI33" s="51">
        <f t="shared" si="10"/>
        <v>0</v>
      </c>
      <c r="AJ33" s="51">
        <f t="shared" si="11"/>
        <v>4</v>
      </c>
      <c r="AK33" s="53">
        <f t="shared" si="12"/>
        <v>4</v>
      </c>
      <c r="AL33" s="45"/>
      <c r="AM33" s="47"/>
      <c r="AN33" s="47"/>
      <c r="AO33" s="47">
        <v>1</v>
      </c>
      <c r="AP33" s="51">
        <f t="shared" si="13"/>
        <v>0</v>
      </c>
      <c r="AQ33" s="51">
        <f t="shared" si="14"/>
        <v>1</v>
      </c>
      <c r="AR33" s="53">
        <f t="shared" si="15"/>
        <v>1</v>
      </c>
      <c r="AS33" s="45"/>
      <c r="AT33" s="47">
        <v>1</v>
      </c>
      <c r="AU33" s="47"/>
      <c r="AV33" s="47">
        <v>1</v>
      </c>
      <c r="AW33" s="51">
        <f t="shared" si="16"/>
        <v>0</v>
      </c>
      <c r="AX33" s="51">
        <f t="shared" si="17"/>
        <v>4</v>
      </c>
      <c r="AY33" s="53">
        <f t="shared" si="18"/>
        <v>4</v>
      </c>
      <c r="AZ33" s="45"/>
      <c r="BA33" s="47">
        <v>1</v>
      </c>
      <c r="BB33" s="47"/>
      <c r="BC33" s="47">
        <v>2</v>
      </c>
      <c r="BD33" s="51">
        <f t="shared" si="19"/>
        <v>0</v>
      </c>
      <c r="BE33" s="51">
        <f t="shared" si="20"/>
        <v>5</v>
      </c>
      <c r="BF33" s="53">
        <f t="shared" si="21"/>
        <v>5</v>
      </c>
      <c r="BG33" s="45"/>
      <c r="BH33" s="47"/>
      <c r="BI33" s="47"/>
      <c r="BJ33" s="47">
        <v>3</v>
      </c>
      <c r="BK33" s="51">
        <f t="shared" si="22"/>
        <v>0</v>
      </c>
      <c r="BL33" s="51">
        <f t="shared" si="23"/>
        <v>3</v>
      </c>
      <c r="BM33" s="133">
        <f t="shared" si="24"/>
        <v>3</v>
      </c>
      <c r="BN33" s="96"/>
      <c r="BO33" s="135"/>
      <c r="BP33" s="135"/>
      <c r="BQ33" s="135">
        <v>1</v>
      </c>
      <c r="BR33" s="51">
        <f t="shared" si="25"/>
        <v>0</v>
      </c>
      <c r="BS33" s="51">
        <f t="shared" si="26"/>
        <v>1</v>
      </c>
      <c r="BT33" s="133">
        <f t="shared" si="27"/>
        <v>1</v>
      </c>
      <c r="BU33" s="146">
        <f t="shared" si="28"/>
        <v>0</v>
      </c>
      <c r="BV33" s="92">
        <f t="shared" ca="1" si="29"/>
        <v>0</v>
      </c>
      <c r="BW33" s="56">
        <f t="shared" si="30"/>
        <v>30</v>
      </c>
      <c r="BX33" s="92">
        <f t="shared" ca="1" si="31"/>
        <v>0.11152416356877323</v>
      </c>
      <c r="BY33" s="56">
        <f t="shared" si="32"/>
        <v>30</v>
      </c>
      <c r="BZ33" s="92">
        <f t="shared" ca="1" si="33"/>
        <v>0.11152416356877323</v>
      </c>
      <c r="CA33" s="56">
        <f t="shared" si="34"/>
        <v>0</v>
      </c>
      <c r="CB33" s="56">
        <f t="shared" si="35"/>
        <v>6</v>
      </c>
      <c r="CC33" s="56">
        <f t="shared" si="36"/>
        <v>6</v>
      </c>
    </row>
    <row r="34" spans="1:81" x14ac:dyDescent="0.25">
      <c r="A34" s="45" t="s">
        <v>88</v>
      </c>
      <c r="B34" s="46" t="s">
        <v>62</v>
      </c>
      <c r="C34" s="81" t="str">
        <f t="shared" si="0"/>
        <v>דקל אחודה</v>
      </c>
      <c r="D34" s="65" t="s">
        <v>7</v>
      </c>
      <c r="E34" s="47" t="s">
        <v>7</v>
      </c>
      <c r="F34" s="95" t="s">
        <v>208</v>
      </c>
      <c r="G34" s="89">
        <v>42948</v>
      </c>
      <c r="H34" s="57">
        <v>43692</v>
      </c>
      <c r="I34" s="48"/>
      <c r="J34" s="49"/>
      <c r="K34" s="50"/>
      <c r="L34" s="50"/>
      <c r="M34" s="50"/>
      <c r="N34" s="51">
        <f t="shared" si="40"/>
        <v>0</v>
      </c>
      <c r="O34" s="51">
        <f t="shared" si="41"/>
        <v>0</v>
      </c>
      <c r="P34" s="52">
        <f t="shared" si="38"/>
        <v>0</v>
      </c>
      <c r="Q34" s="45"/>
      <c r="R34" s="47"/>
      <c r="S34" s="47"/>
      <c r="T34" s="47"/>
      <c r="U34" s="51">
        <f t="shared" si="4"/>
        <v>0</v>
      </c>
      <c r="V34" s="51">
        <f t="shared" si="5"/>
        <v>0</v>
      </c>
      <c r="W34" s="53">
        <f t="shared" si="39"/>
        <v>0</v>
      </c>
      <c r="X34" s="45">
        <v>1</v>
      </c>
      <c r="Y34" s="47"/>
      <c r="Z34" s="47"/>
      <c r="AA34" s="47"/>
      <c r="AB34" s="54">
        <f t="shared" si="7"/>
        <v>3</v>
      </c>
      <c r="AC34" s="54">
        <f t="shared" si="8"/>
        <v>0</v>
      </c>
      <c r="AD34" s="55">
        <f t="shared" si="9"/>
        <v>3</v>
      </c>
      <c r="AE34" s="45">
        <v>1</v>
      </c>
      <c r="AF34" s="47"/>
      <c r="AG34" s="47">
        <v>1</v>
      </c>
      <c r="AH34" s="47"/>
      <c r="AI34" s="51">
        <f t="shared" si="10"/>
        <v>4</v>
      </c>
      <c r="AJ34" s="51">
        <f t="shared" si="11"/>
        <v>0</v>
      </c>
      <c r="AK34" s="53">
        <f t="shared" si="12"/>
        <v>4</v>
      </c>
      <c r="AL34" s="45"/>
      <c r="AM34" s="47"/>
      <c r="AN34" s="47"/>
      <c r="AO34" s="47">
        <v>1</v>
      </c>
      <c r="AP34" s="51">
        <f t="shared" si="13"/>
        <v>0</v>
      </c>
      <c r="AQ34" s="51">
        <f t="shared" si="14"/>
        <v>1</v>
      </c>
      <c r="AR34" s="53">
        <f t="shared" si="15"/>
        <v>1</v>
      </c>
      <c r="AS34" s="45"/>
      <c r="AT34" s="47"/>
      <c r="AU34" s="47">
        <v>4</v>
      </c>
      <c r="AV34" s="47"/>
      <c r="AW34" s="51">
        <f t="shared" si="16"/>
        <v>4</v>
      </c>
      <c r="AX34" s="51">
        <f t="shared" si="17"/>
        <v>0</v>
      </c>
      <c r="AY34" s="53">
        <f t="shared" si="18"/>
        <v>4</v>
      </c>
      <c r="AZ34" s="45"/>
      <c r="BA34" s="47">
        <v>1</v>
      </c>
      <c r="BB34" s="47"/>
      <c r="BC34" s="47"/>
      <c r="BD34" s="51">
        <f t="shared" si="19"/>
        <v>0</v>
      </c>
      <c r="BE34" s="51">
        <f t="shared" si="20"/>
        <v>3</v>
      </c>
      <c r="BF34" s="53">
        <f t="shared" si="21"/>
        <v>3</v>
      </c>
      <c r="BG34" s="45"/>
      <c r="BH34" s="47"/>
      <c r="BI34" s="47">
        <v>1</v>
      </c>
      <c r="BJ34" s="47">
        <v>1</v>
      </c>
      <c r="BK34" s="51">
        <f t="shared" si="22"/>
        <v>1</v>
      </c>
      <c r="BL34" s="51">
        <f t="shared" si="23"/>
        <v>1</v>
      </c>
      <c r="BM34" s="133">
        <f t="shared" si="24"/>
        <v>2</v>
      </c>
      <c r="BN34" s="96"/>
      <c r="BO34" s="135">
        <v>1</v>
      </c>
      <c r="BP34" s="135"/>
      <c r="BQ34" s="135">
        <v>1</v>
      </c>
      <c r="BR34" s="51">
        <f t="shared" si="25"/>
        <v>0</v>
      </c>
      <c r="BS34" s="51">
        <f t="shared" si="26"/>
        <v>4</v>
      </c>
      <c r="BT34" s="133">
        <f t="shared" si="27"/>
        <v>4</v>
      </c>
      <c r="BU34" s="146">
        <f t="shared" si="28"/>
        <v>12</v>
      </c>
      <c r="BV34" s="92">
        <f t="shared" ca="1" si="29"/>
        <v>5.7692307692307696E-2</v>
      </c>
      <c r="BW34" s="56">
        <f t="shared" si="30"/>
        <v>9</v>
      </c>
      <c r="BX34" s="92">
        <f t="shared" ca="1" si="31"/>
        <v>4.3269230769230768E-2</v>
      </c>
      <c r="BY34" s="56">
        <f t="shared" si="32"/>
        <v>21</v>
      </c>
      <c r="BZ34" s="92">
        <f t="shared" ca="1" si="33"/>
        <v>0.10096153846153846</v>
      </c>
      <c r="CA34" s="56">
        <f t="shared" si="34"/>
        <v>2</v>
      </c>
      <c r="CB34" s="56">
        <f t="shared" si="35"/>
        <v>2</v>
      </c>
      <c r="CC34" s="56">
        <f t="shared" si="36"/>
        <v>4</v>
      </c>
    </row>
    <row r="35" spans="1:81" x14ac:dyDescent="0.25">
      <c r="A35" s="80">
        <v>9</v>
      </c>
      <c r="B35" s="81" t="s">
        <v>15</v>
      </c>
      <c r="C35" s="81" t="str">
        <f t="shared" si="0"/>
        <v>שקד 9</v>
      </c>
      <c r="D35" s="82" t="s">
        <v>6</v>
      </c>
      <c r="E35" s="117" t="s">
        <v>7</v>
      </c>
      <c r="F35" s="95" t="s">
        <v>210</v>
      </c>
      <c r="G35" s="89">
        <v>43009</v>
      </c>
      <c r="H35" s="95" t="s">
        <v>86</v>
      </c>
      <c r="I35" s="159" t="s">
        <v>168</v>
      </c>
      <c r="J35" s="84"/>
      <c r="K35" s="85"/>
      <c r="L35" s="85"/>
      <c r="M35" s="85"/>
      <c r="N35" s="51">
        <f t="shared" si="40"/>
        <v>0</v>
      </c>
      <c r="O35" s="51">
        <f t="shared" si="41"/>
        <v>0</v>
      </c>
      <c r="P35" s="52">
        <f t="shared" si="38"/>
        <v>0</v>
      </c>
      <c r="Q35" s="80"/>
      <c r="R35" s="82"/>
      <c r="S35" s="82"/>
      <c r="T35" s="82"/>
      <c r="U35" s="51">
        <f t="shared" si="4"/>
        <v>0</v>
      </c>
      <c r="V35" s="51">
        <f t="shared" si="5"/>
        <v>0</v>
      </c>
      <c r="W35" s="53">
        <f t="shared" si="39"/>
        <v>0</v>
      </c>
      <c r="X35" s="45"/>
      <c r="Y35" s="47"/>
      <c r="Z35" s="47"/>
      <c r="AA35" s="47"/>
      <c r="AB35" s="54">
        <f t="shared" si="7"/>
        <v>0</v>
      </c>
      <c r="AC35" s="54">
        <f t="shared" si="8"/>
        <v>0</v>
      </c>
      <c r="AD35" s="55">
        <f t="shared" si="9"/>
        <v>0</v>
      </c>
      <c r="AE35" s="80"/>
      <c r="AF35" s="82"/>
      <c r="AG35" s="82">
        <v>1</v>
      </c>
      <c r="AH35" s="82"/>
      <c r="AI35" s="51">
        <f t="shared" si="10"/>
        <v>1</v>
      </c>
      <c r="AJ35" s="51">
        <f t="shared" si="11"/>
        <v>0</v>
      </c>
      <c r="AK35" s="53">
        <f t="shared" si="12"/>
        <v>1</v>
      </c>
      <c r="AL35" s="80">
        <v>1</v>
      </c>
      <c r="AM35" s="82"/>
      <c r="AN35" s="82">
        <v>2</v>
      </c>
      <c r="AO35" s="82"/>
      <c r="AP35" s="51">
        <f t="shared" si="13"/>
        <v>5</v>
      </c>
      <c r="AQ35" s="51">
        <f t="shared" si="14"/>
        <v>0</v>
      </c>
      <c r="AR35" s="53">
        <f t="shared" si="15"/>
        <v>5</v>
      </c>
      <c r="AS35" s="80"/>
      <c r="AT35" s="82"/>
      <c r="AU35" s="82">
        <v>4</v>
      </c>
      <c r="AV35" s="82"/>
      <c r="AW35" s="51">
        <f t="shared" si="16"/>
        <v>4</v>
      </c>
      <c r="AX35" s="51">
        <f t="shared" si="17"/>
        <v>0</v>
      </c>
      <c r="AY35" s="53">
        <f t="shared" si="18"/>
        <v>4</v>
      </c>
      <c r="AZ35" s="80"/>
      <c r="BA35" s="82"/>
      <c r="BB35" s="82">
        <v>2</v>
      </c>
      <c r="BC35" s="82">
        <v>1</v>
      </c>
      <c r="BD35" s="51">
        <f t="shared" si="19"/>
        <v>2</v>
      </c>
      <c r="BE35" s="51">
        <f t="shared" si="20"/>
        <v>1</v>
      </c>
      <c r="BF35" s="53">
        <f t="shared" si="21"/>
        <v>3</v>
      </c>
      <c r="BG35" s="80">
        <v>1</v>
      </c>
      <c r="BH35" s="82"/>
      <c r="BI35" s="82"/>
      <c r="BJ35" s="82">
        <v>1</v>
      </c>
      <c r="BK35" s="51">
        <f t="shared" si="22"/>
        <v>3</v>
      </c>
      <c r="BL35" s="51">
        <f t="shared" si="23"/>
        <v>1</v>
      </c>
      <c r="BM35" s="133">
        <f t="shared" si="24"/>
        <v>4</v>
      </c>
      <c r="BN35" s="96">
        <v>1</v>
      </c>
      <c r="BO35" s="135"/>
      <c r="BP35" s="135"/>
      <c r="BQ35" s="135"/>
      <c r="BR35" s="51">
        <f t="shared" si="25"/>
        <v>3</v>
      </c>
      <c r="BS35" s="51">
        <f t="shared" si="26"/>
        <v>0</v>
      </c>
      <c r="BT35" s="133">
        <f t="shared" si="27"/>
        <v>3</v>
      </c>
      <c r="BU35" s="146">
        <f t="shared" si="28"/>
        <v>18</v>
      </c>
      <c r="BV35" s="92">
        <f t="shared" ca="1" si="29"/>
        <v>0.12244897959183673</v>
      </c>
      <c r="BW35" s="56">
        <f t="shared" si="30"/>
        <v>2</v>
      </c>
      <c r="BX35" s="92">
        <f t="shared" ca="1" si="31"/>
        <v>1.3605442176870748E-2</v>
      </c>
      <c r="BY35" s="56">
        <f t="shared" si="32"/>
        <v>20</v>
      </c>
      <c r="BZ35" s="92">
        <f t="shared" ca="1" si="33"/>
        <v>0.13605442176870747</v>
      </c>
      <c r="CA35" s="56">
        <f t="shared" si="34"/>
        <v>3</v>
      </c>
      <c r="CB35" s="56">
        <f t="shared" si="35"/>
        <v>0</v>
      </c>
      <c r="CC35" s="56">
        <f t="shared" si="36"/>
        <v>3</v>
      </c>
    </row>
    <row r="36" spans="1:81" x14ac:dyDescent="0.25">
      <c r="A36" s="80">
        <v>11</v>
      </c>
      <c r="B36" s="81" t="s">
        <v>13</v>
      </c>
      <c r="C36" s="81" t="str">
        <f t="shared" si="0"/>
        <v>עדן 11</v>
      </c>
      <c r="D36" s="82" t="s">
        <v>6</v>
      </c>
      <c r="E36" s="82" t="s">
        <v>7</v>
      </c>
      <c r="F36" s="95" t="s">
        <v>206</v>
      </c>
      <c r="G36" s="89">
        <v>42887</v>
      </c>
      <c r="H36" s="57">
        <v>43490</v>
      </c>
      <c r="I36" s="159"/>
      <c r="J36" s="84">
        <v>1</v>
      </c>
      <c r="K36" s="85"/>
      <c r="L36" s="85">
        <v>4</v>
      </c>
      <c r="M36" s="85"/>
      <c r="N36" s="51">
        <f t="shared" si="40"/>
        <v>7</v>
      </c>
      <c r="O36" s="51">
        <f t="shared" si="41"/>
        <v>0</v>
      </c>
      <c r="P36" s="52">
        <f t="shared" si="38"/>
        <v>7</v>
      </c>
      <c r="Q36" s="80"/>
      <c r="R36" s="82"/>
      <c r="S36" s="82">
        <v>3</v>
      </c>
      <c r="T36" s="82"/>
      <c r="U36" s="51">
        <f t="shared" si="4"/>
        <v>3</v>
      </c>
      <c r="V36" s="51">
        <f t="shared" si="5"/>
        <v>0</v>
      </c>
      <c r="W36" s="53">
        <f t="shared" si="39"/>
        <v>3</v>
      </c>
      <c r="X36" s="45">
        <v>1</v>
      </c>
      <c r="Y36" s="47">
        <v>1</v>
      </c>
      <c r="Z36" s="47"/>
      <c r="AA36" s="47">
        <v>1</v>
      </c>
      <c r="AB36" s="54">
        <f t="shared" si="7"/>
        <v>3</v>
      </c>
      <c r="AC36" s="54">
        <f t="shared" si="8"/>
        <v>4</v>
      </c>
      <c r="AD36" s="55">
        <f t="shared" si="9"/>
        <v>7</v>
      </c>
      <c r="AE36" s="80"/>
      <c r="AF36" s="82"/>
      <c r="AG36" s="82">
        <v>1</v>
      </c>
      <c r="AH36" s="82"/>
      <c r="AI36" s="51">
        <f t="shared" si="10"/>
        <v>1</v>
      </c>
      <c r="AJ36" s="51">
        <f t="shared" si="11"/>
        <v>0</v>
      </c>
      <c r="AK36" s="53">
        <f t="shared" si="12"/>
        <v>1</v>
      </c>
      <c r="AL36" s="80"/>
      <c r="AM36" s="82"/>
      <c r="AN36" s="82">
        <v>2</v>
      </c>
      <c r="AO36" s="82"/>
      <c r="AP36" s="51">
        <f t="shared" si="13"/>
        <v>2</v>
      </c>
      <c r="AQ36" s="51">
        <f t="shared" si="14"/>
        <v>0</v>
      </c>
      <c r="AR36" s="53">
        <f t="shared" si="15"/>
        <v>2</v>
      </c>
      <c r="AS36" s="80">
        <v>1</v>
      </c>
      <c r="AT36" s="82"/>
      <c r="AU36" s="82"/>
      <c r="AV36" s="82"/>
      <c r="AW36" s="51">
        <f t="shared" si="16"/>
        <v>3</v>
      </c>
      <c r="AX36" s="51">
        <f t="shared" si="17"/>
        <v>0</v>
      </c>
      <c r="AY36" s="53">
        <f t="shared" si="18"/>
        <v>3</v>
      </c>
      <c r="AZ36" s="80"/>
      <c r="BA36" s="82"/>
      <c r="BB36" s="82">
        <v>3</v>
      </c>
      <c r="BC36" s="82"/>
      <c r="BD36" s="51">
        <f t="shared" si="19"/>
        <v>3</v>
      </c>
      <c r="BE36" s="51">
        <f t="shared" si="20"/>
        <v>0</v>
      </c>
      <c r="BF36" s="53">
        <f t="shared" si="21"/>
        <v>3</v>
      </c>
      <c r="BG36" s="80"/>
      <c r="BH36" s="82">
        <v>1</v>
      </c>
      <c r="BI36" s="82"/>
      <c r="BJ36" s="82"/>
      <c r="BK36" s="51">
        <f t="shared" si="22"/>
        <v>0</v>
      </c>
      <c r="BL36" s="51">
        <f t="shared" si="23"/>
        <v>3</v>
      </c>
      <c r="BM36" s="133">
        <f t="shared" si="24"/>
        <v>3</v>
      </c>
      <c r="BN36" s="96">
        <v>1</v>
      </c>
      <c r="BO36" s="135"/>
      <c r="BP36" s="135"/>
      <c r="BQ36" s="135"/>
      <c r="BR36" s="51">
        <f t="shared" si="25"/>
        <v>3</v>
      </c>
      <c r="BS36" s="51">
        <f t="shared" si="26"/>
        <v>0</v>
      </c>
      <c r="BT36" s="133">
        <f t="shared" si="27"/>
        <v>3</v>
      </c>
      <c r="BU36" s="146">
        <f t="shared" si="28"/>
        <v>25</v>
      </c>
      <c r="BV36" s="92">
        <f t="shared" ca="1" si="29"/>
        <v>9.2936802973977689E-2</v>
      </c>
      <c r="BW36" s="56">
        <f t="shared" si="30"/>
        <v>7</v>
      </c>
      <c r="BX36" s="92">
        <f t="shared" ca="1" si="31"/>
        <v>2.6022304832713755E-2</v>
      </c>
      <c r="BY36" s="56">
        <f t="shared" si="32"/>
        <v>32</v>
      </c>
      <c r="BZ36" s="92">
        <f t="shared" ca="1" si="33"/>
        <v>0.11895910780669144</v>
      </c>
      <c r="CA36" s="56">
        <f t="shared" si="34"/>
        <v>4</v>
      </c>
      <c r="CB36" s="56">
        <f t="shared" si="35"/>
        <v>2</v>
      </c>
      <c r="CC36" s="56">
        <f t="shared" si="36"/>
        <v>6</v>
      </c>
    </row>
    <row r="37" spans="1:81" x14ac:dyDescent="0.25">
      <c r="A37" s="80">
        <v>209</v>
      </c>
      <c r="B37" s="165" t="s">
        <v>169</v>
      </c>
      <c r="C37" s="81" t="str">
        <f t="shared" si="0"/>
        <v>אלינה 209</v>
      </c>
      <c r="D37" s="117" t="s">
        <v>6</v>
      </c>
      <c r="E37" s="117" t="s">
        <v>7</v>
      </c>
      <c r="F37" s="155" t="s">
        <v>212</v>
      </c>
      <c r="G37" s="89">
        <v>43101</v>
      </c>
      <c r="H37" s="95" t="s">
        <v>86</v>
      </c>
      <c r="I37" s="83"/>
      <c r="J37" s="84"/>
      <c r="K37" s="85"/>
      <c r="L37" s="85"/>
      <c r="M37" s="85"/>
      <c r="N37" s="51">
        <f t="shared" si="40"/>
        <v>0</v>
      </c>
      <c r="O37" s="51">
        <f t="shared" si="41"/>
        <v>0</v>
      </c>
      <c r="P37" s="52">
        <f t="shared" si="38"/>
        <v>0</v>
      </c>
      <c r="Q37" s="80"/>
      <c r="R37" s="82"/>
      <c r="S37" s="82"/>
      <c r="T37" s="82"/>
      <c r="U37" s="51">
        <f t="shared" si="4"/>
        <v>0</v>
      </c>
      <c r="V37" s="51">
        <f t="shared" si="5"/>
        <v>0</v>
      </c>
      <c r="W37" s="53">
        <f t="shared" si="39"/>
        <v>0</v>
      </c>
      <c r="X37" s="45"/>
      <c r="Y37" s="47"/>
      <c r="Z37" s="47"/>
      <c r="AA37" s="47"/>
      <c r="AB37" s="54">
        <f t="shared" si="7"/>
        <v>0</v>
      </c>
      <c r="AC37" s="54">
        <f t="shared" si="8"/>
        <v>0</v>
      </c>
      <c r="AD37" s="55">
        <f t="shared" si="9"/>
        <v>0</v>
      </c>
      <c r="AE37" s="80"/>
      <c r="AF37" s="82"/>
      <c r="AG37" s="82"/>
      <c r="AH37" s="82"/>
      <c r="AI37" s="51">
        <f t="shared" si="10"/>
        <v>0</v>
      </c>
      <c r="AJ37" s="51">
        <f t="shared" si="11"/>
        <v>0</v>
      </c>
      <c r="AK37" s="53">
        <f t="shared" si="12"/>
        <v>0</v>
      </c>
      <c r="AL37" s="80"/>
      <c r="AM37" s="82"/>
      <c r="AN37" s="82"/>
      <c r="AO37" s="82"/>
      <c r="AP37" s="51">
        <f t="shared" si="13"/>
        <v>0</v>
      </c>
      <c r="AQ37" s="51">
        <f t="shared" si="14"/>
        <v>0</v>
      </c>
      <c r="AR37" s="53">
        <f t="shared" si="15"/>
        <v>0</v>
      </c>
      <c r="AS37" s="80"/>
      <c r="AT37" s="82"/>
      <c r="AU37" s="82"/>
      <c r="AV37" s="82"/>
      <c r="AW37" s="51">
        <f t="shared" si="16"/>
        <v>0</v>
      </c>
      <c r="AX37" s="51">
        <f t="shared" si="17"/>
        <v>0</v>
      </c>
      <c r="AY37" s="53">
        <f t="shared" si="18"/>
        <v>0</v>
      </c>
      <c r="AZ37" s="80">
        <v>1</v>
      </c>
      <c r="BA37" s="82"/>
      <c r="BB37" s="82"/>
      <c r="BC37" s="82"/>
      <c r="BD37" s="51">
        <f t="shared" si="19"/>
        <v>3</v>
      </c>
      <c r="BE37" s="51">
        <f t="shared" si="20"/>
        <v>0</v>
      </c>
      <c r="BF37" s="53">
        <f t="shared" si="21"/>
        <v>3</v>
      </c>
      <c r="BG37" s="80"/>
      <c r="BH37" s="82">
        <v>1</v>
      </c>
      <c r="BI37" s="82">
        <v>1</v>
      </c>
      <c r="BJ37" s="82"/>
      <c r="BK37" s="51">
        <f t="shared" si="22"/>
        <v>1</v>
      </c>
      <c r="BL37" s="51">
        <f t="shared" si="23"/>
        <v>3</v>
      </c>
      <c r="BM37" s="133">
        <f t="shared" si="24"/>
        <v>4</v>
      </c>
      <c r="BN37" s="96"/>
      <c r="BO37" s="135"/>
      <c r="BP37" s="135"/>
      <c r="BQ37" s="135"/>
      <c r="BR37" s="51">
        <f t="shared" si="25"/>
        <v>0</v>
      </c>
      <c r="BS37" s="51">
        <f t="shared" si="26"/>
        <v>0</v>
      </c>
      <c r="BT37" s="133">
        <f t="shared" si="27"/>
        <v>0</v>
      </c>
      <c r="BU37" s="146">
        <f t="shared" si="28"/>
        <v>4</v>
      </c>
      <c r="BV37" s="92">
        <f t="shared" ca="1" si="29"/>
        <v>7.2727272727272724E-2</v>
      </c>
      <c r="BW37" s="56">
        <f t="shared" si="30"/>
        <v>3</v>
      </c>
      <c r="BX37" s="92">
        <f t="shared" ca="1" si="31"/>
        <v>5.4545454545454543E-2</v>
      </c>
      <c r="BY37" s="56">
        <f t="shared" si="32"/>
        <v>7</v>
      </c>
      <c r="BZ37" s="92">
        <f t="shared" ca="1" si="33"/>
        <v>0.12727272727272726</v>
      </c>
      <c r="CA37" s="56">
        <f t="shared" si="34"/>
        <v>1</v>
      </c>
      <c r="CB37" s="56">
        <f t="shared" si="35"/>
        <v>1</v>
      </c>
      <c r="CC37" s="56">
        <f t="shared" si="36"/>
        <v>2</v>
      </c>
    </row>
    <row r="38" spans="1:81" ht="15.75" thickBot="1" x14ac:dyDescent="0.3">
      <c r="A38" s="124">
        <v>209</v>
      </c>
      <c r="B38" s="118" t="s">
        <v>61</v>
      </c>
      <c r="C38" s="118" t="str">
        <f t="shared" si="0"/>
        <v>שי 209</v>
      </c>
      <c r="D38" s="125" t="s">
        <v>6</v>
      </c>
      <c r="E38" s="125" t="s">
        <v>7</v>
      </c>
      <c r="F38" s="150" t="s">
        <v>208</v>
      </c>
      <c r="G38" s="119">
        <v>42948</v>
      </c>
      <c r="H38" s="160">
        <v>43659</v>
      </c>
      <c r="I38" s="152"/>
      <c r="J38" s="120"/>
      <c r="K38" s="121"/>
      <c r="L38" s="121"/>
      <c r="M38" s="121"/>
      <c r="N38" s="122">
        <f t="shared" si="40"/>
        <v>0</v>
      </c>
      <c r="O38" s="122">
        <f t="shared" si="41"/>
        <v>0</v>
      </c>
      <c r="P38" s="123">
        <f t="shared" si="38"/>
        <v>0</v>
      </c>
      <c r="Q38" s="124"/>
      <c r="R38" s="125"/>
      <c r="S38" s="125"/>
      <c r="T38" s="125"/>
      <c r="U38" s="122">
        <f t="shared" si="4"/>
        <v>0</v>
      </c>
      <c r="V38" s="122">
        <f t="shared" si="5"/>
        <v>0</v>
      </c>
      <c r="W38" s="126">
        <f t="shared" si="39"/>
        <v>0</v>
      </c>
      <c r="X38" s="124">
        <v>1</v>
      </c>
      <c r="Y38" s="125"/>
      <c r="Z38" s="125">
        <v>1</v>
      </c>
      <c r="AA38" s="125"/>
      <c r="AB38" s="122">
        <f t="shared" si="7"/>
        <v>4</v>
      </c>
      <c r="AC38" s="122">
        <f t="shared" si="8"/>
        <v>0</v>
      </c>
      <c r="AD38" s="126">
        <f t="shared" si="9"/>
        <v>4</v>
      </c>
      <c r="AE38" s="124"/>
      <c r="AF38" s="125"/>
      <c r="AG38" s="125">
        <v>3</v>
      </c>
      <c r="AH38" s="125">
        <v>1</v>
      </c>
      <c r="AI38" s="122">
        <f t="shared" si="10"/>
        <v>3</v>
      </c>
      <c r="AJ38" s="122">
        <f t="shared" si="11"/>
        <v>1</v>
      </c>
      <c r="AK38" s="126">
        <f t="shared" si="12"/>
        <v>4</v>
      </c>
      <c r="AL38" s="124"/>
      <c r="AM38" s="125"/>
      <c r="AN38" s="125">
        <v>1</v>
      </c>
      <c r="AO38" s="125">
        <v>1</v>
      </c>
      <c r="AP38" s="122">
        <f t="shared" si="13"/>
        <v>1</v>
      </c>
      <c r="AQ38" s="122">
        <f t="shared" si="14"/>
        <v>1</v>
      </c>
      <c r="AR38" s="126">
        <f t="shared" si="15"/>
        <v>2</v>
      </c>
      <c r="AS38" s="124">
        <v>1</v>
      </c>
      <c r="AT38" s="125"/>
      <c r="AU38" s="125">
        <v>1</v>
      </c>
      <c r="AV38" s="125">
        <v>1</v>
      </c>
      <c r="AW38" s="122">
        <f t="shared" si="16"/>
        <v>4</v>
      </c>
      <c r="AX38" s="122">
        <f t="shared" si="17"/>
        <v>1</v>
      </c>
      <c r="AY38" s="126">
        <f t="shared" si="18"/>
        <v>5</v>
      </c>
      <c r="AZ38" s="124"/>
      <c r="BA38" s="125"/>
      <c r="BB38" s="125">
        <v>4</v>
      </c>
      <c r="BC38" s="125"/>
      <c r="BD38" s="122">
        <f t="shared" si="19"/>
        <v>4</v>
      </c>
      <c r="BE38" s="122">
        <f t="shared" si="20"/>
        <v>0</v>
      </c>
      <c r="BF38" s="126">
        <f t="shared" si="21"/>
        <v>4</v>
      </c>
      <c r="BG38" s="124"/>
      <c r="BH38" s="125">
        <v>1</v>
      </c>
      <c r="BI38" s="125">
        <v>1</v>
      </c>
      <c r="BJ38" s="125"/>
      <c r="BK38" s="122">
        <f t="shared" si="22"/>
        <v>1</v>
      </c>
      <c r="BL38" s="122">
        <f t="shared" si="23"/>
        <v>3</v>
      </c>
      <c r="BM38" s="134">
        <f t="shared" si="24"/>
        <v>4</v>
      </c>
      <c r="BN38" s="194">
        <v>1</v>
      </c>
      <c r="BO38" s="138"/>
      <c r="BP38" s="138"/>
      <c r="BQ38" s="138"/>
      <c r="BR38" s="143">
        <f t="shared" si="25"/>
        <v>3</v>
      </c>
      <c r="BS38" s="143">
        <f t="shared" si="26"/>
        <v>0</v>
      </c>
      <c r="BT38" s="144">
        <f t="shared" si="27"/>
        <v>3</v>
      </c>
      <c r="BU38" s="148">
        <f t="shared" si="28"/>
        <v>20</v>
      </c>
      <c r="BV38" s="128">
        <f t="shared" ca="1" si="29"/>
        <v>9.6153846153846159E-2</v>
      </c>
      <c r="BW38" s="149">
        <f t="shared" si="30"/>
        <v>6</v>
      </c>
      <c r="BX38" s="128">
        <f t="shared" ca="1" si="31"/>
        <v>2.8846153846153848E-2</v>
      </c>
      <c r="BY38" s="127">
        <f t="shared" si="32"/>
        <v>26</v>
      </c>
      <c r="BZ38" s="128">
        <f t="shared" ca="1" si="33"/>
        <v>0.125</v>
      </c>
      <c r="CA38" s="149">
        <f t="shared" si="34"/>
        <v>3</v>
      </c>
      <c r="CB38" s="149">
        <f t="shared" si="35"/>
        <v>1</v>
      </c>
      <c r="CC38" s="127">
        <f t="shared" si="36"/>
        <v>4</v>
      </c>
    </row>
    <row r="39" spans="1:81" x14ac:dyDescent="0.25">
      <c r="A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131"/>
      <c r="BO39" s="131"/>
      <c r="BP39" s="131"/>
      <c r="BQ39" s="131"/>
      <c r="BR39" s="131"/>
      <c r="BS39" s="44"/>
      <c r="BT39" s="44"/>
    </row>
    <row r="40" spans="1:81" x14ac:dyDescent="0.25">
      <c r="A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131"/>
      <c r="BO40" s="131"/>
      <c r="BP40" s="131"/>
      <c r="BQ40" s="131"/>
      <c r="BR40" s="131"/>
      <c r="BS40" s="44"/>
      <c r="BT40" s="44"/>
    </row>
    <row r="41" spans="1:81" x14ac:dyDescent="0.25">
      <c r="A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</row>
    <row r="42" spans="1:81" x14ac:dyDescent="0.25">
      <c r="A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</row>
    <row r="43" spans="1:81" x14ac:dyDescent="0.25">
      <c r="A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</row>
    <row r="44" spans="1:81" x14ac:dyDescent="0.25">
      <c r="A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131"/>
      <c r="BO44" s="131"/>
      <c r="BP44" s="131"/>
      <c r="BQ44" s="131"/>
      <c r="BR44" s="131"/>
      <c r="BS44" s="44"/>
      <c r="BT44" s="44"/>
    </row>
    <row r="45" spans="1:81" x14ac:dyDescent="0.25">
      <c r="A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  <c r="BM45" s="44"/>
      <c r="BN45" s="131"/>
      <c r="BO45" s="131"/>
      <c r="BP45" s="131"/>
      <c r="BQ45" s="131"/>
      <c r="BR45" s="131"/>
      <c r="BS45" s="44"/>
      <c r="BT45" s="44"/>
    </row>
    <row r="46" spans="1:81" x14ac:dyDescent="0.25">
      <c r="A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  <c r="BM46" s="44"/>
      <c r="BN46" s="131"/>
      <c r="BO46" s="131"/>
      <c r="BP46" s="131"/>
      <c r="BQ46" s="131"/>
      <c r="BR46" s="131"/>
      <c r="BS46" s="44"/>
      <c r="BT46" s="44"/>
    </row>
    <row r="47" spans="1:81" x14ac:dyDescent="0.25">
      <c r="A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  <c r="BL47" s="44"/>
      <c r="BM47" s="44"/>
      <c r="BN47" s="131"/>
      <c r="BO47" s="131"/>
      <c r="BP47" s="131"/>
      <c r="BQ47" s="131"/>
      <c r="BR47" s="131"/>
      <c r="BS47" s="44"/>
      <c r="BT47" s="44"/>
    </row>
    <row r="48" spans="1:81" x14ac:dyDescent="0.25">
      <c r="A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  <c r="BM48" s="44"/>
      <c r="BN48" s="131"/>
      <c r="BO48" s="131"/>
      <c r="BP48" s="131"/>
      <c r="BQ48" s="131"/>
      <c r="BR48" s="131"/>
      <c r="BS48" s="44"/>
      <c r="BT48" s="44"/>
    </row>
    <row r="49" spans="1:72" x14ac:dyDescent="0.25">
      <c r="A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  <c r="BM49" s="44"/>
      <c r="BN49" s="131"/>
      <c r="BO49" s="131"/>
      <c r="BP49" s="131"/>
      <c r="BQ49" s="131"/>
      <c r="BR49" s="131"/>
      <c r="BS49" s="44"/>
      <c r="BT49" s="44"/>
    </row>
    <row r="50" spans="1:72" x14ac:dyDescent="0.25">
      <c r="A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  <c r="BM50" s="44"/>
      <c r="BN50" s="131"/>
      <c r="BO50" s="131"/>
      <c r="BP50" s="131"/>
      <c r="BQ50" s="131"/>
      <c r="BR50" s="131"/>
      <c r="BS50" s="44"/>
      <c r="BT50" s="44"/>
    </row>
    <row r="51" spans="1:72" x14ac:dyDescent="0.25">
      <c r="A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  <c r="BL51" s="44"/>
      <c r="BM51" s="44"/>
      <c r="BN51" s="131"/>
      <c r="BO51" s="131"/>
      <c r="BP51" s="131"/>
      <c r="BQ51" s="131"/>
      <c r="BR51" s="131"/>
      <c r="BS51" s="44"/>
      <c r="BT51" s="44"/>
    </row>
    <row r="52" spans="1:72" x14ac:dyDescent="0.25">
      <c r="A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  <c r="BM52" s="44"/>
      <c r="BN52" s="131"/>
      <c r="BO52" s="131"/>
      <c r="BP52" s="131"/>
      <c r="BQ52" s="131"/>
      <c r="BR52" s="131"/>
      <c r="BS52" s="44"/>
      <c r="BT52" s="44"/>
    </row>
    <row r="53" spans="1:72" x14ac:dyDescent="0.25">
      <c r="A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/>
      <c r="BI53" s="44"/>
      <c r="BJ53" s="44"/>
      <c r="BK53" s="44"/>
      <c r="BL53" s="44"/>
      <c r="BM53" s="44"/>
      <c r="BN53" s="131"/>
      <c r="BO53" s="131"/>
      <c r="BP53" s="131"/>
      <c r="BQ53" s="131"/>
      <c r="BR53" s="131"/>
      <c r="BS53" s="44"/>
      <c r="BT53" s="44"/>
    </row>
    <row r="54" spans="1:72" x14ac:dyDescent="0.25">
      <c r="A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  <c r="BM54" s="44"/>
      <c r="BN54" s="131"/>
      <c r="BO54" s="131"/>
      <c r="BP54" s="131"/>
      <c r="BQ54" s="131"/>
      <c r="BR54" s="131"/>
      <c r="BS54" s="44"/>
      <c r="BT54" s="44"/>
    </row>
    <row r="55" spans="1:72" x14ac:dyDescent="0.25">
      <c r="A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/>
      <c r="BI55" s="44"/>
      <c r="BJ55" s="44"/>
      <c r="BK55" s="44"/>
      <c r="BL55" s="44"/>
      <c r="BM55" s="44"/>
      <c r="BN55" s="131"/>
      <c r="BO55" s="131"/>
      <c r="BP55" s="131"/>
      <c r="BQ55" s="131"/>
      <c r="BR55" s="131"/>
      <c r="BS55" s="44"/>
      <c r="BT55" s="44"/>
    </row>
    <row r="56" spans="1:72" x14ac:dyDescent="0.25">
      <c r="A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  <c r="BM56" s="44"/>
      <c r="BN56" s="131"/>
      <c r="BO56" s="131"/>
      <c r="BP56" s="131"/>
      <c r="BQ56" s="131"/>
      <c r="BR56" s="131"/>
      <c r="BS56" s="44"/>
      <c r="BT56" s="44"/>
    </row>
    <row r="57" spans="1:72" x14ac:dyDescent="0.25">
      <c r="A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  <c r="BM57" s="44"/>
      <c r="BN57" s="131"/>
      <c r="BO57" s="131"/>
      <c r="BP57" s="131"/>
      <c r="BQ57" s="131"/>
      <c r="BR57" s="131"/>
      <c r="BS57" s="44"/>
      <c r="BT57" s="44"/>
    </row>
    <row r="58" spans="1:72" x14ac:dyDescent="0.25">
      <c r="A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  <c r="BM58" s="44"/>
      <c r="BN58" s="131"/>
      <c r="BO58" s="131"/>
      <c r="BP58" s="131"/>
      <c r="BQ58" s="131"/>
      <c r="BR58" s="131"/>
      <c r="BS58" s="44"/>
      <c r="BT58" s="44"/>
    </row>
    <row r="59" spans="1:72" x14ac:dyDescent="0.25">
      <c r="A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  <c r="BM59" s="44"/>
      <c r="BN59" s="131"/>
      <c r="BO59" s="131"/>
      <c r="BP59" s="131"/>
      <c r="BQ59" s="131"/>
      <c r="BR59" s="131"/>
      <c r="BS59" s="44"/>
      <c r="BT59" s="44"/>
    </row>
    <row r="60" spans="1:72" x14ac:dyDescent="0.25">
      <c r="A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  <c r="BM60" s="44"/>
      <c r="BN60" s="131"/>
      <c r="BO60" s="131"/>
      <c r="BP60" s="131"/>
      <c r="BQ60" s="131"/>
      <c r="BR60" s="131"/>
      <c r="BS60" s="44"/>
      <c r="BT60" s="44"/>
    </row>
    <row r="61" spans="1:72" x14ac:dyDescent="0.25">
      <c r="A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  <c r="BM61" s="44"/>
      <c r="BN61" s="131"/>
      <c r="BO61" s="131"/>
      <c r="BP61" s="131"/>
      <c r="BQ61" s="131"/>
      <c r="BR61" s="131"/>
      <c r="BS61" s="44"/>
      <c r="BT61" s="44"/>
    </row>
    <row r="62" spans="1:72" x14ac:dyDescent="0.25">
      <c r="A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131"/>
      <c r="BO62" s="131"/>
      <c r="BP62" s="131"/>
      <c r="BQ62" s="131"/>
      <c r="BR62" s="131"/>
      <c r="BS62" s="44"/>
      <c r="BT62" s="44"/>
    </row>
    <row r="63" spans="1:72" x14ac:dyDescent="0.25">
      <c r="A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  <c r="BM63" s="44"/>
      <c r="BN63" s="131"/>
      <c r="BO63" s="131"/>
      <c r="BP63" s="131"/>
      <c r="BQ63" s="131"/>
      <c r="BR63" s="131"/>
      <c r="BS63" s="44"/>
      <c r="BT63" s="44"/>
    </row>
    <row r="64" spans="1:72" x14ac:dyDescent="0.25">
      <c r="A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  <c r="BM64" s="44"/>
      <c r="BN64" s="131"/>
      <c r="BO64" s="131"/>
      <c r="BP64" s="131"/>
      <c r="BQ64" s="131"/>
      <c r="BR64" s="131"/>
      <c r="BS64" s="44"/>
      <c r="BT64" s="44"/>
    </row>
    <row r="65" spans="1:72" x14ac:dyDescent="0.25">
      <c r="A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4"/>
      <c r="BI65" s="44"/>
      <c r="BJ65" s="44"/>
      <c r="BK65" s="44"/>
      <c r="BL65" s="44"/>
      <c r="BM65" s="44"/>
      <c r="BN65" s="131"/>
      <c r="BO65" s="131"/>
      <c r="BP65" s="131"/>
      <c r="BQ65" s="131"/>
      <c r="BR65" s="131"/>
      <c r="BS65" s="44"/>
      <c r="BT65" s="44"/>
    </row>
    <row r="66" spans="1:72" x14ac:dyDescent="0.25">
      <c r="A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  <c r="BM66" s="44"/>
      <c r="BN66" s="131"/>
      <c r="BO66" s="131"/>
      <c r="BP66" s="131"/>
      <c r="BQ66" s="131"/>
      <c r="BR66" s="131"/>
      <c r="BS66" s="44"/>
      <c r="BT66" s="44"/>
    </row>
    <row r="67" spans="1:72" x14ac:dyDescent="0.25">
      <c r="A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4"/>
      <c r="BI67" s="44"/>
      <c r="BJ67" s="44"/>
      <c r="BK67" s="44"/>
      <c r="BL67" s="44"/>
      <c r="BM67" s="44"/>
      <c r="BN67" s="131"/>
      <c r="BO67" s="131"/>
      <c r="BP67" s="131"/>
      <c r="BQ67" s="131"/>
      <c r="BR67" s="131"/>
      <c r="BS67" s="44"/>
      <c r="BT67" s="44"/>
    </row>
    <row r="68" spans="1:72" x14ac:dyDescent="0.25">
      <c r="A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  <c r="BL68" s="44"/>
      <c r="BM68" s="44"/>
      <c r="BN68" s="131"/>
      <c r="BO68" s="131"/>
      <c r="BP68" s="131"/>
      <c r="BQ68" s="131"/>
      <c r="BR68" s="131"/>
      <c r="BS68" s="44"/>
      <c r="BT68" s="44"/>
    </row>
    <row r="69" spans="1:72" x14ac:dyDescent="0.25">
      <c r="A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4"/>
      <c r="BI69" s="44"/>
      <c r="BJ69" s="44"/>
      <c r="BK69" s="44"/>
      <c r="BL69" s="44"/>
      <c r="BM69" s="44"/>
      <c r="BN69" s="131"/>
      <c r="BO69" s="131"/>
      <c r="BP69" s="131"/>
      <c r="BQ69" s="131"/>
      <c r="BR69" s="131"/>
      <c r="BS69" s="44"/>
      <c r="BT69" s="44"/>
    </row>
    <row r="70" spans="1:72" x14ac:dyDescent="0.25">
      <c r="A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131"/>
      <c r="BO70" s="131"/>
      <c r="BP70" s="131"/>
      <c r="BQ70" s="131"/>
      <c r="BR70" s="131"/>
      <c r="BS70" s="44"/>
      <c r="BT70" s="44"/>
    </row>
    <row r="71" spans="1:72" x14ac:dyDescent="0.25">
      <c r="A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4"/>
      <c r="BI71" s="44"/>
      <c r="BJ71" s="44"/>
      <c r="BK71" s="44"/>
      <c r="BL71" s="44"/>
      <c r="BM71" s="44"/>
      <c r="BN71" s="131"/>
      <c r="BO71" s="131"/>
      <c r="BP71" s="131"/>
      <c r="BQ71" s="131"/>
      <c r="BR71" s="131"/>
      <c r="BS71" s="44"/>
      <c r="BT71" s="44"/>
    </row>
    <row r="72" spans="1:72" x14ac:dyDescent="0.25">
      <c r="A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4"/>
      <c r="BI72" s="44"/>
      <c r="BJ72" s="44"/>
      <c r="BK72" s="44"/>
      <c r="BL72" s="44"/>
      <c r="BM72" s="44"/>
      <c r="BN72" s="131"/>
      <c r="BO72" s="131"/>
      <c r="BP72" s="131"/>
      <c r="BQ72" s="131"/>
      <c r="BR72" s="131"/>
      <c r="BS72" s="44"/>
      <c r="BT72" s="44"/>
    </row>
    <row r="73" spans="1:72" x14ac:dyDescent="0.25">
      <c r="A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4"/>
      <c r="BI73" s="44"/>
      <c r="BJ73" s="44"/>
      <c r="BK73" s="44"/>
      <c r="BL73" s="44"/>
      <c r="BM73" s="44"/>
      <c r="BN73" s="131"/>
      <c r="BO73" s="131"/>
      <c r="BP73" s="131"/>
      <c r="BQ73" s="131"/>
      <c r="BR73" s="131"/>
      <c r="BS73" s="44"/>
      <c r="BT73" s="44"/>
    </row>
  </sheetData>
  <autoFilter ref="A1:CC38" xr:uid="{C033D388-0D10-45A3-B657-F0D830030A0B}">
    <sortState ref="A2:CC38">
      <sortCondition descending="1" ref="BP1:BP38"/>
    </sortState>
  </autoFilter>
  <conditionalFormatting sqref="E102:H1048576 H23:H24 H9:H21 H27:H28 G7:H7 G14:G16 E38:H38 E2:H6 E8:H8 E11:E13 E14:F28 E29:H30 E31:G37">
    <cfRule type="cellIs" dxfId="37" priority="72" operator="equal">
      <formula>"לא"</formula>
    </cfRule>
  </conditionalFormatting>
  <conditionalFormatting sqref="D102:D1048576 D11:D18 D2:D8 D21:D29 D33:D38">
    <cfRule type="cellIs" dxfId="36" priority="71" operator="equal">
      <formula>"כן"</formula>
    </cfRule>
  </conditionalFormatting>
  <conditionalFormatting sqref="Q39:W59">
    <cfRule type="cellIs" dxfId="35" priority="65" operator="notEqual">
      <formula>0</formula>
    </cfRule>
  </conditionalFormatting>
  <conditionalFormatting sqref="E10:F10 E9">
    <cfRule type="cellIs" dxfId="34" priority="57" operator="equal">
      <formula>"לא"</formula>
    </cfRule>
  </conditionalFormatting>
  <conditionalFormatting sqref="D9:D10">
    <cfRule type="cellIs" dxfId="33" priority="56" operator="equal">
      <formula>"כן"</formula>
    </cfRule>
  </conditionalFormatting>
  <conditionalFormatting sqref="H22 H26">
    <cfRule type="cellIs" dxfId="32" priority="53" operator="equal">
      <formula>"לא"</formula>
    </cfRule>
  </conditionalFormatting>
  <conditionalFormatting sqref="H25">
    <cfRule type="cellIs" dxfId="31" priority="51" operator="equal">
      <formula>"לא"</formula>
    </cfRule>
  </conditionalFormatting>
  <conditionalFormatting sqref="G17 G25 G22:G23">
    <cfRule type="cellIs" dxfId="30" priority="40" operator="equal">
      <formula>"לא"</formula>
    </cfRule>
  </conditionalFormatting>
  <conditionalFormatting sqref="D32">
    <cfRule type="cellIs" dxfId="29" priority="34" operator="equal">
      <formula>"כן"</formula>
    </cfRule>
  </conditionalFormatting>
  <conditionalFormatting sqref="E7">
    <cfRule type="cellIs" dxfId="28" priority="38" operator="equal">
      <formula>"לא"</formula>
    </cfRule>
  </conditionalFormatting>
  <conditionalFormatting sqref="D19">
    <cfRule type="cellIs" dxfId="27" priority="37" operator="equal">
      <formula>"כן"</formula>
    </cfRule>
  </conditionalFormatting>
  <conditionalFormatting sqref="D20">
    <cfRule type="cellIs" dxfId="26" priority="36" operator="equal">
      <formula>"כן"</formula>
    </cfRule>
  </conditionalFormatting>
  <conditionalFormatting sqref="D30:D31">
    <cfRule type="cellIs" dxfId="25" priority="35" operator="equal">
      <formula>"כן"</formula>
    </cfRule>
  </conditionalFormatting>
  <conditionalFormatting sqref="G9">
    <cfRule type="cellIs" dxfId="24" priority="25" operator="equal">
      <formula>"לא"</formula>
    </cfRule>
  </conditionalFormatting>
  <conditionalFormatting sqref="G10">
    <cfRule type="cellIs" dxfId="23" priority="24" operator="equal">
      <formula>"לא"</formula>
    </cfRule>
  </conditionalFormatting>
  <conditionalFormatting sqref="G11">
    <cfRule type="cellIs" dxfId="22" priority="23" operator="equal">
      <formula>"לא"</formula>
    </cfRule>
  </conditionalFormatting>
  <conditionalFormatting sqref="G12">
    <cfRule type="cellIs" dxfId="21" priority="22" operator="equal">
      <formula>"לא"</formula>
    </cfRule>
  </conditionalFormatting>
  <conditionalFormatting sqref="G13">
    <cfRule type="cellIs" dxfId="20" priority="21" operator="equal">
      <formula>"לא"</formula>
    </cfRule>
  </conditionalFormatting>
  <conditionalFormatting sqref="G18">
    <cfRule type="cellIs" dxfId="19" priority="20" operator="equal">
      <formula>"לא"</formula>
    </cfRule>
  </conditionalFormatting>
  <conditionalFormatting sqref="G19">
    <cfRule type="cellIs" dxfId="18" priority="19" operator="equal">
      <formula>"לא"</formula>
    </cfRule>
  </conditionalFormatting>
  <conditionalFormatting sqref="G20">
    <cfRule type="cellIs" dxfId="17" priority="18" operator="equal">
      <formula>"לא"</formula>
    </cfRule>
  </conditionalFormatting>
  <conditionalFormatting sqref="G21">
    <cfRule type="cellIs" dxfId="16" priority="17" operator="equal">
      <formula>"לא"</formula>
    </cfRule>
  </conditionalFormatting>
  <conditionalFormatting sqref="G24">
    <cfRule type="cellIs" dxfId="15" priority="16" operator="equal">
      <formula>"לא"</formula>
    </cfRule>
  </conditionalFormatting>
  <conditionalFormatting sqref="G26">
    <cfRule type="cellIs" dxfId="14" priority="15" operator="equal">
      <formula>"לא"</formula>
    </cfRule>
  </conditionalFormatting>
  <conditionalFormatting sqref="G27">
    <cfRule type="cellIs" dxfId="13" priority="14" operator="equal">
      <formula>"לא"</formula>
    </cfRule>
  </conditionalFormatting>
  <conditionalFormatting sqref="G28">
    <cfRule type="cellIs" dxfId="12" priority="13" operator="equal">
      <formula>"לא"</formula>
    </cfRule>
  </conditionalFormatting>
  <conditionalFormatting sqref="H31">
    <cfRule type="cellIs" dxfId="11" priority="12" operator="equal">
      <formula>"לא"</formula>
    </cfRule>
  </conditionalFormatting>
  <conditionalFormatting sqref="H32">
    <cfRule type="cellIs" dxfId="10" priority="11" operator="equal">
      <formula>"לא"</formula>
    </cfRule>
  </conditionalFormatting>
  <conditionalFormatting sqref="H33">
    <cfRule type="cellIs" dxfId="9" priority="10" operator="equal">
      <formula>"לא"</formula>
    </cfRule>
  </conditionalFormatting>
  <conditionalFormatting sqref="H34">
    <cfRule type="cellIs" dxfId="8" priority="9" operator="equal">
      <formula>"לא"</formula>
    </cfRule>
  </conditionalFormatting>
  <conditionalFormatting sqref="H35">
    <cfRule type="cellIs" dxfId="7" priority="8" operator="equal">
      <formula>"לא"</formula>
    </cfRule>
  </conditionalFormatting>
  <conditionalFormatting sqref="H36">
    <cfRule type="cellIs" dxfId="6" priority="7" operator="equal">
      <formula>"לא"</formula>
    </cfRule>
  </conditionalFormatting>
  <conditionalFormatting sqref="H37">
    <cfRule type="cellIs" dxfId="5" priority="6" operator="equal">
      <formula>"לא"</formula>
    </cfRule>
  </conditionalFormatting>
  <conditionalFormatting sqref="F7">
    <cfRule type="cellIs" dxfId="4" priority="5" operator="equal">
      <formula>"לא"</formula>
    </cfRule>
  </conditionalFormatting>
  <conditionalFormatting sqref="F9">
    <cfRule type="cellIs" dxfId="3" priority="4" operator="equal">
      <formula>"לא"</formula>
    </cfRule>
  </conditionalFormatting>
  <conditionalFormatting sqref="F11">
    <cfRule type="cellIs" dxfId="2" priority="3" operator="equal">
      <formula>"לא"</formula>
    </cfRule>
  </conditionalFormatting>
  <conditionalFormatting sqref="F12">
    <cfRule type="cellIs" dxfId="1" priority="2" operator="equal">
      <formula>"לא"</formula>
    </cfRule>
  </conditionalFormatting>
  <conditionalFormatting sqref="F13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abSelected="1" zoomScaleNormal="100" workbookViewId="0">
      <selection activeCell="I39" sqref="I39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114"/>
      <c r="C2" s="114"/>
      <c r="D2" s="114"/>
      <c r="E2" s="10"/>
      <c r="F2" s="168">
        <v>3</v>
      </c>
      <c r="G2" s="168"/>
      <c r="H2" s="169"/>
    </row>
    <row r="3" spans="1:8" x14ac:dyDescent="0.25">
      <c r="A3" s="8" t="s">
        <v>27</v>
      </c>
      <c r="B3" s="116"/>
      <c r="C3" s="116"/>
      <c r="D3" s="12"/>
      <c r="E3" s="12"/>
      <c r="F3" s="170" t="s">
        <v>80</v>
      </c>
      <c r="G3" s="170"/>
      <c r="H3" s="171"/>
    </row>
    <row r="4" spans="1:8" x14ac:dyDescent="0.25">
      <c r="A4" s="8" t="s">
        <v>28</v>
      </c>
      <c r="B4" s="116"/>
      <c r="C4" s="10"/>
      <c r="D4" s="10"/>
      <c r="E4" s="114"/>
      <c r="F4" s="166" t="s">
        <v>186</v>
      </c>
      <c r="G4" s="166"/>
      <c r="H4" s="167"/>
    </row>
    <row r="5" spans="1:8" x14ac:dyDescent="0.25">
      <c r="A5" s="8" t="s">
        <v>29</v>
      </c>
      <c r="B5" s="10"/>
      <c r="C5" s="116"/>
      <c r="D5" s="114"/>
      <c r="E5" s="10"/>
      <c r="F5" s="166" t="s">
        <v>83</v>
      </c>
      <c r="G5" s="166"/>
      <c r="H5" s="167"/>
    </row>
    <row r="6" spans="1:8" ht="15.75" thickBot="1" x14ac:dyDescent="0.3">
      <c r="A6" s="15" t="s">
        <v>125</v>
      </c>
      <c r="B6" s="115"/>
      <c r="C6" s="115"/>
      <c r="D6" s="115"/>
      <c r="E6" s="14"/>
      <c r="F6" s="172" t="s">
        <v>184</v>
      </c>
      <c r="G6" s="173"/>
      <c r="H6" s="174"/>
    </row>
    <row r="7" spans="1:8" x14ac:dyDescent="0.25">
      <c r="A7" s="5"/>
      <c r="B7" s="153">
        <v>4</v>
      </c>
      <c r="C7" s="153">
        <f>B7+1</f>
        <v>5</v>
      </c>
      <c r="D7" s="153">
        <f t="shared" ref="D7:G7" si="1">C7+1</f>
        <v>6</v>
      </c>
      <c r="E7" s="153">
        <f t="shared" si="1"/>
        <v>7</v>
      </c>
      <c r="F7" s="153">
        <f t="shared" si="1"/>
        <v>8</v>
      </c>
      <c r="G7" s="153">
        <f t="shared" si="1"/>
        <v>9</v>
      </c>
      <c r="H7" s="154">
        <f>G7+1</f>
        <v>10</v>
      </c>
    </row>
    <row r="8" spans="1:8" x14ac:dyDescent="0.25">
      <c r="A8" s="8" t="s">
        <v>30</v>
      </c>
      <c r="B8" s="130">
        <v>3</v>
      </c>
      <c r="C8" s="63">
        <v>3</v>
      </c>
      <c r="D8" s="130">
        <v>3</v>
      </c>
      <c r="E8" s="63">
        <v>3</v>
      </c>
      <c r="F8" s="166">
        <v>3</v>
      </c>
      <c r="G8" s="166"/>
      <c r="H8" s="167"/>
    </row>
    <row r="9" spans="1:8" x14ac:dyDescent="0.25">
      <c r="A9" s="8" t="s">
        <v>27</v>
      </c>
      <c r="B9" s="156" t="s">
        <v>183</v>
      </c>
      <c r="C9" s="156" t="s">
        <v>110</v>
      </c>
      <c r="D9" s="158" t="s">
        <v>92</v>
      </c>
      <c r="E9" s="158" t="s">
        <v>104</v>
      </c>
      <c r="F9" s="166" t="s">
        <v>129</v>
      </c>
      <c r="G9" s="166"/>
      <c r="H9" s="167"/>
    </row>
    <row r="10" spans="1:8" x14ac:dyDescent="0.25">
      <c r="A10" s="8" t="s">
        <v>28</v>
      </c>
      <c r="B10" s="63" t="s">
        <v>138</v>
      </c>
      <c r="C10" s="158" t="s">
        <v>91</v>
      </c>
      <c r="D10" s="63" t="s">
        <v>102</v>
      </c>
      <c r="E10" s="161" t="s">
        <v>83</v>
      </c>
      <c r="F10" s="170" t="s">
        <v>143</v>
      </c>
      <c r="G10" s="170"/>
      <c r="H10" s="171"/>
    </row>
    <row r="11" spans="1:8" x14ac:dyDescent="0.25">
      <c r="A11" s="8" t="s">
        <v>29</v>
      </c>
      <c r="B11" s="158" t="s">
        <v>97</v>
      </c>
      <c r="C11" s="130" t="s">
        <v>185</v>
      </c>
      <c r="D11" s="130" t="s">
        <v>106</v>
      </c>
      <c r="E11" s="63" t="s">
        <v>165</v>
      </c>
      <c r="F11" s="166" t="s">
        <v>112</v>
      </c>
      <c r="G11" s="166"/>
      <c r="H11" s="167"/>
    </row>
    <row r="12" spans="1:8" ht="15.75" thickBot="1" x14ac:dyDescent="0.3">
      <c r="A12" s="8" t="s">
        <v>125</v>
      </c>
      <c r="B12" s="130" t="s">
        <v>164</v>
      </c>
      <c r="C12" s="130" t="s">
        <v>95</v>
      </c>
      <c r="D12" s="87" t="s">
        <v>127</v>
      </c>
      <c r="E12" s="63" t="s">
        <v>163</v>
      </c>
      <c r="F12" s="166" t="s">
        <v>203</v>
      </c>
      <c r="G12" s="166"/>
      <c r="H12" s="167"/>
    </row>
    <row r="13" spans="1:8" x14ac:dyDescent="0.25">
      <c r="A13" s="5"/>
      <c r="B13" s="153">
        <f>B7+7</f>
        <v>11</v>
      </c>
      <c r="C13" s="153">
        <f>B13+1</f>
        <v>12</v>
      </c>
      <c r="D13" s="153">
        <f t="shared" ref="D13:H13" si="2">C13+1</f>
        <v>13</v>
      </c>
      <c r="E13" s="153">
        <f t="shared" si="2"/>
        <v>14</v>
      </c>
      <c r="F13" s="153">
        <f t="shared" si="2"/>
        <v>15</v>
      </c>
      <c r="G13" s="153">
        <f t="shared" si="2"/>
        <v>16</v>
      </c>
      <c r="H13" s="154">
        <f t="shared" si="2"/>
        <v>17</v>
      </c>
    </row>
    <row r="14" spans="1:8" x14ac:dyDescent="0.25">
      <c r="A14" s="8" t="s">
        <v>30</v>
      </c>
      <c r="B14" s="130">
        <v>3</v>
      </c>
      <c r="C14" s="63">
        <v>3</v>
      </c>
      <c r="D14" s="130">
        <v>3</v>
      </c>
      <c r="E14" s="63">
        <v>3</v>
      </c>
      <c r="F14" s="166">
        <v>3</v>
      </c>
      <c r="G14" s="166"/>
      <c r="H14" s="167"/>
    </row>
    <row r="15" spans="1:8" x14ac:dyDescent="0.25">
      <c r="A15" s="8" t="s">
        <v>27</v>
      </c>
      <c r="B15" s="158" t="s">
        <v>128</v>
      </c>
      <c r="C15" s="130" t="s">
        <v>166</v>
      </c>
      <c r="D15" s="63" t="s">
        <v>164</v>
      </c>
      <c r="E15" s="63" t="s">
        <v>165</v>
      </c>
      <c r="F15" s="166" t="s">
        <v>110</v>
      </c>
      <c r="G15" s="166"/>
      <c r="H15" s="167"/>
    </row>
    <row r="16" spans="1:8" x14ac:dyDescent="0.25">
      <c r="A16" s="8" t="s">
        <v>28</v>
      </c>
      <c r="B16" s="130" t="s">
        <v>184</v>
      </c>
      <c r="C16" s="156" t="s">
        <v>183</v>
      </c>
      <c r="D16" s="162" t="s">
        <v>138</v>
      </c>
      <c r="E16" s="130" t="s">
        <v>186</v>
      </c>
      <c r="F16" s="170" t="s">
        <v>95</v>
      </c>
      <c r="G16" s="170"/>
      <c r="H16" s="171"/>
    </row>
    <row r="17" spans="1:9" x14ac:dyDescent="0.25">
      <c r="A17" s="8" t="s">
        <v>29</v>
      </c>
      <c r="B17" s="161" t="s">
        <v>81</v>
      </c>
      <c r="C17" s="157" t="s">
        <v>91</v>
      </c>
      <c r="D17" s="130" t="s">
        <v>189</v>
      </c>
      <c r="E17" s="130" t="s">
        <v>83</v>
      </c>
      <c r="F17" s="166" t="s">
        <v>113</v>
      </c>
      <c r="G17" s="166"/>
      <c r="H17" s="167"/>
    </row>
    <row r="18" spans="1:9" ht="15.75" thickBot="1" x14ac:dyDescent="0.3">
      <c r="A18" s="8" t="s">
        <v>125</v>
      </c>
      <c r="B18" s="130" t="s">
        <v>204</v>
      </c>
      <c r="C18" s="130" t="s">
        <v>163</v>
      </c>
      <c r="D18" s="87" t="s">
        <v>188</v>
      </c>
      <c r="E18" s="157" t="s">
        <v>80</v>
      </c>
      <c r="F18" s="166" t="s">
        <v>142</v>
      </c>
      <c r="G18" s="166"/>
      <c r="H18" s="167"/>
    </row>
    <row r="19" spans="1:9" x14ac:dyDescent="0.25">
      <c r="A19" s="5"/>
      <c r="B19" s="153">
        <f>B13+7</f>
        <v>18</v>
      </c>
      <c r="C19" s="153">
        <f>B19+1</f>
        <v>19</v>
      </c>
      <c r="D19" s="153">
        <f t="shared" ref="D19:H19" si="3">C19+1</f>
        <v>20</v>
      </c>
      <c r="E19" s="153">
        <f t="shared" si="3"/>
        <v>21</v>
      </c>
      <c r="F19" s="153">
        <f t="shared" si="3"/>
        <v>22</v>
      </c>
      <c r="G19" s="153">
        <f>F19+1</f>
        <v>23</v>
      </c>
      <c r="H19" s="154">
        <f t="shared" si="3"/>
        <v>24</v>
      </c>
    </row>
    <row r="20" spans="1:9" x14ac:dyDescent="0.25">
      <c r="A20" s="8" t="s">
        <v>30</v>
      </c>
      <c r="B20" s="130">
        <v>3</v>
      </c>
      <c r="C20" s="63">
        <v>3</v>
      </c>
      <c r="D20" s="130">
        <v>3</v>
      </c>
      <c r="E20" s="63">
        <v>3</v>
      </c>
      <c r="F20" s="166">
        <v>3</v>
      </c>
      <c r="G20" s="166"/>
      <c r="H20" s="167"/>
    </row>
    <row r="21" spans="1:9" x14ac:dyDescent="0.25">
      <c r="A21" s="8" t="s">
        <v>27</v>
      </c>
      <c r="B21" s="158" t="s">
        <v>91</v>
      </c>
      <c r="C21" s="156" t="s">
        <v>166</v>
      </c>
      <c r="D21" s="156" t="s">
        <v>184</v>
      </c>
      <c r="E21" s="63" t="s">
        <v>106</v>
      </c>
      <c r="F21" s="166" t="s">
        <v>189</v>
      </c>
      <c r="G21" s="166"/>
      <c r="H21" s="167"/>
    </row>
    <row r="22" spans="1:9" x14ac:dyDescent="0.25">
      <c r="A22" s="8" t="s">
        <v>28</v>
      </c>
      <c r="B22" s="63" t="s">
        <v>183</v>
      </c>
      <c r="C22" s="63" t="s">
        <v>188</v>
      </c>
      <c r="D22" s="63" t="s">
        <v>165</v>
      </c>
      <c r="E22" s="156" t="s">
        <v>113</v>
      </c>
      <c r="F22" s="170" t="s">
        <v>128</v>
      </c>
      <c r="G22" s="170"/>
      <c r="H22" s="171"/>
    </row>
    <row r="23" spans="1:9" x14ac:dyDescent="0.25">
      <c r="A23" s="8" t="s">
        <v>29</v>
      </c>
      <c r="B23" s="156" t="s">
        <v>127</v>
      </c>
      <c r="C23" s="158" t="s">
        <v>83</v>
      </c>
      <c r="D23" s="158" t="s">
        <v>97</v>
      </c>
      <c r="E23" s="158" t="s">
        <v>78</v>
      </c>
      <c r="F23" s="166" t="s">
        <v>105</v>
      </c>
      <c r="G23" s="166"/>
      <c r="H23" s="167"/>
    </row>
    <row r="24" spans="1:9" ht="15.75" thickBot="1" x14ac:dyDescent="0.3">
      <c r="A24" s="8" t="s">
        <v>125</v>
      </c>
      <c r="B24" s="130" t="s">
        <v>138</v>
      </c>
      <c r="C24" s="130" t="s">
        <v>203</v>
      </c>
      <c r="D24" s="130" t="s">
        <v>164</v>
      </c>
      <c r="E24" s="63" t="s">
        <v>102</v>
      </c>
      <c r="F24" s="166" t="s">
        <v>204</v>
      </c>
      <c r="G24" s="166"/>
      <c r="H24" s="167"/>
    </row>
    <row r="25" spans="1:9" x14ac:dyDescent="0.25">
      <c r="A25" s="5"/>
      <c r="B25" s="153">
        <f>B19+7</f>
        <v>25</v>
      </c>
      <c r="C25" s="153">
        <f>B25+1</f>
        <v>26</v>
      </c>
      <c r="D25" s="153">
        <f t="shared" ref="D25:E25" si="4">C25+1</f>
        <v>27</v>
      </c>
      <c r="E25" s="153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30</v>
      </c>
      <c r="B26" s="130">
        <v>3</v>
      </c>
      <c r="C26" s="63">
        <v>3</v>
      </c>
      <c r="D26" s="130">
        <v>3</v>
      </c>
      <c r="E26" s="63">
        <v>3</v>
      </c>
      <c r="F26" s="166" t="s">
        <v>200</v>
      </c>
      <c r="G26" s="168"/>
      <c r="H26" s="169"/>
    </row>
    <row r="27" spans="1:9" x14ac:dyDescent="0.25">
      <c r="A27" s="8" t="s">
        <v>27</v>
      </c>
      <c r="B27" s="156" t="s">
        <v>184</v>
      </c>
      <c r="C27" s="156" t="s">
        <v>166</v>
      </c>
      <c r="D27" s="158" t="s">
        <v>127</v>
      </c>
      <c r="E27" s="158" t="s">
        <v>165</v>
      </c>
      <c r="F27" s="166" t="s">
        <v>100</v>
      </c>
      <c r="G27" s="166"/>
      <c r="H27" s="167"/>
      <c r="I27" s="102" t="s">
        <v>164</v>
      </c>
    </row>
    <row r="28" spans="1:9" x14ac:dyDescent="0.25">
      <c r="A28" s="8" t="s">
        <v>28</v>
      </c>
      <c r="B28" s="63" t="s">
        <v>78</v>
      </c>
      <c r="C28" s="63" t="s">
        <v>112</v>
      </c>
      <c r="D28" s="156" t="s">
        <v>102</v>
      </c>
      <c r="E28" s="161" t="s">
        <v>113</v>
      </c>
      <c r="F28" s="175" t="s">
        <v>186</v>
      </c>
      <c r="G28" s="176"/>
      <c r="H28" s="177"/>
      <c r="I28" s="86" t="s">
        <v>143</v>
      </c>
    </row>
    <row r="29" spans="1:9" x14ac:dyDescent="0.25">
      <c r="A29" s="8" t="s">
        <v>29</v>
      </c>
      <c r="B29" s="158" t="s">
        <v>164</v>
      </c>
      <c r="C29" s="157" t="s">
        <v>81</v>
      </c>
      <c r="D29" s="130" t="s">
        <v>182</v>
      </c>
      <c r="E29" s="63" t="s">
        <v>78</v>
      </c>
      <c r="F29" s="166" t="s">
        <v>188</v>
      </c>
      <c r="G29" s="166"/>
      <c r="H29" s="167"/>
      <c r="I29" s="102" t="s">
        <v>95</v>
      </c>
    </row>
    <row r="30" spans="1:9" ht="15.75" thickBot="1" x14ac:dyDescent="0.3">
      <c r="A30" s="8" t="s">
        <v>125</v>
      </c>
      <c r="B30" s="113" t="s">
        <v>186</v>
      </c>
      <c r="C30" s="87" t="s">
        <v>203</v>
      </c>
      <c r="D30" s="87" t="s">
        <v>163</v>
      </c>
      <c r="E30" s="113" t="s">
        <v>95</v>
      </c>
      <c r="F30" s="166" t="s">
        <v>185</v>
      </c>
      <c r="G30" s="166"/>
      <c r="H30" s="167"/>
      <c r="I30" s="102" t="s">
        <v>204</v>
      </c>
    </row>
    <row r="31" spans="1:9" x14ac:dyDescent="0.25">
      <c r="A31" s="5"/>
      <c r="B31" s="153">
        <v>1</v>
      </c>
      <c r="C31" s="153">
        <f>B31+1</f>
        <v>2</v>
      </c>
      <c r="D31" s="153">
        <f t="shared" ref="D31" si="6">C31+1</f>
        <v>3</v>
      </c>
      <c r="E31" s="153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30</v>
      </c>
      <c r="B32" s="130">
        <v>3</v>
      </c>
      <c r="C32" s="63">
        <v>3</v>
      </c>
      <c r="D32" s="130">
        <v>3</v>
      </c>
      <c r="E32" s="63">
        <v>3</v>
      </c>
      <c r="F32" s="166" t="s">
        <v>201</v>
      </c>
      <c r="G32" s="168"/>
      <c r="H32" s="169"/>
    </row>
    <row r="33" spans="1:9" x14ac:dyDescent="0.25">
      <c r="A33" s="8" t="s">
        <v>27</v>
      </c>
      <c r="B33" s="157" t="s">
        <v>92</v>
      </c>
      <c r="C33" s="157" t="s">
        <v>143</v>
      </c>
      <c r="D33" s="158" t="s">
        <v>91</v>
      </c>
      <c r="E33" s="63" t="s">
        <v>102</v>
      </c>
      <c r="F33" s="170" t="s">
        <v>80</v>
      </c>
      <c r="G33" s="170"/>
      <c r="H33" s="171"/>
      <c r="I33" s="86" t="s">
        <v>166</v>
      </c>
    </row>
    <row r="34" spans="1:9" x14ac:dyDescent="0.25">
      <c r="A34" s="8" t="s">
        <v>28</v>
      </c>
      <c r="B34" s="156" t="s">
        <v>83</v>
      </c>
      <c r="C34" s="63" t="s">
        <v>166</v>
      </c>
      <c r="D34" s="156" t="s">
        <v>184</v>
      </c>
      <c r="E34" s="130" t="s">
        <v>106</v>
      </c>
      <c r="F34" s="166" t="s">
        <v>182</v>
      </c>
      <c r="G34" s="166"/>
      <c r="H34" s="167"/>
      <c r="I34" s="102" t="s">
        <v>165</v>
      </c>
    </row>
    <row r="35" spans="1:9" x14ac:dyDescent="0.25">
      <c r="A35" s="8" t="s">
        <v>29</v>
      </c>
      <c r="B35" s="63" t="s">
        <v>105</v>
      </c>
      <c r="C35" s="156" t="s">
        <v>183</v>
      </c>
      <c r="D35" s="63" t="s">
        <v>105</v>
      </c>
      <c r="E35" s="158" t="s">
        <v>97</v>
      </c>
      <c r="F35" s="166" t="s">
        <v>117</v>
      </c>
      <c r="G35" s="166"/>
      <c r="H35" s="167"/>
      <c r="I35" s="102" t="s">
        <v>78</v>
      </c>
    </row>
    <row r="36" spans="1:9" ht="15.75" thickBot="1" x14ac:dyDescent="0.3">
      <c r="A36" s="15" t="s">
        <v>125</v>
      </c>
      <c r="B36" s="104" t="s">
        <v>204</v>
      </c>
      <c r="C36" s="163" t="s">
        <v>142</v>
      </c>
      <c r="D36" s="129" t="s">
        <v>163</v>
      </c>
      <c r="E36" s="104" t="s">
        <v>189</v>
      </c>
      <c r="F36" s="172" t="s">
        <v>81</v>
      </c>
      <c r="G36" s="172"/>
      <c r="H36" s="178"/>
      <c r="I36" s="102" t="s">
        <v>110</v>
      </c>
    </row>
    <row r="38" spans="1:9" x14ac:dyDescent="0.25">
      <c r="F38" s="166" t="s">
        <v>202</v>
      </c>
      <c r="G38" s="168"/>
      <c r="H38" s="169"/>
    </row>
    <row r="39" spans="1:9" x14ac:dyDescent="0.25">
      <c r="F39" s="166" t="s">
        <v>184</v>
      </c>
      <c r="G39" s="166"/>
      <c r="H39" s="167"/>
      <c r="I39" s="102" t="s">
        <v>183</v>
      </c>
    </row>
    <row r="40" spans="1:9" x14ac:dyDescent="0.25">
      <c r="F40" s="166" t="s">
        <v>189</v>
      </c>
      <c r="G40" s="166"/>
      <c r="H40" s="167"/>
      <c r="I40" s="102" t="s">
        <v>83</v>
      </c>
    </row>
    <row r="41" spans="1:9" x14ac:dyDescent="0.25">
      <c r="F41" s="170" t="s">
        <v>100</v>
      </c>
      <c r="G41" s="170"/>
      <c r="H41" s="171"/>
      <c r="I41" s="86" t="s">
        <v>113</v>
      </c>
    </row>
    <row r="42" spans="1:9" ht="15.75" thickBot="1" x14ac:dyDescent="0.3">
      <c r="F42" s="172" t="s">
        <v>203</v>
      </c>
      <c r="G42" s="172"/>
      <c r="H42" s="178"/>
      <c r="I42" s="102" t="s">
        <v>106</v>
      </c>
    </row>
  </sheetData>
  <mergeCells count="35">
    <mergeCell ref="F38:H38"/>
    <mergeCell ref="F39:H39"/>
    <mergeCell ref="F40:H40"/>
    <mergeCell ref="F41:H41"/>
    <mergeCell ref="F42:H42"/>
    <mergeCell ref="F35:H35"/>
    <mergeCell ref="F36:H36"/>
    <mergeCell ref="F29:H29"/>
    <mergeCell ref="F30:H30"/>
    <mergeCell ref="F32:H32"/>
    <mergeCell ref="F33:H33"/>
    <mergeCell ref="F34:H34"/>
    <mergeCell ref="F23:H23"/>
    <mergeCell ref="F24:H24"/>
    <mergeCell ref="F26:H26"/>
    <mergeCell ref="F27:H27"/>
    <mergeCell ref="F28:H28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9:H9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118" zoomScaleNormal="118" workbookViewId="0">
      <selection activeCell="C18" sqref="C18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3" t="s">
        <v>24</v>
      </c>
      <c r="C2" s="3">
        <f>COUNTIF(חיילים!D:D,"=כן")</f>
        <v>7</v>
      </c>
      <c r="G2" t="s">
        <v>37</v>
      </c>
      <c r="H2" t="s">
        <v>38</v>
      </c>
      <c r="I2" t="s">
        <v>39</v>
      </c>
    </row>
    <row r="3" spans="2:9" x14ac:dyDescent="0.25">
      <c r="B3" s="1" t="s">
        <v>23</v>
      </c>
      <c r="C3" s="1">
        <f>COUNTIF(חיילים!$D:D,"=לא")</f>
        <v>30</v>
      </c>
      <c r="F3" t="s">
        <v>57</v>
      </c>
      <c r="G3">
        <f>SUM(חיילים!BP:BP)</f>
        <v>60</v>
      </c>
      <c r="H3">
        <f>I3-G3</f>
        <v>0</v>
      </c>
      <c r="I3">
        <f>3*4*5</f>
        <v>60</v>
      </c>
    </row>
    <row r="4" spans="2:9" x14ac:dyDescent="0.25">
      <c r="B4" s="1" t="s">
        <v>22</v>
      </c>
      <c r="C4" s="2">
        <f>C3+C2</f>
        <v>37</v>
      </c>
      <c r="F4" t="s">
        <v>58</v>
      </c>
      <c r="G4">
        <f>SUM(חיילים!BQ:BQ)</f>
        <v>20</v>
      </c>
      <c r="H4">
        <f>I4-G4</f>
        <v>0</v>
      </c>
      <c r="I4">
        <f xml:space="preserve"> 1*4*5</f>
        <v>20</v>
      </c>
    </row>
    <row r="5" spans="2:9" x14ac:dyDescent="0.25">
      <c r="F5" t="s">
        <v>59</v>
      </c>
      <c r="G5">
        <f>SUM(חיילים!BN:BN)</f>
        <v>15</v>
      </c>
      <c r="H5">
        <f t="shared" ref="H5:H6" si="0">I5-G5</f>
        <v>0</v>
      </c>
      <c r="I5">
        <v>15</v>
      </c>
    </row>
    <row r="6" spans="2:9" x14ac:dyDescent="0.25">
      <c r="F6" t="s">
        <v>60</v>
      </c>
      <c r="G6">
        <f>SUM(חיילים!BO:BO)</f>
        <v>5</v>
      </c>
      <c r="H6">
        <f t="shared" si="0"/>
        <v>0</v>
      </c>
      <c r="I6">
        <v>5</v>
      </c>
    </row>
    <row r="7" spans="2:9" x14ac:dyDescent="0.25">
      <c r="B7" s="1" t="s">
        <v>25</v>
      </c>
      <c r="C7" s="1">
        <f>COUNTIF(חיילים!E:E,"=כן")</f>
        <v>33</v>
      </c>
    </row>
    <row r="8" spans="2:9" x14ac:dyDescent="0.25">
      <c r="B8" s="3" t="s">
        <v>26</v>
      </c>
      <c r="C8" s="3">
        <f>COUNTIF(חיילים!E:E,"=לא")</f>
        <v>4</v>
      </c>
    </row>
    <row r="9" spans="2:9" x14ac:dyDescent="0.25">
      <c r="B9" s="1" t="s">
        <v>22</v>
      </c>
      <c r="C9" s="2">
        <f>C8+C7</f>
        <v>37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"/>
  <sheetViews>
    <sheetView rightToLeft="1" zoomScale="130" zoomScaleNormal="130" workbookViewId="0">
      <selection activeCell="A4" sqref="A4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zoomScale="145" zoomScaleNormal="145" workbookViewId="0">
      <selection activeCell="E1" sqref="E1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66"/>
      <c r="C2" s="66"/>
      <c r="D2" s="66"/>
      <c r="E2" s="10"/>
      <c r="F2" s="168">
        <v>2</v>
      </c>
      <c r="G2" s="168"/>
      <c r="H2" s="169"/>
    </row>
    <row r="3" spans="1:8" x14ac:dyDescent="0.25">
      <c r="A3" s="8" t="s">
        <v>27</v>
      </c>
      <c r="B3" s="67"/>
      <c r="C3" s="67"/>
      <c r="D3" s="12"/>
      <c r="E3" s="12"/>
      <c r="F3" s="166" t="s">
        <v>92</v>
      </c>
      <c r="G3" s="168"/>
      <c r="H3" s="169"/>
    </row>
    <row r="4" spans="1:8" x14ac:dyDescent="0.25">
      <c r="A4" s="8" t="s">
        <v>28</v>
      </c>
      <c r="B4" s="67"/>
      <c r="C4" s="10"/>
      <c r="D4" s="10"/>
      <c r="E4" s="66"/>
      <c r="F4" s="170" t="s">
        <v>143</v>
      </c>
      <c r="G4" s="170"/>
      <c r="H4" s="171"/>
    </row>
    <row r="5" spans="1:8" x14ac:dyDescent="0.25">
      <c r="A5" s="8" t="s">
        <v>29</v>
      </c>
      <c r="B5" s="10"/>
      <c r="C5" s="67"/>
      <c r="D5" s="66"/>
      <c r="E5" s="10"/>
      <c r="F5" s="170" t="s">
        <v>104</v>
      </c>
      <c r="G5" s="179"/>
      <c r="H5" s="180"/>
    </row>
    <row r="6" spans="1:8" ht="15.75" thickBot="1" x14ac:dyDescent="0.3">
      <c r="A6" s="15" t="s">
        <v>125</v>
      </c>
      <c r="B6" s="68"/>
      <c r="C6" s="68"/>
      <c r="D6" s="68"/>
      <c r="E6" s="14"/>
      <c r="F6" s="172" t="s">
        <v>127</v>
      </c>
      <c r="G6" s="173"/>
      <c r="H6" s="174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30</v>
      </c>
      <c r="B8" s="66">
        <v>2</v>
      </c>
      <c r="C8" s="66">
        <v>2</v>
      </c>
      <c r="D8" s="66">
        <v>3</v>
      </c>
      <c r="E8" s="10">
        <v>3</v>
      </c>
      <c r="F8" s="168">
        <v>3</v>
      </c>
      <c r="G8" s="168"/>
      <c r="H8" s="169"/>
    </row>
    <row r="9" spans="1:8" x14ac:dyDescent="0.25">
      <c r="A9" s="8" t="s">
        <v>27</v>
      </c>
      <c r="B9" s="108" t="s">
        <v>110</v>
      </c>
      <c r="C9" s="106" t="s">
        <v>106</v>
      </c>
      <c r="D9" s="63" t="s">
        <v>105</v>
      </c>
      <c r="E9" s="63" t="s">
        <v>113</v>
      </c>
      <c r="F9" s="166" t="s">
        <v>78</v>
      </c>
      <c r="G9" s="168"/>
      <c r="H9" s="169"/>
    </row>
    <row r="10" spans="1:8" x14ac:dyDescent="0.25">
      <c r="A10" s="8" t="s">
        <v>28</v>
      </c>
      <c r="B10" s="63" t="s">
        <v>112</v>
      </c>
      <c r="C10" s="63" t="s">
        <v>95</v>
      </c>
      <c r="D10" s="108" t="s">
        <v>104</v>
      </c>
      <c r="E10" s="107" t="s">
        <v>187</v>
      </c>
      <c r="F10" s="166" t="s">
        <v>165</v>
      </c>
      <c r="G10" s="168"/>
      <c r="H10" s="169"/>
    </row>
    <row r="11" spans="1:8" x14ac:dyDescent="0.25">
      <c r="A11" s="8" t="s">
        <v>29</v>
      </c>
      <c r="B11" s="106" t="s">
        <v>97</v>
      </c>
      <c r="C11" s="106" t="s">
        <v>81</v>
      </c>
      <c r="D11" s="107" t="s">
        <v>164</v>
      </c>
      <c r="E11" s="106" t="s">
        <v>97</v>
      </c>
      <c r="F11" s="170" t="s">
        <v>128</v>
      </c>
      <c r="G11" s="179"/>
      <c r="H11" s="180"/>
    </row>
    <row r="12" spans="1:8" ht="15.75" thickBot="1" x14ac:dyDescent="0.3">
      <c r="A12" s="8" t="s">
        <v>125</v>
      </c>
      <c r="B12" s="107" t="s">
        <v>142</v>
      </c>
      <c r="C12" s="107" t="s">
        <v>163</v>
      </c>
      <c r="D12" s="87" t="s">
        <v>100</v>
      </c>
      <c r="E12" s="63" t="s">
        <v>110</v>
      </c>
      <c r="F12" s="166" t="s">
        <v>94</v>
      </c>
      <c r="G12" s="168"/>
      <c r="H12" s="169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30</v>
      </c>
      <c r="B14" s="66">
        <v>2</v>
      </c>
      <c r="C14" s="66">
        <v>2</v>
      </c>
      <c r="D14" s="66">
        <v>3</v>
      </c>
      <c r="E14" s="10">
        <v>3</v>
      </c>
      <c r="F14" s="168">
        <v>2</v>
      </c>
      <c r="G14" s="168"/>
      <c r="H14" s="169"/>
    </row>
    <row r="15" spans="1:8" x14ac:dyDescent="0.25">
      <c r="A15" s="8" t="s">
        <v>27</v>
      </c>
      <c r="B15" s="63" t="s">
        <v>110</v>
      </c>
      <c r="C15" s="107" t="s">
        <v>83</v>
      </c>
      <c r="D15" s="108" t="s">
        <v>80</v>
      </c>
      <c r="E15" s="63" t="s">
        <v>95</v>
      </c>
      <c r="F15" s="170" t="s">
        <v>129</v>
      </c>
      <c r="G15" s="179"/>
      <c r="H15" s="180"/>
    </row>
    <row r="16" spans="1:8" x14ac:dyDescent="0.25">
      <c r="A16" s="8" t="s">
        <v>28</v>
      </c>
      <c r="B16" s="106" t="s">
        <v>143</v>
      </c>
      <c r="C16" s="108" t="s">
        <v>112</v>
      </c>
      <c r="D16" s="63" t="s">
        <v>138</v>
      </c>
      <c r="E16" s="106" t="s">
        <v>143</v>
      </c>
      <c r="F16" s="166" t="s">
        <v>113</v>
      </c>
      <c r="G16" s="168"/>
      <c r="H16" s="169"/>
    </row>
    <row r="17" spans="1:8" x14ac:dyDescent="0.25">
      <c r="A17" s="8" t="s">
        <v>29</v>
      </c>
      <c r="B17" s="108" t="s">
        <v>91</v>
      </c>
      <c r="C17" s="106" t="s">
        <v>97</v>
      </c>
      <c r="D17" s="107" t="s">
        <v>81</v>
      </c>
      <c r="E17" s="107" t="s">
        <v>102</v>
      </c>
      <c r="F17" s="170" t="s">
        <v>100</v>
      </c>
      <c r="G17" s="179"/>
      <c r="H17" s="180"/>
    </row>
    <row r="18" spans="1:8" ht="15.75" thickBot="1" x14ac:dyDescent="0.3">
      <c r="A18" s="8" t="s">
        <v>125</v>
      </c>
      <c r="B18" s="107" t="s">
        <v>127</v>
      </c>
      <c r="C18" s="107" t="s">
        <v>164</v>
      </c>
      <c r="D18" s="87" t="s">
        <v>163</v>
      </c>
      <c r="E18" s="107" t="s">
        <v>106</v>
      </c>
      <c r="F18" s="166" t="s">
        <v>182</v>
      </c>
      <c r="G18" s="168"/>
      <c r="H18" s="169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30</v>
      </c>
      <c r="B20" s="66">
        <v>2</v>
      </c>
      <c r="C20" s="66">
        <v>2</v>
      </c>
      <c r="D20" s="66">
        <v>3</v>
      </c>
      <c r="E20" s="10">
        <v>3</v>
      </c>
      <c r="F20" s="168">
        <v>3</v>
      </c>
      <c r="G20" s="168"/>
      <c r="H20" s="169"/>
    </row>
    <row r="21" spans="1:8" x14ac:dyDescent="0.25">
      <c r="A21" s="8" t="s">
        <v>27</v>
      </c>
      <c r="B21" s="108" t="s">
        <v>104</v>
      </c>
      <c r="C21" s="108" t="s">
        <v>91</v>
      </c>
      <c r="D21" s="108" t="s">
        <v>95</v>
      </c>
      <c r="E21" s="108" t="s">
        <v>106</v>
      </c>
      <c r="F21" s="166" t="s">
        <v>117</v>
      </c>
      <c r="G21" s="168"/>
      <c r="H21" s="169"/>
    </row>
    <row r="22" spans="1:8" x14ac:dyDescent="0.25">
      <c r="A22" s="8" t="s">
        <v>28</v>
      </c>
      <c r="B22" s="106" t="s">
        <v>78</v>
      </c>
      <c r="C22" s="107" t="s">
        <v>143</v>
      </c>
      <c r="D22" s="63" t="s">
        <v>81</v>
      </c>
      <c r="E22" s="107" t="s">
        <v>78</v>
      </c>
      <c r="F22" s="170" t="s">
        <v>187</v>
      </c>
      <c r="G22" s="170"/>
      <c r="H22" s="171"/>
    </row>
    <row r="23" spans="1:8" x14ac:dyDescent="0.25">
      <c r="A23" s="8" t="s">
        <v>29</v>
      </c>
      <c r="B23" s="63" t="s">
        <v>92</v>
      </c>
      <c r="C23" s="108" t="s">
        <v>128</v>
      </c>
      <c r="D23" s="63" t="s">
        <v>110</v>
      </c>
      <c r="E23" s="108" t="s">
        <v>102</v>
      </c>
      <c r="F23" s="170" t="s">
        <v>92</v>
      </c>
      <c r="G23" s="179"/>
      <c r="H23" s="180"/>
    </row>
    <row r="24" spans="1:8" x14ac:dyDescent="0.25">
      <c r="A24" s="88" t="s">
        <v>74</v>
      </c>
      <c r="B24" s="107" t="s">
        <v>142</v>
      </c>
      <c r="C24" s="107" t="s">
        <v>127</v>
      </c>
      <c r="D24" s="107" t="s">
        <v>188</v>
      </c>
      <c r="E24" s="63" t="s">
        <v>189</v>
      </c>
      <c r="F24" s="166" t="s">
        <v>183</v>
      </c>
      <c r="G24" s="166"/>
      <c r="H24" s="167"/>
    </row>
    <row r="25" spans="1:8" ht="15.75" thickBot="1" x14ac:dyDescent="0.3">
      <c r="A25" s="88" t="s">
        <v>73</v>
      </c>
      <c r="B25" s="109" t="s">
        <v>75</v>
      </c>
      <c r="C25" s="109" t="s">
        <v>75</v>
      </c>
      <c r="D25" s="109" t="s">
        <v>75</v>
      </c>
      <c r="E25" s="109" t="s">
        <v>163</v>
      </c>
      <c r="F25" s="172" t="s">
        <v>185</v>
      </c>
      <c r="G25" s="173"/>
      <c r="H25" s="174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30</v>
      </c>
      <c r="B27" s="66">
        <v>2</v>
      </c>
      <c r="C27" s="66">
        <v>2</v>
      </c>
      <c r="D27" s="66">
        <v>3</v>
      </c>
      <c r="E27" s="10">
        <v>3</v>
      </c>
      <c r="F27" s="168">
        <v>2</v>
      </c>
      <c r="G27" s="168"/>
      <c r="H27" s="169"/>
    </row>
    <row r="28" spans="1:8" x14ac:dyDescent="0.25">
      <c r="A28" s="8" t="s">
        <v>27</v>
      </c>
      <c r="B28" s="106" t="s">
        <v>165</v>
      </c>
      <c r="C28" s="106" t="s">
        <v>138</v>
      </c>
      <c r="D28" s="107" t="s">
        <v>105</v>
      </c>
      <c r="E28" s="108" t="s">
        <v>117</v>
      </c>
      <c r="F28" s="170" t="s">
        <v>80</v>
      </c>
      <c r="G28" s="170"/>
      <c r="H28" s="171"/>
    </row>
    <row r="29" spans="1:8" x14ac:dyDescent="0.25">
      <c r="A29" s="8" t="s">
        <v>28</v>
      </c>
      <c r="B29" s="107" t="s">
        <v>143</v>
      </c>
      <c r="C29" s="63" t="s">
        <v>92</v>
      </c>
      <c r="D29" s="63" t="s">
        <v>112</v>
      </c>
      <c r="E29" s="106" t="s">
        <v>94</v>
      </c>
      <c r="F29" s="170" t="s">
        <v>91</v>
      </c>
      <c r="G29" s="170"/>
      <c r="H29" s="171"/>
    </row>
    <row r="30" spans="1:8" x14ac:dyDescent="0.25">
      <c r="A30" s="8" t="s">
        <v>29</v>
      </c>
      <c r="B30" s="108" t="s">
        <v>164</v>
      </c>
      <c r="C30" s="108" t="s">
        <v>128</v>
      </c>
      <c r="D30" s="106" t="s">
        <v>110</v>
      </c>
      <c r="E30" s="63" t="s">
        <v>113</v>
      </c>
      <c r="F30" s="170" t="s">
        <v>83</v>
      </c>
      <c r="G30" s="179"/>
      <c r="H30" s="180"/>
    </row>
    <row r="31" spans="1:8" x14ac:dyDescent="0.25">
      <c r="A31" s="112" t="s">
        <v>74</v>
      </c>
      <c r="B31" s="113" t="s">
        <v>188</v>
      </c>
      <c r="C31" s="87" t="s">
        <v>142</v>
      </c>
      <c r="D31" s="87" t="s">
        <v>182</v>
      </c>
      <c r="E31" s="113" t="s">
        <v>189</v>
      </c>
      <c r="F31" s="166" t="s">
        <v>184</v>
      </c>
      <c r="G31" s="166"/>
      <c r="H31" s="167"/>
    </row>
    <row r="32" spans="1:8" ht="15.75" thickBot="1" x14ac:dyDescent="0.3">
      <c r="A32" s="111" t="s">
        <v>73</v>
      </c>
      <c r="B32" s="109" t="s">
        <v>75</v>
      </c>
      <c r="C32" s="109" t="s">
        <v>75</v>
      </c>
      <c r="D32" s="109" t="s">
        <v>75</v>
      </c>
      <c r="E32" s="109" t="s">
        <v>127</v>
      </c>
      <c r="F32" s="172" t="s">
        <v>186</v>
      </c>
      <c r="G32" s="173"/>
      <c r="H32" s="174"/>
    </row>
  </sheetData>
  <mergeCells count="27"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  <mergeCell ref="F8:H8"/>
    <mergeCell ref="F2:H2"/>
    <mergeCell ref="F3:H3"/>
    <mergeCell ref="F4:H4"/>
    <mergeCell ref="F5:H5"/>
    <mergeCell ref="F6:H6"/>
    <mergeCell ref="F15:H15"/>
    <mergeCell ref="F16:H16"/>
    <mergeCell ref="F17:H17"/>
    <mergeCell ref="F9:H9"/>
    <mergeCell ref="F10:H10"/>
    <mergeCell ref="F11:H11"/>
    <mergeCell ref="F12:H12"/>
    <mergeCell ref="F14:H14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30</v>
      </c>
      <c r="B2" s="66">
        <v>2</v>
      </c>
      <c r="C2" s="66">
        <v>2</v>
      </c>
      <c r="D2" s="66">
        <v>3</v>
      </c>
      <c r="E2" s="10">
        <v>3</v>
      </c>
      <c r="F2" s="168">
        <v>2</v>
      </c>
      <c r="G2" s="168"/>
      <c r="H2" s="169"/>
    </row>
    <row r="3" spans="1:8" x14ac:dyDescent="0.25">
      <c r="A3" s="8" t="s">
        <v>27</v>
      </c>
      <c r="B3" s="67"/>
      <c r="C3" s="67"/>
      <c r="D3" s="12"/>
      <c r="E3" s="12"/>
      <c r="F3" s="170" t="s">
        <v>96</v>
      </c>
      <c r="G3" s="179"/>
      <c r="H3" s="180"/>
    </row>
    <row r="4" spans="1:8" x14ac:dyDescent="0.25">
      <c r="A4" s="8" t="s">
        <v>28</v>
      </c>
      <c r="B4" s="67"/>
      <c r="C4" s="10"/>
      <c r="D4" s="10"/>
      <c r="E4" s="66"/>
      <c r="F4" s="170" t="s">
        <v>128</v>
      </c>
      <c r="G4" s="179"/>
      <c r="H4" s="180"/>
    </row>
    <row r="5" spans="1:8" x14ac:dyDescent="0.25">
      <c r="A5" s="8" t="s">
        <v>29</v>
      </c>
      <c r="B5" s="10"/>
      <c r="C5" s="67"/>
      <c r="D5" s="66"/>
      <c r="E5" s="10"/>
      <c r="F5" s="166" t="s">
        <v>79</v>
      </c>
      <c r="G5" s="168"/>
      <c r="H5" s="169"/>
    </row>
    <row r="6" spans="1:8" ht="15.75" thickBot="1" x14ac:dyDescent="0.3">
      <c r="A6" s="8" t="s">
        <v>125</v>
      </c>
      <c r="B6" s="66"/>
      <c r="C6" s="66"/>
      <c r="D6" s="87" t="s">
        <v>164</v>
      </c>
      <c r="E6" s="10"/>
      <c r="F6" s="166" t="s">
        <v>112</v>
      </c>
      <c r="G6" s="168"/>
      <c r="H6" s="169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30</v>
      </c>
      <c r="B8" s="66">
        <v>2</v>
      </c>
      <c r="C8" s="66">
        <v>2</v>
      </c>
      <c r="D8" s="66">
        <v>3</v>
      </c>
      <c r="E8" s="10">
        <v>3</v>
      </c>
      <c r="F8" s="168">
        <v>3</v>
      </c>
      <c r="G8" s="168"/>
      <c r="H8" s="169"/>
    </row>
    <row r="9" spans="1:8" x14ac:dyDescent="0.25">
      <c r="A9" s="8" t="s">
        <v>27</v>
      </c>
      <c r="B9" s="99" t="s">
        <v>90</v>
      </c>
      <c r="C9" s="99" t="s">
        <v>143</v>
      </c>
      <c r="D9" s="63" t="s">
        <v>83</v>
      </c>
      <c r="E9" s="100" t="s">
        <v>107</v>
      </c>
      <c r="F9" s="166" t="s">
        <v>106</v>
      </c>
      <c r="G9" s="166"/>
      <c r="H9" s="167"/>
    </row>
    <row r="10" spans="1:8" x14ac:dyDescent="0.25">
      <c r="A10" s="8" t="s">
        <v>28</v>
      </c>
      <c r="B10" s="100" t="s">
        <v>107</v>
      </c>
      <c r="C10" s="99" t="s">
        <v>81</v>
      </c>
      <c r="D10" s="100" t="s">
        <v>105</v>
      </c>
      <c r="E10" s="99" t="s">
        <v>111</v>
      </c>
      <c r="F10" s="170" t="s">
        <v>90</v>
      </c>
      <c r="G10" s="170"/>
      <c r="H10" s="171"/>
    </row>
    <row r="11" spans="1:8" x14ac:dyDescent="0.25">
      <c r="A11" s="8" t="s">
        <v>29</v>
      </c>
      <c r="B11" s="64" t="s">
        <v>111</v>
      </c>
      <c r="C11" s="100" t="s">
        <v>117</v>
      </c>
      <c r="D11" s="101" t="s">
        <v>80</v>
      </c>
      <c r="E11" s="100" t="s">
        <v>117</v>
      </c>
      <c r="F11" s="166" t="s">
        <v>113</v>
      </c>
      <c r="G11" s="166"/>
      <c r="H11" s="167"/>
    </row>
    <row r="12" spans="1:8" ht="15.75" thickBot="1" x14ac:dyDescent="0.3">
      <c r="A12" s="8" t="s">
        <v>125</v>
      </c>
      <c r="B12" s="103" t="s">
        <v>142</v>
      </c>
      <c r="C12" s="94" t="s">
        <v>138</v>
      </c>
      <c r="D12" s="87" t="s">
        <v>165</v>
      </c>
      <c r="E12" s="63" t="s">
        <v>164</v>
      </c>
      <c r="F12" s="166" t="s">
        <v>102</v>
      </c>
      <c r="G12" s="168"/>
      <c r="H12" s="169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30</v>
      </c>
      <c r="B14" s="66">
        <v>2</v>
      </c>
      <c r="C14" s="66">
        <v>2</v>
      </c>
      <c r="D14" s="66">
        <v>3</v>
      </c>
      <c r="E14" s="10">
        <v>3</v>
      </c>
      <c r="F14" s="168">
        <v>2</v>
      </c>
      <c r="G14" s="168"/>
      <c r="H14" s="169"/>
    </row>
    <row r="15" spans="1:8" x14ac:dyDescent="0.25">
      <c r="A15" s="8" t="s">
        <v>27</v>
      </c>
      <c r="B15" s="99" t="s">
        <v>99</v>
      </c>
      <c r="C15" s="100" t="s">
        <v>92</v>
      </c>
      <c r="D15" s="63" t="s">
        <v>112</v>
      </c>
      <c r="E15" s="99" t="s">
        <v>99</v>
      </c>
      <c r="F15" s="170" t="s">
        <v>80</v>
      </c>
      <c r="G15" s="179"/>
      <c r="H15" s="180"/>
    </row>
    <row r="16" spans="1:8" x14ac:dyDescent="0.25">
      <c r="A16" s="8" t="s">
        <v>28</v>
      </c>
      <c r="B16" s="100" t="s">
        <v>166</v>
      </c>
      <c r="C16" s="101" t="s">
        <v>91</v>
      </c>
      <c r="D16" s="99" t="s">
        <v>90</v>
      </c>
      <c r="E16" s="100" t="s">
        <v>100</v>
      </c>
      <c r="F16" s="166" t="s">
        <v>78</v>
      </c>
      <c r="G16" s="166"/>
      <c r="H16" s="167"/>
    </row>
    <row r="17" spans="1:9" x14ac:dyDescent="0.25">
      <c r="A17" s="8" t="s">
        <v>29</v>
      </c>
      <c r="B17" s="99" t="s">
        <v>105</v>
      </c>
      <c r="C17" s="64" t="s">
        <v>111</v>
      </c>
      <c r="D17" s="100" t="s">
        <v>105</v>
      </c>
      <c r="E17" s="63" t="s">
        <v>114</v>
      </c>
      <c r="F17" s="175" t="s">
        <v>141</v>
      </c>
      <c r="G17" s="176"/>
      <c r="H17" s="177"/>
    </row>
    <row r="18" spans="1:9" ht="15.75" thickBot="1" x14ac:dyDescent="0.3">
      <c r="A18" s="8" t="s">
        <v>125</v>
      </c>
      <c r="B18" s="100" t="s">
        <v>142</v>
      </c>
      <c r="C18" s="100" t="s">
        <v>138</v>
      </c>
      <c r="D18" s="87" t="s">
        <v>165</v>
      </c>
      <c r="E18" s="63" t="s">
        <v>163</v>
      </c>
      <c r="F18" s="166" t="s">
        <v>164</v>
      </c>
      <c r="G18" s="168"/>
      <c r="H18" s="169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30</v>
      </c>
      <c r="B20" s="66">
        <v>2</v>
      </c>
      <c r="C20" s="66">
        <v>2</v>
      </c>
      <c r="D20" s="66">
        <v>3</v>
      </c>
      <c r="E20" s="10">
        <v>3</v>
      </c>
      <c r="F20" s="168">
        <v>3</v>
      </c>
      <c r="G20" s="168"/>
      <c r="H20" s="169"/>
    </row>
    <row r="21" spans="1:9" x14ac:dyDescent="0.25">
      <c r="A21" s="8" t="s">
        <v>27</v>
      </c>
      <c r="B21" s="101" t="s">
        <v>128</v>
      </c>
      <c r="C21" s="100" t="s">
        <v>166</v>
      </c>
      <c r="D21" s="101" t="s">
        <v>91</v>
      </c>
      <c r="E21" s="63" t="s">
        <v>112</v>
      </c>
      <c r="F21" s="166" t="s">
        <v>95</v>
      </c>
      <c r="G21" s="168"/>
      <c r="H21" s="169"/>
    </row>
    <row r="22" spans="1:9" x14ac:dyDescent="0.25">
      <c r="A22" s="8" t="s">
        <v>28</v>
      </c>
      <c r="B22" s="100" t="s">
        <v>129</v>
      </c>
      <c r="C22" s="101" t="s">
        <v>95</v>
      </c>
      <c r="D22" s="63" t="s">
        <v>114</v>
      </c>
      <c r="E22" s="100" t="s">
        <v>113</v>
      </c>
      <c r="F22" s="170" t="s">
        <v>143</v>
      </c>
      <c r="G22" s="179"/>
      <c r="H22" s="180"/>
    </row>
    <row r="23" spans="1:9" x14ac:dyDescent="0.25">
      <c r="A23" s="8" t="s">
        <v>29</v>
      </c>
      <c r="B23" s="101" t="s">
        <v>99</v>
      </c>
      <c r="C23" s="101" t="s">
        <v>143</v>
      </c>
      <c r="D23" s="100" t="s">
        <v>78</v>
      </c>
      <c r="E23" s="101" t="s">
        <v>128</v>
      </c>
      <c r="F23" s="166" t="s">
        <v>81</v>
      </c>
      <c r="G23" s="166"/>
      <c r="H23" s="167"/>
    </row>
    <row r="24" spans="1:9" ht="15.75" thickBot="1" x14ac:dyDescent="0.3">
      <c r="A24" s="8" t="s">
        <v>125</v>
      </c>
      <c r="B24" s="98" t="s">
        <v>127</v>
      </c>
      <c r="C24" s="100" t="s">
        <v>138</v>
      </c>
      <c r="D24" s="87" t="s">
        <v>165</v>
      </c>
      <c r="E24" s="104" t="s">
        <v>142</v>
      </c>
      <c r="F24" s="172" t="s">
        <v>163</v>
      </c>
      <c r="G24" s="173"/>
      <c r="H24" s="174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30</v>
      </c>
      <c r="B26" s="66">
        <v>2</v>
      </c>
      <c r="C26" s="66">
        <v>2</v>
      </c>
      <c r="D26" s="66">
        <v>3</v>
      </c>
      <c r="E26" s="10">
        <v>3</v>
      </c>
      <c r="F26" s="168">
        <v>2</v>
      </c>
      <c r="G26" s="168"/>
      <c r="H26" s="169"/>
    </row>
    <row r="27" spans="1:9" x14ac:dyDescent="0.25">
      <c r="A27" s="8" t="s">
        <v>27</v>
      </c>
      <c r="B27" s="99" t="s">
        <v>83</v>
      </c>
      <c r="C27" s="99" t="s">
        <v>138</v>
      </c>
      <c r="D27" s="63" t="s">
        <v>102</v>
      </c>
      <c r="E27" s="100" t="s">
        <v>100</v>
      </c>
      <c r="F27" s="166" t="s">
        <v>92</v>
      </c>
      <c r="G27" s="168"/>
      <c r="H27" s="169"/>
      <c r="I27" s="102"/>
    </row>
    <row r="28" spans="1:9" x14ac:dyDescent="0.25">
      <c r="A28" s="8" t="s">
        <v>28</v>
      </c>
      <c r="B28" s="100" t="s">
        <v>107</v>
      </c>
      <c r="C28" s="100" t="s">
        <v>113</v>
      </c>
      <c r="D28" s="101" t="s">
        <v>80</v>
      </c>
      <c r="E28" s="99" t="s">
        <v>117</v>
      </c>
      <c r="F28" s="170" t="s">
        <v>91</v>
      </c>
      <c r="G28" s="170"/>
      <c r="H28" s="171"/>
    </row>
    <row r="29" spans="1:9" x14ac:dyDescent="0.25">
      <c r="A29" s="8" t="s">
        <v>29</v>
      </c>
      <c r="B29" s="101" t="s">
        <v>97</v>
      </c>
      <c r="C29" s="101" t="s">
        <v>128</v>
      </c>
      <c r="D29" s="100" t="s">
        <v>129</v>
      </c>
      <c r="E29" s="63" t="s">
        <v>83</v>
      </c>
      <c r="F29" s="170" t="s">
        <v>104</v>
      </c>
      <c r="G29" s="179"/>
      <c r="H29" s="180"/>
    </row>
    <row r="30" spans="1:9" ht="15.75" thickBot="1" x14ac:dyDescent="0.3">
      <c r="A30" s="15" t="s">
        <v>125</v>
      </c>
      <c r="B30" s="98" t="s">
        <v>142</v>
      </c>
      <c r="C30" s="68" t="s">
        <v>166</v>
      </c>
      <c r="D30" s="98" t="s">
        <v>164</v>
      </c>
      <c r="E30" s="104" t="s">
        <v>163</v>
      </c>
      <c r="F30" s="172" t="s">
        <v>127</v>
      </c>
      <c r="G30" s="173"/>
      <c r="H30" s="174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30</v>
      </c>
      <c r="C3" s="9"/>
      <c r="D3" s="9"/>
      <c r="E3" s="9"/>
      <c r="F3" s="10"/>
      <c r="G3" s="168">
        <v>3</v>
      </c>
      <c r="H3" s="168"/>
      <c r="I3" s="169"/>
    </row>
    <row r="4" spans="2:11" x14ac:dyDescent="0.25">
      <c r="B4" s="8" t="s">
        <v>27</v>
      </c>
      <c r="C4" s="11"/>
      <c r="D4" s="11"/>
      <c r="E4" s="12"/>
      <c r="F4" s="63"/>
      <c r="G4" s="166" t="s">
        <v>96</v>
      </c>
      <c r="H4" s="181"/>
      <c r="I4" s="182"/>
    </row>
    <row r="5" spans="2:11" x14ac:dyDescent="0.25">
      <c r="B5" s="8" t="s">
        <v>28</v>
      </c>
      <c r="C5" s="11"/>
      <c r="D5" s="10"/>
      <c r="E5" s="10"/>
      <c r="F5" s="32"/>
      <c r="G5" s="166" t="s">
        <v>101</v>
      </c>
      <c r="H5" s="181"/>
      <c r="I5" s="182"/>
    </row>
    <row r="6" spans="2:11" x14ac:dyDescent="0.25">
      <c r="B6" s="8" t="s">
        <v>29</v>
      </c>
      <c r="C6" s="10"/>
      <c r="D6" s="11"/>
      <c r="E6" s="9"/>
      <c r="F6" s="64"/>
      <c r="G6" s="170" t="s">
        <v>128</v>
      </c>
      <c r="H6" s="183"/>
      <c r="I6" s="184"/>
    </row>
    <row r="7" spans="2:11" ht="15.75" thickBot="1" x14ac:dyDescent="0.3">
      <c r="B7" s="8" t="s">
        <v>125</v>
      </c>
      <c r="C7" s="9"/>
      <c r="D7" s="9"/>
      <c r="E7" s="13"/>
      <c r="F7" s="62"/>
      <c r="G7" s="166" t="s">
        <v>80</v>
      </c>
      <c r="H7" s="181"/>
      <c r="I7" s="182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30</v>
      </c>
      <c r="C9" s="9">
        <v>2</v>
      </c>
      <c r="D9" s="9">
        <v>2</v>
      </c>
      <c r="E9" s="9">
        <v>3</v>
      </c>
      <c r="F9" s="10">
        <v>3</v>
      </c>
      <c r="G9" s="168">
        <v>2</v>
      </c>
      <c r="H9" s="168"/>
      <c r="I9" s="169"/>
    </row>
    <row r="10" spans="2:11" x14ac:dyDescent="0.25">
      <c r="B10" s="8" t="s">
        <v>27</v>
      </c>
      <c r="C10" s="64" t="s">
        <v>89</v>
      </c>
      <c r="D10" s="74" t="s">
        <v>99</v>
      </c>
      <c r="E10" s="63" t="s">
        <v>83</v>
      </c>
      <c r="F10" s="63" t="s">
        <v>78</v>
      </c>
      <c r="G10" s="170" t="s">
        <v>111</v>
      </c>
      <c r="H10" s="170"/>
      <c r="I10" s="171"/>
      <c r="K10" s="86"/>
    </row>
    <row r="11" spans="2:11" x14ac:dyDescent="0.25">
      <c r="B11" s="8" t="s">
        <v>28</v>
      </c>
      <c r="C11" s="64" t="s">
        <v>91</v>
      </c>
      <c r="D11" s="64" t="s">
        <v>97</v>
      </c>
      <c r="E11" s="64" t="s">
        <v>76</v>
      </c>
      <c r="F11" s="74" t="s">
        <v>100</v>
      </c>
      <c r="G11" s="166" t="s">
        <v>100</v>
      </c>
      <c r="H11" s="166"/>
      <c r="I11" s="167"/>
    </row>
    <row r="12" spans="2:11" x14ac:dyDescent="0.25">
      <c r="B12" s="88" t="s">
        <v>29</v>
      </c>
      <c r="C12" s="63" t="s">
        <v>78</v>
      </c>
      <c r="D12" s="63" t="s">
        <v>77</v>
      </c>
      <c r="E12" s="63" t="s">
        <v>92</v>
      </c>
      <c r="F12" s="63" t="s">
        <v>102</v>
      </c>
      <c r="G12" s="170" t="s">
        <v>79</v>
      </c>
      <c r="H12" s="170"/>
      <c r="I12" s="171"/>
    </row>
    <row r="13" spans="2:11" ht="15.75" thickBot="1" x14ac:dyDescent="0.3">
      <c r="B13" s="8" t="s">
        <v>125</v>
      </c>
      <c r="C13" s="73" t="s">
        <v>110</v>
      </c>
      <c r="D13" s="77" t="s">
        <v>113</v>
      </c>
      <c r="E13" s="63" t="s">
        <v>127</v>
      </c>
      <c r="F13" s="63" t="s">
        <v>110</v>
      </c>
      <c r="G13" s="166" t="s">
        <v>106</v>
      </c>
      <c r="H13" s="168"/>
      <c r="I13" s="169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30</v>
      </c>
      <c r="C15" s="9">
        <v>2</v>
      </c>
      <c r="D15" s="9">
        <v>2</v>
      </c>
      <c r="E15" s="9">
        <v>3</v>
      </c>
      <c r="F15" s="10">
        <v>3</v>
      </c>
      <c r="G15" s="168">
        <v>3</v>
      </c>
      <c r="H15" s="168"/>
      <c r="I15" s="169"/>
    </row>
    <row r="16" spans="2:11" x14ac:dyDescent="0.25">
      <c r="B16" s="8" t="s">
        <v>27</v>
      </c>
      <c r="C16" s="74" t="s">
        <v>104</v>
      </c>
      <c r="D16" s="64" t="s">
        <v>91</v>
      </c>
      <c r="E16" s="64" t="s">
        <v>80</v>
      </c>
      <c r="F16" s="64" t="s">
        <v>90</v>
      </c>
      <c r="G16" s="166" t="s">
        <v>76</v>
      </c>
      <c r="H16" s="168"/>
      <c r="I16" s="169"/>
    </row>
    <row r="17" spans="2:9" x14ac:dyDescent="0.25">
      <c r="B17" s="8" t="s">
        <v>28</v>
      </c>
      <c r="C17" s="64" t="s">
        <v>90</v>
      </c>
      <c r="D17" s="64" t="s">
        <v>128</v>
      </c>
      <c r="E17" s="63" t="s">
        <v>83</v>
      </c>
      <c r="F17" s="63" t="s">
        <v>143</v>
      </c>
      <c r="G17" s="170" t="s">
        <v>89</v>
      </c>
      <c r="H17" s="170"/>
      <c r="I17" s="171"/>
    </row>
    <row r="18" spans="2:9" x14ac:dyDescent="0.25">
      <c r="B18" s="8" t="s">
        <v>29</v>
      </c>
      <c r="C18" s="63" t="s">
        <v>112</v>
      </c>
      <c r="D18" s="63" t="s">
        <v>102</v>
      </c>
      <c r="E18" s="77" t="s">
        <v>92</v>
      </c>
      <c r="F18" s="63" t="s">
        <v>79</v>
      </c>
      <c r="G18" s="166" t="s">
        <v>107</v>
      </c>
      <c r="H18" s="166"/>
      <c r="I18" s="167"/>
    </row>
    <row r="19" spans="2:9" ht="15.75" thickBot="1" x14ac:dyDescent="0.3">
      <c r="B19" s="8" t="s">
        <v>125</v>
      </c>
      <c r="C19" s="73" t="s">
        <v>81</v>
      </c>
      <c r="D19" s="77" t="s">
        <v>138</v>
      </c>
      <c r="E19" s="87" t="s">
        <v>84</v>
      </c>
      <c r="F19" s="77" t="s">
        <v>81</v>
      </c>
      <c r="G19" s="166" t="s">
        <v>110</v>
      </c>
      <c r="H19" s="168"/>
      <c r="I19" s="169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30</v>
      </c>
      <c r="C21" s="9">
        <v>2</v>
      </c>
      <c r="D21" s="9">
        <v>2</v>
      </c>
      <c r="E21" s="9">
        <v>3</v>
      </c>
      <c r="F21" s="10">
        <v>3</v>
      </c>
      <c r="G21" s="168">
        <v>2</v>
      </c>
      <c r="H21" s="168"/>
      <c r="I21" s="169"/>
    </row>
    <row r="22" spans="2:9" x14ac:dyDescent="0.25">
      <c r="B22" s="8" t="s">
        <v>27</v>
      </c>
      <c r="C22" s="74" t="s">
        <v>90</v>
      </c>
      <c r="D22" s="74" t="s">
        <v>82</v>
      </c>
      <c r="E22" s="64" t="s">
        <v>80</v>
      </c>
      <c r="F22" s="77" t="s">
        <v>103</v>
      </c>
      <c r="G22" s="170" t="s">
        <v>97</v>
      </c>
      <c r="H22" s="179"/>
      <c r="I22" s="180"/>
    </row>
    <row r="23" spans="2:9" x14ac:dyDescent="0.25">
      <c r="B23" s="8" t="s">
        <v>28</v>
      </c>
      <c r="C23" s="64" t="s">
        <v>91</v>
      </c>
      <c r="D23" s="64" t="s">
        <v>128</v>
      </c>
      <c r="E23" s="63" t="s">
        <v>83</v>
      </c>
      <c r="F23" s="74" t="s">
        <v>110</v>
      </c>
      <c r="G23" s="170" t="s">
        <v>99</v>
      </c>
      <c r="H23" s="170"/>
      <c r="I23" s="171"/>
    </row>
    <row r="24" spans="2:9" x14ac:dyDescent="0.25">
      <c r="B24" s="8" t="s">
        <v>29</v>
      </c>
      <c r="C24" s="63" t="s">
        <v>143</v>
      </c>
      <c r="D24" s="77" t="s">
        <v>101</v>
      </c>
      <c r="E24" s="77" t="s">
        <v>81</v>
      </c>
      <c r="F24" s="63" t="s">
        <v>79</v>
      </c>
      <c r="G24" s="166" t="s">
        <v>112</v>
      </c>
      <c r="H24" s="168"/>
      <c r="I24" s="169"/>
    </row>
    <row r="25" spans="2:9" ht="15.75" thickBot="1" x14ac:dyDescent="0.3">
      <c r="B25" s="8" t="s">
        <v>125</v>
      </c>
      <c r="C25" s="87" t="s">
        <v>84</v>
      </c>
      <c r="D25" s="75" t="s">
        <v>127</v>
      </c>
      <c r="E25" s="87" t="s">
        <v>117</v>
      </c>
      <c r="F25" s="63" t="s">
        <v>143</v>
      </c>
      <c r="G25" s="166" t="s">
        <v>129</v>
      </c>
      <c r="H25" s="166"/>
      <c r="I25" s="167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30</v>
      </c>
      <c r="C27" s="9">
        <v>2</v>
      </c>
      <c r="D27" s="9">
        <v>2</v>
      </c>
      <c r="E27" s="9">
        <v>3</v>
      </c>
      <c r="F27" s="10">
        <v>3</v>
      </c>
      <c r="G27" s="168">
        <v>3</v>
      </c>
      <c r="H27" s="168"/>
      <c r="I27" s="169"/>
    </row>
    <row r="28" spans="2:9" x14ac:dyDescent="0.25">
      <c r="B28" s="8" t="s">
        <v>27</v>
      </c>
      <c r="C28" s="77" t="s">
        <v>78</v>
      </c>
      <c r="D28" s="78" t="s">
        <v>110</v>
      </c>
      <c r="E28" s="63" t="s">
        <v>117</v>
      </c>
      <c r="F28" s="64" t="s">
        <v>90</v>
      </c>
      <c r="G28" s="166" t="s">
        <v>114</v>
      </c>
      <c r="H28" s="168"/>
      <c r="I28" s="169"/>
    </row>
    <row r="29" spans="2:9" x14ac:dyDescent="0.25">
      <c r="B29" s="8" t="s">
        <v>28</v>
      </c>
      <c r="C29" s="74" t="s">
        <v>111</v>
      </c>
      <c r="D29" s="64" t="s">
        <v>97</v>
      </c>
      <c r="E29" s="64" t="s">
        <v>80</v>
      </c>
      <c r="F29" s="73" t="s">
        <v>77</v>
      </c>
      <c r="G29" s="166" t="s">
        <v>94</v>
      </c>
      <c r="H29" s="166"/>
      <c r="I29" s="167"/>
    </row>
    <row r="30" spans="2:9" x14ac:dyDescent="0.25">
      <c r="B30" s="8" t="s">
        <v>29</v>
      </c>
      <c r="C30" s="64" t="s">
        <v>128</v>
      </c>
      <c r="D30" s="63" t="s">
        <v>143</v>
      </c>
      <c r="E30" s="77" t="s">
        <v>81</v>
      </c>
      <c r="F30" s="63" t="s">
        <v>79</v>
      </c>
      <c r="G30" s="170" t="s">
        <v>104</v>
      </c>
      <c r="H30" s="170"/>
      <c r="I30" s="171"/>
    </row>
    <row r="31" spans="2:9" ht="15.75" thickBot="1" x14ac:dyDescent="0.3">
      <c r="B31" s="8" t="s">
        <v>125</v>
      </c>
      <c r="C31" s="63" t="s">
        <v>95</v>
      </c>
      <c r="D31" s="73" t="s">
        <v>142</v>
      </c>
      <c r="E31" s="75" t="s">
        <v>127</v>
      </c>
      <c r="F31" s="63" t="s">
        <v>110</v>
      </c>
      <c r="G31" s="172" t="s">
        <v>138</v>
      </c>
      <c r="H31" s="173"/>
      <c r="I31" s="174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30</v>
      </c>
      <c r="C33" s="9">
        <v>2</v>
      </c>
      <c r="D33" s="9">
        <v>2</v>
      </c>
      <c r="E33" s="9">
        <v>3</v>
      </c>
      <c r="F33" s="10">
        <v>3</v>
      </c>
      <c r="G33" s="168">
        <v>2</v>
      </c>
      <c r="H33" s="168"/>
      <c r="I33" s="169"/>
    </row>
    <row r="34" spans="2:9" x14ac:dyDescent="0.25">
      <c r="B34" s="8" t="s">
        <v>27</v>
      </c>
      <c r="C34" s="73" t="s">
        <v>100</v>
      </c>
      <c r="D34" s="74" t="s">
        <v>102</v>
      </c>
      <c r="E34" s="63" t="s">
        <v>103</v>
      </c>
      <c r="F34" s="63" t="s">
        <v>92</v>
      </c>
      <c r="G34" s="170" t="s">
        <v>96</v>
      </c>
      <c r="H34" s="170"/>
      <c r="I34" s="171"/>
    </row>
    <row r="35" spans="2:9" x14ac:dyDescent="0.25">
      <c r="B35" s="8" t="s">
        <v>28</v>
      </c>
      <c r="C35" s="74" t="s">
        <v>99</v>
      </c>
      <c r="D35" s="74" t="s">
        <v>111</v>
      </c>
      <c r="E35" s="64" t="s">
        <v>80</v>
      </c>
      <c r="F35" s="74" t="s">
        <v>141</v>
      </c>
      <c r="G35" s="170" t="s">
        <v>128</v>
      </c>
      <c r="H35" s="170"/>
      <c r="I35" s="171"/>
    </row>
    <row r="36" spans="2:9" x14ac:dyDescent="0.25">
      <c r="B36" s="8" t="s">
        <v>29</v>
      </c>
      <c r="C36" s="64" t="s">
        <v>128</v>
      </c>
      <c r="D36" s="77" t="s">
        <v>101</v>
      </c>
      <c r="E36" s="63" t="s">
        <v>117</v>
      </c>
      <c r="F36" s="63" t="s">
        <v>106</v>
      </c>
      <c r="G36" s="166" t="s">
        <v>79</v>
      </c>
      <c r="H36" s="166"/>
      <c r="I36" s="167"/>
    </row>
    <row r="37" spans="2:9" ht="15.75" thickBot="1" x14ac:dyDescent="0.3">
      <c r="B37" s="15" t="s">
        <v>125</v>
      </c>
      <c r="C37" s="79" t="s">
        <v>84</v>
      </c>
      <c r="D37" s="75" t="s">
        <v>142</v>
      </c>
      <c r="E37" s="75" t="s">
        <v>77</v>
      </c>
      <c r="F37" s="75" t="s">
        <v>127</v>
      </c>
      <c r="G37" s="172" t="s">
        <v>113</v>
      </c>
      <c r="H37" s="173"/>
      <c r="I37" s="174"/>
    </row>
  </sheetData>
  <mergeCells count="30"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37:I37"/>
    <mergeCell ref="G30:I30"/>
    <mergeCell ref="G31:I31"/>
    <mergeCell ref="G33:I33"/>
    <mergeCell ref="G34:I34"/>
    <mergeCell ref="G35:I35"/>
    <mergeCell ref="G36:I36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60" zoomScaleNormal="160" workbookViewId="0">
      <selection activeCell="C19" sqref="C19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30</v>
      </c>
      <c r="B2" s="28"/>
      <c r="C2" s="28"/>
      <c r="D2" s="28"/>
      <c r="E2" s="29">
        <v>3</v>
      </c>
      <c r="F2" s="181">
        <v>3</v>
      </c>
      <c r="G2" s="181"/>
      <c r="H2" s="182"/>
    </row>
    <row r="3" spans="1:8" x14ac:dyDescent="0.25">
      <c r="A3" s="27" t="s">
        <v>27</v>
      </c>
      <c r="B3" s="31"/>
      <c r="C3" s="31"/>
      <c r="D3" s="32"/>
      <c r="E3" s="32" t="s">
        <v>90</v>
      </c>
      <c r="F3" s="181" t="s">
        <v>98</v>
      </c>
      <c r="G3" s="181"/>
      <c r="H3" s="182"/>
    </row>
    <row r="4" spans="1:8" x14ac:dyDescent="0.25">
      <c r="A4" s="27" t="s">
        <v>28</v>
      </c>
      <c r="B4" s="31"/>
      <c r="C4" s="29"/>
      <c r="D4" s="29"/>
      <c r="E4" s="28" t="s">
        <v>113</v>
      </c>
      <c r="F4" s="189" t="s">
        <v>77</v>
      </c>
      <c r="G4" s="190"/>
      <c r="H4" s="191"/>
    </row>
    <row r="5" spans="1:8" x14ac:dyDescent="0.25">
      <c r="A5" s="27" t="s">
        <v>29</v>
      </c>
      <c r="B5" s="29"/>
      <c r="C5" s="31"/>
      <c r="D5" s="28"/>
      <c r="E5" s="29" t="s">
        <v>106</v>
      </c>
      <c r="F5" s="192" t="s">
        <v>109</v>
      </c>
      <c r="G5" s="192"/>
      <c r="H5" s="193"/>
    </row>
    <row r="6" spans="1:8" ht="15.75" thickBot="1" x14ac:dyDescent="0.3">
      <c r="A6" s="27" t="s">
        <v>74</v>
      </c>
      <c r="B6" s="28"/>
      <c r="C6" s="28"/>
      <c r="D6" s="33"/>
      <c r="E6" s="29" t="s">
        <v>117</v>
      </c>
      <c r="F6" s="166" t="s">
        <v>116</v>
      </c>
      <c r="G6" s="181"/>
      <c r="H6" s="182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30</v>
      </c>
      <c r="B8" s="28">
        <v>2</v>
      </c>
      <c r="C8" s="28">
        <v>2</v>
      </c>
      <c r="D8" s="28">
        <v>3</v>
      </c>
      <c r="E8" s="29">
        <v>3</v>
      </c>
      <c r="F8" s="181">
        <v>2</v>
      </c>
      <c r="G8" s="181"/>
      <c r="H8" s="182"/>
    </row>
    <row r="9" spans="1:8" x14ac:dyDescent="0.25">
      <c r="A9" s="27" t="s">
        <v>27</v>
      </c>
      <c r="B9" s="17" t="s">
        <v>106</v>
      </c>
      <c r="C9" s="18" t="s">
        <v>94</v>
      </c>
      <c r="D9" s="19" t="s">
        <v>112</v>
      </c>
      <c r="E9" s="18" t="s">
        <v>106</v>
      </c>
      <c r="F9" s="183" t="s">
        <v>97</v>
      </c>
      <c r="G9" s="183"/>
      <c r="H9" s="184"/>
    </row>
    <row r="10" spans="1:8" x14ac:dyDescent="0.25">
      <c r="A10" s="27" t="s">
        <v>28</v>
      </c>
      <c r="B10" s="18" t="s">
        <v>90</v>
      </c>
      <c r="C10" s="21" t="s">
        <v>82</v>
      </c>
      <c r="D10" s="31" t="s">
        <v>89</v>
      </c>
      <c r="E10" s="28" t="s">
        <v>92</v>
      </c>
      <c r="F10" s="183" t="s">
        <v>111</v>
      </c>
      <c r="G10" s="183"/>
      <c r="H10" s="184"/>
    </row>
    <row r="11" spans="1:8" x14ac:dyDescent="0.25">
      <c r="A11" s="27" t="s">
        <v>29</v>
      </c>
      <c r="B11" s="22" t="s">
        <v>112</v>
      </c>
      <c r="C11" s="18" t="s">
        <v>101</v>
      </c>
      <c r="D11" s="21" t="s">
        <v>77</v>
      </c>
      <c r="E11" s="30" t="s">
        <v>95</v>
      </c>
      <c r="F11" s="181" t="s">
        <v>93</v>
      </c>
      <c r="G11" s="181"/>
      <c r="H11" s="182"/>
    </row>
    <row r="12" spans="1:8" ht="15.75" thickBot="1" x14ac:dyDescent="0.3">
      <c r="A12" s="27" t="s">
        <v>74</v>
      </c>
      <c r="B12" s="28" t="s">
        <v>110</v>
      </c>
      <c r="C12" s="28" t="s">
        <v>81</v>
      </c>
      <c r="D12" s="33" t="s">
        <v>84</v>
      </c>
      <c r="E12" s="28" t="s">
        <v>116</v>
      </c>
      <c r="F12" s="181" t="s">
        <v>117</v>
      </c>
      <c r="G12" s="181"/>
      <c r="H12" s="182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30</v>
      </c>
      <c r="B14" s="28">
        <v>2</v>
      </c>
      <c r="C14" s="28">
        <v>2</v>
      </c>
      <c r="D14" s="28">
        <v>3</v>
      </c>
      <c r="E14" s="29">
        <v>3</v>
      </c>
      <c r="F14" s="181">
        <v>3</v>
      </c>
      <c r="G14" s="181"/>
      <c r="H14" s="182"/>
    </row>
    <row r="15" spans="1:8" x14ac:dyDescent="0.25">
      <c r="A15" s="27" t="s">
        <v>27</v>
      </c>
      <c r="B15" s="19" t="s">
        <v>106</v>
      </c>
      <c r="C15" s="31" t="s">
        <v>102</v>
      </c>
      <c r="D15" s="19" t="s">
        <v>92</v>
      </c>
      <c r="E15" s="17" t="s">
        <v>95</v>
      </c>
      <c r="F15" s="181" t="s">
        <v>103</v>
      </c>
      <c r="G15" s="181"/>
      <c r="H15" s="182"/>
    </row>
    <row r="16" spans="1:8" x14ac:dyDescent="0.25">
      <c r="A16" s="27" t="s">
        <v>28</v>
      </c>
      <c r="B16" s="31" t="s">
        <v>95</v>
      </c>
      <c r="C16" s="18" t="s">
        <v>99</v>
      </c>
      <c r="D16" s="29" t="s">
        <v>129</v>
      </c>
      <c r="E16" s="29" t="s">
        <v>129</v>
      </c>
      <c r="F16" s="181" t="s">
        <v>78</v>
      </c>
      <c r="G16" s="181"/>
      <c r="H16" s="182"/>
    </row>
    <row r="17" spans="1:8" x14ac:dyDescent="0.25">
      <c r="A17" s="27" t="s">
        <v>29</v>
      </c>
      <c r="B17" s="18" t="s">
        <v>82</v>
      </c>
      <c r="C17" s="19" t="s">
        <v>94</v>
      </c>
      <c r="D17" s="31" t="s">
        <v>79</v>
      </c>
      <c r="E17" s="18" t="s">
        <v>114</v>
      </c>
      <c r="F17" s="183" t="s">
        <v>91</v>
      </c>
      <c r="G17" s="183"/>
      <c r="H17" s="184"/>
    </row>
    <row r="18" spans="1:8" ht="15.75" thickBot="1" x14ac:dyDescent="0.3">
      <c r="A18" s="27" t="s">
        <v>74</v>
      </c>
      <c r="B18" s="28" t="s">
        <v>116</v>
      </c>
      <c r="C18" s="28" t="s">
        <v>81</v>
      </c>
      <c r="D18" s="28" t="s">
        <v>110</v>
      </c>
      <c r="E18" s="28" t="s">
        <v>84</v>
      </c>
      <c r="F18" s="181" t="s">
        <v>127</v>
      </c>
      <c r="G18" s="181"/>
      <c r="H18" s="182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30</v>
      </c>
      <c r="B20" s="28">
        <v>2</v>
      </c>
      <c r="C20" s="28">
        <v>2</v>
      </c>
      <c r="D20" s="28">
        <v>3</v>
      </c>
      <c r="E20" s="29">
        <v>3</v>
      </c>
      <c r="F20" s="181">
        <v>2</v>
      </c>
      <c r="G20" s="181"/>
      <c r="H20" s="182"/>
    </row>
    <row r="21" spans="1:8" x14ac:dyDescent="0.25">
      <c r="A21" s="27" t="s">
        <v>27</v>
      </c>
      <c r="B21" s="18" t="s">
        <v>77</v>
      </c>
      <c r="C21" s="31" t="s">
        <v>113</v>
      </c>
      <c r="D21" s="28" t="s">
        <v>93</v>
      </c>
      <c r="E21" s="31" t="s">
        <v>100</v>
      </c>
      <c r="F21" s="183" t="s">
        <v>107</v>
      </c>
      <c r="G21" s="183"/>
      <c r="H21" s="184"/>
    </row>
    <row r="22" spans="1:8" x14ac:dyDescent="0.25">
      <c r="A22" s="27" t="s">
        <v>28</v>
      </c>
      <c r="B22" s="18" t="s">
        <v>111</v>
      </c>
      <c r="C22" s="64" t="s">
        <v>104</v>
      </c>
      <c r="D22" s="18" t="s">
        <v>101</v>
      </c>
      <c r="E22" s="19" t="s">
        <v>102</v>
      </c>
      <c r="F22" s="170" t="s">
        <v>90</v>
      </c>
      <c r="G22" s="183"/>
      <c r="H22" s="184"/>
    </row>
    <row r="23" spans="1:8" x14ac:dyDescent="0.25">
      <c r="A23" s="27" t="s">
        <v>29</v>
      </c>
      <c r="B23" s="29" t="s">
        <v>100</v>
      </c>
      <c r="C23" s="29" t="s">
        <v>79</v>
      </c>
      <c r="D23" s="19" t="s">
        <v>114</v>
      </c>
      <c r="E23" s="31" t="s">
        <v>82</v>
      </c>
      <c r="F23" s="181" t="s">
        <v>105</v>
      </c>
      <c r="G23" s="181"/>
      <c r="H23" s="182"/>
    </row>
    <row r="24" spans="1:8" x14ac:dyDescent="0.25">
      <c r="A24" s="27" t="s">
        <v>74</v>
      </c>
      <c r="B24" s="28" t="s">
        <v>117</v>
      </c>
      <c r="C24" s="28" t="s">
        <v>76</v>
      </c>
      <c r="D24" s="28" t="s">
        <v>81</v>
      </c>
      <c r="E24" s="36" t="s">
        <v>110</v>
      </c>
      <c r="F24" s="181" t="s">
        <v>83</v>
      </c>
      <c r="G24" s="181"/>
      <c r="H24" s="182"/>
    </row>
    <row r="25" spans="1:8" ht="15.75" thickBot="1" x14ac:dyDescent="0.3">
      <c r="A25" s="27" t="s">
        <v>73</v>
      </c>
      <c r="B25" s="20" t="s">
        <v>75</v>
      </c>
      <c r="C25" s="20" t="s">
        <v>75</v>
      </c>
      <c r="D25" s="20" t="s">
        <v>75</v>
      </c>
      <c r="E25" s="37" t="s">
        <v>117</v>
      </c>
      <c r="F25" s="187" t="s">
        <v>75</v>
      </c>
      <c r="G25" s="187"/>
      <c r="H25" s="188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30</v>
      </c>
      <c r="B27" s="28">
        <v>2</v>
      </c>
      <c r="C27" s="28">
        <v>2</v>
      </c>
      <c r="D27" s="28">
        <v>3</v>
      </c>
      <c r="E27" s="29">
        <v>3</v>
      </c>
      <c r="F27" s="181">
        <v>3</v>
      </c>
      <c r="G27" s="181"/>
      <c r="H27" s="182"/>
    </row>
    <row r="28" spans="1:8" x14ac:dyDescent="0.25">
      <c r="A28" s="27" t="s">
        <v>27</v>
      </c>
      <c r="B28" s="31" t="s">
        <v>111</v>
      </c>
      <c r="C28" s="19" t="s">
        <v>112</v>
      </c>
      <c r="D28" s="19" t="s">
        <v>102</v>
      </c>
      <c r="E28" s="19" t="s">
        <v>114</v>
      </c>
      <c r="F28" s="181" t="s">
        <v>96</v>
      </c>
      <c r="G28" s="181"/>
      <c r="H28" s="182"/>
    </row>
    <row r="29" spans="1:8" x14ac:dyDescent="0.25">
      <c r="A29" s="27" t="s">
        <v>28</v>
      </c>
      <c r="B29" s="19" t="s">
        <v>94</v>
      </c>
      <c r="C29" s="22" t="s">
        <v>99</v>
      </c>
      <c r="D29" s="31" t="s">
        <v>89</v>
      </c>
      <c r="E29" s="32" t="s">
        <v>77</v>
      </c>
      <c r="F29" s="181" t="s">
        <v>101</v>
      </c>
      <c r="G29" s="181"/>
      <c r="H29" s="182"/>
    </row>
    <row r="30" spans="1:8" x14ac:dyDescent="0.25">
      <c r="A30" s="27" t="s">
        <v>29</v>
      </c>
      <c r="B30" s="18" t="s">
        <v>91</v>
      </c>
      <c r="C30" s="22" t="s">
        <v>113</v>
      </c>
      <c r="D30" s="16" t="s">
        <v>82</v>
      </c>
      <c r="E30" s="18" t="s">
        <v>92</v>
      </c>
      <c r="F30" s="183" t="s">
        <v>128</v>
      </c>
      <c r="G30" s="183"/>
      <c r="H30" s="184"/>
    </row>
    <row r="31" spans="1:8" x14ac:dyDescent="0.25">
      <c r="A31" s="27" t="s">
        <v>74</v>
      </c>
      <c r="B31" s="28" t="s">
        <v>85</v>
      </c>
      <c r="C31" s="28" t="s">
        <v>76</v>
      </c>
      <c r="D31" s="28" t="s">
        <v>84</v>
      </c>
      <c r="E31" s="28" t="s">
        <v>81</v>
      </c>
      <c r="F31" s="181" t="s">
        <v>80</v>
      </c>
      <c r="G31" s="181"/>
      <c r="H31" s="182"/>
    </row>
    <row r="32" spans="1:8" ht="15.75" thickBot="1" x14ac:dyDescent="0.3">
      <c r="A32" s="35" t="s">
        <v>73</v>
      </c>
      <c r="B32" s="20" t="s">
        <v>75</v>
      </c>
      <c r="C32" s="20" t="s">
        <v>75</v>
      </c>
      <c r="D32" s="20" t="s">
        <v>127</v>
      </c>
      <c r="E32" s="34" t="s">
        <v>110</v>
      </c>
      <c r="F32" s="185" t="s">
        <v>75</v>
      </c>
      <c r="G32" s="185"/>
      <c r="H32" s="186"/>
    </row>
  </sheetData>
  <mergeCells count="27"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חיילים</vt:lpstr>
      <vt:lpstr>לוח מרץ</vt:lpstr>
      <vt:lpstr>סטטיסטיקה</vt:lpstr>
      <vt:lpstr>סתם</vt:lpstr>
      <vt:lpstr>לוח פברואר</vt:lpstr>
      <vt:lpstr>לוח ינואר</vt:lpstr>
      <vt:lpstr>לוח דצמבר</vt:lpstr>
      <vt:lpstr>לוח נובמבר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2018-02-25T20:49:08Z</dcterms:modified>
</cp:coreProperties>
</file>