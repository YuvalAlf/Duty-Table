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622866DA-1FA6-44FB-BA0E-B7C8677B0FD4}" xr6:coauthVersionLast="38" xr6:coauthVersionMax="38" xr10:uidLastSave="{00000000-0000-0000-0000-000000000000}"/>
  <bookViews>
    <workbookView xWindow="0" yWindow="0" windowWidth="28800" windowHeight="12225" tabRatio="1000" xr2:uid="{00000000-000D-0000-FFFF-FFFF00000000}"/>
  </bookViews>
  <sheets>
    <sheet name="לוח דצמבר" sheetId="30" r:id="rId1"/>
    <sheet name="חיילים" sheetId="1" r:id="rId2"/>
    <sheet name="הזנת לוח" sheetId="32" r:id="rId3"/>
    <sheet name="סטטיסטיקה" sheetId="3" r:id="rId4"/>
    <sheet name="לוח אוגוסט" sheetId="23" r:id="rId5"/>
    <sheet name="תקנים עתידיים מושלם" sheetId="17" r:id="rId6"/>
    <sheet name="נושאים לטיפול" sheetId="31" r:id="rId7"/>
    <sheet name="חיילים שלא עברו מבחן" sheetId="25" r:id="rId8"/>
    <sheet name="לוח נובמבר" sheetId="29" r:id="rId9"/>
    <sheet name="לוח אוקטובר" sheetId="27" r:id="rId10"/>
    <sheet name="לוח ספטמבר" sheetId="26" r:id="rId11"/>
  </sheets>
  <definedNames>
    <definedName name="_xlnm._FilterDatabase" localSheetId="2" hidden="1">'הזנת לוח'!$A$1:$K$45</definedName>
    <definedName name="_xlnm._FilterDatabase" localSheetId="1" hidden="1">חיילים!$A$1:$EN$45</definedName>
    <definedName name="_xlnm._FilterDatabase" localSheetId="7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C27" i="1" l="1"/>
  <c r="ED27" i="1"/>
  <c r="EL27" i="1"/>
  <c r="EM27" i="1"/>
  <c r="DV27" i="1"/>
  <c r="DW27" i="1"/>
  <c r="DO27" i="1"/>
  <c r="DP27" i="1"/>
  <c r="C27" i="1"/>
  <c r="DQ27" i="1" l="1"/>
  <c r="EN27" i="1"/>
  <c r="DX27" i="1"/>
  <c r="EH27" i="1"/>
  <c r="EI27" i="1" s="1"/>
  <c r="EE27" i="1"/>
  <c r="EF27" i="1"/>
  <c r="EG27" i="1" s="1"/>
  <c r="EC29" i="1"/>
  <c r="ED29" i="1"/>
  <c r="EL29" i="1"/>
  <c r="EM29" i="1"/>
  <c r="EC44" i="1"/>
  <c r="ED44" i="1"/>
  <c r="EL44" i="1"/>
  <c r="EM44" i="1"/>
  <c r="EC14" i="1"/>
  <c r="ED14" i="1"/>
  <c r="EL14" i="1"/>
  <c r="EM14" i="1"/>
  <c r="DV29" i="1"/>
  <c r="DW29" i="1"/>
  <c r="DV44" i="1"/>
  <c r="DW44" i="1"/>
  <c r="DV14" i="1"/>
  <c r="DW14" i="1"/>
  <c r="DO29" i="1"/>
  <c r="DP29" i="1"/>
  <c r="DO44" i="1"/>
  <c r="DP44" i="1"/>
  <c r="DO14" i="1"/>
  <c r="DP14" i="1"/>
  <c r="C14" i="1"/>
  <c r="C44" i="1"/>
  <c r="C29" i="1"/>
  <c r="EK27" i="1" l="1"/>
  <c r="EE29" i="1"/>
  <c r="EJ27" i="1"/>
  <c r="DX14" i="1"/>
  <c r="EN29" i="1"/>
  <c r="EH44" i="1"/>
  <c r="EI44" i="1" s="1"/>
  <c r="DQ29" i="1"/>
  <c r="EE44" i="1"/>
  <c r="DX29" i="1"/>
  <c r="DQ44" i="1"/>
  <c r="EE14" i="1"/>
  <c r="DQ14" i="1"/>
  <c r="EF14" i="1"/>
  <c r="EG14" i="1" s="1"/>
  <c r="DX44" i="1"/>
  <c r="EN44" i="1"/>
  <c r="EF29" i="1"/>
  <c r="EN14" i="1"/>
  <c r="EH14" i="1"/>
  <c r="EI14" i="1" s="1"/>
  <c r="EF44" i="1"/>
  <c r="EG44" i="1" s="1"/>
  <c r="EH29" i="1"/>
  <c r="EI29" i="1" s="1"/>
  <c r="H4" i="3"/>
  <c r="EK44" i="1" l="1"/>
  <c r="EK14" i="1"/>
  <c r="EJ29" i="1"/>
  <c r="EG29" i="1"/>
  <c r="EK29" i="1" s="1"/>
  <c r="EJ14" i="1"/>
  <c r="EJ44" i="1"/>
  <c r="J6" i="3"/>
  <c r="I6" i="3"/>
  <c r="I4" i="3"/>
  <c r="J4" i="3"/>
  <c r="G4" i="3"/>
  <c r="EL3" i="1"/>
  <c r="EM3" i="1"/>
  <c r="EL4" i="1"/>
  <c r="EM4" i="1"/>
  <c r="EL25" i="1"/>
  <c r="EM25" i="1"/>
  <c r="EL9" i="1"/>
  <c r="EM9" i="1"/>
  <c r="EL28" i="1"/>
  <c r="EM28" i="1"/>
  <c r="EL10" i="1"/>
  <c r="EM10" i="1"/>
  <c r="EL11" i="1"/>
  <c r="EM11" i="1"/>
  <c r="EL12" i="1"/>
  <c r="EM12" i="1"/>
  <c r="EL13" i="1"/>
  <c r="EM13" i="1"/>
  <c r="EL15" i="1"/>
  <c r="EM15" i="1"/>
  <c r="EL5" i="1"/>
  <c r="EM5" i="1"/>
  <c r="EL32" i="1"/>
  <c r="EM32" i="1"/>
  <c r="EL16" i="1"/>
  <c r="EM16" i="1"/>
  <c r="EL6" i="1"/>
  <c r="EM6" i="1"/>
  <c r="EL7" i="1"/>
  <c r="EM7" i="1"/>
  <c r="EL8" i="1"/>
  <c r="EM8" i="1"/>
  <c r="EL22" i="1"/>
  <c r="EM22" i="1"/>
  <c r="EL17" i="1"/>
  <c r="EM17" i="1"/>
  <c r="EL33" i="1"/>
  <c r="EM33" i="1"/>
  <c r="EL19" i="1"/>
  <c r="EM19" i="1"/>
  <c r="EL35" i="1"/>
  <c r="EM35" i="1"/>
  <c r="EL36" i="1"/>
  <c r="EM36" i="1"/>
  <c r="EL37" i="1"/>
  <c r="EM37" i="1"/>
  <c r="EL39" i="1"/>
  <c r="EM39" i="1"/>
  <c r="EL40" i="1"/>
  <c r="EM40" i="1"/>
  <c r="EL43" i="1"/>
  <c r="EM43" i="1"/>
  <c r="EL21" i="1"/>
  <c r="EM21" i="1"/>
  <c r="EL45" i="1"/>
  <c r="EM45" i="1"/>
  <c r="EL23" i="1"/>
  <c r="EM23" i="1"/>
  <c r="EL24" i="1"/>
  <c r="EM24" i="1"/>
  <c r="EL26" i="1"/>
  <c r="EM26" i="1"/>
  <c r="EL30" i="1"/>
  <c r="EM30" i="1"/>
  <c r="EL31" i="1"/>
  <c r="EM31" i="1"/>
  <c r="EL18" i="1"/>
  <c r="EM18" i="1"/>
  <c r="EL34" i="1"/>
  <c r="EM34" i="1"/>
  <c r="EL38" i="1"/>
  <c r="EM38" i="1"/>
  <c r="EL20" i="1"/>
  <c r="EM20" i="1"/>
  <c r="EL41" i="1"/>
  <c r="EM41" i="1"/>
  <c r="EL42" i="1"/>
  <c r="EM42" i="1"/>
  <c r="EM2" i="1"/>
  <c r="EL2" i="1"/>
  <c r="ED42" i="1"/>
  <c r="EC42" i="1"/>
  <c r="ED41" i="1"/>
  <c r="EC41" i="1"/>
  <c r="ED20" i="1"/>
  <c r="EC20" i="1"/>
  <c r="ED38" i="1"/>
  <c r="EC38" i="1"/>
  <c r="ED34" i="1"/>
  <c r="EC34" i="1"/>
  <c r="ED18" i="1"/>
  <c r="EC18" i="1"/>
  <c r="ED31" i="1"/>
  <c r="EC31" i="1"/>
  <c r="ED30" i="1"/>
  <c r="EC30" i="1"/>
  <c r="ED26" i="1"/>
  <c r="EC26" i="1"/>
  <c r="ED24" i="1"/>
  <c r="EC24" i="1"/>
  <c r="ED23" i="1"/>
  <c r="EC23" i="1"/>
  <c r="ED45" i="1"/>
  <c r="EC45" i="1"/>
  <c r="ED21" i="1"/>
  <c r="EC21" i="1"/>
  <c r="ED43" i="1"/>
  <c r="EC43" i="1"/>
  <c r="ED40" i="1"/>
  <c r="EC40" i="1"/>
  <c r="ED39" i="1"/>
  <c r="EC39" i="1"/>
  <c r="ED37" i="1"/>
  <c r="EC37" i="1"/>
  <c r="ED36" i="1"/>
  <c r="EC36" i="1"/>
  <c r="ED35" i="1"/>
  <c r="EC35" i="1"/>
  <c r="ED19" i="1"/>
  <c r="EC19" i="1"/>
  <c r="ED33" i="1"/>
  <c r="EC33" i="1"/>
  <c r="ED17" i="1"/>
  <c r="EC17" i="1"/>
  <c r="ED22" i="1"/>
  <c r="EC22" i="1"/>
  <c r="ED8" i="1"/>
  <c r="EC8" i="1"/>
  <c r="ED7" i="1"/>
  <c r="EC7" i="1"/>
  <c r="ED6" i="1"/>
  <c r="EC6" i="1"/>
  <c r="ED16" i="1"/>
  <c r="EC16" i="1"/>
  <c r="ED32" i="1"/>
  <c r="EC32" i="1"/>
  <c r="ED5" i="1"/>
  <c r="EC5" i="1"/>
  <c r="ED15" i="1"/>
  <c r="EC15" i="1"/>
  <c r="ED13" i="1"/>
  <c r="EC13" i="1"/>
  <c r="ED12" i="1"/>
  <c r="EC12" i="1"/>
  <c r="ED11" i="1"/>
  <c r="EC11" i="1"/>
  <c r="ED10" i="1"/>
  <c r="EC10" i="1"/>
  <c r="ED28" i="1"/>
  <c r="EC28" i="1"/>
  <c r="ED9" i="1"/>
  <c r="EC9" i="1"/>
  <c r="ED25" i="1"/>
  <c r="EC25" i="1"/>
  <c r="ED4" i="1"/>
  <c r="EC4" i="1"/>
  <c r="ED3" i="1"/>
  <c r="EC3" i="1"/>
  <c r="ED2" i="1"/>
  <c r="EC2" i="1"/>
  <c r="EN9" i="1" l="1"/>
  <c r="EE16" i="1"/>
  <c r="EE22" i="1"/>
  <c r="EE40" i="1"/>
  <c r="EE31" i="1"/>
  <c r="EE13" i="1"/>
  <c r="EN28" i="1"/>
  <c r="EN26" i="1"/>
  <c r="EN7" i="1"/>
  <c r="EN25" i="1"/>
  <c r="EN42" i="1"/>
  <c r="EN30" i="1"/>
  <c r="EN45" i="1"/>
  <c r="EN39" i="1"/>
  <c r="EN19" i="1"/>
  <c r="EN8" i="1"/>
  <c r="EN32" i="1"/>
  <c r="EN12" i="1"/>
  <c r="EN20" i="1"/>
  <c r="EN18" i="1"/>
  <c r="EN24" i="1"/>
  <c r="EN43" i="1"/>
  <c r="EN36" i="1"/>
  <c r="EN17" i="1"/>
  <c r="EN6" i="1"/>
  <c r="EN15" i="1"/>
  <c r="EE3" i="1"/>
  <c r="EN38" i="1"/>
  <c r="EN31" i="1"/>
  <c r="EN23" i="1"/>
  <c r="EN40" i="1"/>
  <c r="EN35" i="1"/>
  <c r="EN22" i="1"/>
  <c r="EN16" i="1"/>
  <c r="EN13" i="1"/>
  <c r="EE38" i="1"/>
  <c r="EN34" i="1"/>
  <c r="EN33" i="1"/>
  <c r="EN41" i="1"/>
  <c r="EN37" i="1"/>
  <c r="EN11" i="1"/>
  <c r="EE36" i="1"/>
  <c r="EE17" i="1"/>
  <c r="EE25" i="1"/>
  <c r="EE11" i="1"/>
  <c r="EN21" i="1"/>
  <c r="EN5" i="1"/>
  <c r="EN3" i="1"/>
  <c r="EE45" i="1"/>
  <c r="EE30" i="1"/>
  <c r="EN10" i="1"/>
  <c r="EN4" i="1"/>
  <c r="EE2" i="1"/>
  <c r="EE5" i="1"/>
  <c r="EE43" i="1"/>
  <c r="EE9" i="1"/>
  <c r="EE4" i="1"/>
  <c r="EE10" i="1"/>
  <c r="EE35" i="1"/>
  <c r="EE42" i="1"/>
  <c r="EE15" i="1"/>
  <c r="EE6" i="1"/>
  <c r="EE23" i="1"/>
  <c r="EE7" i="1"/>
  <c r="EE24" i="1"/>
  <c r="EE12" i="1"/>
  <c r="EE33" i="1"/>
  <c r="EE37" i="1"/>
  <c r="EE18" i="1"/>
  <c r="EE20" i="1"/>
  <c r="EE32" i="1"/>
  <c r="EE8" i="1"/>
  <c r="EE21" i="1"/>
  <c r="EE26" i="1"/>
  <c r="EE28" i="1"/>
  <c r="EE19" i="1"/>
  <c r="EE39" i="1"/>
  <c r="EE34" i="1"/>
  <c r="EE41" i="1"/>
  <c r="DV42" i="1"/>
  <c r="DW42" i="1"/>
  <c r="DV19" i="1"/>
  <c r="DW19" i="1"/>
  <c r="DO42" i="1"/>
  <c r="DP42" i="1"/>
  <c r="DO19" i="1"/>
  <c r="DP19" i="1"/>
  <c r="DH42" i="1"/>
  <c r="DI42" i="1"/>
  <c r="DH19" i="1"/>
  <c r="DI19" i="1"/>
  <c r="C19" i="1"/>
  <c r="C42" i="1"/>
  <c r="EH19" i="1" l="1"/>
  <c r="EI19" i="1" s="1"/>
  <c r="EF19" i="1"/>
  <c r="EH42" i="1"/>
  <c r="EI42" i="1" s="1"/>
  <c r="EF42" i="1"/>
  <c r="DJ19" i="1"/>
  <c r="DJ42" i="1"/>
  <c r="DX19" i="1"/>
  <c r="DQ42" i="1"/>
  <c r="DX42" i="1"/>
  <c r="DQ19" i="1"/>
  <c r="DV18" i="1"/>
  <c r="DW18" i="1"/>
  <c r="DO18" i="1"/>
  <c r="DP18" i="1"/>
  <c r="DH18" i="1"/>
  <c r="DI18" i="1"/>
  <c r="DH17" i="1"/>
  <c r="DI17" i="1"/>
  <c r="C18" i="1"/>
  <c r="EJ19" i="1" l="1"/>
  <c r="EG19" i="1"/>
  <c r="EK19" i="1" s="1"/>
  <c r="EG42" i="1"/>
  <c r="EK42" i="1" s="1"/>
  <c r="EJ42" i="1"/>
  <c r="EF18" i="1"/>
  <c r="EH18" i="1"/>
  <c r="EI18" i="1" s="1"/>
  <c r="DJ17" i="1"/>
  <c r="DX18" i="1"/>
  <c r="DQ18" i="1"/>
  <c r="DJ18" i="1"/>
  <c r="DW6" i="1"/>
  <c r="DV6" i="1"/>
  <c r="DW33" i="1"/>
  <c r="DV33" i="1"/>
  <c r="DW8" i="1"/>
  <c r="DV8" i="1"/>
  <c r="DW37" i="1"/>
  <c r="DV37" i="1"/>
  <c r="DW12" i="1"/>
  <c r="DV12" i="1"/>
  <c r="DW9" i="1"/>
  <c r="DV9" i="1"/>
  <c r="DW2" i="1"/>
  <c r="DV2" i="1"/>
  <c r="DW21" i="1"/>
  <c r="DV21" i="1"/>
  <c r="DW43" i="1"/>
  <c r="DV43" i="1"/>
  <c r="DW35" i="1"/>
  <c r="DV35" i="1"/>
  <c r="DW17" i="1"/>
  <c r="DV17" i="1"/>
  <c r="DW4" i="1"/>
  <c r="DV4" i="1"/>
  <c r="DW36" i="1"/>
  <c r="DV36" i="1"/>
  <c r="DW13" i="1"/>
  <c r="DV13" i="1"/>
  <c r="DW11" i="1"/>
  <c r="DV11" i="1"/>
  <c r="DW3" i="1"/>
  <c r="DV3" i="1"/>
  <c r="DW45" i="1"/>
  <c r="DV45" i="1"/>
  <c r="DW34" i="1"/>
  <c r="DV34" i="1"/>
  <c r="DW31" i="1"/>
  <c r="DV31" i="1"/>
  <c r="DW15" i="1"/>
  <c r="DV15" i="1"/>
  <c r="DW5" i="1"/>
  <c r="DV5" i="1"/>
  <c r="DW28" i="1"/>
  <c r="DV28" i="1"/>
  <c r="DW41" i="1"/>
  <c r="DV41" i="1"/>
  <c r="DW40" i="1"/>
  <c r="DV40" i="1"/>
  <c r="DW32" i="1"/>
  <c r="DV32" i="1"/>
  <c r="DW23" i="1"/>
  <c r="DV23" i="1"/>
  <c r="DW38" i="1"/>
  <c r="DV38" i="1"/>
  <c r="DW39" i="1"/>
  <c r="DV39" i="1"/>
  <c r="DW22" i="1"/>
  <c r="DV22" i="1"/>
  <c r="DW7" i="1"/>
  <c r="DV7" i="1"/>
  <c r="DW16" i="1"/>
  <c r="DV16" i="1"/>
  <c r="DW10" i="1"/>
  <c r="DV10" i="1"/>
  <c r="DW20" i="1"/>
  <c r="DV20" i="1"/>
  <c r="DW30" i="1"/>
  <c r="DV30" i="1"/>
  <c r="DW26" i="1"/>
  <c r="DV26" i="1"/>
  <c r="DW24" i="1"/>
  <c r="DV24" i="1"/>
  <c r="DW25" i="1"/>
  <c r="DV25" i="1"/>
  <c r="DO15" i="1"/>
  <c r="DP15" i="1"/>
  <c r="DO31" i="1"/>
  <c r="DP31" i="1"/>
  <c r="DO34" i="1"/>
  <c r="DP34" i="1"/>
  <c r="DO45" i="1"/>
  <c r="DP45" i="1"/>
  <c r="DH15" i="1"/>
  <c r="DI15" i="1"/>
  <c r="DH31" i="1"/>
  <c r="DI31" i="1"/>
  <c r="DH34" i="1"/>
  <c r="DI34" i="1"/>
  <c r="DH45" i="1"/>
  <c r="DI45" i="1"/>
  <c r="C45" i="1"/>
  <c r="C15" i="1"/>
  <c r="C31" i="1"/>
  <c r="C34" i="1"/>
  <c r="EH31" i="1" l="1"/>
  <c r="EI31" i="1" s="1"/>
  <c r="EF31" i="1"/>
  <c r="EG31" i="1" s="1"/>
  <c r="EH34" i="1"/>
  <c r="EI34" i="1" s="1"/>
  <c r="EG18" i="1"/>
  <c r="EK18" i="1" s="1"/>
  <c r="EJ18" i="1"/>
  <c r="EH45" i="1"/>
  <c r="EI45" i="1" s="1"/>
  <c r="EH15" i="1"/>
  <c r="EI15" i="1" s="1"/>
  <c r="EF34" i="1"/>
  <c r="EF45" i="1"/>
  <c r="EF15" i="1"/>
  <c r="DQ45" i="1"/>
  <c r="DQ15" i="1"/>
  <c r="DX17" i="1"/>
  <c r="DJ31" i="1"/>
  <c r="DX20" i="1"/>
  <c r="DX2" i="1"/>
  <c r="EN2" i="1"/>
  <c r="DJ34" i="1"/>
  <c r="DX16" i="1"/>
  <c r="DX38" i="1"/>
  <c r="DJ45" i="1"/>
  <c r="DX32" i="1"/>
  <c r="DX7" i="1"/>
  <c r="DX36" i="1"/>
  <c r="DX3" i="1"/>
  <c r="DX21" i="1"/>
  <c r="DX33" i="1"/>
  <c r="DX5" i="1"/>
  <c r="DX11" i="1"/>
  <c r="DX10" i="1"/>
  <c r="DX13" i="1"/>
  <c r="DX23" i="1"/>
  <c r="DX15" i="1"/>
  <c r="DX8" i="1"/>
  <c r="DX6" i="1"/>
  <c r="DX24" i="1"/>
  <c r="DX40" i="1"/>
  <c r="DX12" i="1"/>
  <c r="DX22" i="1"/>
  <c r="DX45" i="1"/>
  <c r="DX37" i="1"/>
  <c r="DX26" i="1"/>
  <c r="DX41" i="1"/>
  <c r="DX35" i="1"/>
  <c r="DX28" i="1"/>
  <c r="DX31" i="1"/>
  <c r="DX43" i="1"/>
  <c r="DX39" i="1"/>
  <c r="DX4" i="1"/>
  <c r="DX25" i="1"/>
  <c r="DX30" i="1"/>
  <c r="DX34" i="1"/>
  <c r="DX9" i="1"/>
  <c r="DJ15" i="1"/>
  <c r="DQ34" i="1"/>
  <c r="DQ31" i="1"/>
  <c r="EK31" i="1" l="1"/>
  <c r="EJ31" i="1"/>
  <c r="EG45" i="1"/>
  <c r="EK45" i="1" s="1"/>
  <c r="EJ45" i="1"/>
  <c r="EG34" i="1"/>
  <c r="EK34" i="1" s="1"/>
  <c r="EJ34" i="1"/>
  <c r="EG15" i="1"/>
  <c r="EK15" i="1" s="1"/>
  <c r="EJ15" i="1"/>
  <c r="DO26" i="1"/>
  <c r="DP26" i="1"/>
  <c r="DH26" i="1"/>
  <c r="DI26" i="1"/>
  <c r="C26" i="1"/>
  <c r="DO24" i="1"/>
  <c r="DP24" i="1"/>
  <c r="DO30" i="1"/>
  <c r="DP30" i="1"/>
  <c r="DH24" i="1"/>
  <c r="DI24" i="1"/>
  <c r="DH30" i="1"/>
  <c r="DI30" i="1"/>
  <c r="C30" i="1"/>
  <c r="C24" i="1"/>
  <c r="EH30" i="1" l="1"/>
  <c r="EI30" i="1" s="1"/>
  <c r="EF24" i="1"/>
  <c r="EF30" i="1"/>
  <c r="EH26" i="1"/>
  <c r="EH24" i="1"/>
  <c r="EI24" i="1" s="1"/>
  <c r="EF26" i="1"/>
  <c r="EG26" i="1" s="1"/>
  <c r="DJ30" i="1"/>
  <c r="DQ26" i="1"/>
  <c r="DJ26" i="1"/>
  <c r="DJ24" i="1"/>
  <c r="DQ30" i="1"/>
  <c r="DQ24" i="1"/>
  <c r="EG24" i="1" l="1"/>
  <c r="EK24" i="1" s="1"/>
  <c r="EJ24" i="1"/>
  <c r="EJ26" i="1"/>
  <c r="EI26" i="1"/>
  <c r="EK26" i="1" s="1"/>
  <c r="EG30" i="1"/>
  <c r="EK30" i="1" s="1"/>
  <c r="EJ30" i="1"/>
  <c r="DO20" i="1"/>
  <c r="DP20" i="1"/>
  <c r="DH20" i="1"/>
  <c r="DI20" i="1"/>
  <c r="DA20" i="1"/>
  <c r="DB20" i="1"/>
  <c r="C20" i="1"/>
  <c r="EF20" i="1" l="1"/>
  <c r="EG20" i="1" s="1"/>
  <c r="EH20" i="1"/>
  <c r="EI20" i="1" s="1"/>
  <c r="DJ20" i="1"/>
  <c r="DQ20" i="1"/>
  <c r="DC20" i="1"/>
  <c r="EJ20" i="1" l="1"/>
  <c r="EK20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25" i="1"/>
  <c r="DO25" i="1"/>
  <c r="DP36" i="1"/>
  <c r="DO36" i="1"/>
  <c r="DP21" i="1"/>
  <c r="DO21" i="1"/>
  <c r="DP11" i="1"/>
  <c r="DO11" i="1"/>
  <c r="DP13" i="1"/>
  <c r="DO13" i="1"/>
  <c r="DP12" i="1"/>
  <c r="DO12" i="1"/>
  <c r="DP10" i="1"/>
  <c r="DO10" i="1"/>
  <c r="DP16" i="1"/>
  <c r="DO16" i="1"/>
  <c r="DP7" i="1"/>
  <c r="DO7" i="1"/>
  <c r="DP39" i="1"/>
  <c r="DO39" i="1"/>
  <c r="DP9" i="1"/>
  <c r="DO9" i="1"/>
  <c r="DP43" i="1"/>
  <c r="DO43" i="1"/>
  <c r="DP3" i="1"/>
  <c r="DO3" i="1"/>
  <c r="DP2" i="1"/>
  <c r="DO2" i="1"/>
  <c r="DP32" i="1"/>
  <c r="DO32" i="1"/>
  <c r="DP33" i="1"/>
  <c r="DO33" i="1"/>
  <c r="DP37" i="1"/>
  <c r="DO37" i="1"/>
  <c r="DP8" i="1"/>
  <c r="DO8" i="1"/>
  <c r="DP35" i="1"/>
  <c r="DO35" i="1"/>
  <c r="DP4" i="1"/>
  <c r="DO4" i="1"/>
  <c r="DP6" i="1"/>
  <c r="DO6" i="1"/>
  <c r="DP22" i="1"/>
  <c r="DO22" i="1"/>
  <c r="DP40" i="1"/>
  <c r="DO40" i="1"/>
  <c r="DP17" i="1"/>
  <c r="DO17" i="1"/>
  <c r="DP41" i="1"/>
  <c r="DO41" i="1"/>
  <c r="DP23" i="1"/>
  <c r="DO23" i="1"/>
  <c r="DP5" i="1"/>
  <c r="DO5" i="1"/>
  <c r="DP28" i="1"/>
  <c r="DO28" i="1"/>
  <c r="DP38" i="1"/>
  <c r="DO38" i="1"/>
  <c r="DQ2" i="1" l="1"/>
  <c r="DQ41" i="1"/>
  <c r="DQ37" i="1"/>
  <c r="DQ10" i="1"/>
  <c r="DQ35" i="1"/>
  <c r="DQ7" i="1"/>
  <c r="DQ17" i="1"/>
  <c r="DQ12" i="1"/>
  <c r="C15" i="30"/>
  <c r="D15" i="30" s="1"/>
  <c r="E15" i="30" s="1"/>
  <c r="F15" i="30" s="1"/>
  <c r="G15" i="30" s="1"/>
  <c r="H15" i="30" s="1"/>
  <c r="B23" i="30"/>
  <c r="DQ22" i="1"/>
  <c r="DQ8" i="1"/>
  <c r="DQ11" i="1"/>
  <c r="DQ38" i="1"/>
  <c r="DQ33" i="1"/>
  <c r="DQ40" i="1"/>
  <c r="DQ16" i="1"/>
  <c r="DQ25" i="1"/>
  <c r="DQ39" i="1"/>
  <c r="DQ3" i="1"/>
  <c r="DQ5" i="1"/>
  <c r="DQ21" i="1"/>
  <c r="DQ28" i="1"/>
  <c r="DQ23" i="1"/>
  <c r="DQ32" i="1"/>
  <c r="DQ43" i="1"/>
  <c r="DQ13" i="1"/>
  <c r="DQ9" i="1"/>
  <c r="DQ36" i="1"/>
  <c r="DQ6" i="1"/>
  <c r="DQ4" i="1"/>
  <c r="DA23" i="1"/>
  <c r="DB23" i="1"/>
  <c r="DH23" i="1"/>
  <c r="DI23" i="1"/>
  <c r="CT23" i="1"/>
  <c r="CU23" i="1"/>
  <c r="C23" i="1"/>
  <c r="EH23" i="1" l="1"/>
  <c r="EI23" i="1" s="1"/>
  <c r="EF23" i="1"/>
  <c r="C23" i="30"/>
  <c r="D23" i="30" s="1"/>
  <c r="E23" i="30" s="1"/>
  <c r="F23" i="30" s="1"/>
  <c r="G23" i="30" s="1"/>
  <c r="H23" i="30" s="1"/>
  <c r="B31" i="30"/>
  <c r="CV23" i="1"/>
  <c r="DJ23" i="1"/>
  <c r="DC23" i="1"/>
  <c r="DI21" i="1"/>
  <c r="DH21" i="1"/>
  <c r="DI43" i="1"/>
  <c r="DH43" i="1"/>
  <c r="DI41" i="1"/>
  <c r="DH41" i="1"/>
  <c r="DI40" i="1"/>
  <c r="DH40" i="1"/>
  <c r="DI39" i="1"/>
  <c r="DH39" i="1"/>
  <c r="DI38" i="1"/>
  <c r="DH38" i="1"/>
  <c r="DI37" i="1"/>
  <c r="DH37" i="1"/>
  <c r="DI36" i="1"/>
  <c r="DH36" i="1"/>
  <c r="DI35" i="1"/>
  <c r="DH35" i="1"/>
  <c r="DI33" i="1"/>
  <c r="DH33" i="1"/>
  <c r="DI22" i="1"/>
  <c r="DH22" i="1"/>
  <c r="DI8" i="1"/>
  <c r="DH8" i="1"/>
  <c r="DI7" i="1"/>
  <c r="DH7" i="1"/>
  <c r="DI6" i="1"/>
  <c r="DH6" i="1"/>
  <c r="DI16" i="1"/>
  <c r="DH16" i="1"/>
  <c r="DI32" i="1"/>
  <c r="DH32" i="1"/>
  <c r="DI5" i="1"/>
  <c r="DH5" i="1"/>
  <c r="DI13" i="1"/>
  <c r="DH13" i="1"/>
  <c r="DI12" i="1"/>
  <c r="DH12" i="1"/>
  <c r="DI11" i="1"/>
  <c r="DH11" i="1"/>
  <c r="DI10" i="1"/>
  <c r="DH10" i="1"/>
  <c r="DI28" i="1"/>
  <c r="DH28" i="1"/>
  <c r="DI9" i="1"/>
  <c r="DH9" i="1"/>
  <c r="DI25" i="1"/>
  <c r="DH25" i="1"/>
  <c r="DI4" i="1"/>
  <c r="DH4" i="1"/>
  <c r="DI3" i="1"/>
  <c r="DH3" i="1"/>
  <c r="DI2" i="1"/>
  <c r="DH2" i="1"/>
  <c r="DA41" i="1"/>
  <c r="DB41" i="1"/>
  <c r="CT41" i="1"/>
  <c r="CU41" i="1"/>
  <c r="C41" i="1"/>
  <c r="EH41" i="1" l="1"/>
  <c r="EI41" i="1" s="1"/>
  <c r="EF41" i="1"/>
  <c r="EG41" i="1" s="1"/>
  <c r="EJ23" i="1"/>
  <c r="EG23" i="1"/>
  <c r="EK23" i="1" s="1"/>
  <c r="DJ22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DJ12" i="1"/>
  <c r="CV41" i="1"/>
  <c r="DJ16" i="1"/>
  <c r="DJ5" i="1"/>
  <c r="DJ33" i="1"/>
  <c r="DJ32" i="1"/>
  <c r="DJ37" i="1"/>
  <c r="DJ21" i="1"/>
  <c r="DC41" i="1"/>
  <c r="DJ4" i="1"/>
  <c r="DJ11" i="1"/>
  <c r="DJ39" i="1"/>
  <c r="DJ25" i="1"/>
  <c r="DJ13" i="1"/>
  <c r="DJ8" i="1"/>
  <c r="DJ40" i="1"/>
  <c r="DJ9" i="1"/>
  <c r="DJ3" i="1"/>
  <c r="DJ41" i="1"/>
  <c r="DJ38" i="1"/>
  <c r="DJ28" i="1"/>
  <c r="DJ6" i="1"/>
  <c r="DJ35" i="1"/>
  <c r="DJ2" i="1"/>
  <c r="DJ10" i="1"/>
  <c r="DJ7" i="1"/>
  <c r="DJ36" i="1"/>
  <c r="DJ43" i="1"/>
  <c r="EJ41" i="1" l="1"/>
  <c r="EK41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38" i="1"/>
  <c r="DB38" i="1"/>
  <c r="CT38" i="1"/>
  <c r="CU38" i="1"/>
  <c r="CM38" i="1"/>
  <c r="CN38" i="1"/>
  <c r="C38" i="1"/>
  <c r="D23" i="27" l="1"/>
  <c r="E23" i="27" s="1"/>
  <c r="F23" i="27" s="1"/>
  <c r="G23" i="27" s="1"/>
  <c r="H23" i="27" s="1"/>
  <c r="EF38" i="1"/>
  <c r="EH38" i="1"/>
  <c r="EI38" i="1" s="1"/>
  <c r="C19" i="26"/>
  <c r="D19" i="26" s="1"/>
  <c r="E19" i="26" s="1"/>
  <c r="F19" i="26" s="1"/>
  <c r="G19" i="26" s="1"/>
  <c r="H19" i="26" s="1"/>
  <c r="B25" i="26"/>
  <c r="DC38" i="1"/>
  <c r="CV38" i="1"/>
  <c r="CO38" i="1"/>
  <c r="H5" i="3"/>
  <c r="DB36" i="1"/>
  <c r="DA36" i="1"/>
  <c r="DB28" i="1"/>
  <c r="DA28" i="1"/>
  <c r="DB21" i="1"/>
  <c r="DA21" i="1"/>
  <c r="DB25" i="1"/>
  <c r="DA25" i="1"/>
  <c r="DB5" i="1"/>
  <c r="DA5" i="1"/>
  <c r="DB37" i="1"/>
  <c r="DA37" i="1"/>
  <c r="DB11" i="1"/>
  <c r="DA11" i="1"/>
  <c r="DB10" i="1"/>
  <c r="DA10" i="1"/>
  <c r="DB7" i="1"/>
  <c r="DA7" i="1"/>
  <c r="DB16" i="1"/>
  <c r="DA16" i="1"/>
  <c r="DB43" i="1"/>
  <c r="DA43" i="1"/>
  <c r="DB17" i="1"/>
  <c r="DA17" i="1"/>
  <c r="DB22" i="1"/>
  <c r="DA22" i="1"/>
  <c r="DB13" i="1"/>
  <c r="DA13" i="1"/>
  <c r="DB3" i="1"/>
  <c r="DA3" i="1"/>
  <c r="DB9" i="1"/>
  <c r="DA9" i="1"/>
  <c r="DB40" i="1"/>
  <c r="DA40" i="1"/>
  <c r="DB32" i="1"/>
  <c r="DA32" i="1"/>
  <c r="DB2" i="1"/>
  <c r="DA2" i="1"/>
  <c r="DB4" i="1"/>
  <c r="DA4" i="1"/>
  <c r="DB12" i="1"/>
  <c r="DA12" i="1"/>
  <c r="DB35" i="1"/>
  <c r="DA35" i="1"/>
  <c r="DB8" i="1"/>
  <c r="DA8" i="1"/>
  <c r="DB39" i="1"/>
  <c r="DA39" i="1"/>
  <c r="DB33" i="1"/>
  <c r="DA33" i="1"/>
  <c r="DB6" i="1"/>
  <c r="DA6" i="1"/>
  <c r="EJ38" i="1" l="1"/>
  <c r="EG38" i="1"/>
  <c r="EK38" i="1" s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8" i="1"/>
  <c r="DC16" i="1"/>
  <c r="DC10" i="1"/>
  <c r="DC21" i="1"/>
  <c r="DC33" i="1"/>
  <c r="DC36" i="1"/>
  <c r="DC35" i="1"/>
  <c r="DC4" i="1"/>
  <c r="J5" i="3"/>
  <c r="I5" i="3"/>
  <c r="DC12" i="1"/>
  <c r="DC3" i="1"/>
  <c r="DC6" i="1"/>
  <c r="DC40" i="1"/>
  <c r="DC43" i="1"/>
  <c r="DC7" i="1"/>
  <c r="DC5" i="1"/>
  <c r="DC9" i="1"/>
  <c r="DC28" i="1"/>
  <c r="DC13" i="1"/>
  <c r="DC39" i="1"/>
  <c r="DC2" i="1"/>
  <c r="DC22" i="1"/>
  <c r="DC11" i="1"/>
  <c r="DC25" i="1"/>
  <c r="DC32" i="1"/>
  <c r="DC17" i="1"/>
  <c r="DC37" i="1"/>
  <c r="CT28" i="1"/>
  <c r="CU28" i="1"/>
  <c r="CT39" i="1"/>
  <c r="CU39" i="1"/>
  <c r="CM28" i="1"/>
  <c r="CN28" i="1"/>
  <c r="CM39" i="1"/>
  <c r="CN39" i="1"/>
  <c r="CF28" i="1"/>
  <c r="CG28" i="1"/>
  <c r="CF39" i="1"/>
  <c r="CG39" i="1"/>
  <c r="BY28" i="1"/>
  <c r="BZ28" i="1"/>
  <c r="BY39" i="1"/>
  <c r="BZ39" i="1"/>
  <c r="BR28" i="1"/>
  <c r="BS28" i="1"/>
  <c r="BR39" i="1"/>
  <c r="BS39" i="1"/>
  <c r="BK28" i="1"/>
  <c r="BL28" i="1"/>
  <c r="BK39" i="1"/>
  <c r="BL39" i="1"/>
  <c r="BD28" i="1"/>
  <c r="BE28" i="1"/>
  <c r="BD39" i="1"/>
  <c r="BE39" i="1"/>
  <c r="AW28" i="1"/>
  <c r="AX28" i="1"/>
  <c r="AW39" i="1"/>
  <c r="AX39" i="1"/>
  <c r="AP28" i="1"/>
  <c r="AQ28" i="1"/>
  <c r="AP39" i="1"/>
  <c r="AQ39" i="1"/>
  <c r="AI28" i="1"/>
  <c r="AJ28" i="1"/>
  <c r="AI39" i="1"/>
  <c r="AJ39" i="1"/>
  <c r="AB28" i="1"/>
  <c r="AC28" i="1"/>
  <c r="AB39" i="1"/>
  <c r="AC39" i="1"/>
  <c r="U28" i="1"/>
  <c r="V28" i="1"/>
  <c r="U39" i="1"/>
  <c r="V39" i="1"/>
  <c r="N28" i="1"/>
  <c r="O28" i="1"/>
  <c r="N39" i="1"/>
  <c r="O39" i="1"/>
  <c r="C39" i="1"/>
  <c r="EH39" i="1" l="1"/>
  <c r="EI39" i="1" s="1"/>
  <c r="EH28" i="1"/>
  <c r="EI28" i="1" s="1"/>
  <c r="EF39" i="1"/>
  <c r="EF28" i="1"/>
  <c r="BT28" i="1"/>
  <c r="CH28" i="1"/>
  <c r="CV39" i="1"/>
  <c r="CV28" i="1"/>
  <c r="CA39" i="1"/>
  <c r="CA28" i="1"/>
  <c r="P28" i="1"/>
  <c r="W28" i="1"/>
  <c r="AK28" i="1"/>
  <c r="AY39" i="1"/>
  <c r="AY28" i="1"/>
  <c r="CO39" i="1"/>
  <c r="AR28" i="1"/>
  <c r="AK39" i="1"/>
  <c r="P39" i="1"/>
  <c r="AD39" i="1"/>
  <c r="AD28" i="1"/>
  <c r="AR39" i="1"/>
  <c r="CO28" i="1"/>
  <c r="BF39" i="1"/>
  <c r="BM39" i="1"/>
  <c r="BM28" i="1"/>
  <c r="CH39" i="1"/>
  <c r="W39" i="1"/>
  <c r="BF28" i="1"/>
  <c r="BT39" i="1"/>
  <c r="C3" i="1"/>
  <c r="C28" i="1"/>
  <c r="EJ28" i="1" l="1"/>
  <c r="EG28" i="1"/>
  <c r="EK28" i="1" s="1"/>
  <c r="EG39" i="1"/>
  <c r="EK39" i="1" s="1"/>
  <c r="EJ39" i="1"/>
  <c r="CT16" i="1"/>
  <c r="CU16" i="1"/>
  <c r="CT2" i="1"/>
  <c r="CU2" i="1"/>
  <c r="CT12" i="1"/>
  <c r="CU12" i="1"/>
  <c r="CT8" i="1"/>
  <c r="CU8" i="1"/>
  <c r="CT25" i="1"/>
  <c r="CU25" i="1"/>
  <c r="CT36" i="1"/>
  <c r="CU36" i="1"/>
  <c r="CT43" i="1"/>
  <c r="CU43" i="1"/>
  <c r="CT9" i="1"/>
  <c r="CU9" i="1"/>
  <c r="CT4" i="1"/>
  <c r="CU4" i="1"/>
  <c r="CT32" i="1"/>
  <c r="CU32" i="1"/>
  <c r="CT33" i="1"/>
  <c r="CU33" i="1"/>
  <c r="CT5" i="1"/>
  <c r="CU5" i="1"/>
  <c r="CT35" i="1"/>
  <c r="CU35" i="1"/>
  <c r="CT37" i="1"/>
  <c r="CU37" i="1"/>
  <c r="CT21" i="1"/>
  <c r="CU21" i="1"/>
  <c r="CT13" i="1"/>
  <c r="CU13" i="1"/>
  <c r="CT11" i="1"/>
  <c r="CU11" i="1"/>
  <c r="CT40" i="1"/>
  <c r="CU40" i="1"/>
  <c r="CM16" i="1"/>
  <c r="CN16" i="1"/>
  <c r="CM2" i="1"/>
  <c r="CN2" i="1"/>
  <c r="CM12" i="1"/>
  <c r="CN12" i="1"/>
  <c r="CM8" i="1"/>
  <c r="CN8" i="1"/>
  <c r="CM25" i="1"/>
  <c r="CN25" i="1"/>
  <c r="CM36" i="1"/>
  <c r="CN36" i="1"/>
  <c r="CM43" i="1"/>
  <c r="CN43" i="1"/>
  <c r="CM9" i="1"/>
  <c r="CN9" i="1"/>
  <c r="CM4" i="1"/>
  <c r="CN4" i="1"/>
  <c r="CM32" i="1"/>
  <c r="CN32" i="1"/>
  <c r="CM33" i="1"/>
  <c r="CN33" i="1"/>
  <c r="CM5" i="1"/>
  <c r="CN5" i="1"/>
  <c r="CM35" i="1"/>
  <c r="CN35" i="1"/>
  <c r="CM37" i="1"/>
  <c r="CN37" i="1"/>
  <c r="CM21" i="1"/>
  <c r="CN21" i="1"/>
  <c r="CM13" i="1"/>
  <c r="CN13" i="1"/>
  <c r="CM11" i="1"/>
  <c r="CN11" i="1"/>
  <c r="CM40" i="1"/>
  <c r="CN40" i="1"/>
  <c r="CM10" i="1"/>
  <c r="CN10" i="1"/>
  <c r="CM7" i="1"/>
  <c r="CN7" i="1"/>
  <c r="CM22" i="1"/>
  <c r="CN22" i="1"/>
  <c r="CM17" i="1"/>
  <c r="CN17" i="1"/>
  <c r="CU6" i="1"/>
  <c r="CT6" i="1"/>
  <c r="CU3" i="1"/>
  <c r="CT3" i="1"/>
  <c r="CU17" i="1"/>
  <c r="CT17" i="1"/>
  <c r="CU22" i="1"/>
  <c r="CT22" i="1"/>
  <c r="CU7" i="1"/>
  <c r="CT7" i="1"/>
  <c r="CU10" i="1"/>
  <c r="CT10" i="1"/>
  <c r="CO37" i="1" l="1"/>
  <c r="CO33" i="1"/>
  <c r="CO43" i="1"/>
  <c r="CO2" i="1"/>
  <c r="CV40" i="1"/>
  <c r="CV37" i="1"/>
  <c r="CO32" i="1"/>
  <c r="CO4" i="1"/>
  <c r="CO36" i="1"/>
  <c r="CO16" i="1"/>
  <c r="CV11" i="1"/>
  <c r="CV35" i="1"/>
  <c r="CO22" i="1"/>
  <c r="CO13" i="1"/>
  <c r="CV8" i="1"/>
  <c r="CV17" i="1"/>
  <c r="CO7" i="1"/>
  <c r="CO11" i="1"/>
  <c r="CO9" i="1"/>
  <c r="CV43" i="1"/>
  <c r="CV25" i="1"/>
  <c r="CV3" i="1"/>
  <c r="CO10" i="1"/>
  <c r="CO40" i="1"/>
  <c r="CV13" i="1"/>
  <c r="CV21" i="1"/>
  <c r="CV4" i="1"/>
  <c r="CV2" i="1"/>
  <c r="CV10" i="1"/>
  <c r="CV22" i="1"/>
  <c r="CV33" i="1"/>
  <c r="CO5" i="1"/>
  <c r="CO12" i="1"/>
  <c r="CV5" i="1"/>
  <c r="CV32" i="1"/>
  <c r="CV9" i="1"/>
  <c r="CV36" i="1"/>
  <c r="CV12" i="1"/>
  <c r="CV16" i="1"/>
  <c r="CO17" i="1"/>
  <c r="CO35" i="1"/>
  <c r="CO8" i="1"/>
  <c r="CO21" i="1"/>
  <c r="CO25" i="1"/>
  <c r="CV7" i="1"/>
  <c r="CV6" i="1"/>
  <c r="CF21" i="1" l="1"/>
  <c r="CG21" i="1"/>
  <c r="CF10" i="1"/>
  <c r="CG10" i="1"/>
  <c r="BY21" i="1"/>
  <c r="BZ21" i="1"/>
  <c r="BY10" i="1"/>
  <c r="BZ10" i="1"/>
  <c r="BR21" i="1"/>
  <c r="BS21" i="1"/>
  <c r="BR10" i="1"/>
  <c r="BS10" i="1"/>
  <c r="BK21" i="1"/>
  <c r="BL21" i="1"/>
  <c r="BD21" i="1"/>
  <c r="BE21" i="1"/>
  <c r="BD10" i="1"/>
  <c r="BE10" i="1"/>
  <c r="AW21" i="1"/>
  <c r="AX21" i="1"/>
  <c r="AP21" i="1"/>
  <c r="AQ21" i="1"/>
  <c r="AP10" i="1"/>
  <c r="AQ10" i="1"/>
  <c r="AI21" i="1"/>
  <c r="AJ21" i="1"/>
  <c r="AI10" i="1"/>
  <c r="AJ10" i="1"/>
  <c r="AB21" i="1"/>
  <c r="AC21" i="1"/>
  <c r="AB10" i="1"/>
  <c r="AC10" i="1"/>
  <c r="U21" i="1"/>
  <c r="V21" i="1"/>
  <c r="U10" i="1"/>
  <c r="V10" i="1"/>
  <c r="U7" i="1"/>
  <c r="V7" i="1"/>
  <c r="N16" i="1"/>
  <c r="O16" i="1"/>
  <c r="N21" i="1"/>
  <c r="O21" i="1"/>
  <c r="N10" i="1"/>
  <c r="O10" i="1"/>
  <c r="N7" i="1"/>
  <c r="O7" i="1"/>
  <c r="C21" i="1"/>
  <c r="EH21" i="1" l="1"/>
  <c r="EI21" i="1" s="1"/>
  <c r="EF21" i="1"/>
  <c r="P10" i="1"/>
  <c r="P16" i="1"/>
  <c r="AK21" i="1"/>
  <c r="BM21" i="1"/>
  <c r="BT10" i="1"/>
  <c r="CH10" i="1"/>
  <c r="P21" i="1"/>
  <c r="W10" i="1"/>
  <c r="AD10" i="1"/>
  <c r="AY21" i="1"/>
  <c r="W21" i="1"/>
  <c r="BF10" i="1"/>
  <c r="W7" i="1"/>
  <c r="AK10" i="1"/>
  <c r="AR10" i="1"/>
  <c r="CA21" i="1"/>
  <c r="AR21" i="1"/>
  <c r="BF21" i="1"/>
  <c r="BT21" i="1"/>
  <c r="CH21" i="1"/>
  <c r="P7" i="1"/>
  <c r="AD21" i="1"/>
  <c r="CA10" i="1"/>
  <c r="C7" i="23"/>
  <c r="D7" i="23" s="1"/>
  <c r="E7" i="23" s="1"/>
  <c r="F7" i="23" s="1"/>
  <c r="G7" i="23" s="1"/>
  <c r="H7" i="23" s="1"/>
  <c r="H1" i="23"/>
  <c r="EG21" i="1" l="1"/>
  <c r="EK21" i="1" s="1"/>
  <c r="EJ21" i="1"/>
  <c r="B13" i="23"/>
  <c r="B20" i="23" s="1"/>
  <c r="B26" i="23" s="1"/>
  <c r="C26" i="23" s="1"/>
  <c r="D26" i="23" s="1"/>
  <c r="E26" i="23" s="1"/>
  <c r="G5" i="3"/>
  <c r="CN6" i="1"/>
  <c r="CM6" i="1"/>
  <c r="CN3" i="1"/>
  <c r="CM3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3" i="1"/>
  <c r="CO6" i="1"/>
  <c r="C8" i="1" l="1"/>
  <c r="CF7" i="1" l="1"/>
  <c r="CG7" i="1"/>
  <c r="CF16" i="1"/>
  <c r="CG16" i="1"/>
  <c r="BY7" i="1"/>
  <c r="BZ7" i="1"/>
  <c r="BY16" i="1"/>
  <c r="BZ16" i="1"/>
  <c r="CG43" i="1"/>
  <c r="CF43" i="1"/>
  <c r="CG36" i="1"/>
  <c r="CF36" i="1"/>
  <c r="CG40" i="1"/>
  <c r="CF40" i="1"/>
  <c r="CG37" i="1"/>
  <c r="CF37" i="1"/>
  <c r="CG35" i="1"/>
  <c r="CF35" i="1"/>
  <c r="CG17" i="1"/>
  <c r="CF17" i="1"/>
  <c r="CG22" i="1"/>
  <c r="CF22" i="1"/>
  <c r="CG33" i="1"/>
  <c r="CF33" i="1"/>
  <c r="CG5" i="1"/>
  <c r="CF5" i="1"/>
  <c r="CG8" i="1"/>
  <c r="CF8" i="1"/>
  <c r="CG6" i="1"/>
  <c r="CF6" i="1"/>
  <c r="CG32" i="1"/>
  <c r="CF32" i="1"/>
  <c r="CG12" i="1"/>
  <c r="CF12" i="1"/>
  <c r="CG13" i="1"/>
  <c r="CF13" i="1"/>
  <c r="CG11" i="1"/>
  <c r="CF11" i="1"/>
  <c r="CG25" i="1"/>
  <c r="CF25" i="1"/>
  <c r="CG3" i="1"/>
  <c r="CF3" i="1"/>
  <c r="CG9" i="1"/>
  <c r="CF9" i="1"/>
  <c r="CG4" i="1"/>
  <c r="CF4" i="1"/>
  <c r="CG2" i="1"/>
  <c r="CF2" i="1"/>
  <c r="AW10" i="1"/>
  <c r="AX10" i="1"/>
  <c r="BK10" i="1"/>
  <c r="BL10" i="1"/>
  <c r="AB7" i="1"/>
  <c r="AC7" i="1"/>
  <c r="AI7" i="1"/>
  <c r="AJ7" i="1"/>
  <c r="AP7" i="1"/>
  <c r="AQ7" i="1"/>
  <c r="AW7" i="1"/>
  <c r="AX7" i="1"/>
  <c r="BD7" i="1"/>
  <c r="BE7" i="1"/>
  <c r="BK7" i="1"/>
  <c r="BL7" i="1"/>
  <c r="BR7" i="1"/>
  <c r="BS7" i="1"/>
  <c r="U16" i="1"/>
  <c r="V16" i="1"/>
  <c r="AB16" i="1"/>
  <c r="AC16" i="1"/>
  <c r="AI16" i="1"/>
  <c r="AJ16" i="1"/>
  <c r="AP16" i="1"/>
  <c r="AQ16" i="1"/>
  <c r="AW16" i="1"/>
  <c r="AX16" i="1"/>
  <c r="BD16" i="1"/>
  <c r="BE16" i="1"/>
  <c r="BK16" i="1"/>
  <c r="BL16" i="1"/>
  <c r="BR16" i="1"/>
  <c r="BS16" i="1"/>
  <c r="C16" i="1"/>
  <c r="C7" i="1"/>
  <c r="C10" i="1"/>
  <c r="EF10" i="1" l="1"/>
  <c r="EG10" i="1" s="1"/>
  <c r="EH16" i="1"/>
  <c r="EI16" i="1" s="1"/>
  <c r="EH7" i="1"/>
  <c r="EI7" i="1" s="1"/>
  <c r="EH10" i="1"/>
  <c r="EI10" i="1" s="1"/>
  <c r="EF16" i="1"/>
  <c r="EF7" i="1"/>
  <c r="CA7" i="1"/>
  <c r="CH7" i="1"/>
  <c r="CH9" i="1"/>
  <c r="CH3" i="1"/>
  <c r="CH25" i="1"/>
  <c r="CH11" i="1"/>
  <c r="CH12" i="1"/>
  <c r="CH8" i="1"/>
  <c r="CH36" i="1"/>
  <c r="BM7" i="1"/>
  <c r="CH43" i="1"/>
  <c r="BT16" i="1"/>
  <c r="AR16" i="1"/>
  <c r="BM10" i="1"/>
  <c r="AY10" i="1"/>
  <c r="CH13" i="1"/>
  <c r="CA16" i="1"/>
  <c r="CH16" i="1"/>
  <c r="AK7" i="1"/>
  <c r="CH4" i="1"/>
  <c r="CH6" i="1"/>
  <c r="CH5" i="1"/>
  <c r="CH33" i="1"/>
  <c r="CH17" i="1"/>
  <c r="CH35" i="1"/>
  <c r="AK16" i="1"/>
  <c r="W16" i="1"/>
  <c r="BF7" i="1"/>
  <c r="AR7" i="1"/>
  <c r="AD7" i="1"/>
  <c r="CH32" i="1"/>
  <c r="CH22" i="1"/>
  <c r="CH37" i="1"/>
  <c r="CH40" i="1"/>
  <c r="CH2" i="1"/>
  <c r="BF16" i="1"/>
  <c r="BM16" i="1"/>
  <c r="AY16" i="1"/>
  <c r="AD16" i="1"/>
  <c r="BT7" i="1"/>
  <c r="AY7" i="1"/>
  <c r="EK10" i="1" l="1"/>
  <c r="EJ10" i="1"/>
  <c r="EJ7" i="1"/>
  <c r="EG7" i="1"/>
  <c r="EK7" i="1" s="1"/>
  <c r="EJ16" i="1"/>
  <c r="EG16" i="1"/>
  <c r="EK16" i="1" s="1"/>
  <c r="BY25" i="1"/>
  <c r="BZ25" i="1"/>
  <c r="BY36" i="1"/>
  <c r="BZ36" i="1"/>
  <c r="BR25" i="1"/>
  <c r="BS25" i="1"/>
  <c r="BR36" i="1"/>
  <c r="BS36" i="1"/>
  <c r="BK25" i="1"/>
  <c r="BL25" i="1"/>
  <c r="BK36" i="1"/>
  <c r="BL36" i="1"/>
  <c r="BD25" i="1"/>
  <c r="BE25" i="1"/>
  <c r="BD36" i="1"/>
  <c r="BE36" i="1"/>
  <c r="AW25" i="1"/>
  <c r="AX25" i="1"/>
  <c r="AW36" i="1"/>
  <c r="AX36" i="1"/>
  <c r="AP40" i="1"/>
  <c r="AP25" i="1"/>
  <c r="AQ25" i="1"/>
  <c r="AP36" i="1"/>
  <c r="AQ36" i="1"/>
  <c r="AI25" i="1"/>
  <c r="AJ25" i="1"/>
  <c r="AI36" i="1"/>
  <c r="AJ36" i="1"/>
  <c r="AB25" i="1"/>
  <c r="AC25" i="1"/>
  <c r="AB36" i="1"/>
  <c r="AC36" i="1"/>
  <c r="U25" i="1"/>
  <c r="V25" i="1"/>
  <c r="U36" i="1"/>
  <c r="V36" i="1"/>
  <c r="N11" i="1"/>
  <c r="O11" i="1"/>
  <c r="N40" i="1"/>
  <c r="O40" i="1"/>
  <c r="N25" i="1"/>
  <c r="O25" i="1"/>
  <c r="N36" i="1"/>
  <c r="O36" i="1"/>
  <c r="C25" i="1"/>
  <c r="C36" i="1"/>
  <c r="EH36" i="1" l="1"/>
  <c r="EI36" i="1" s="1"/>
  <c r="EF36" i="1"/>
  <c r="EG36" i="1" s="1"/>
  <c r="EH25" i="1"/>
  <c r="EI25" i="1" s="1"/>
  <c r="EF25" i="1"/>
  <c r="BF25" i="1"/>
  <c r="BM25" i="1"/>
  <c r="AR36" i="1"/>
  <c r="P36" i="1"/>
  <c r="AD25" i="1"/>
  <c r="AD36" i="1"/>
  <c r="AK25" i="1"/>
  <c r="AY36" i="1"/>
  <c r="BM36" i="1"/>
  <c r="BT36" i="1"/>
  <c r="P25" i="1"/>
  <c r="P11" i="1"/>
  <c r="AR25" i="1"/>
  <c r="CA36" i="1"/>
  <c r="W25" i="1"/>
  <c r="AK36" i="1"/>
  <c r="BF36" i="1"/>
  <c r="BT25" i="1"/>
  <c r="CA25" i="1"/>
  <c r="P40" i="1"/>
  <c r="W36" i="1"/>
  <c r="AY25" i="1"/>
  <c r="BZ12" i="1"/>
  <c r="BY12" i="1"/>
  <c r="BZ9" i="1"/>
  <c r="BY9" i="1"/>
  <c r="BZ6" i="1"/>
  <c r="BY6" i="1"/>
  <c r="BZ33" i="1"/>
  <c r="BY33" i="1"/>
  <c r="BZ35" i="1"/>
  <c r="BY35" i="1"/>
  <c r="BZ22" i="1"/>
  <c r="BY22" i="1"/>
  <c r="BZ17" i="1"/>
  <c r="BY17" i="1"/>
  <c r="BZ40" i="1"/>
  <c r="BY40" i="1"/>
  <c r="BZ37" i="1"/>
  <c r="BY37" i="1"/>
  <c r="BZ11" i="1"/>
  <c r="BY11" i="1"/>
  <c r="BZ13" i="1"/>
  <c r="BY13" i="1"/>
  <c r="BZ4" i="1"/>
  <c r="BY4" i="1"/>
  <c r="BZ3" i="1"/>
  <c r="BY3" i="1"/>
  <c r="BZ2" i="1"/>
  <c r="BY2" i="1"/>
  <c r="BZ43" i="1"/>
  <c r="BY43" i="1"/>
  <c r="BZ8" i="1"/>
  <c r="BY8" i="1"/>
  <c r="BZ32" i="1"/>
  <c r="BY32" i="1"/>
  <c r="BZ5" i="1"/>
  <c r="BY5" i="1"/>
  <c r="EK36" i="1" l="1"/>
  <c r="EJ36" i="1"/>
  <c r="EG25" i="1"/>
  <c r="EK25" i="1" s="1"/>
  <c r="EJ25" i="1"/>
  <c r="CA2" i="1"/>
  <c r="CA4" i="1"/>
  <c r="CA11" i="1"/>
  <c r="CA17" i="1"/>
  <c r="CA9" i="1"/>
  <c r="CA12" i="1"/>
  <c r="CA32" i="1"/>
  <c r="CA13" i="1"/>
  <c r="CA37" i="1"/>
  <c r="CA8" i="1"/>
  <c r="CA22" i="1"/>
  <c r="CA33" i="1"/>
  <c r="CA6" i="1"/>
  <c r="CA5" i="1"/>
  <c r="CA43" i="1"/>
  <c r="CA3" i="1"/>
  <c r="CA40" i="1"/>
  <c r="CA35" i="1"/>
  <c r="BR9" i="1"/>
  <c r="BS9" i="1"/>
  <c r="BR2" i="1"/>
  <c r="BS2" i="1"/>
  <c r="BR33" i="1"/>
  <c r="BS33" i="1"/>
  <c r="BR4" i="1"/>
  <c r="BS4" i="1"/>
  <c r="BR3" i="1"/>
  <c r="BS3" i="1"/>
  <c r="BR11" i="1"/>
  <c r="BS11" i="1"/>
  <c r="BR12" i="1"/>
  <c r="BS12" i="1"/>
  <c r="BR13" i="1"/>
  <c r="BS13" i="1"/>
  <c r="BR6" i="1"/>
  <c r="BS6" i="1"/>
  <c r="BR5" i="1"/>
  <c r="BS5" i="1"/>
  <c r="BR8" i="1"/>
  <c r="BS8" i="1"/>
  <c r="BR32" i="1"/>
  <c r="BS32" i="1"/>
  <c r="BR22" i="1"/>
  <c r="BS22" i="1"/>
  <c r="BR17" i="1"/>
  <c r="BS17" i="1"/>
  <c r="BR35" i="1"/>
  <c r="BS35" i="1"/>
  <c r="BR37" i="1"/>
  <c r="BS37" i="1"/>
  <c r="BR40" i="1"/>
  <c r="BS40" i="1"/>
  <c r="BR43" i="1"/>
  <c r="BS43" i="1"/>
  <c r="BT2" i="1" l="1"/>
  <c r="BT32" i="1"/>
  <c r="BT5" i="1"/>
  <c r="BT33" i="1"/>
  <c r="BT11" i="1"/>
  <c r="BT40" i="1"/>
  <c r="BT35" i="1"/>
  <c r="BT4" i="1"/>
  <c r="BT9" i="1"/>
  <c r="BT6" i="1"/>
  <c r="BT12" i="1"/>
  <c r="BT3" i="1"/>
  <c r="BT37" i="1"/>
  <c r="BT8" i="1"/>
  <c r="BT22" i="1"/>
  <c r="BT43" i="1"/>
  <c r="BT17" i="1"/>
  <c r="BT13" i="1"/>
  <c r="BK11" i="1"/>
  <c r="BL11" i="1"/>
  <c r="U11" i="1"/>
  <c r="V11" i="1"/>
  <c r="AB11" i="1"/>
  <c r="AC11" i="1"/>
  <c r="AI11" i="1"/>
  <c r="AJ11" i="1"/>
  <c r="AP11" i="1"/>
  <c r="AQ11" i="1"/>
  <c r="AW11" i="1"/>
  <c r="AX11" i="1"/>
  <c r="BD11" i="1"/>
  <c r="BE11" i="1"/>
  <c r="C11" i="1"/>
  <c r="BK40" i="1"/>
  <c r="BL40" i="1"/>
  <c r="U40" i="1"/>
  <c r="V40" i="1"/>
  <c r="AB40" i="1"/>
  <c r="AC40" i="1"/>
  <c r="AI40" i="1"/>
  <c r="EF40" i="1" s="1"/>
  <c r="AJ40" i="1"/>
  <c r="AQ40" i="1"/>
  <c r="AW40" i="1"/>
  <c r="AX40" i="1"/>
  <c r="BD40" i="1"/>
  <c r="BE40" i="1"/>
  <c r="C40" i="1"/>
  <c r="EH11" i="1" l="1"/>
  <c r="EI11" i="1" s="1"/>
  <c r="EG40" i="1"/>
  <c r="EF11" i="1"/>
  <c r="EH40" i="1"/>
  <c r="EI40" i="1" s="1"/>
  <c r="AY40" i="1"/>
  <c r="W40" i="1"/>
  <c r="BF40" i="1"/>
  <c r="AR40" i="1"/>
  <c r="AD40" i="1"/>
  <c r="AY11" i="1"/>
  <c r="BM11" i="1"/>
  <c r="BF11" i="1"/>
  <c r="AK11" i="1"/>
  <c r="AK40" i="1"/>
  <c r="BM40" i="1"/>
  <c r="AR11" i="1"/>
  <c r="AD11" i="1"/>
  <c r="BK5" i="1"/>
  <c r="BL5" i="1"/>
  <c r="BK8" i="1"/>
  <c r="BL8" i="1"/>
  <c r="BK35" i="1"/>
  <c r="BL35" i="1"/>
  <c r="BK37" i="1"/>
  <c r="BL37" i="1"/>
  <c r="BD5" i="1"/>
  <c r="BE5" i="1"/>
  <c r="BD8" i="1"/>
  <c r="BE8" i="1"/>
  <c r="BD35" i="1"/>
  <c r="BE35" i="1"/>
  <c r="BD37" i="1"/>
  <c r="BE37" i="1"/>
  <c r="AW5" i="1"/>
  <c r="AX5" i="1"/>
  <c r="AW8" i="1"/>
  <c r="AX8" i="1"/>
  <c r="AW35" i="1"/>
  <c r="AX35" i="1"/>
  <c r="AW37" i="1"/>
  <c r="AX37" i="1"/>
  <c r="AP5" i="1"/>
  <c r="AQ5" i="1"/>
  <c r="AP8" i="1"/>
  <c r="AQ8" i="1"/>
  <c r="AP35" i="1"/>
  <c r="AQ35" i="1"/>
  <c r="AP37" i="1"/>
  <c r="AQ37" i="1"/>
  <c r="AI5" i="1"/>
  <c r="AJ5" i="1"/>
  <c r="AI8" i="1"/>
  <c r="AJ8" i="1"/>
  <c r="AI35" i="1"/>
  <c r="AJ35" i="1"/>
  <c r="AI37" i="1"/>
  <c r="AJ37" i="1"/>
  <c r="AB5" i="1"/>
  <c r="AC5" i="1"/>
  <c r="AB8" i="1"/>
  <c r="AC8" i="1"/>
  <c r="AB35" i="1"/>
  <c r="AC35" i="1"/>
  <c r="AB37" i="1"/>
  <c r="AC37" i="1"/>
  <c r="U5" i="1"/>
  <c r="V5" i="1"/>
  <c r="U8" i="1"/>
  <c r="V8" i="1"/>
  <c r="U35" i="1"/>
  <c r="V35" i="1"/>
  <c r="U37" i="1"/>
  <c r="V37" i="1"/>
  <c r="N5" i="1"/>
  <c r="O5" i="1"/>
  <c r="N8" i="1"/>
  <c r="O8" i="1"/>
  <c r="N35" i="1"/>
  <c r="O35" i="1"/>
  <c r="N37" i="1"/>
  <c r="O37" i="1"/>
  <c r="C2" i="1"/>
  <c r="C4" i="1"/>
  <c r="C9" i="1"/>
  <c r="C12" i="1"/>
  <c r="C13" i="1"/>
  <c r="C32" i="1"/>
  <c r="C5" i="1"/>
  <c r="C6" i="1"/>
  <c r="C22" i="1"/>
  <c r="C17" i="1"/>
  <c r="C33" i="1"/>
  <c r="C35" i="1"/>
  <c r="C37" i="1"/>
  <c r="C43" i="1"/>
  <c r="EK40" i="1" l="1"/>
  <c r="EH35" i="1"/>
  <c r="EI35" i="1" s="1"/>
  <c r="EF35" i="1"/>
  <c r="EH8" i="1"/>
  <c r="EI8" i="1" s="1"/>
  <c r="EF8" i="1"/>
  <c r="EH5" i="1"/>
  <c r="EI5" i="1" s="1"/>
  <c r="EJ11" i="1"/>
  <c r="EG11" i="1"/>
  <c r="EK11" i="1" s="1"/>
  <c r="EF5" i="1"/>
  <c r="EJ40" i="1"/>
  <c r="EH37" i="1"/>
  <c r="EI37" i="1" s="1"/>
  <c r="EF37" i="1"/>
  <c r="W35" i="1"/>
  <c r="AK35" i="1"/>
  <c r="AY35" i="1"/>
  <c r="AY5" i="1"/>
  <c r="AY8" i="1"/>
  <c r="BM35" i="1"/>
  <c r="AR5" i="1"/>
  <c r="BM5" i="1"/>
  <c r="P35" i="1"/>
  <c r="P5" i="1"/>
  <c r="AD35" i="1"/>
  <c r="AD5" i="1"/>
  <c r="AR35" i="1"/>
  <c r="BF8" i="1"/>
  <c r="P37" i="1"/>
  <c r="W37" i="1"/>
  <c r="BF35" i="1"/>
  <c r="AD8" i="1"/>
  <c r="AK37" i="1"/>
  <c r="AR8" i="1"/>
  <c r="P8" i="1"/>
  <c r="W5" i="1"/>
  <c r="AK8" i="1"/>
  <c r="AR37" i="1"/>
  <c r="BF37" i="1"/>
  <c r="BF5" i="1"/>
  <c r="BM37" i="1"/>
  <c r="W8" i="1"/>
  <c r="AD37" i="1"/>
  <c r="AK5" i="1"/>
  <c r="AY37" i="1"/>
  <c r="BM8" i="1"/>
  <c r="EG5" i="1" l="1"/>
  <c r="EK5" i="1" s="1"/>
  <c r="EJ5" i="1"/>
  <c r="EG8" i="1"/>
  <c r="EK8" i="1" s="1"/>
  <c r="EJ8" i="1"/>
  <c r="EJ37" i="1"/>
  <c r="EG37" i="1"/>
  <c r="EK37" i="1" s="1"/>
  <c r="EJ35" i="1"/>
  <c r="EG35" i="1"/>
  <c r="EK35" i="1" s="1"/>
  <c r="BL2" i="1"/>
  <c r="BK2" i="1"/>
  <c r="BE2" i="1"/>
  <c r="O2" i="1"/>
  <c r="BD3" i="1"/>
  <c r="BE3" i="1"/>
  <c r="BD4" i="1"/>
  <c r="BE4" i="1"/>
  <c r="BD9" i="1"/>
  <c r="BE9" i="1"/>
  <c r="BD12" i="1"/>
  <c r="BE12" i="1"/>
  <c r="BD13" i="1"/>
  <c r="BE13" i="1"/>
  <c r="BD32" i="1"/>
  <c r="BE32" i="1"/>
  <c r="AW3" i="1"/>
  <c r="AX3" i="1"/>
  <c r="AW4" i="1"/>
  <c r="AX4" i="1"/>
  <c r="AW9" i="1"/>
  <c r="AX9" i="1"/>
  <c r="AW12" i="1"/>
  <c r="AX12" i="1"/>
  <c r="AP3" i="1"/>
  <c r="AQ3" i="1"/>
  <c r="AP4" i="1"/>
  <c r="AQ4" i="1"/>
  <c r="AP9" i="1"/>
  <c r="AQ9" i="1"/>
  <c r="AP12" i="1"/>
  <c r="AQ12" i="1"/>
  <c r="AP13" i="1"/>
  <c r="AQ13" i="1"/>
  <c r="AI3" i="1"/>
  <c r="AJ3" i="1"/>
  <c r="AI4" i="1"/>
  <c r="AJ4" i="1"/>
  <c r="AI9" i="1"/>
  <c r="AJ9" i="1"/>
  <c r="AI12" i="1"/>
  <c r="AJ12" i="1"/>
  <c r="AI13" i="1"/>
  <c r="AJ13" i="1"/>
  <c r="AI32" i="1"/>
  <c r="AJ32" i="1"/>
  <c r="AI6" i="1"/>
  <c r="AJ6" i="1"/>
  <c r="AI22" i="1"/>
  <c r="AJ22" i="1"/>
  <c r="AB3" i="1"/>
  <c r="AC3" i="1"/>
  <c r="AB4" i="1"/>
  <c r="AC4" i="1"/>
  <c r="AB9" i="1"/>
  <c r="AC9" i="1"/>
  <c r="AB12" i="1"/>
  <c r="AC12" i="1"/>
  <c r="AB13" i="1"/>
  <c r="AC13" i="1"/>
  <c r="U3" i="1"/>
  <c r="V3" i="1"/>
  <c r="U4" i="1"/>
  <c r="V4" i="1"/>
  <c r="U9" i="1"/>
  <c r="V9" i="1"/>
  <c r="U12" i="1"/>
  <c r="V12" i="1"/>
  <c r="U13" i="1"/>
  <c r="V13" i="1"/>
  <c r="N3" i="1"/>
  <c r="O3" i="1"/>
  <c r="N4" i="1"/>
  <c r="O4" i="1"/>
  <c r="N9" i="1"/>
  <c r="O9" i="1"/>
  <c r="N12" i="1"/>
  <c r="O12" i="1"/>
  <c r="N13" i="1"/>
  <c r="O13" i="1"/>
  <c r="N32" i="1"/>
  <c r="O32" i="1"/>
  <c r="BK12" i="1"/>
  <c r="BL12" i="1"/>
  <c r="BL43" i="1"/>
  <c r="BK43" i="1"/>
  <c r="BL33" i="1"/>
  <c r="BK33" i="1"/>
  <c r="BL17" i="1"/>
  <c r="BK17" i="1"/>
  <c r="BL22" i="1"/>
  <c r="BK22" i="1"/>
  <c r="BL6" i="1"/>
  <c r="BK6" i="1"/>
  <c r="BL32" i="1"/>
  <c r="BK32" i="1"/>
  <c r="BL13" i="1"/>
  <c r="BK13" i="1"/>
  <c r="BL9" i="1"/>
  <c r="BK9" i="1"/>
  <c r="BL4" i="1"/>
  <c r="BK4" i="1"/>
  <c r="BL3" i="1"/>
  <c r="BK3" i="1"/>
  <c r="EF9" i="1" l="1"/>
  <c r="EG9" i="1" s="1"/>
  <c r="EH4" i="1"/>
  <c r="EI4" i="1" s="1"/>
  <c r="EF4" i="1"/>
  <c r="EH3" i="1"/>
  <c r="EI3" i="1" s="1"/>
  <c r="EF3" i="1"/>
  <c r="EH12" i="1"/>
  <c r="EI12" i="1" s="1"/>
  <c r="EF12" i="1"/>
  <c r="EH9" i="1"/>
  <c r="EI9" i="1" s="1"/>
  <c r="W9" i="1"/>
  <c r="AR12" i="1"/>
  <c r="AY12" i="1"/>
  <c r="AY9" i="1"/>
  <c r="BF9" i="1"/>
  <c r="BM2" i="1"/>
  <c r="BM12" i="1"/>
  <c r="P12" i="1"/>
  <c r="W13" i="1"/>
  <c r="AD4" i="1"/>
  <c r="AR9" i="1"/>
  <c r="AD3" i="1"/>
  <c r="AR13" i="1"/>
  <c r="BM4" i="1"/>
  <c r="BM9" i="1"/>
  <c r="BM32" i="1"/>
  <c r="BM22" i="1"/>
  <c r="BM33" i="1"/>
  <c r="P9" i="1"/>
  <c r="W12" i="1"/>
  <c r="W4" i="1"/>
  <c r="AK9" i="1"/>
  <c r="AR4" i="1"/>
  <c r="BM3" i="1"/>
  <c r="BM17" i="1"/>
  <c r="W3" i="1"/>
  <c r="AD13" i="1"/>
  <c r="AD12" i="1"/>
  <c r="AK22" i="1"/>
  <c r="AR3" i="1"/>
  <c r="BF32" i="1"/>
  <c r="P32" i="1"/>
  <c r="P13" i="1"/>
  <c r="P4" i="1"/>
  <c r="AK6" i="1"/>
  <c r="AK3" i="1"/>
  <c r="AY3" i="1"/>
  <c r="BF13" i="1"/>
  <c r="BF12" i="1"/>
  <c r="BF3" i="1"/>
  <c r="BM13" i="1"/>
  <c r="BM6" i="1"/>
  <c r="BM43" i="1"/>
  <c r="P3" i="1"/>
  <c r="AD9" i="1"/>
  <c r="AK32" i="1"/>
  <c r="AK13" i="1"/>
  <c r="AK12" i="1"/>
  <c r="AK4" i="1"/>
  <c r="AY4" i="1"/>
  <c r="BF4" i="1"/>
  <c r="EJ3" i="1" l="1"/>
  <c r="EG3" i="1"/>
  <c r="EK3" i="1" s="1"/>
  <c r="EK9" i="1"/>
  <c r="EG12" i="1"/>
  <c r="EK12" i="1" s="1"/>
  <c r="EJ12" i="1"/>
  <c r="EG4" i="1"/>
  <c r="EK4" i="1" s="1"/>
  <c r="EJ4" i="1"/>
  <c r="EJ9" i="1"/>
  <c r="BE43" i="1"/>
  <c r="BD43" i="1"/>
  <c r="BE33" i="1"/>
  <c r="BD33" i="1"/>
  <c r="BE17" i="1"/>
  <c r="BD17" i="1"/>
  <c r="BE22" i="1"/>
  <c r="BD22" i="1"/>
  <c r="BE6" i="1"/>
  <c r="BD6" i="1"/>
  <c r="BD2" i="1"/>
  <c r="AW13" i="1"/>
  <c r="EF13" i="1" s="1"/>
  <c r="AX13" i="1"/>
  <c r="EH13" i="1" s="1"/>
  <c r="EI13" i="1" s="1"/>
  <c r="AW43" i="1"/>
  <c r="AX43" i="1"/>
  <c r="AP43" i="1"/>
  <c r="AQ43" i="1"/>
  <c r="AI43" i="1"/>
  <c r="AJ43" i="1"/>
  <c r="U43" i="1"/>
  <c r="V43" i="1"/>
  <c r="AB43" i="1"/>
  <c r="AC43" i="1"/>
  <c r="N43" i="1"/>
  <c r="O43" i="1"/>
  <c r="EG13" i="1" l="1"/>
  <c r="EK13" i="1" s="1"/>
  <c r="EJ13" i="1"/>
  <c r="EF43" i="1"/>
  <c r="EH43" i="1"/>
  <c r="EI43" i="1" s="1"/>
  <c r="BF2" i="1"/>
  <c r="BF6" i="1"/>
  <c r="BF22" i="1"/>
  <c r="BF33" i="1"/>
  <c r="BF43" i="1"/>
  <c r="BF17" i="1"/>
  <c r="AD43" i="1"/>
  <c r="W43" i="1"/>
  <c r="AK43" i="1"/>
  <c r="AY43" i="1"/>
  <c r="P43" i="1"/>
  <c r="AR43" i="1"/>
  <c r="AY13" i="1"/>
  <c r="EG43" i="1" l="1"/>
  <c r="EK43" i="1" s="1"/>
  <c r="EJ43" i="1"/>
  <c r="AX22" i="1"/>
  <c r="AW22" i="1"/>
  <c r="AX17" i="1"/>
  <c r="AW17" i="1"/>
  <c r="AX6" i="1"/>
  <c r="AW6" i="1"/>
  <c r="AX33" i="1"/>
  <c r="AW33" i="1"/>
  <c r="AX32" i="1"/>
  <c r="AW32" i="1"/>
  <c r="AX2" i="1"/>
  <c r="AW2" i="1"/>
  <c r="AY2" i="1" l="1"/>
  <c r="AY32" i="1"/>
  <c r="AY33" i="1"/>
  <c r="AY6" i="1"/>
  <c r="AY22" i="1"/>
  <c r="AY17" i="1"/>
  <c r="AP2" i="1" l="1"/>
  <c r="AQ2" i="1"/>
  <c r="AP6" i="1"/>
  <c r="AQ6" i="1"/>
  <c r="AP32" i="1"/>
  <c r="AQ32" i="1"/>
  <c r="AP33" i="1"/>
  <c r="AQ33" i="1"/>
  <c r="AP17" i="1"/>
  <c r="AQ17" i="1"/>
  <c r="AP22" i="1"/>
  <c r="AQ22" i="1"/>
  <c r="AR17" i="1" l="1"/>
  <c r="AR32" i="1"/>
  <c r="AR22" i="1"/>
  <c r="AR33" i="1"/>
  <c r="AR6" i="1"/>
  <c r="AR2" i="1"/>
  <c r="N6" i="1" l="1"/>
  <c r="O6" i="1"/>
  <c r="N22" i="1"/>
  <c r="O22" i="1"/>
  <c r="N17" i="1"/>
  <c r="O17" i="1"/>
  <c r="N33" i="1"/>
  <c r="O33" i="1"/>
  <c r="U32" i="1"/>
  <c r="V32" i="1"/>
  <c r="U6" i="1"/>
  <c r="V6" i="1"/>
  <c r="U22" i="1"/>
  <c r="V22" i="1"/>
  <c r="U17" i="1"/>
  <c r="V17" i="1"/>
  <c r="U33" i="1"/>
  <c r="V33" i="1"/>
  <c r="AB32" i="1"/>
  <c r="AC32" i="1"/>
  <c r="AB6" i="1"/>
  <c r="AC6" i="1"/>
  <c r="AB22" i="1"/>
  <c r="AC22" i="1"/>
  <c r="AB17" i="1"/>
  <c r="AC17" i="1"/>
  <c r="AB33" i="1"/>
  <c r="AC33" i="1"/>
  <c r="AI17" i="1"/>
  <c r="AJ17" i="1"/>
  <c r="AI33" i="1"/>
  <c r="AJ33" i="1"/>
  <c r="EF32" i="1" l="1"/>
  <c r="EG32" i="1" s="1"/>
  <c r="EH33" i="1"/>
  <c r="EI33" i="1" s="1"/>
  <c r="EH22" i="1"/>
  <c r="EI22" i="1" s="1"/>
  <c r="EF33" i="1"/>
  <c r="EG33" i="1" s="1"/>
  <c r="EF22" i="1"/>
  <c r="EG22" i="1" s="1"/>
  <c r="EH6" i="1"/>
  <c r="EI6" i="1" s="1"/>
  <c r="EF6" i="1"/>
  <c r="EH32" i="1"/>
  <c r="EI32" i="1" s="1"/>
  <c r="EF17" i="1"/>
  <c r="EG17" i="1" s="1"/>
  <c r="EH17" i="1"/>
  <c r="EI17" i="1" s="1"/>
  <c r="P17" i="1"/>
  <c r="AD17" i="1"/>
  <c r="P22" i="1"/>
  <c r="AD32" i="1"/>
  <c r="AD6" i="1"/>
  <c r="W22" i="1"/>
  <c r="AK33" i="1"/>
  <c r="AD22" i="1"/>
  <c r="W33" i="1"/>
  <c r="W6" i="1"/>
  <c r="W17" i="1"/>
  <c r="P6" i="1"/>
  <c r="W32" i="1"/>
  <c r="AK17" i="1"/>
  <c r="AD33" i="1"/>
  <c r="P33" i="1"/>
  <c r="EJ6" i="1" l="1"/>
  <c r="EJ33" i="1"/>
  <c r="EK33" i="1"/>
  <c r="EK32" i="1"/>
  <c r="EJ32" i="1"/>
  <c r="EG6" i="1"/>
  <c r="EK6" i="1" s="1"/>
  <c r="EK22" i="1"/>
  <c r="EJ22" i="1"/>
  <c r="EK17" i="1"/>
  <c r="EJ17" i="1"/>
  <c r="C7" i="3"/>
  <c r="C3" i="3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EF2" i="1" l="1"/>
  <c r="EG2" i="1" s="1"/>
  <c r="EH2" i="1"/>
  <c r="EI2" i="1" s="1"/>
  <c r="P2" i="1"/>
  <c r="W2" i="1"/>
  <c r="AD2" i="1"/>
  <c r="EK2" i="1" l="1"/>
  <c r="EJ2" i="1"/>
</calcChain>
</file>

<file path=xl/sharedStrings.xml><?xml version="1.0" encoding="utf-8"?>
<sst xmlns="http://schemas.openxmlformats.org/spreadsheetml/2006/main" count="1140" uniqueCount="314">
  <si>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</si>
  <si>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</si>
  <si>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</si>
  <si>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</si>
  <si>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</si>
  <si>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</si>
  <si>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</si>
  <si>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</si>
  <si>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</si>
  <si>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</si>
  <si>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</si>
  <si>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</si>
  <si>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</si>
  <si>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</si>
  <si>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</si>
  <si>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</si>
  <si>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</si>
  <si>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</si>
  <si>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</si>
  <si>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</si>
  <si>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</si>
  <si>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</si>
  <si>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</si>
  <si>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</si>
  <si>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</si>
  <si>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</si>
  <si>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</si>
  <si>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</si>
  <si>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</si>
  <si>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</si>
  <si>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</si>
  <si>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</si>
  <si>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</si>
  <si>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</si>
  <si>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</si>
  <si>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</si>
  <si>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</si>
  <si>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</si>
  <si>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</si>
  <si>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</si>
  <si>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</si>
  <si>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</si>
  <si>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</si>
  <si>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</si>
  <si>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</si>
  <si>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</si>
  <si>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</si>
  <si>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</si>
  <si>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</si>
  <si>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</si>
  <si>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</si>
  <si>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</si>
  <si>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</si>
  <si>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</si>
  <si>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</si>
  <si>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</si>
  <si>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</si>
  <si>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</si>
  <si>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</si>
  <si>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</si>
  <si>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</si>
  <si>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</si>
  <si>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</si>
  <si>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</si>
  <si>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</si>
  <si>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</si>
  <si>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</si>
  <si>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</si>
  <si>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</si>
  <si>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</si>
  <si>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</si>
  <si>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</si>
  <si>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</si>
  <si>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</si>
  <si>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</si>
  <si>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</si>
  <si>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</si>
  <si>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</si>
  <si>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</si>
  <si>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</si>
  <si>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</si>
  <si>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</si>
  <si>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</si>
  <si>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</si>
  <si>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</si>
  <si>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</si>
  <si>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</si>
  <si>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</si>
  <si>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</si>
  <si>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</si>
  <si>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</si>
  <si>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</si>
  <si>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</si>
  <si>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</si>
  <si>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</si>
  <si>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</si>
  <si>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</si>
  <si>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</si>
  <si>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</si>
  <si>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</si>
  <si>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</si>
  <si>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</si>
  <si>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</si>
  <si>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</si>
  <si>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</si>
  <si>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</si>
  <si>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</si>
  <si>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</si>
  <si>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</si>
  <si>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</si>
  <si>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</si>
  <si>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</si>
  <si>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</si>
  <si>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</si>
  <si>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</si>
  <si>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</si>
  <si>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</si>
  <si>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</si>
  <si>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</si>
  <si>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</si>
  <si>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</si>
  <si>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</si>
  <si>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</si>
  <si>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</si>
  <si>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</si>
  <si>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</si>
  <si>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</si>
  <si>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</si>
  <si>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</si>
  <si>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</si>
  <si>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</si>
  <si>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</si>
  <si>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</si>
  <si>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</si>
  <si>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</si>
  <si>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</si>
  <si>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</si>
  <si>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</si>
  <si>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</si>
  <si>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</si>
  <si>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</si>
  <si>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</si>
  <si>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</si>
  <si>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</si>
  <si>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</si>
  <si>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</si>
  <si>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</si>
  <si>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</si>
  <si>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</si>
  <si>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</si>
  <si>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</si>
  <si>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</si>
  <si>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</si>
  <si>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</si>
  <si>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</si>
  <si>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</si>
  <si>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</si>
  <si>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</si>
  <si>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</si>
  <si>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</si>
  <si>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</si>
  <si>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</si>
  <si>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</si>
  <si>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</si>
  <si>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</si>
  <si>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</si>
  <si>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</si>
  <si>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</si>
  <si>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</si>
  <si>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</si>
  <si>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</si>
  <si>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</si>
  <si>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</si>
  <si>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</si>
  <si>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</si>
  <si>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</si>
  <si>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</si>
  <si>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</si>
  <si>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</si>
  <si>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</si>
  <si>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</si>
  <si>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</si>
  <si>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</si>
  <si>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</si>
  <si>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</si>
  <si>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</si>
  <si>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</si>
  <si>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</si>
  <si>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</si>
  <si>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</si>
  <si>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</si>
  <si>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</si>
  <si>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</si>
  <si>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</si>
  <si>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</si>
  <si>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</si>
  <si>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</si>
  <si>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</si>
  <si>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</si>
  <si>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</si>
  <si>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</si>
  <si>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</si>
  <si>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</si>
  <si>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</si>
  <si>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</si>
  <si>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</si>
  <si>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</si>
  <si>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</si>
  <si>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</si>
  <si>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</si>
  <si>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</si>
  <si>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</si>
  <si>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</si>
  <si>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</si>
  <si>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</si>
  <si>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</si>
  <si>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</si>
  <si>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</si>
  <si>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</si>
  <si>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</si>
  <si>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</si>
  <si>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</si>
  <si>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</si>
  <si>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</si>
  <si>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</si>
  <si>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</si>
  <si>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</si>
  <si>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</si>
  <si>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</si>
  <si>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</si>
  <si>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</si>
  <si>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</si>
  <si>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</si>
  <si>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</si>
  <si>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</si>
  <si>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</si>
  <si>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</si>
  <si>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</si>
  <si>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</si>
  <si>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</si>
  <si>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</si>
  <si>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</si>
  <si>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</si>
  <si>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</si>
  <si>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</si>
  <si>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</si>
  <si>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</si>
  <si>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</si>
  <si>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</si>
  <si>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</si>
  <si>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</si>
  <si>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</si>
  <si>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</si>
  <si>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</si>
  <si>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</si>
  <si>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</si>
  <si>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</si>
  <si>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</si>
  <si>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</si>
  <si>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</si>
  <si>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</si>
  <si>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</si>
  <si>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</si>
  <si>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</si>
  <si>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</si>
  <si>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</si>
  <si>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</si>
  <si>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</si>
  <si>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</si>
  <si>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</si>
  <si>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</si>
  <si>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</si>
  <si>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</si>
  <si>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</si>
  <si>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</si>
  <si>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</si>
  <si>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</si>
  <si>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</si>
  <si>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</si>
  <si>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</si>
  <si>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</si>
  <si>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</si>
  <si>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</si>
  <si>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</si>
  <si>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</si>
  <si>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</si>
  <si>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</si>
  <si>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</si>
  <si>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</si>
  <si>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</si>
  <si>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</si>
  <si>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</si>
  <si>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</si>
  <si>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</si>
  <si>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</si>
  <si>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</si>
  <si>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</si>
  <si>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</si>
  <si>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</si>
  <si>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</si>
  <si>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</si>
  <si>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</si>
  <si>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</si>
  <si>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</si>
  <si>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</si>
  <si>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</si>
  <si>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</si>
  <si>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</si>
  <si>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הת"ש 4?</t>
  </si>
  <si>
    <t>צל</t>
  </si>
  <si>
    <t>עתודה</t>
  </si>
  <si>
    <t>חסרים:</t>
  </si>
  <si>
    <t>יהל 474</t>
  </si>
  <si>
    <t>עתודות שבתות: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</si>
</sst>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2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0" borderId="12" xfId="0" applyFont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O46"/>
  <sheetViews>
    <sheetView rightToLeft="1" tabSelected="1" topLeftCell="A18" zoomScale="175" zoomScaleNormal="175" workbookViewId="0">
      <selection activeCell="I34" sqref="I34"/>
    </sheetView>
  </sheetViews>
  <sheetFormatPr defaultRowHeight="15" x14ac:dyDescent="0.25"/>
  <cols>
    <col min="2" max="5" width="11.7109375" customWidth="1"/>
  </cols>
  <sheetData>
    <row r="1" spans="1:15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  <c r="L1" t="s">
        <v>311</v>
      </c>
      <c r="O1" t="s">
        <v>313</v>
      </c>
    </row>
    <row r="2" spans="1:15" x14ac:dyDescent="0.25">
      <c r="A2" s="7" t="s">
        <v>22</v>
      </c>
      <c r="B2" s="152"/>
      <c r="C2" s="150"/>
      <c r="D2" s="152"/>
      <c r="E2" s="150"/>
      <c r="F2" s="236">
        <v>3</v>
      </c>
      <c r="G2" s="236"/>
      <c r="H2" s="237"/>
      <c r="L2" t="s">
        <v>58</v>
      </c>
      <c r="O2" t="s">
        <v>268</v>
      </c>
    </row>
    <row r="3" spans="1:15" x14ac:dyDescent="0.25">
      <c r="A3" s="7" t="s">
        <v>19</v>
      </c>
      <c r="B3" s="55"/>
      <c r="C3" s="55"/>
      <c r="D3" s="56"/>
      <c r="E3" s="56"/>
      <c r="F3" s="238" t="s">
        <v>281</v>
      </c>
      <c r="G3" s="239"/>
      <c r="H3" s="240"/>
      <c r="L3" t="s">
        <v>71</v>
      </c>
      <c r="O3" t="s">
        <v>312</v>
      </c>
    </row>
    <row r="4" spans="1:15" x14ac:dyDescent="0.25">
      <c r="A4" s="7" t="s">
        <v>20</v>
      </c>
      <c r="B4" s="55"/>
      <c r="C4" s="56"/>
      <c r="D4" s="56"/>
      <c r="E4" s="55"/>
      <c r="F4" s="238" t="s">
        <v>129</v>
      </c>
      <c r="G4" s="239"/>
      <c r="H4" s="240"/>
      <c r="L4" t="s">
        <v>312</v>
      </c>
      <c r="O4" t="s">
        <v>69</v>
      </c>
    </row>
    <row r="5" spans="1:15" x14ac:dyDescent="0.25">
      <c r="A5" s="7" t="s">
        <v>21</v>
      </c>
      <c r="B5" s="56"/>
      <c r="C5" s="55"/>
      <c r="D5" s="55"/>
      <c r="E5" s="56"/>
      <c r="F5" s="243" t="s">
        <v>270</v>
      </c>
      <c r="G5" s="244"/>
      <c r="H5" s="245"/>
      <c r="O5" t="s">
        <v>61</v>
      </c>
    </row>
    <row r="6" spans="1:15" ht="15.75" thickBot="1" x14ac:dyDescent="0.3">
      <c r="A6" s="7" t="s">
        <v>79</v>
      </c>
      <c r="B6" s="57"/>
      <c r="C6" s="57"/>
      <c r="D6" s="57"/>
      <c r="E6" s="58"/>
      <c r="F6" s="250" t="s">
        <v>221</v>
      </c>
      <c r="G6" s="250"/>
      <c r="H6" s="251"/>
    </row>
    <row r="7" spans="1:15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15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36">
        <v>3</v>
      </c>
      <c r="G8" s="236"/>
      <c r="H8" s="237"/>
    </row>
    <row r="9" spans="1:15" x14ac:dyDescent="0.25">
      <c r="A9" s="7" t="s">
        <v>19</v>
      </c>
      <c r="B9" s="151"/>
      <c r="C9" s="153"/>
      <c r="D9" s="150"/>
      <c r="E9" s="224" t="s">
        <v>142</v>
      </c>
      <c r="F9" s="236" t="s">
        <v>267</v>
      </c>
      <c r="G9" s="236"/>
      <c r="H9" s="237"/>
    </row>
    <row r="10" spans="1:15" x14ac:dyDescent="0.25">
      <c r="A10" s="7" t="s">
        <v>20</v>
      </c>
      <c r="B10" s="152"/>
      <c r="C10" s="152"/>
      <c r="D10" s="152"/>
      <c r="E10" s="223" t="s">
        <v>270</v>
      </c>
      <c r="F10" s="241" t="s">
        <v>59</v>
      </c>
      <c r="G10" s="241"/>
      <c r="H10" s="242"/>
    </row>
    <row r="11" spans="1:15" x14ac:dyDescent="0.25">
      <c r="A11" s="7" t="s">
        <v>21</v>
      </c>
      <c r="B11" s="152"/>
      <c r="C11" s="152"/>
      <c r="D11" s="223" t="s">
        <v>58</v>
      </c>
      <c r="E11" s="150"/>
      <c r="F11" s="236" t="s">
        <v>130</v>
      </c>
      <c r="G11" s="236"/>
      <c r="H11" s="237"/>
    </row>
    <row r="12" spans="1:15" x14ac:dyDescent="0.25">
      <c r="A12" s="7" t="s">
        <v>79</v>
      </c>
      <c r="B12" s="152"/>
      <c r="C12" s="152"/>
      <c r="D12" s="223"/>
      <c r="E12" s="152"/>
      <c r="F12" s="236" t="s">
        <v>60</v>
      </c>
      <c r="G12" s="236"/>
      <c r="H12" s="237"/>
    </row>
    <row r="13" spans="1:15" x14ac:dyDescent="0.25">
      <c r="A13" s="228" t="s">
        <v>309</v>
      </c>
      <c r="B13" s="179"/>
      <c r="C13" s="179"/>
      <c r="D13" s="179"/>
      <c r="E13" s="179"/>
      <c r="F13" s="236"/>
      <c r="G13" s="236"/>
      <c r="H13" s="237"/>
    </row>
    <row r="14" spans="1:15" ht="15.75" thickBot="1" x14ac:dyDescent="0.3">
      <c r="A14" s="228" t="s">
        <v>310</v>
      </c>
      <c r="B14" s="179"/>
      <c r="C14" s="179"/>
      <c r="D14" s="179"/>
      <c r="E14" s="179"/>
      <c r="F14" s="241" t="s">
        <v>225</v>
      </c>
      <c r="G14" s="241"/>
      <c r="H14" s="242"/>
    </row>
    <row r="15" spans="1:15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15" x14ac:dyDescent="0.25">
      <c r="A16" s="7" t="s">
        <v>22</v>
      </c>
      <c r="B16" s="152">
        <v>3</v>
      </c>
      <c r="C16" s="150">
        <v>3</v>
      </c>
      <c r="D16" s="152">
        <v>3</v>
      </c>
      <c r="E16" s="150">
        <v>3</v>
      </c>
      <c r="F16" s="236">
        <v>2</v>
      </c>
      <c r="G16" s="236"/>
      <c r="H16" s="237"/>
    </row>
    <row r="17" spans="1:8" x14ac:dyDescent="0.25">
      <c r="A17" s="7" t="s">
        <v>19</v>
      </c>
      <c r="B17" s="150"/>
      <c r="C17" s="152"/>
      <c r="D17" s="151"/>
      <c r="E17" s="152"/>
      <c r="F17" s="236" t="s">
        <v>92</v>
      </c>
      <c r="G17" s="236"/>
      <c r="H17" s="237"/>
    </row>
    <row r="18" spans="1:8" x14ac:dyDescent="0.25">
      <c r="A18" s="7" t="s">
        <v>20</v>
      </c>
      <c r="B18" s="151"/>
      <c r="C18" s="150"/>
      <c r="D18" s="152"/>
      <c r="E18" s="151"/>
      <c r="F18" s="241" t="s">
        <v>126</v>
      </c>
      <c r="G18" s="241"/>
      <c r="H18" s="242"/>
    </row>
    <row r="19" spans="1:8" x14ac:dyDescent="0.25">
      <c r="A19" s="7" t="s">
        <v>21</v>
      </c>
      <c r="B19" s="150"/>
      <c r="C19" s="151"/>
      <c r="D19" s="152"/>
      <c r="E19" s="150"/>
      <c r="F19" s="241" t="s">
        <v>127</v>
      </c>
      <c r="G19" s="241"/>
      <c r="H19" s="242"/>
    </row>
    <row r="20" spans="1:8" x14ac:dyDescent="0.25">
      <c r="A20" s="7" t="s">
        <v>79</v>
      </c>
      <c r="B20" s="152"/>
      <c r="C20" s="152"/>
      <c r="D20" s="152"/>
      <c r="E20" s="150"/>
      <c r="F20" s="236" t="s">
        <v>284</v>
      </c>
      <c r="G20" s="236"/>
      <c r="H20" s="237"/>
    </row>
    <row r="21" spans="1:8" x14ac:dyDescent="0.25">
      <c r="A21" s="228" t="s">
        <v>309</v>
      </c>
      <c r="B21" s="179"/>
      <c r="C21" s="179"/>
      <c r="D21" s="179"/>
      <c r="E21" s="179"/>
      <c r="F21" s="236"/>
      <c r="G21" s="236"/>
      <c r="H21" s="237"/>
    </row>
    <row r="22" spans="1:8" ht="15.75" thickBot="1" x14ac:dyDescent="0.3">
      <c r="A22" s="228" t="s">
        <v>310</v>
      </c>
      <c r="B22" s="179"/>
      <c r="C22" s="179"/>
      <c r="D22" s="179"/>
      <c r="E22" s="179"/>
      <c r="F22" s="241" t="s">
        <v>115</v>
      </c>
      <c r="G22" s="241"/>
      <c r="H22" s="242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152">
        <v>3</v>
      </c>
      <c r="C24" s="150">
        <v>3</v>
      </c>
      <c r="D24" s="152">
        <v>3</v>
      </c>
      <c r="E24" s="150">
        <v>3</v>
      </c>
      <c r="F24" s="236">
        <v>3</v>
      </c>
      <c r="G24" s="236"/>
      <c r="H24" s="237"/>
    </row>
    <row r="25" spans="1:8" x14ac:dyDescent="0.25">
      <c r="A25" s="7" t="s">
        <v>19</v>
      </c>
      <c r="B25" s="152"/>
      <c r="C25" s="150"/>
      <c r="D25" s="150"/>
      <c r="E25" s="151"/>
      <c r="F25" s="238" t="s">
        <v>282</v>
      </c>
      <c r="G25" s="239"/>
      <c r="H25" s="240"/>
    </row>
    <row r="26" spans="1:8" x14ac:dyDescent="0.25">
      <c r="A26" s="7" t="s">
        <v>20</v>
      </c>
      <c r="B26" s="150"/>
      <c r="C26" s="152"/>
      <c r="D26" s="151"/>
      <c r="E26" s="152"/>
      <c r="F26" s="243" t="s">
        <v>114</v>
      </c>
      <c r="G26" s="244"/>
      <c r="H26" s="245"/>
    </row>
    <row r="27" spans="1:8" x14ac:dyDescent="0.25">
      <c r="A27" s="7" t="s">
        <v>21</v>
      </c>
      <c r="B27" s="153"/>
      <c r="C27" s="153"/>
      <c r="D27" s="152"/>
      <c r="E27" s="150"/>
      <c r="F27" s="236" t="s">
        <v>141</v>
      </c>
      <c r="G27" s="236"/>
      <c r="H27" s="237"/>
    </row>
    <row r="28" spans="1:8" x14ac:dyDescent="0.25">
      <c r="A28" s="7" t="s">
        <v>79</v>
      </c>
      <c r="B28" s="223"/>
      <c r="C28" s="223"/>
      <c r="D28" s="224"/>
      <c r="E28" s="223"/>
      <c r="F28" s="236" t="s">
        <v>306</v>
      </c>
      <c r="G28" s="236"/>
      <c r="H28" s="237"/>
    </row>
    <row r="29" spans="1:8" x14ac:dyDescent="0.25">
      <c r="A29" s="228" t="s">
        <v>309</v>
      </c>
      <c r="B29" s="179"/>
      <c r="C29" s="179"/>
      <c r="D29" s="179"/>
      <c r="E29" s="179"/>
      <c r="F29" s="246"/>
      <c r="G29" s="246"/>
      <c r="H29" s="247"/>
    </row>
    <row r="30" spans="1:8" ht="15.75" thickBot="1" x14ac:dyDescent="0.3">
      <c r="A30" s="228" t="s">
        <v>310</v>
      </c>
      <c r="B30" s="179"/>
      <c r="C30" s="179"/>
      <c r="D30" s="179"/>
      <c r="E30" s="179"/>
      <c r="F30" s="241" t="s">
        <v>69</v>
      </c>
      <c r="G30" s="241"/>
      <c r="H30" s="242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152">
        <v>3</v>
      </c>
      <c r="C32" s="150">
        <v>3</v>
      </c>
      <c r="D32" s="152">
        <v>3</v>
      </c>
      <c r="E32" s="150">
        <v>3</v>
      </c>
      <c r="F32" s="236">
        <v>3</v>
      </c>
      <c r="G32" s="236"/>
      <c r="H32" s="237"/>
    </row>
    <row r="33" spans="1:8" x14ac:dyDescent="0.25">
      <c r="A33" s="7" t="s">
        <v>19</v>
      </c>
      <c r="B33" s="152"/>
      <c r="C33" s="150"/>
      <c r="D33" s="150"/>
      <c r="E33" s="151"/>
      <c r="F33" s="238" t="s">
        <v>174</v>
      </c>
      <c r="G33" s="239"/>
      <c r="H33" s="240"/>
    </row>
    <row r="34" spans="1:8" x14ac:dyDescent="0.25">
      <c r="A34" s="7" t="s">
        <v>20</v>
      </c>
      <c r="B34" s="150"/>
      <c r="C34" s="152"/>
      <c r="D34" s="151"/>
      <c r="E34" s="152"/>
      <c r="F34" s="238" t="s">
        <v>176</v>
      </c>
      <c r="G34" s="239"/>
      <c r="H34" s="240"/>
    </row>
    <row r="35" spans="1:8" x14ac:dyDescent="0.25">
      <c r="A35" s="7" t="s">
        <v>21</v>
      </c>
      <c r="B35" s="153"/>
      <c r="C35" s="153"/>
      <c r="D35" s="152"/>
      <c r="E35" s="150"/>
      <c r="F35" s="241" t="s">
        <v>175</v>
      </c>
      <c r="G35" s="241"/>
      <c r="H35" s="242"/>
    </row>
    <row r="36" spans="1:8" x14ac:dyDescent="0.25">
      <c r="A36" s="7" t="s">
        <v>79</v>
      </c>
      <c r="B36" s="223"/>
      <c r="C36" s="223"/>
      <c r="D36" s="224"/>
      <c r="E36" s="223"/>
      <c r="F36" s="236" t="s">
        <v>113</v>
      </c>
      <c r="G36" s="236"/>
      <c r="H36" s="237"/>
    </row>
    <row r="37" spans="1:8" x14ac:dyDescent="0.25">
      <c r="A37" s="228" t="s">
        <v>309</v>
      </c>
      <c r="B37" s="179"/>
      <c r="C37" s="179"/>
      <c r="D37" s="179"/>
      <c r="E37" s="179"/>
      <c r="F37" s="246"/>
      <c r="G37" s="246"/>
      <c r="H37" s="247"/>
    </row>
    <row r="38" spans="1:8" ht="15.75" thickBot="1" x14ac:dyDescent="0.3">
      <c r="A38" s="228" t="s">
        <v>310</v>
      </c>
      <c r="B38" s="179"/>
      <c r="C38" s="179"/>
      <c r="D38" s="179"/>
      <c r="E38" s="179"/>
      <c r="F38" s="241" t="s">
        <v>195</v>
      </c>
      <c r="G38" s="241"/>
      <c r="H38" s="242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152">
        <v>3</v>
      </c>
      <c r="C40" s="150">
        <v>3</v>
      </c>
      <c r="D40" s="152">
        <v>3</v>
      </c>
      <c r="E40" s="150">
        <v>3</v>
      </c>
      <c r="F40" s="236">
        <v>2</v>
      </c>
      <c r="G40" s="236"/>
      <c r="H40" s="237"/>
    </row>
    <row r="41" spans="1:8" x14ac:dyDescent="0.25">
      <c r="A41" s="7" t="s">
        <v>19</v>
      </c>
      <c r="B41" s="152"/>
      <c r="C41" s="150"/>
      <c r="D41" s="150"/>
      <c r="E41" s="224" t="s">
        <v>142</v>
      </c>
      <c r="F41" s="243" t="s">
        <v>58</v>
      </c>
      <c r="G41" s="244"/>
      <c r="H41" s="245"/>
    </row>
    <row r="42" spans="1:8" x14ac:dyDescent="0.25">
      <c r="A42" s="7" t="s">
        <v>20</v>
      </c>
      <c r="B42" s="150"/>
      <c r="C42" s="152"/>
      <c r="D42" s="151"/>
      <c r="E42" s="152" t="s">
        <v>270</v>
      </c>
      <c r="F42" s="243" t="s">
        <v>61</v>
      </c>
      <c r="G42" s="244"/>
      <c r="H42" s="245"/>
    </row>
    <row r="43" spans="1:8" x14ac:dyDescent="0.25">
      <c r="A43" s="7" t="s">
        <v>21</v>
      </c>
      <c r="B43" s="153"/>
      <c r="C43" s="153"/>
      <c r="D43" s="152"/>
      <c r="E43" s="150"/>
      <c r="F43" s="236" t="s">
        <v>191</v>
      </c>
      <c r="G43" s="236"/>
      <c r="H43" s="237"/>
    </row>
    <row r="44" spans="1:8" x14ac:dyDescent="0.25">
      <c r="A44" s="7" t="s">
        <v>79</v>
      </c>
      <c r="B44" s="223"/>
      <c r="C44" s="223"/>
      <c r="D44" s="224"/>
      <c r="E44" s="223"/>
      <c r="F44" s="236" t="s">
        <v>71</v>
      </c>
      <c r="G44" s="236"/>
      <c r="H44" s="237"/>
    </row>
    <row r="45" spans="1:8" x14ac:dyDescent="0.25">
      <c r="A45" s="228" t="s">
        <v>309</v>
      </c>
      <c r="B45" s="179"/>
      <c r="C45" s="179"/>
      <c r="D45" s="179"/>
      <c r="E45" s="179"/>
      <c r="F45" s="246"/>
      <c r="G45" s="246"/>
      <c r="H45" s="247"/>
    </row>
    <row r="46" spans="1:8" ht="15.75" thickBot="1" x14ac:dyDescent="0.3">
      <c r="A46" s="229" t="s">
        <v>310</v>
      </c>
      <c r="B46" s="225"/>
      <c r="C46" s="225"/>
      <c r="D46" s="225"/>
      <c r="E46" s="225"/>
      <c r="F46" s="248" t="s">
        <v>227</v>
      </c>
      <c r="G46" s="248"/>
      <c r="H46" s="249"/>
    </row>
  </sheetData>
  <mergeCells count="40"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3:H13"/>
    <mergeCell ref="F14:H14"/>
    <mergeCell ref="F21:H21"/>
    <mergeCell ref="F22:H22"/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N80"/>
  <sheetViews>
    <sheetView rightToLeft="1" zoomScale="85" zoomScaleNormal="85" zoomScaleSheetLayoutView="100" workbookViewId="0">
      <pane xSplit="5" ySplit="1" topLeftCell="DE2" activePane="bottomRight" state="frozen"/>
      <selection pane="topRight" activeCell="F1" sqref="F1"/>
      <selection pane="bottomLeft" activeCell="A2" sqref="A2"/>
      <selection pane="bottomRight" activeCell="EH1" sqref="EH1"/>
    </sheetView>
  </sheetViews>
  <sheetFormatPr defaultColWidth="9.140625"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customWidth="1"/>
    <col min="113" max="114" width="7.7109375" style="20" customWidth="1"/>
    <col min="115" max="119" width="7.7109375" style="38" customWidth="1"/>
    <col min="120" max="121" width="7.7109375" style="20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4" width="7.7109375" style="9" customWidth="1"/>
    <col min="145" max="16384" width="9.140625" style="9"/>
  </cols>
  <sheetData>
    <row r="1" spans="1:144" ht="71.25" customHeight="1" thickBot="1" x14ac:dyDescent="0.3">
      <c r="A1" s="158" t="s">
        <v>0</v>
      </c>
      <c r="B1" s="159" t="s">
        <v>1</v>
      </c>
      <c r="C1" s="159" t="s">
        <v>62</v>
      </c>
      <c r="D1" s="159" t="s">
        <v>3</v>
      </c>
      <c r="E1" s="159" t="s">
        <v>4</v>
      </c>
      <c r="F1" s="160" t="s">
        <v>149</v>
      </c>
      <c r="G1" s="160" t="s">
        <v>106</v>
      </c>
      <c r="H1" s="160" t="s">
        <v>47</v>
      </c>
      <c r="I1" s="160" t="s">
        <v>2</v>
      </c>
      <c r="J1" s="161" t="s">
        <v>32</v>
      </c>
      <c r="K1" s="162" t="s">
        <v>33</v>
      </c>
      <c r="L1" s="162" t="s">
        <v>34</v>
      </c>
      <c r="M1" s="162" t="s">
        <v>35</v>
      </c>
      <c r="N1" s="163" t="s">
        <v>45</v>
      </c>
      <c r="O1" s="163" t="s">
        <v>46</v>
      </c>
      <c r="P1" s="164" t="s">
        <v>44</v>
      </c>
      <c r="Q1" s="161" t="s">
        <v>23</v>
      </c>
      <c r="R1" s="162" t="s">
        <v>24</v>
      </c>
      <c r="S1" s="162" t="s">
        <v>25</v>
      </c>
      <c r="T1" s="162" t="s">
        <v>26</v>
      </c>
      <c r="U1" s="165" t="s">
        <v>27</v>
      </c>
      <c r="V1" s="163" t="s">
        <v>28</v>
      </c>
      <c r="W1" s="164" t="s">
        <v>43</v>
      </c>
      <c r="X1" s="161" t="s">
        <v>39</v>
      </c>
      <c r="Y1" s="162" t="s">
        <v>40</v>
      </c>
      <c r="Z1" s="162" t="s">
        <v>41</v>
      </c>
      <c r="AA1" s="162" t="s">
        <v>42</v>
      </c>
      <c r="AB1" s="163" t="s">
        <v>36</v>
      </c>
      <c r="AC1" s="163" t="s">
        <v>37</v>
      </c>
      <c r="AD1" s="166" t="s">
        <v>38</v>
      </c>
      <c r="AE1" s="161" t="s">
        <v>50</v>
      </c>
      <c r="AF1" s="162" t="s">
        <v>51</v>
      </c>
      <c r="AG1" s="162" t="s">
        <v>52</v>
      </c>
      <c r="AH1" s="162" t="s">
        <v>53</v>
      </c>
      <c r="AI1" s="163" t="s">
        <v>54</v>
      </c>
      <c r="AJ1" s="163" t="s">
        <v>55</v>
      </c>
      <c r="AK1" s="166" t="s">
        <v>56</v>
      </c>
      <c r="AL1" s="161" t="s">
        <v>72</v>
      </c>
      <c r="AM1" s="162" t="s">
        <v>73</v>
      </c>
      <c r="AN1" s="162" t="s">
        <v>74</v>
      </c>
      <c r="AO1" s="159" t="s">
        <v>75</v>
      </c>
      <c r="AP1" s="163" t="s">
        <v>76</v>
      </c>
      <c r="AQ1" s="163" t="s">
        <v>77</v>
      </c>
      <c r="AR1" s="164" t="s">
        <v>78</v>
      </c>
      <c r="AS1" s="158" t="s">
        <v>83</v>
      </c>
      <c r="AT1" s="159" t="s">
        <v>84</v>
      </c>
      <c r="AU1" s="159" t="s">
        <v>85</v>
      </c>
      <c r="AV1" s="159" t="s">
        <v>86</v>
      </c>
      <c r="AW1" s="165" t="s">
        <v>87</v>
      </c>
      <c r="AX1" s="165" t="s">
        <v>88</v>
      </c>
      <c r="AY1" s="166" t="s">
        <v>89</v>
      </c>
      <c r="AZ1" s="158" t="s">
        <v>99</v>
      </c>
      <c r="BA1" s="159" t="s">
        <v>100</v>
      </c>
      <c r="BB1" s="159" t="s">
        <v>101</v>
      </c>
      <c r="BC1" s="159" t="s">
        <v>102</v>
      </c>
      <c r="BD1" s="165" t="s">
        <v>103</v>
      </c>
      <c r="BE1" s="165" t="s">
        <v>104</v>
      </c>
      <c r="BF1" s="166" t="s">
        <v>105</v>
      </c>
      <c r="BG1" s="158" t="s">
        <v>117</v>
      </c>
      <c r="BH1" s="159" t="s">
        <v>118</v>
      </c>
      <c r="BI1" s="159" t="s">
        <v>159</v>
      </c>
      <c r="BJ1" s="159" t="s">
        <v>119</v>
      </c>
      <c r="BK1" s="165" t="s">
        <v>122</v>
      </c>
      <c r="BL1" s="165" t="s">
        <v>121</v>
      </c>
      <c r="BM1" s="167" t="s">
        <v>120</v>
      </c>
      <c r="BN1" s="168" t="s">
        <v>134</v>
      </c>
      <c r="BO1" s="169" t="s">
        <v>135</v>
      </c>
      <c r="BP1" s="169" t="s">
        <v>136</v>
      </c>
      <c r="BQ1" s="170" t="s">
        <v>137</v>
      </c>
      <c r="BR1" s="171" t="s">
        <v>138</v>
      </c>
      <c r="BS1" s="165" t="s">
        <v>139</v>
      </c>
      <c r="BT1" s="166" t="s">
        <v>140</v>
      </c>
      <c r="BU1" s="168" t="s">
        <v>150</v>
      </c>
      <c r="BV1" s="169" t="s">
        <v>151</v>
      </c>
      <c r="BW1" s="170" t="s">
        <v>152</v>
      </c>
      <c r="BX1" s="170" t="s">
        <v>153</v>
      </c>
      <c r="BY1" s="171" t="s">
        <v>154</v>
      </c>
      <c r="BZ1" s="165" t="s">
        <v>155</v>
      </c>
      <c r="CA1" s="166" t="s">
        <v>156</v>
      </c>
      <c r="CB1" s="168" t="s">
        <v>168</v>
      </c>
      <c r="CC1" s="169" t="s">
        <v>169</v>
      </c>
      <c r="CD1" s="170" t="s">
        <v>170</v>
      </c>
      <c r="CE1" s="172" t="s">
        <v>192</v>
      </c>
      <c r="CF1" s="171" t="s">
        <v>171</v>
      </c>
      <c r="CG1" s="165" t="s">
        <v>172</v>
      </c>
      <c r="CH1" s="166" t="s">
        <v>173</v>
      </c>
      <c r="CI1" s="169" t="s">
        <v>177</v>
      </c>
      <c r="CJ1" s="169" t="s">
        <v>178</v>
      </c>
      <c r="CK1" s="169" t="s">
        <v>179</v>
      </c>
      <c r="CL1" s="169" t="s">
        <v>180</v>
      </c>
      <c r="CM1" s="171" t="s">
        <v>181</v>
      </c>
      <c r="CN1" s="165" t="s">
        <v>182</v>
      </c>
      <c r="CO1" s="166" t="s">
        <v>183</v>
      </c>
      <c r="CP1" s="173" t="s">
        <v>32</v>
      </c>
      <c r="CQ1" s="169" t="s">
        <v>33</v>
      </c>
      <c r="CR1" s="170" t="s">
        <v>34</v>
      </c>
      <c r="CS1" s="170" t="s">
        <v>35</v>
      </c>
      <c r="CT1" s="171" t="s">
        <v>45</v>
      </c>
      <c r="CU1" s="165" t="s">
        <v>46</v>
      </c>
      <c r="CV1" s="167" t="s">
        <v>44</v>
      </c>
      <c r="CW1" s="168" t="s">
        <v>23</v>
      </c>
      <c r="CX1" s="169" t="s">
        <v>24</v>
      </c>
      <c r="CY1" s="169" t="s">
        <v>25</v>
      </c>
      <c r="CZ1" s="169" t="s">
        <v>26</v>
      </c>
      <c r="DA1" s="165" t="s">
        <v>27</v>
      </c>
      <c r="DB1" s="165" t="s">
        <v>28</v>
      </c>
      <c r="DC1" s="166" t="s">
        <v>43</v>
      </c>
      <c r="DD1" s="173" t="s">
        <v>39</v>
      </c>
      <c r="DE1" s="169" t="s">
        <v>40</v>
      </c>
      <c r="DF1" s="169" t="s">
        <v>41</v>
      </c>
      <c r="DG1" s="169" t="s">
        <v>42</v>
      </c>
      <c r="DH1" s="165" t="s">
        <v>36</v>
      </c>
      <c r="DI1" s="165" t="s">
        <v>37</v>
      </c>
      <c r="DJ1" s="166" t="s">
        <v>38</v>
      </c>
      <c r="DK1" s="173" t="s">
        <v>50</v>
      </c>
      <c r="DL1" s="169" t="s">
        <v>51</v>
      </c>
      <c r="DM1" s="169" t="s">
        <v>52</v>
      </c>
      <c r="DN1" s="169" t="s">
        <v>53</v>
      </c>
      <c r="DO1" s="165" t="s">
        <v>54</v>
      </c>
      <c r="DP1" s="165" t="s">
        <v>55</v>
      </c>
      <c r="DQ1" s="166" t="s">
        <v>56</v>
      </c>
      <c r="DR1" s="173" t="s">
        <v>72</v>
      </c>
      <c r="DS1" s="169" t="s">
        <v>73</v>
      </c>
      <c r="DT1" s="169" t="s">
        <v>74</v>
      </c>
      <c r="DU1" s="169" t="s">
        <v>75</v>
      </c>
      <c r="DV1" s="165" t="s">
        <v>76</v>
      </c>
      <c r="DW1" s="165" t="s">
        <v>77</v>
      </c>
      <c r="DX1" s="166" t="s">
        <v>78</v>
      </c>
      <c r="DY1" s="173" t="s">
        <v>83</v>
      </c>
      <c r="DZ1" s="169" t="s">
        <v>84</v>
      </c>
      <c r="EA1" s="169" t="s">
        <v>85</v>
      </c>
      <c r="EB1" s="169" t="s">
        <v>86</v>
      </c>
      <c r="EC1" s="165" t="s">
        <v>87</v>
      </c>
      <c r="ED1" s="165" t="s">
        <v>88</v>
      </c>
      <c r="EE1" s="166" t="s">
        <v>89</v>
      </c>
      <c r="EF1" s="176" t="s">
        <v>108</v>
      </c>
      <c r="EG1" s="174" t="s">
        <v>110</v>
      </c>
      <c r="EH1" s="174" t="s">
        <v>109</v>
      </c>
      <c r="EI1" s="174" t="s">
        <v>111</v>
      </c>
      <c r="EJ1" s="175" t="s">
        <v>82</v>
      </c>
      <c r="EK1" s="174" t="s">
        <v>107</v>
      </c>
      <c r="EL1" s="175" t="s">
        <v>93</v>
      </c>
      <c r="EM1" s="175" t="s">
        <v>94</v>
      </c>
      <c r="EN1" s="174" t="s">
        <v>95</v>
      </c>
    </row>
    <row r="2" spans="1:144" ht="15.75" thickBot="1" x14ac:dyDescent="0.3">
      <c r="A2" s="10">
        <v>9</v>
      </c>
      <c r="B2" s="11" t="s">
        <v>9</v>
      </c>
      <c r="C2" s="26" t="str">
        <f>B2&amp;" "&amp;A2</f>
        <v>בר 9</v>
      </c>
      <c r="D2" s="12" t="s">
        <v>6</v>
      </c>
      <c r="E2" s="12" t="s">
        <v>7</v>
      </c>
      <c r="F2" s="31" t="s">
        <v>143</v>
      </c>
      <c r="G2" s="30">
        <v>42917</v>
      </c>
      <c r="H2" s="210">
        <v>43560</v>
      </c>
      <c r="I2" s="35"/>
      <c r="J2" s="48"/>
      <c r="K2" s="49"/>
      <c r="L2" s="49"/>
      <c r="M2" s="49"/>
      <c r="N2" s="50">
        <f>J2*3+L2</f>
        <v>0</v>
      </c>
      <c r="O2" s="50">
        <f>K2*3+M2</f>
        <v>0</v>
      </c>
      <c r="P2" s="15">
        <f>O2+N2</f>
        <v>0</v>
      </c>
      <c r="Q2" s="10">
        <v>1</v>
      </c>
      <c r="R2" s="12"/>
      <c r="S2" s="12">
        <v>2</v>
      </c>
      <c r="T2" s="12"/>
      <c r="U2" s="14">
        <f>Q2*3+S2</f>
        <v>5</v>
      </c>
      <c r="V2" s="14">
        <f>R2*3+T2</f>
        <v>0</v>
      </c>
      <c r="W2" s="16">
        <f>V2+U2</f>
        <v>5</v>
      </c>
      <c r="X2" s="10"/>
      <c r="Y2" s="12"/>
      <c r="Z2" s="12">
        <v>2</v>
      </c>
      <c r="AA2" s="12"/>
      <c r="AB2" s="17">
        <f>X2*3+Z2</f>
        <v>2</v>
      </c>
      <c r="AC2" s="17">
        <f>Y2*3+AA2</f>
        <v>0</v>
      </c>
      <c r="AD2" s="18">
        <f>AC2+AB2</f>
        <v>2</v>
      </c>
      <c r="AE2" s="10"/>
      <c r="AF2" s="12">
        <v>1</v>
      </c>
      <c r="AG2" s="12">
        <v>2</v>
      </c>
      <c r="AH2" s="12">
        <v>1</v>
      </c>
      <c r="AI2" s="14">
        <f>AE2*3+AG2</f>
        <v>2</v>
      </c>
      <c r="AJ2" s="14">
        <f>AF2*3+AH2</f>
        <v>4</v>
      </c>
      <c r="AK2" s="16">
        <f>AJ2+AI2</f>
        <v>6</v>
      </c>
      <c r="AL2" s="10">
        <v>1</v>
      </c>
      <c r="AM2" s="12"/>
      <c r="AN2" s="12"/>
      <c r="AO2" s="12"/>
      <c r="AP2" s="14">
        <f>AL2*3+AN2</f>
        <v>3</v>
      </c>
      <c r="AQ2" s="14">
        <f>AM2*3+AO2</f>
        <v>0</v>
      </c>
      <c r="AR2" s="16">
        <f>AQ2+AP2</f>
        <v>3</v>
      </c>
      <c r="AS2" s="10"/>
      <c r="AT2" s="12"/>
      <c r="AU2" s="12">
        <v>2</v>
      </c>
      <c r="AV2" s="12"/>
      <c r="AW2" s="14">
        <f>AS2*3+AU2</f>
        <v>2</v>
      </c>
      <c r="AX2" s="14">
        <f>AT2*3+AV2</f>
        <v>0</v>
      </c>
      <c r="AY2" s="16">
        <f>AX2+AW2</f>
        <v>2</v>
      </c>
      <c r="AZ2" s="10"/>
      <c r="BA2" s="12"/>
      <c r="BB2" s="12">
        <v>1</v>
      </c>
      <c r="BC2" s="12"/>
      <c r="BD2" s="14">
        <f>AZ2*3+BB2</f>
        <v>1</v>
      </c>
      <c r="BE2" s="14">
        <f>BA2*3+BC2</f>
        <v>0</v>
      </c>
      <c r="BF2" s="16">
        <f>BE2+BD2</f>
        <v>1</v>
      </c>
      <c r="BG2" s="32">
        <v>1</v>
      </c>
      <c r="BH2" s="40"/>
      <c r="BI2" s="12">
        <v>3</v>
      </c>
      <c r="BJ2" s="12"/>
      <c r="BK2" s="14">
        <f>BG2*3+BI2</f>
        <v>6</v>
      </c>
      <c r="BL2" s="14">
        <f>BH2*3+BJ2</f>
        <v>0</v>
      </c>
      <c r="BM2" s="39">
        <f>BL2+BK2</f>
        <v>6</v>
      </c>
      <c r="BN2" s="32"/>
      <c r="BO2" s="40"/>
      <c r="BP2" s="40">
        <v>3</v>
      </c>
      <c r="BQ2" s="40"/>
      <c r="BR2" s="14">
        <f>BN2*3+BP2</f>
        <v>3</v>
      </c>
      <c r="BS2" s="14">
        <f>BO2*3+BQ2</f>
        <v>0</v>
      </c>
      <c r="BT2" s="39">
        <f>BS2+BR2</f>
        <v>3</v>
      </c>
      <c r="BU2" s="32">
        <v>1</v>
      </c>
      <c r="BV2" s="40"/>
      <c r="BW2" s="40"/>
      <c r="BX2" s="40"/>
      <c r="BY2" s="14">
        <f>BU2*3+BW2</f>
        <v>3</v>
      </c>
      <c r="BZ2" s="14">
        <f>BV2*3+BX2</f>
        <v>0</v>
      </c>
      <c r="CA2" s="39">
        <f>BZ2+BY2</f>
        <v>3</v>
      </c>
      <c r="CB2" s="32"/>
      <c r="CC2" s="40"/>
      <c r="CD2" s="40">
        <v>1</v>
      </c>
      <c r="CE2" s="79">
        <v>1</v>
      </c>
      <c r="CF2" s="14">
        <f>CB2*3+CD2</f>
        <v>1</v>
      </c>
      <c r="CG2" s="14">
        <f>CC2*3+CE2</f>
        <v>1</v>
      </c>
      <c r="CH2" s="39">
        <f>CG2+CF2</f>
        <v>2</v>
      </c>
      <c r="CI2" s="40"/>
      <c r="CJ2" s="40"/>
      <c r="CK2" s="40">
        <v>2</v>
      </c>
      <c r="CL2" s="83"/>
      <c r="CM2" s="14">
        <f>CI2*3+CK2</f>
        <v>2</v>
      </c>
      <c r="CN2" s="14">
        <f>CJ2*3+CL2</f>
        <v>0</v>
      </c>
      <c r="CO2" s="39">
        <f>CN2+CM2</f>
        <v>2</v>
      </c>
      <c r="CP2" s="108">
        <v>1</v>
      </c>
      <c r="CQ2" s="40"/>
      <c r="CR2" s="40">
        <v>1</v>
      </c>
      <c r="CS2" s="40"/>
      <c r="CT2" s="14">
        <f>CP2*3+CR2</f>
        <v>4</v>
      </c>
      <c r="CU2" s="14">
        <f>CQ2*3+CS2</f>
        <v>0</v>
      </c>
      <c r="CV2" s="39">
        <f>CU2+CT2</f>
        <v>4</v>
      </c>
      <c r="CW2" s="32"/>
      <c r="CX2" s="40">
        <v>1</v>
      </c>
      <c r="CY2" s="40">
        <v>2</v>
      </c>
      <c r="CZ2" s="40"/>
      <c r="DA2" s="17">
        <f>CW2*3+CY2</f>
        <v>2</v>
      </c>
      <c r="DB2" s="17">
        <f>CX2*3+CZ2</f>
        <v>3</v>
      </c>
      <c r="DC2" s="18">
        <f>DB2+DA2</f>
        <v>5</v>
      </c>
      <c r="DD2" s="108"/>
      <c r="DE2" s="40"/>
      <c r="DF2" s="40">
        <v>2</v>
      </c>
      <c r="DG2" s="40"/>
      <c r="DH2" s="157">
        <f>DD2*3+DF2</f>
        <v>2</v>
      </c>
      <c r="DI2" s="157">
        <f>DE2*3+DG2</f>
        <v>0</v>
      </c>
      <c r="DJ2" s="18">
        <f>DI2+DH2</f>
        <v>2</v>
      </c>
      <c r="DK2" s="108">
        <v>1</v>
      </c>
      <c r="DL2" s="40"/>
      <c r="DM2" s="40"/>
      <c r="DN2" s="40"/>
      <c r="DO2" s="157">
        <f>DK2*3+DM2</f>
        <v>3</v>
      </c>
      <c r="DP2" s="157">
        <f>DL2*3+DN2</f>
        <v>0</v>
      </c>
      <c r="DQ2" s="18">
        <f>DP2+DO2</f>
        <v>3</v>
      </c>
      <c r="DR2" s="108"/>
      <c r="DS2" s="40"/>
      <c r="DT2" s="40">
        <v>1</v>
      </c>
      <c r="DU2" s="40">
        <v>1</v>
      </c>
      <c r="DV2" s="157">
        <f>DR2*3+DT2</f>
        <v>1</v>
      </c>
      <c r="DW2" s="157">
        <f>DS2*3+DU2</f>
        <v>1</v>
      </c>
      <c r="DX2" s="18">
        <f>DW2+DV2</f>
        <v>2</v>
      </c>
      <c r="DY2" s="108"/>
      <c r="DZ2" s="40">
        <v>1</v>
      </c>
      <c r="EA2" s="40"/>
      <c r="EB2" s="40"/>
      <c r="EC2" s="157">
        <f>DY2*3+EA2</f>
        <v>0</v>
      </c>
      <c r="ED2" s="157">
        <f>DZ2*3+EB2</f>
        <v>3</v>
      </c>
      <c r="EE2" s="18">
        <f>ED2+EC2</f>
        <v>3</v>
      </c>
      <c r="EF2" s="74">
        <f>SUM(AP2,AI2,AB2,U2,N2,AW2,BD2,BK2,BR2,BY2,CF2,CM2,CT2,DA2,DH2,DO2,DV2,EC2)</f>
        <v>42</v>
      </c>
      <c r="EG2" s="75">
        <f ca="1">EF2/(10+TODAY()-G2)</f>
        <v>8.1237911025145063E-2</v>
      </c>
      <c r="EH2" s="76">
        <f>SUM(AQ2,AJ2,AC2,V2,O2,AX2,BE2,BL2,BS2,BZ2,CG2,CN2,CU2,DB2,DI2,DP2,DW2,ED2)</f>
        <v>12</v>
      </c>
      <c r="EI2" s="75">
        <f ca="1">EH2/(10+TODAY()-G2)</f>
        <v>2.321083172147002E-2</v>
      </c>
      <c r="EJ2" s="76">
        <f>EF2+EH2</f>
        <v>54</v>
      </c>
      <c r="EK2" s="75">
        <f ca="1">EI2+EG2</f>
        <v>0.10444874274661509</v>
      </c>
      <c r="EL2" s="76">
        <f>SUM(AS2,AL2,AE2,X2,Q2,Q2,J2,AZ2,BG2,BN2,BU2,CB2,CI2,CP2,CW2,DD2,DK2,DR2,DY2)</f>
        <v>7</v>
      </c>
      <c r="EM2" s="76">
        <f>SUM(AT2,AM2,AF2,Y2,R2,R2,K2,BA2,BH2,BO2,BV2,CC2,CJ2,CQ2,CX2,DE2,DL2,DS2,DZ2)</f>
        <v>3</v>
      </c>
      <c r="EN2" s="76">
        <f>EM2+EL2</f>
        <v>10</v>
      </c>
    </row>
    <row r="3" spans="1:144" ht="15.75" thickBot="1" x14ac:dyDescent="0.3">
      <c r="A3" s="10">
        <v>9</v>
      </c>
      <c r="B3" s="24" t="s">
        <v>96</v>
      </c>
      <c r="C3" s="26" t="str">
        <f>B3&amp;" "&amp;A3</f>
        <v>ירדן 9</v>
      </c>
      <c r="D3" s="23" t="s">
        <v>6</v>
      </c>
      <c r="E3" s="23" t="s">
        <v>7</v>
      </c>
      <c r="F3" s="31" t="s">
        <v>146</v>
      </c>
      <c r="G3" s="30">
        <v>43040</v>
      </c>
      <c r="H3" s="31"/>
      <c r="I3" s="13"/>
      <c r="J3" s="48"/>
      <c r="K3" s="49"/>
      <c r="L3" s="49"/>
      <c r="M3" s="49"/>
      <c r="N3" s="50">
        <f>J3*3+L3</f>
        <v>0</v>
      </c>
      <c r="O3" s="50">
        <f>K3*3+M3</f>
        <v>0</v>
      </c>
      <c r="P3" s="15">
        <f>O3+N3</f>
        <v>0</v>
      </c>
      <c r="Q3" s="10"/>
      <c r="R3" s="12"/>
      <c r="S3" s="12"/>
      <c r="T3" s="12"/>
      <c r="U3" s="14">
        <f>Q3*3+S3</f>
        <v>0</v>
      </c>
      <c r="V3" s="14">
        <f>R3*3+T3</f>
        <v>0</v>
      </c>
      <c r="W3" s="16">
        <f>V3+U3</f>
        <v>0</v>
      </c>
      <c r="X3" s="10"/>
      <c r="Y3" s="12"/>
      <c r="Z3" s="12"/>
      <c r="AA3" s="12"/>
      <c r="AB3" s="17">
        <f>X3*3+Z3</f>
        <v>0</v>
      </c>
      <c r="AC3" s="17">
        <f>Y3*3+AA3</f>
        <v>0</v>
      </c>
      <c r="AD3" s="18">
        <f>AC3+AB3</f>
        <v>0</v>
      </c>
      <c r="AE3" s="10"/>
      <c r="AF3" s="12"/>
      <c r="AG3" s="12"/>
      <c r="AH3" s="12"/>
      <c r="AI3" s="14">
        <f>AE3*3+AG3</f>
        <v>0</v>
      </c>
      <c r="AJ3" s="14">
        <f>AF3*3+AH3</f>
        <v>0</v>
      </c>
      <c r="AK3" s="16">
        <f>AJ3+AI3</f>
        <v>0</v>
      </c>
      <c r="AL3" s="10"/>
      <c r="AM3" s="12"/>
      <c r="AN3" s="12"/>
      <c r="AO3" s="12"/>
      <c r="AP3" s="14">
        <f>AL3*3+AN3</f>
        <v>0</v>
      </c>
      <c r="AQ3" s="14">
        <f>AM3*3+AO3</f>
        <v>0</v>
      </c>
      <c r="AR3" s="16">
        <f>AQ3+AP3</f>
        <v>0</v>
      </c>
      <c r="AS3" s="10">
        <v>1</v>
      </c>
      <c r="AT3" s="12"/>
      <c r="AU3" s="12"/>
      <c r="AV3" s="12"/>
      <c r="AW3" s="14">
        <f>AS3*3+AU3</f>
        <v>3</v>
      </c>
      <c r="AX3" s="14">
        <f>AT3*3+AV3</f>
        <v>0</v>
      </c>
      <c r="AY3" s="16">
        <f>AX3+AW3</f>
        <v>3</v>
      </c>
      <c r="AZ3" s="10"/>
      <c r="BA3" s="12"/>
      <c r="BB3" s="12">
        <v>3</v>
      </c>
      <c r="BC3" s="12"/>
      <c r="BD3" s="14">
        <f>AZ3*3+BB3</f>
        <v>3</v>
      </c>
      <c r="BE3" s="14">
        <f>BA3*3+BC3</f>
        <v>0</v>
      </c>
      <c r="BF3" s="16">
        <f>BE3+BD3</f>
        <v>3</v>
      </c>
      <c r="BG3" s="32">
        <v>1</v>
      </c>
      <c r="BH3" s="40"/>
      <c r="BI3" s="40">
        <v>1</v>
      </c>
      <c r="BJ3" s="12"/>
      <c r="BK3" s="14">
        <f>BG3*3+BI3</f>
        <v>4</v>
      </c>
      <c r="BL3" s="14">
        <f>BH3*3+BJ3</f>
        <v>0</v>
      </c>
      <c r="BM3" s="39">
        <f>BL3+BK3</f>
        <v>4</v>
      </c>
      <c r="BN3" s="32"/>
      <c r="BO3" s="40"/>
      <c r="BP3" s="40">
        <v>4</v>
      </c>
      <c r="BQ3" s="40"/>
      <c r="BR3" s="14">
        <f>BN3*3+BP3</f>
        <v>4</v>
      </c>
      <c r="BS3" s="14">
        <f>BO3*3+BQ3</f>
        <v>0</v>
      </c>
      <c r="BT3" s="39">
        <f>BS3+BR3</f>
        <v>4</v>
      </c>
      <c r="BU3" s="32">
        <v>1</v>
      </c>
      <c r="BV3" s="40"/>
      <c r="BW3" s="40"/>
      <c r="BX3" s="40"/>
      <c r="BY3" s="14">
        <f>BU3*3+BW3</f>
        <v>3</v>
      </c>
      <c r="BZ3" s="14">
        <f>BV3*3+BX3</f>
        <v>0</v>
      </c>
      <c r="CA3" s="39">
        <f>BZ3+BY3</f>
        <v>3</v>
      </c>
      <c r="CB3" s="32"/>
      <c r="CC3" s="40"/>
      <c r="CD3" s="40">
        <v>2</v>
      </c>
      <c r="CE3" s="79"/>
      <c r="CF3" s="14">
        <f>CB3*3+CD3</f>
        <v>2</v>
      </c>
      <c r="CG3" s="14">
        <f>CC3*3+CE3</f>
        <v>0</v>
      </c>
      <c r="CH3" s="39">
        <f>CG3+CF3</f>
        <v>2</v>
      </c>
      <c r="CI3" s="40"/>
      <c r="CJ3" s="40"/>
      <c r="CK3" s="40">
        <v>1</v>
      </c>
      <c r="CL3" s="83"/>
      <c r="CM3" s="14">
        <f>CI3*3+CK3</f>
        <v>1</v>
      </c>
      <c r="CN3" s="14">
        <f>CJ3*3+CL3</f>
        <v>0</v>
      </c>
      <c r="CO3" s="39">
        <f>CN3+CM3</f>
        <v>1</v>
      </c>
      <c r="CP3" s="108"/>
      <c r="CQ3" s="40">
        <v>1</v>
      </c>
      <c r="CR3" s="40">
        <v>2</v>
      </c>
      <c r="CS3" s="40"/>
      <c r="CT3" s="14">
        <f>CP3*3+CR3</f>
        <v>2</v>
      </c>
      <c r="CU3" s="14">
        <f>CQ3*3+CS3</f>
        <v>3</v>
      </c>
      <c r="CV3" s="39">
        <f>CU3+CT3</f>
        <v>5</v>
      </c>
      <c r="CW3" s="32">
        <v>1</v>
      </c>
      <c r="CX3" s="40"/>
      <c r="CY3" s="40"/>
      <c r="CZ3" s="40">
        <v>1</v>
      </c>
      <c r="DA3" s="17">
        <f>CW3*3+CY3</f>
        <v>3</v>
      </c>
      <c r="DB3" s="17">
        <f>CX3*3+CZ3</f>
        <v>1</v>
      </c>
      <c r="DC3" s="18">
        <f>DB3+DA3</f>
        <v>4</v>
      </c>
      <c r="DD3" s="108">
        <v>1</v>
      </c>
      <c r="DE3" s="40"/>
      <c r="DF3" s="40"/>
      <c r="DG3" s="40"/>
      <c r="DH3" s="157">
        <f>DD3*3+DF3</f>
        <v>3</v>
      </c>
      <c r="DI3" s="157">
        <f>DE3*3+DG3</f>
        <v>0</v>
      </c>
      <c r="DJ3" s="18">
        <f>DI3+DH3</f>
        <v>3</v>
      </c>
      <c r="DK3" s="108">
        <v>1</v>
      </c>
      <c r="DL3" s="40"/>
      <c r="DM3" s="40">
        <v>1</v>
      </c>
      <c r="DN3" s="40"/>
      <c r="DO3" s="157">
        <f>DK3*3+DM3</f>
        <v>4</v>
      </c>
      <c r="DP3" s="157">
        <f>DL3*3+DN3</f>
        <v>0</v>
      </c>
      <c r="DQ3" s="18">
        <f>DP3+DO3</f>
        <v>4</v>
      </c>
      <c r="DR3" s="108"/>
      <c r="DS3" s="40"/>
      <c r="DT3" s="40"/>
      <c r="DU3" s="40"/>
      <c r="DV3" s="157">
        <f>DR3*3+DT3</f>
        <v>0</v>
      </c>
      <c r="DW3" s="157">
        <f>DS3*3+DU3</f>
        <v>0</v>
      </c>
      <c r="DX3" s="18">
        <f>DW3+DV3</f>
        <v>0</v>
      </c>
      <c r="DY3" s="108"/>
      <c r="DZ3" s="40">
        <v>1</v>
      </c>
      <c r="EA3" s="40"/>
      <c r="EB3" s="40"/>
      <c r="EC3" s="157">
        <f>DY3*3+EA3</f>
        <v>0</v>
      </c>
      <c r="ED3" s="157">
        <f>DZ3*3+EB3</f>
        <v>3</v>
      </c>
      <c r="EE3" s="18">
        <f>ED3+EC3</f>
        <v>3</v>
      </c>
      <c r="EF3" s="74">
        <f>SUM(AP3,AI3,AB3,U3,N3,AW3,BD3,BK3,BR3,BY3,CF3,CM3,CT3,DA3,DH3,DO3,DV3,EC3)</f>
        <v>32</v>
      </c>
      <c r="EG3" s="75">
        <f ca="1">EF3/(10+TODAY()-G3)</f>
        <v>8.1218274111675121E-2</v>
      </c>
      <c r="EH3" s="76">
        <f>SUM(AQ3,AJ3,AC3,V3,O3,AX3,BE3,BL3,BS3,BZ3,CG3,CN3,CU3,DB3,DI3,DP3,DW3,ED3)</f>
        <v>7</v>
      </c>
      <c r="EI3" s="75">
        <f ca="1">EH3/(10+TODAY()-G3)</f>
        <v>1.7766497461928935E-2</v>
      </c>
      <c r="EJ3" s="76">
        <f>EF3+EH3</f>
        <v>39</v>
      </c>
      <c r="EK3" s="75">
        <f ca="1">EI3+EG3</f>
        <v>9.8984771573604052E-2</v>
      </c>
      <c r="EL3" s="76">
        <f>SUM(AS3,AL3,AE3,X3,Q3,Q3,J3,AZ3,BG3,BN3,BU3,CB3,CI3,CP3,CW3,DD3,DK3,DR3,DY3)</f>
        <v>6</v>
      </c>
      <c r="EM3" s="76">
        <f>SUM(AT3,AM3,AF3,Y3,R3,R3,K3,BA3,BH3,BO3,BV3,CC3,CJ3,CQ3,CX3,DE3,DL3,DS3,DZ3)</f>
        <v>2</v>
      </c>
      <c r="EN3" s="76">
        <f>EM3+EL3</f>
        <v>8</v>
      </c>
    </row>
    <row r="4" spans="1:144" ht="15.75" thickBot="1" x14ac:dyDescent="0.3">
      <c r="A4" s="32">
        <v>9</v>
      </c>
      <c r="B4" s="33" t="s">
        <v>48</v>
      </c>
      <c r="C4" s="85" t="str">
        <f>B4&amp;" "&amp;A4</f>
        <v>כלנית 9</v>
      </c>
      <c r="D4" s="23" t="s">
        <v>6</v>
      </c>
      <c r="E4" s="23" t="s">
        <v>7</v>
      </c>
      <c r="F4" s="31" t="s">
        <v>144</v>
      </c>
      <c r="G4" s="30">
        <v>42979</v>
      </c>
      <c r="H4" s="19"/>
      <c r="I4" s="35"/>
      <c r="J4" s="48"/>
      <c r="K4" s="49"/>
      <c r="L4" s="49"/>
      <c r="M4" s="49"/>
      <c r="N4" s="50">
        <f>J4*3+L4</f>
        <v>0</v>
      </c>
      <c r="O4" s="50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>
        <v>1</v>
      </c>
      <c r="AF4" s="12"/>
      <c r="AG4" s="12">
        <v>2</v>
      </c>
      <c r="AH4" s="12"/>
      <c r="AI4" s="14">
        <f>AE4*3+AG4</f>
        <v>5</v>
      </c>
      <c r="AJ4" s="14">
        <f>AF4*3+AH4</f>
        <v>0</v>
      </c>
      <c r="AK4" s="16">
        <f>AJ4+AI4</f>
        <v>5</v>
      </c>
      <c r="AL4" s="10">
        <v>1</v>
      </c>
      <c r="AM4" s="12"/>
      <c r="AN4" s="12"/>
      <c r="AO4" s="12"/>
      <c r="AP4" s="14">
        <f>AL4*3+AN4</f>
        <v>3</v>
      </c>
      <c r="AQ4" s="14">
        <f>AM4*3+AO4</f>
        <v>0</v>
      </c>
      <c r="AR4" s="16">
        <f>AQ4+AP4</f>
        <v>3</v>
      </c>
      <c r="AS4" s="10"/>
      <c r="AT4" s="12"/>
      <c r="AU4" s="12">
        <v>4</v>
      </c>
      <c r="AV4" s="12"/>
      <c r="AW4" s="14">
        <f>AS4*3+AU4</f>
        <v>4</v>
      </c>
      <c r="AX4" s="14">
        <f>AT4*3+AV4</f>
        <v>0</v>
      </c>
      <c r="AY4" s="16">
        <f>AX4+AW4</f>
        <v>4</v>
      </c>
      <c r="AZ4" s="10"/>
      <c r="BA4" s="12"/>
      <c r="BB4" s="12">
        <v>2</v>
      </c>
      <c r="BC4" s="12">
        <v>1</v>
      </c>
      <c r="BD4" s="14">
        <f>AZ4*3+BB4</f>
        <v>2</v>
      </c>
      <c r="BE4" s="14">
        <f>BA4*3+BC4</f>
        <v>1</v>
      </c>
      <c r="BF4" s="16">
        <f>BE4+BD4</f>
        <v>3</v>
      </c>
      <c r="BG4" s="32">
        <v>1</v>
      </c>
      <c r="BH4" s="40"/>
      <c r="BI4" s="40">
        <v>1</v>
      </c>
      <c r="BJ4" s="12"/>
      <c r="BK4" s="14">
        <f>BG4*3+BI4</f>
        <v>4</v>
      </c>
      <c r="BL4" s="14">
        <f>BH4*3+BJ4</f>
        <v>0</v>
      </c>
      <c r="BM4" s="39">
        <f>BL4+BK4</f>
        <v>4</v>
      </c>
      <c r="BN4" s="32"/>
      <c r="BO4" s="40"/>
      <c r="BP4" s="40">
        <v>3</v>
      </c>
      <c r="BQ4" s="40">
        <v>1</v>
      </c>
      <c r="BR4" s="14">
        <f>BN4*3+BP4</f>
        <v>3</v>
      </c>
      <c r="BS4" s="14">
        <f>BO4*3+BQ4</f>
        <v>1</v>
      </c>
      <c r="BT4" s="39">
        <f>BS4+BR4</f>
        <v>4</v>
      </c>
      <c r="BU4" s="32"/>
      <c r="BV4" s="40">
        <v>1</v>
      </c>
      <c r="BW4" s="40"/>
      <c r="BX4" s="40">
        <v>1</v>
      </c>
      <c r="BY4" s="14">
        <f>BU4*3+BW4</f>
        <v>0</v>
      </c>
      <c r="BZ4" s="14">
        <f>BV4*3+BX4</f>
        <v>4</v>
      </c>
      <c r="CA4" s="39">
        <f>BZ4+BY4</f>
        <v>4</v>
      </c>
      <c r="CB4" s="32"/>
      <c r="CC4" s="40"/>
      <c r="CD4" s="40"/>
      <c r="CE4" s="79"/>
      <c r="CF4" s="14">
        <f>CB4*3+CD4</f>
        <v>0</v>
      </c>
      <c r="CG4" s="14">
        <f>CC4*3+CE4</f>
        <v>0</v>
      </c>
      <c r="CH4" s="39">
        <f>CG4+CF4</f>
        <v>0</v>
      </c>
      <c r="CI4" s="40">
        <v>1</v>
      </c>
      <c r="CJ4" s="40"/>
      <c r="CK4" s="40">
        <v>1</v>
      </c>
      <c r="CL4" s="83"/>
      <c r="CM4" s="14">
        <f>CI4*3+CK4</f>
        <v>4</v>
      </c>
      <c r="CN4" s="14">
        <f>CJ4*3+CL4</f>
        <v>0</v>
      </c>
      <c r="CO4" s="39">
        <f>CN4+CM4</f>
        <v>4</v>
      </c>
      <c r="CP4" s="108"/>
      <c r="CQ4" s="40"/>
      <c r="CR4" s="40">
        <v>2</v>
      </c>
      <c r="CS4" s="40"/>
      <c r="CT4" s="14">
        <f>CP4*3+CR4</f>
        <v>2</v>
      </c>
      <c r="CU4" s="14">
        <f>CQ4*3+CS4</f>
        <v>0</v>
      </c>
      <c r="CV4" s="39">
        <f>CU4+CT4</f>
        <v>2</v>
      </c>
      <c r="CW4" s="32"/>
      <c r="CX4" s="40"/>
      <c r="CY4" s="40">
        <v>1</v>
      </c>
      <c r="CZ4" s="40"/>
      <c r="DA4" s="17">
        <f>CW4*3+CY4</f>
        <v>1</v>
      </c>
      <c r="DB4" s="17">
        <f>CX4*3+CZ4</f>
        <v>0</v>
      </c>
      <c r="DC4" s="18">
        <f>DB4+DA4</f>
        <v>1</v>
      </c>
      <c r="DD4" s="108">
        <v>1</v>
      </c>
      <c r="DE4" s="40"/>
      <c r="DF4" s="40">
        <v>1</v>
      </c>
      <c r="DG4" s="40"/>
      <c r="DH4" s="157">
        <f>DD4*3+DF4</f>
        <v>4</v>
      </c>
      <c r="DI4" s="157">
        <f>DE4*3+DG4</f>
        <v>0</v>
      </c>
      <c r="DJ4" s="18">
        <f>DI4+DH4</f>
        <v>4</v>
      </c>
      <c r="DK4" s="108">
        <v>1</v>
      </c>
      <c r="DL4" s="40"/>
      <c r="DM4" s="40"/>
      <c r="DN4" s="40">
        <v>1</v>
      </c>
      <c r="DO4" s="157">
        <f>DK4*3+DM4</f>
        <v>3</v>
      </c>
      <c r="DP4" s="157">
        <f>DL4*3+DN4</f>
        <v>1</v>
      </c>
      <c r="DQ4" s="18">
        <f>DP4+DO4</f>
        <v>4</v>
      </c>
      <c r="DR4" s="108"/>
      <c r="DS4" s="40"/>
      <c r="DT4" s="40">
        <v>2</v>
      </c>
      <c r="DU4" s="40"/>
      <c r="DV4" s="157">
        <f>DR4*3+DT4</f>
        <v>2</v>
      </c>
      <c r="DW4" s="157">
        <f>DS4*3+DU4</f>
        <v>0</v>
      </c>
      <c r="DX4" s="18">
        <f>DW4+DV4</f>
        <v>2</v>
      </c>
      <c r="DY4" s="108"/>
      <c r="DZ4" s="40">
        <v>1</v>
      </c>
      <c r="EA4" s="40"/>
      <c r="EB4" s="40"/>
      <c r="EC4" s="157">
        <f>DY4*3+EA4</f>
        <v>0</v>
      </c>
      <c r="ED4" s="157">
        <f>DZ4*3+EB4</f>
        <v>3</v>
      </c>
      <c r="EE4" s="18">
        <f>ED4+EC4</f>
        <v>3</v>
      </c>
      <c r="EF4" s="74">
        <f>SUM(AP4,AI4,AB4,U4,N4,AW4,BD4,BK4,BR4,BY4,CF4,CM4,CT4,DA4,DH4,DO4,DV4,EC4)</f>
        <v>37</v>
      </c>
      <c r="EG4" s="75">
        <f ca="1">EF4/(10+TODAY()-G4)</f>
        <v>8.1318681318681321E-2</v>
      </c>
      <c r="EH4" s="76">
        <f>SUM(AQ4,AJ4,AC4,V4,O4,AX4,BE4,BL4,BS4,BZ4,CG4,CN4,CU4,DB4,DI4,DP4,DW4,ED4)</f>
        <v>10</v>
      </c>
      <c r="EI4" s="75">
        <f ca="1">EH4/(10+TODAY()-G4)</f>
        <v>2.197802197802198E-2</v>
      </c>
      <c r="EJ4" s="76">
        <f>EF4+EH4</f>
        <v>47</v>
      </c>
      <c r="EK4" s="75">
        <f ca="1">EI4+EG4</f>
        <v>0.1032967032967033</v>
      </c>
      <c r="EL4" s="76">
        <f>SUM(AS4,AL4,AE4,X4,Q4,Q4,J4,AZ4,BG4,BN4,BU4,CB4,CI4,CP4,CW4,DD4,DK4,DR4,DY4)</f>
        <v>6</v>
      </c>
      <c r="EM4" s="76">
        <f>SUM(AT4,AM4,AF4,Y4,R4,R4,K4,BA4,BH4,BO4,BV4,CC4,CJ4,CQ4,CX4,DE4,DL4,DS4,DZ4)</f>
        <v>2</v>
      </c>
      <c r="EN4" s="76">
        <f>EM4+EL4</f>
        <v>8</v>
      </c>
    </row>
    <row r="5" spans="1:144" ht="15.75" thickBot="1" x14ac:dyDescent="0.3">
      <c r="A5" s="10">
        <v>474</v>
      </c>
      <c r="B5" s="24" t="s">
        <v>123</v>
      </c>
      <c r="C5" s="26" t="str">
        <f>B5&amp;" "&amp;A5</f>
        <v>אתי 474</v>
      </c>
      <c r="D5" s="23" t="s">
        <v>7</v>
      </c>
      <c r="E5" s="23" t="s">
        <v>7</v>
      </c>
      <c r="F5" s="31" t="s">
        <v>147</v>
      </c>
      <c r="G5" s="30">
        <v>43101</v>
      </c>
      <c r="H5" s="31"/>
      <c r="I5" s="13"/>
      <c r="J5" s="48"/>
      <c r="K5" s="49"/>
      <c r="L5" s="49"/>
      <c r="M5" s="49"/>
      <c r="N5" s="50">
        <f>J5*3+L5</f>
        <v>0</v>
      </c>
      <c r="O5" s="50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/>
      <c r="AT5" s="12"/>
      <c r="AU5" s="12"/>
      <c r="AV5" s="12"/>
      <c r="AW5" s="14">
        <f>AS5*3+AU5</f>
        <v>0</v>
      </c>
      <c r="AX5" s="14">
        <f>AT5*3+AV5</f>
        <v>0</v>
      </c>
      <c r="AY5" s="16">
        <f>AX5+AW5</f>
        <v>0</v>
      </c>
      <c r="AZ5" s="10"/>
      <c r="BA5" s="12"/>
      <c r="BB5" s="12"/>
      <c r="BC5" s="12"/>
      <c r="BD5" s="14">
        <f>AZ5*3+BB5</f>
        <v>0</v>
      </c>
      <c r="BE5" s="14">
        <f>BA5*3+BC5</f>
        <v>0</v>
      </c>
      <c r="BF5" s="16">
        <f>BE5+BD5</f>
        <v>0</v>
      </c>
      <c r="BG5" s="32">
        <v>1</v>
      </c>
      <c r="BH5" s="40"/>
      <c r="BI5" s="12"/>
      <c r="BJ5" s="12"/>
      <c r="BK5" s="14">
        <f>BG5*3+BI5</f>
        <v>3</v>
      </c>
      <c r="BL5" s="14">
        <f>BH5*3+BJ5</f>
        <v>0</v>
      </c>
      <c r="BM5" s="39">
        <f>BL5+BK5</f>
        <v>3</v>
      </c>
      <c r="BN5" s="32"/>
      <c r="BO5" s="40"/>
      <c r="BP5" s="40">
        <v>4</v>
      </c>
      <c r="BQ5" s="40"/>
      <c r="BR5" s="14">
        <f>BN5*3+BP5</f>
        <v>4</v>
      </c>
      <c r="BS5" s="14">
        <f>BO5*3+BQ5</f>
        <v>0</v>
      </c>
      <c r="BT5" s="39">
        <f>BS5+BR5</f>
        <v>4</v>
      </c>
      <c r="BU5" s="32"/>
      <c r="BV5" s="40"/>
      <c r="BW5" s="40">
        <v>3</v>
      </c>
      <c r="BX5" s="40"/>
      <c r="BY5" s="14">
        <f>BU5*3+BW5</f>
        <v>3</v>
      </c>
      <c r="BZ5" s="14">
        <f>BV5*3+BX5</f>
        <v>0</v>
      </c>
      <c r="CA5" s="39">
        <f>BZ5+BY5</f>
        <v>3</v>
      </c>
      <c r="CB5" s="32">
        <v>1</v>
      </c>
      <c r="CC5" s="40"/>
      <c r="CD5" s="40">
        <v>1</v>
      </c>
      <c r="CE5" s="79"/>
      <c r="CF5" s="14">
        <f>CB5*3+CD5</f>
        <v>4</v>
      </c>
      <c r="CG5" s="14">
        <f>CC5*3+CE5</f>
        <v>0</v>
      </c>
      <c r="CH5" s="39">
        <f>CG5+CF5</f>
        <v>4</v>
      </c>
      <c r="CI5" s="40"/>
      <c r="CJ5" s="40"/>
      <c r="CK5" s="40">
        <v>1</v>
      </c>
      <c r="CL5" s="83">
        <v>1</v>
      </c>
      <c r="CM5" s="14">
        <f>CI5*3+CK5</f>
        <v>1</v>
      </c>
      <c r="CN5" s="14">
        <f>CJ5*3+CL5</f>
        <v>1</v>
      </c>
      <c r="CO5" s="39">
        <f>CN5+CM5</f>
        <v>2</v>
      </c>
      <c r="CP5" s="108">
        <v>1</v>
      </c>
      <c r="CQ5" s="40"/>
      <c r="CR5" s="40">
        <v>1</v>
      </c>
      <c r="CS5" s="40"/>
      <c r="CT5" s="14">
        <f>CP5*3+CR5</f>
        <v>4</v>
      </c>
      <c r="CU5" s="14">
        <f>CQ5*3+CS5</f>
        <v>0</v>
      </c>
      <c r="CV5" s="39">
        <f>CU5+CT5</f>
        <v>4</v>
      </c>
      <c r="CW5" s="32"/>
      <c r="CX5" s="40"/>
      <c r="CY5" s="40">
        <v>2</v>
      </c>
      <c r="CZ5" s="40"/>
      <c r="DA5" s="17">
        <f>CW5*3+CY5</f>
        <v>2</v>
      </c>
      <c r="DB5" s="17">
        <f>CX5*3+CZ5</f>
        <v>0</v>
      </c>
      <c r="DC5" s="18">
        <f>DB5+DA5</f>
        <v>2</v>
      </c>
      <c r="DD5" s="108">
        <v>1</v>
      </c>
      <c r="DE5" s="40"/>
      <c r="DF5" s="40"/>
      <c r="DG5" s="40">
        <v>2</v>
      </c>
      <c r="DH5" s="157">
        <f>DD5*3+DF5</f>
        <v>3</v>
      </c>
      <c r="DI5" s="157">
        <f>DE5*3+DG5</f>
        <v>2</v>
      </c>
      <c r="DJ5" s="18">
        <f>DI5+DH5</f>
        <v>5</v>
      </c>
      <c r="DK5" s="108">
        <v>1</v>
      </c>
      <c r="DL5" s="40"/>
      <c r="DM5" s="40"/>
      <c r="DN5" s="40"/>
      <c r="DO5" s="157">
        <f>DK5*3+DM5</f>
        <v>3</v>
      </c>
      <c r="DP5" s="157">
        <f>DL5*3+DN5</f>
        <v>0</v>
      </c>
      <c r="DQ5" s="18">
        <f>DP5+DO5</f>
        <v>3</v>
      </c>
      <c r="DR5" s="108"/>
      <c r="DS5" s="40"/>
      <c r="DT5" s="40">
        <v>1</v>
      </c>
      <c r="DU5" s="40">
        <v>1</v>
      </c>
      <c r="DV5" s="157">
        <f>DR5*3+DT5</f>
        <v>1</v>
      </c>
      <c r="DW5" s="157">
        <f>DS5*3+DU5</f>
        <v>1</v>
      </c>
      <c r="DX5" s="18">
        <f>DW5+DV5</f>
        <v>2</v>
      </c>
      <c r="DY5" s="108"/>
      <c r="DZ5" s="40">
        <v>1</v>
      </c>
      <c r="EA5" s="40"/>
      <c r="EB5" s="40"/>
      <c r="EC5" s="157">
        <f>DY5*3+EA5</f>
        <v>0</v>
      </c>
      <c r="ED5" s="157">
        <f>DZ5*3+EB5</f>
        <v>3</v>
      </c>
      <c r="EE5" s="18">
        <f>ED5+EC5</f>
        <v>3</v>
      </c>
      <c r="EF5" s="74">
        <f>SUM(AP5,AI5,AB5,U5,N5,AW5,BD5,BK5,BR5,BY5,CF5,CM5,CT5,DA5,DH5,DO5,DV5,EC5)</f>
        <v>28</v>
      </c>
      <c r="EG5" s="75">
        <f ca="1">EF5/(10+TODAY()-G5)</f>
        <v>8.408408408408409E-2</v>
      </c>
      <c r="EH5" s="76">
        <f>SUM(AQ5,AJ5,AC5,V5,O5,AX5,BE5,BL5,BS5,BZ5,CG5,CN5,CU5,DB5,DI5,DP5,DW5,ED5)</f>
        <v>7</v>
      </c>
      <c r="EI5" s="75">
        <f ca="1">EH5/(10+TODAY()-G5)</f>
        <v>2.1021021021021023E-2</v>
      </c>
      <c r="EJ5" s="76">
        <f>EF5+EH5</f>
        <v>35</v>
      </c>
      <c r="EK5" s="75">
        <f ca="1">EI5+EG5</f>
        <v>0.10510510510510511</v>
      </c>
      <c r="EL5" s="76">
        <f>SUM(AS5,AL5,AE5,X5,Q5,Q5,J5,AZ5,BG5,BN5,BU5,CB5,CI5,CP5,CW5,DD5,DK5,DR5,DY5)</f>
        <v>5</v>
      </c>
      <c r="EM5" s="76">
        <f>SUM(AT5,AM5,AF5,Y5,R5,R5,K5,BA5,BH5,BO5,BV5,CC5,CJ5,CQ5,CX5,DE5,DL5,DS5,DZ5)</f>
        <v>1</v>
      </c>
      <c r="EN5" s="76">
        <f>EM5+EL5</f>
        <v>6</v>
      </c>
    </row>
    <row r="6" spans="1:144" ht="15.75" thickBot="1" x14ac:dyDescent="0.3">
      <c r="A6" s="10">
        <v>474</v>
      </c>
      <c r="B6" s="11" t="s">
        <v>5</v>
      </c>
      <c r="C6" s="26" t="str">
        <f>B6&amp;" "&amp;A6</f>
        <v>מאי 474</v>
      </c>
      <c r="D6" s="23" t="s">
        <v>7</v>
      </c>
      <c r="E6" s="23" t="s">
        <v>7</v>
      </c>
      <c r="F6" s="31" t="s">
        <v>144</v>
      </c>
      <c r="G6" s="30">
        <v>42979</v>
      </c>
      <c r="H6" s="19"/>
      <c r="I6" s="13"/>
      <c r="J6" s="48"/>
      <c r="K6" s="49"/>
      <c r="L6" s="49"/>
      <c r="M6" s="49"/>
      <c r="N6" s="50">
        <f>J6*3+L6</f>
        <v>0</v>
      </c>
      <c r="O6" s="50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>
        <v>1</v>
      </c>
      <c r="AF6" s="12"/>
      <c r="AG6" s="12">
        <v>2</v>
      </c>
      <c r="AH6" s="12"/>
      <c r="AI6" s="14">
        <f>AE6*3+AG6</f>
        <v>5</v>
      </c>
      <c r="AJ6" s="14">
        <f>AF6*3+AH6</f>
        <v>0</v>
      </c>
      <c r="AK6" s="16">
        <f>AJ6+AI6</f>
        <v>5</v>
      </c>
      <c r="AL6" s="10">
        <v>1</v>
      </c>
      <c r="AM6" s="12"/>
      <c r="AN6" s="12"/>
      <c r="AO6" s="12"/>
      <c r="AP6" s="14">
        <f>AL6*3+AN6</f>
        <v>3</v>
      </c>
      <c r="AQ6" s="14">
        <f>AM6*3+AO6</f>
        <v>0</v>
      </c>
      <c r="AR6" s="16">
        <f>AQ6+AP6</f>
        <v>3</v>
      </c>
      <c r="AS6" s="10"/>
      <c r="AT6" s="12"/>
      <c r="AU6" s="12"/>
      <c r="AV6" s="12">
        <v>2</v>
      </c>
      <c r="AW6" s="14">
        <f>AS6*3+AU6</f>
        <v>0</v>
      </c>
      <c r="AX6" s="14">
        <f>AT6*3+AV6</f>
        <v>2</v>
      </c>
      <c r="AY6" s="16">
        <f>AX6+AW6</f>
        <v>2</v>
      </c>
      <c r="AZ6" s="10"/>
      <c r="BA6" s="12">
        <v>1</v>
      </c>
      <c r="BB6" s="12"/>
      <c r="BC6" s="12">
        <v>2</v>
      </c>
      <c r="BD6" s="14">
        <f>AZ6*3+BB6</f>
        <v>0</v>
      </c>
      <c r="BE6" s="14">
        <f>BA6*3+BC6</f>
        <v>5</v>
      </c>
      <c r="BF6" s="16">
        <f>BE6+BD6</f>
        <v>5</v>
      </c>
      <c r="BG6" s="32"/>
      <c r="BH6" s="40">
        <v>1</v>
      </c>
      <c r="BI6" s="40"/>
      <c r="BJ6" s="12">
        <v>1</v>
      </c>
      <c r="BK6" s="14">
        <f>BG6*3+BI6</f>
        <v>0</v>
      </c>
      <c r="BL6" s="14">
        <f>BH6*3+BJ6</f>
        <v>4</v>
      </c>
      <c r="BM6" s="39">
        <f>BL6+BK6</f>
        <v>4</v>
      </c>
      <c r="BN6" s="32"/>
      <c r="BO6" s="40">
        <v>1</v>
      </c>
      <c r="BP6" s="40"/>
      <c r="BQ6" s="40">
        <v>1</v>
      </c>
      <c r="BR6" s="14">
        <f>BN6*3+BP6</f>
        <v>0</v>
      </c>
      <c r="BS6" s="14">
        <f>BO6*3+BQ6</f>
        <v>4</v>
      </c>
      <c r="BT6" s="39">
        <f>BS6+BR6</f>
        <v>4</v>
      </c>
      <c r="BU6" s="32"/>
      <c r="BV6" s="40"/>
      <c r="BW6" s="40"/>
      <c r="BX6" s="40">
        <v>2</v>
      </c>
      <c r="BY6" s="14">
        <f>BU6*3+BW6</f>
        <v>0</v>
      </c>
      <c r="BZ6" s="14">
        <f>BV6*3+BX6</f>
        <v>2</v>
      </c>
      <c r="CA6" s="39">
        <f>BZ6+BY6</f>
        <v>2</v>
      </c>
      <c r="CB6" s="32"/>
      <c r="CC6" s="40"/>
      <c r="CD6" s="40"/>
      <c r="CE6" s="79">
        <v>3</v>
      </c>
      <c r="CF6" s="14">
        <f>CB6*3+CD6</f>
        <v>0</v>
      </c>
      <c r="CG6" s="14">
        <f>CC6*3+CE6</f>
        <v>3</v>
      </c>
      <c r="CH6" s="39">
        <f>CG6+CF6</f>
        <v>3</v>
      </c>
      <c r="CI6" s="40"/>
      <c r="CJ6" s="40">
        <v>1</v>
      </c>
      <c r="CK6" s="40"/>
      <c r="CL6" s="83">
        <v>1</v>
      </c>
      <c r="CM6" s="14">
        <f>CI6*3+CK6</f>
        <v>0</v>
      </c>
      <c r="CN6" s="14">
        <f>CJ6*3+CL6</f>
        <v>4</v>
      </c>
      <c r="CO6" s="39">
        <f>CN6+CM6</f>
        <v>4</v>
      </c>
      <c r="CP6" s="108"/>
      <c r="CQ6" s="40"/>
      <c r="CR6" s="40"/>
      <c r="CS6" s="40">
        <v>2</v>
      </c>
      <c r="CT6" s="14">
        <f>CP6*3+CR6</f>
        <v>0</v>
      </c>
      <c r="CU6" s="14">
        <f>CQ6*3+CS6</f>
        <v>2</v>
      </c>
      <c r="CV6" s="39">
        <f>CU6+CT6</f>
        <v>2</v>
      </c>
      <c r="CW6" s="32"/>
      <c r="CX6" s="40">
        <v>1</v>
      </c>
      <c r="CY6" s="40"/>
      <c r="CZ6" s="40"/>
      <c r="DA6" s="17">
        <f>CW6*3+CY6</f>
        <v>0</v>
      </c>
      <c r="DB6" s="17">
        <f>CX6*3+CZ6</f>
        <v>3</v>
      </c>
      <c r="DC6" s="18">
        <f>DB6+DA6</f>
        <v>3</v>
      </c>
      <c r="DD6" s="108"/>
      <c r="DE6" s="40"/>
      <c r="DF6" s="40"/>
      <c r="DG6" s="40">
        <v>2</v>
      </c>
      <c r="DH6" s="157">
        <f>DD6*3+DF6</f>
        <v>0</v>
      </c>
      <c r="DI6" s="157">
        <f>DE6*3+DG6</f>
        <v>2</v>
      </c>
      <c r="DJ6" s="18">
        <f>DI6+DH6</f>
        <v>2</v>
      </c>
      <c r="DK6" s="108"/>
      <c r="DL6" s="40">
        <v>1</v>
      </c>
      <c r="DM6" s="40"/>
      <c r="DN6" s="40">
        <v>1</v>
      </c>
      <c r="DO6" s="157">
        <f>DK6*3+DM6</f>
        <v>0</v>
      </c>
      <c r="DP6" s="157">
        <f>DL6*3+DN6</f>
        <v>4</v>
      </c>
      <c r="DQ6" s="18">
        <f>DP6+DO6</f>
        <v>4</v>
      </c>
      <c r="DR6" s="108"/>
      <c r="DS6" s="40"/>
      <c r="DT6" s="40"/>
      <c r="DU6" s="40">
        <v>4</v>
      </c>
      <c r="DV6" s="157">
        <f>DR6*3+DT6</f>
        <v>0</v>
      </c>
      <c r="DW6" s="157">
        <f>DS6*3+DU6</f>
        <v>4</v>
      </c>
      <c r="DX6" s="18">
        <f>DW6+DV6</f>
        <v>4</v>
      </c>
      <c r="DY6" s="108"/>
      <c r="DZ6" s="40">
        <v>1</v>
      </c>
      <c r="EA6" s="40"/>
      <c r="EB6" s="40"/>
      <c r="EC6" s="157">
        <f>DY6*3+EA6</f>
        <v>0</v>
      </c>
      <c r="ED6" s="157">
        <f>DZ6*3+EB6</f>
        <v>3</v>
      </c>
      <c r="EE6" s="18">
        <f>ED6+EC6</f>
        <v>3</v>
      </c>
      <c r="EF6" s="74">
        <f>SUM(AP6,AI6,AB6,U6,N6,AW6,BD6,BK6,BR6,BY6,CF6,CM6,CT6,DA6,DH6,DO6,DV6,EC6)</f>
        <v>8</v>
      </c>
      <c r="EG6" s="75">
        <f ca="1">EF6/(10+TODAY()-G6)</f>
        <v>1.7582417582417582E-2</v>
      </c>
      <c r="EH6" s="76">
        <f>SUM(AQ6,AJ6,AC6,V6,O6,AX6,BE6,BL6,BS6,BZ6,CG6,CN6,CU6,DB6,DI6,DP6,DW6,ED6)</f>
        <v>42</v>
      </c>
      <c r="EI6" s="75">
        <f ca="1">EH6/(10+TODAY()-G6)</f>
        <v>9.2307692307692313E-2</v>
      </c>
      <c r="EJ6" s="76">
        <f>EF6+EH6</f>
        <v>50</v>
      </c>
      <c r="EK6" s="75">
        <f ca="1">EI6+EG6</f>
        <v>0.10989010989010989</v>
      </c>
      <c r="EL6" s="76">
        <f>SUM(AS6,AL6,AE6,X6,Q6,Q6,J6,AZ6,BG6,BN6,BU6,CB6,CI6,CP6,CW6,DD6,DK6,DR6,DY6)</f>
        <v>2</v>
      </c>
      <c r="EM6" s="76">
        <f>SUM(AT6,AM6,AF6,Y6,R6,R6,K6,BA6,BH6,BO6,BV6,CC6,CJ6,CQ6,CX6,DE6,DL6,DS6,DZ6)</f>
        <v>7</v>
      </c>
      <c r="EN6" s="76">
        <f>EM6+EL6</f>
        <v>9</v>
      </c>
    </row>
    <row r="7" spans="1:144" ht="15.75" thickBot="1" x14ac:dyDescent="0.3">
      <c r="A7" s="10">
        <v>474</v>
      </c>
      <c r="B7" s="24" t="s">
        <v>165</v>
      </c>
      <c r="C7" s="26" t="str">
        <f>B7&amp;" "&amp;A7</f>
        <v>רוני 474</v>
      </c>
      <c r="D7" s="23" t="s">
        <v>6</v>
      </c>
      <c r="E7" s="23" t="s">
        <v>7</v>
      </c>
      <c r="F7" s="31" t="s">
        <v>167</v>
      </c>
      <c r="G7" s="30">
        <v>43191</v>
      </c>
      <c r="H7" s="42"/>
      <c r="I7" s="13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/>
      <c r="AT7" s="12"/>
      <c r="AU7" s="12"/>
      <c r="AV7" s="12"/>
      <c r="AW7" s="14">
        <f>AS7*3+AU7</f>
        <v>0</v>
      </c>
      <c r="AX7" s="14">
        <f>AT7*3+AV7</f>
        <v>0</v>
      </c>
      <c r="AY7" s="16">
        <f>AX7+AW7</f>
        <v>0</v>
      </c>
      <c r="AZ7" s="10"/>
      <c r="BA7" s="12"/>
      <c r="BB7" s="12"/>
      <c r="BC7" s="12"/>
      <c r="BD7" s="14">
        <f>AZ7*3+BB7</f>
        <v>0</v>
      </c>
      <c r="BE7" s="14">
        <f>BA7*3+BC7</f>
        <v>0</v>
      </c>
      <c r="BF7" s="16">
        <f>BE7+BD7</f>
        <v>0</v>
      </c>
      <c r="BG7" s="32"/>
      <c r="BH7" s="40"/>
      <c r="BI7" s="12"/>
      <c r="BJ7" s="12"/>
      <c r="BK7" s="14">
        <f>BG7*3+BI7</f>
        <v>0</v>
      </c>
      <c r="BL7" s="14">
        <f>BH7*3+BJ7</f>
        <v>0</v>
      </c>
      <c r="BM7" s="39">
        <f>BL7+BK7</f>
        <v>0</v>
      </c>
      <c r="BN7" s="32"/>
      <c r="BO7" s="40"/>
      <c r="BP7" s="40"/>
      <c r="BQ7" s="40"/>
      <c r="BR7" s="14">
        <f>BN7*3+BP7</f>
        <v>0</v>
      </c>
      <c r="BS7" s="14">
        <f>BO7*3+BQ7</f>
        <v>0</v>
      </c>
      <c r="BT7" s="39">
        <f>BS7+BR7</f>
        <v>0</v>
      </c>
      <c r="BU7" s="32"/>
      <c r="BV7" s="40"/>
      <c r="BW7" s="40">
        <v>1</v>
      </c>
      <c r="BX7" s="40"/>
      <c r="BY7" s="14">
        <f>BU7*3+BW7</f>
        <v>1</v>
      </c>
      <c r="BZ7" s="14">
        <f>BV7*3+BX7</f>
        <v>0</v>
      </c>
      <c r="CA7" s="39">
        <f>BZ7+BY7</f>
        <v>1</v>
      </c>
      <c r="CB7" s="32"/>
      <c r="CC7" s="40"/>
      <c r="CD7" s="40">
        <v>2</v>
      </c>
      <c r="CE7" s="79"/>
      <c r="CF7" s="14">
        <f>CB7*3+CD7</f>
        <v>2</v>
      </c>
      <c r="CG7" s="14">
        <f>CC7*3+CE7</f>
        <v>0</v>
      </c>
      <c r="CH7" s="39">
        <f>CG7+CF7</f>
        <v>2</v>
      </c>
      <c r="CI7" s="40">
        <v>1</v>
      </c>
      <c r="CJ7" s="40"/>
      <c r="CK7" s="40"/>
      <c r="CL7" s="83"/>
      <c r="CM7" s="14">
        <f>CI7*3+CK7</f>
        <v>3</v>
      </c>
      <c r="CN7" s="14">
        <f>CJ7*3+CL7</f>
        <v>0</v>
      </c>
      <c r="CO7" s="39">
        <f>CN7+CM7</f>
        <v>3</v>
      </c>
      <c r="CP7" s="108"/>
      <c r="CQ7" s="40"/>
      <c r="CR7" s="40">
        <v>3</v>
      </c>
      <c r="CS7" s="40">
        <v>1</v>
      </c>
      <c r="CT7" s="14">
        <f>CP7*3+CR7</f>
        <v>3</v>
      </c>
      <c r="CU7" s="14">
        <f>CQ7*3+CS7</f>
        <v>1</v>
      </c>
      <c r="CV7" s="39">
        <f>CU7+CT7</f>
        <v>4</v>
      </c>
      <c r="CW7" s="32">
        <v>1</v>
      </c>
      <c r="CX7" s="40"/>
      <c r="CY7" s="40"/>
      <c r="CZ7" s="40"/>
      <c r="DA7" s="17">
        <f>CW7*3+CY7</f>
        <v>3</v>
      </c>
      <c r="DB7" s="17">
        <f>CX7*3+CZ7</f>
        <v>0</v>
      </c>
      <c r="DC7" s="18">
        <f>DB7+DA7</f>
        <v>3</v>
      </c>
      <c r="DD7" s="108"/>
      <c r="DE7" s="40"/>
      <c r="DF7" s="40">
        <v>3</v>
      </c>
      <c r="DG7" s="40"/>
      <c r="DH7" s="157">
        <f>DD7*3+DF7</f>
        <v>3</v>
      </c>
      <c r="DI7" s="157">
        <f>DE7*3+DG7</f>
        <v>0</v>
      </c>
      <c r="DJ7" s="18">
        <f>DI7+DH7</f>
        <v>3</v>
      </c>
      <c r="DK7" s="108"/>
      <c r="DL7" s="40"/>
      <c r="DM7" s="40">
        <v>2</v>
      </c>
      <c r="DN7" s="40">
        <v>1</v>
      </c>
      <c r="DO7" s="157">
        <f>DK7*3+DM7</f>
        <v>2</v>
      </c>
      <c r="DP7" s="157">
        <f>DL7*3+DN7</f>
        <v>1</v>
      </c>
      <c r="DQ7" s="18">
        <f>DP7+DO7</f>
        <v>3</v>
      </c>
      <c r="DR7" s="108">
        <v>1</v>
      </c>
      <c r="DS7" s="40"/>
      <c r="DT7" s="40">
        <v>1</v>
      </c>
      <c r="DU7" s="40"/>
      <c r="DV7" s="157">
        <f>DR7*3+DT7</f>
        <v>4</v>
      </c>
      <c r="DW7" s="157">
        <f>DS7*3+DU7</f>
        <v>0</v>
      </c>
      <c r="DX7" s="18">
        <f>DW7+DV7</f>
        <v>4</v>
      </c>
      <c r="DY7" s="108"/>
      <c r="DZ7" s="40">
        <v>1</v>
      </c>
      <c r="EA7" s="40"/>
      <c r="EB7" s="40"/>
      <c r="EC7" s="157">
        <f>DY7*3+EA7</f>
        <v>0</v>
      </c>
      <c r="ED7" s="157">
        <f>DZ7*3+EB7</f>
        <v>3</v>
      </c>
      <c r="EE7" s="18">
        <f>ED7+EC7</f>
        <v>3</v>
      </c>
      <c r="EF7" s="74">
        <f>SUM(AP7,AI7,AB7,U7,N7,AW7,BD7,BK7,BR7,BY7,CF7,CM7,CT7,DA7,DH7,DO7,DV7,EC7)</f>
        <v>21</v>
      </c>
      <c r="EG7" s="75">
        <f ca="1">EF7/(10+TODAY()-G7)</f>
        <v>8.6419753086419748E-2</v>
      </c>
      <c r="EH7" s="76">
        <f>SUM(AQ7,AJ7,AC7,V7,O7,AX7,BE7,BL7,BS7,BZ7,CG7,CN7,CU7,DB7,DI7,DP7,DW7,ED7)</f>
        <v>5</v>
      </c>
      <c r="EI7" s="75">
        <f ca="1">EH7/(10+TODAY()-G7)</f>
        <v>2.0576131687242798E-2</v>
      </c>
      <c r="EJ7" s="76">
        <f>EF7+EH7</f>
        <v>26</v>
      </c>
      <c r="EK7" s="75">
        <f ca="1">EI7+EG7</f>
        <v>0.10699588477366255</v>
      </c>
      <c r="EL7" s="76">
        <f>SUM(AS7,AL7,AE7,X7,Q7,Q7,J7,AZ7,BG7,BN7,BU7,CB7,CI7,CP7,CW7,DD7,DK7,DR7,DY7)</f>
        <v>3</v>
      </c>
      <c r="EM7" s="76">
        <f>SUM(AT7,AM7,AF7,Y7,R7,R7,K7,BA7,BH7,BO7,BV7,CC7,CJ7,CQ7,CX7,DE7,DL7,DS7,DZ7)</f>
        <v>1</v>
      </c>
      <c r="EN7" s="76">
        <f>EM7+EL7</f>
        <v>4</v>
      </c>
    </row>
    <row r="8" spans="1:144" ht="15.75" thickBot="1" x14ac:dyDescent="0.3">
      <c r="A8" s="10">
        <v>474</v>
      </c>
      <c r="B8" s="24" t="s">
        <v>124</v>
      </c>
      <c r="C8" s="26" t="str">
        <f>B8&amp;" "&amp;A8</f>
        <v>שובל 474</v>
      </c>
      <c r="D8" s="23" t="s">
        <v>7</v>
      </c>
      <c r="E8" s="23" t="s">
        <v>7</v>
      </c>
      <c r="F8" s="31" t="s">
        <v>147</v>
      </c>
      <c r="G8" s="30">
        <v>43101</v>
      </c>
      <c r="H8" s="31"/>
      <c r="I8" s="13"/>
      <c r="J8" s="48"/>
      <c r="K8" s="49"/>
      <c r="L8" s="49"/>
      <c r="M8" s="49"/>
      <c r="N8" s="50">
        <f>J8*3+L8</f>
        <v>0</v>
      </c>
      <c r="O8" s="50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f>V8+U8</f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/>
      <c r="AF8" s="12"/>
      <c r="AG8" s="12"/>
      <c r="AH8" s="12"/>
      <c r="AI8" s="14">
        <f>AE8*3+AG8</f>
        <v>0</v>
      </c>
      <c r="AJ8" s="14">
        <f>AF8*3+AH8</f>
        <v>0</v>
      </c>
      <c r="AK8" s="16">
        <f>AJ8+AI8</f>
        <v>0</v>
      </c>
      <c r="AL8" s="10"/>
      <c r="AM8" s="12"/>
      <c r="AN8" s="12"/>
      <c r="AO8" s="12"/>
      <c r="AP8" s="14">
        <f>AL8*3+AN8</f>
        <v>0</v>
      </c>
      <c r="AQ8" s="14">
        <f>AM8*3+AO8</f>
        <v>0</v>
      </c>
      <c r="AR8" s="16">
        <f>AQ8+AP8</f>
        <v>0</v>
      </c>
      <c r="AS8" s="10"/>
      <c r="AT8" s="12"/>
      <c r="AU8" s="12"/>
      <c r="AV8" s="12"/>
      <c r="AW8" s="14">
        <f>AS8*3+AU8</f>
        <v>0</v>
      </c>
      <c r="AX8" s="14">
        <f>AT8*3+AV8</f>
        <v>0</v>
      </c>
      <c r="AY8" s="16">
        <f>AX8+AW8</f>
        <v>0</v>
      </c>
      <c r="AZ8" s="10"/>
      <c r="BA8" s="12"/>
      <c r="BB8" s="12"/>
      <c r="BC8" s="12"/>
      <c r="BD8" s="14">
        <f>AZ8*3+BB8</f>
        <v>0</v>
      </c>
      <c r="BE8" s="14">
        <f>BA8*3+BC8</f>
        <v>0</v>
      </c>
      <c r="BF8" s="16">
        <f>BE8+BD8</f>
        <v>0</v>
      </c>
      <c r="BG8" s="32">
        <v>1</v>
      </c>
      <c r="BH8" s="40"/>
      <c r="BI8" s="12"/>
      <c r="BJ8" s="12"/>
      <c r="BK8" s="14">
        <f>BG8*3+BI8</f>
        <v>3</v>
      </c>
      <c r="BL8" s="14">
        <f>BH8*3+BJ8</f>
        <v>0</v>
      </c>
      <c r="BM8" s="39">
        <f>BL8+BK8</f>
        <v>3</v>
      </c>
      <c r="BN8" s="32"/>
      <c r="BO8" s="40"/>
      <c r="BP8" s="40">
        <v>3</v>
      </c>
      <c r="BQ8" s="40">
        <v>1</v>
      </c>
      <c r="BR8" s="14">
        <f>BN8*3+BP8</f>
        <v>3</v>
      </c>
      <c r="BS8" s="14">
        <f>BO8*3+BQ8</f>
        <v>1</v>
      </c>
      <c r="BT8" s="39">
        <f>BS8+BR8</f>
        <v>4</v>
      </c>
      <c r="BU8" s="32">
        <v>1</v>
      </c>
      <c r="BV8" s="40"/>
      <c r="BW8" s="40">
        <v>1</v>
      </c>
      <c r="BX8" s="40"/>
      <c r="BY8" s="14">
        <f>BU8*3+BW8</f>
        <v>4</v>
      </c>
      <c r="BZ8" s="14">
        <f>BV8*3+BX8</f>
        <v>0</v>
      </c>
      <c r="CA8" s="39">
        <f>BZ8+BY8</f>
        <v>4</v>
      </c>
      <c r="CB8" s="32"/>
      <c r="CC8" s="40"/>
      <c r="CD8" s="40">
        <v>2</v>
      </c>
      <c r="CE8" s="79"/>
      <c r="CF8" s="14">
        <f>CB8*3+CD8</f>
        <v>2</v>
      </c>
      <c r="CG8" s="14">
        <f>CC8*3+CE8</f>
        <v>0</v>
      </c>
      <c r="CH8" s="39">
        <f>CG8+CF8</f>
        <v>2</v>
      </c>
      <c r="CI8" s="40"/>
      <c r="CJ8" s="40">
        <v>1</v>
      </c>
      <c r="CK8" s="40"/>
      <c r="CL8" s="83">
        <v>1</v>
      </c>
      <c r="CM8" s="14">
        <f>CI8*3+CK8</f>
        <v>0</v>
      </c>
      <c r="CN8" s="14">
        <f>CJ8*3+CL8</f>
        <v>4</v>
      </c>
      <c r="CO8" s="39">
        <f>CN8+CM8</f>
        <v>4</v>
      </c>
      <c r="CP8" s="108"/>
      <c r="CQ8" s="40"/>
      <c r="CR8" s="40"/>
      <c r="CS8" s="40">
        <v>2</v>
      </c>
      <c r="CT8" s="14">
        <f>CP8*3+CR8</f>
        <v>0</v>
      </c>
      <c r="CU8" s="14">
        <f>CQ8*3+CS8</f>
        <v>2</v>
      </c>
      <c r="CV8" s="39">
        <f>CU8+CT8</f>
        <v>2</v>
      </c>
      <c r="CW8" s="32"/>
      <c r="CX8" s="40">
        <v>1</v>
      </c>
      <c r="CY8" s="40"/>
      <c r="CZ8" s="40">
        <v>1</v>
      </c>
      <c r="DA8" s="17">
        <f>CW8*3+CY8</f>
        <v>0</v>
      </c>
      <c r="DB8" s="17">
        <f>CX8*3+CZ8</f>
        <v>4</v>
      </c>
      <c r="DC8" s="18">
        <f>DB8+DA8</f>
        <v>4</v>
      </c>
      <c r="DD8" s="108"/>
      <c r="DE8" s="40"/>
      <c r="DF8" s="40"/>
      <c r="DG8" s="40">
        <v>3</v>
      </c>
      <c r="DH8" s="157">
        <f>DD8*3+DF8</f>
        <v>0</v>
      </c>
      <c r="DI8" s="157">
        <f>DE8*3+DG8</f>
        <v>3</v>
      </c>
      <c r="DJ8" s="18">
        <f>DI8+DH8</f>
        <v>3</v>
      </c>
      <c r="DK8" s="108"/>
      <c r="DL8" s="40">
        <v>1</v>
      </c>
      <c r="DM8" s="40"/>
      <c r="DN8" s="40"/>
      <c r="DO8" s="157">
        <f>DK8*3+DM8</f>
        <v>0</v>
      </c>
      <c r="DP8" s="157">
        <f>DL8*3+DN8</f>
        <v>3</v>
      </c>
      <c r="DQ8" s="18">
        <f>DP8+DO8</f>
        <v>3</v>
      </c>
      <c r="DR8" s="108"/>
      <c r="DS8" s="40"/>
      <c r="DT8" s="40"/>
      <c r="DU8" s="40">
        <v>3</v>
      </c>
      <c r="DV8" s="157">
        <f>DR8*3+DT8</f>
        <v>0</v>
      </c>
      <c r="DW8" s="157">
        <f>DS8*3+DU8</f>
        <v>3</v>
      </c>
      <c r="DX8" s="18">
        <f>DW8+DV8</f>
        <v>3</v>
      </c>
      <c r="DY8" s="108"/>
      <c r="DZ8" s="40">
        <v>1</v>
      </c>
      <c r="EA8" s="40"/>
      <c r="EB8" s="40"/>
      <c r="EC8" s="157">
        <f>DY8*3+EA8</f>
        <v>0</v>
      </c>
      <c r="ED8" s="157">
        <f>DZ8*3+EB8</f>
        <v>3</v>
      </c>
      <c r="EE8" s="18">
        <f>ED8+EC8</f>
        <v>3</v>
      </c>
      <c r="EF8" s="74">
        <f>SUM(AP8,AI8,AB8,U8,N8,AW8,BD8,BK8,BR8,BY8,CF8,CM8,CT8,DA8,DH8,DO8,DV8,EC8)</f>
        <v>12</v>
      </c>
      <c r="EG8" s="75">
        <f ca="1">EF8/(10+TODAY()-G8)</f>
        <v>3.6036036036036036E-2</v>
      </c>
      <c r="EH8" s="76">
        <f>SUM(AQ8,AJ8,AC8,V8,O8,AX8,BE8,BL8,BS8,BZ8,CG8,CN8,CU8,DB8,DI8,DP8,DW8,ED8)</f>
        <v>23</v>
      </c>
      <c r="EI8" s="75">
        <f ca="1">EH8/(10+TODAY()-G8)</f>
        <v>6.9069069069069067E-2</v>
      </c>
      <c r="EJ8" s="76">
        <f>EF8+EH8</f>
        <v>35</v>
      </c>
      <c r="EK8" s="75">
        <f ca="1">EI8+EG8</f>
        <v>0.1051051051051051</v>
      </c>
      <c r="EL8" s="76">
        <f>SUM(AS8,AL8,AE8,X8,Q8,Q8,J8,AZ8,BG8,BN8,BU8,CB8,CI8,CP8,CW8,DD8,DK8,DR8,DY8)</f>
        <v>2</v>
      </c>
      <c r="EM8" s="76">
        <f>SUM(AT8,AM8,AF8,Y8,R8,R8,K8,BA8,BH8,BO8,BV8,CC8,CJ8,CQ8,CX8,DE8,DL8,DS8,DZ8)</f>
        <v>4</v>
      </c>
      <c r="EN8" s="76">
        <f>EM8+EL8</f>
        <v>6</v>
      </c>
    </row>
    <row r="9" spans="1:144" ht="15.75" thickBot="1" x14ac:dyDescent="0.3">
      <c r="A9" s="32">
        <v>9</v>
      </c>
      <c r="B9" s="33" t="s">
        <v>10</v>
      </c>
      <c r="C9" s="85" t="str">
        <f>B9&amp;" "&amp;A9</f>
        <v>שקד 9</v>
      </c>
      <c r="D9" s="12" t="s">
        <v>6</v>
      </c>
      <c r="E9" s="23" t="s">
        <v>7</v>
      </c>
      <c r="F9" s="31" t="s">
        <v>145</v>
      </c>
      <c r="G9" s="30">
        <v>43009</v>
      </c>
      <c r="H9" s="31"/>
      <c r="I9" s="35"/>
      <c r="J9" s="48"/>
      <c r="K9" s="49"/>
      <c r="L9" s="49"/>
      <c r="M9" s="49"/>
      <c r="N9" s="50">
        <f>J9*3+L9</f>
        <v>0</v>
      </c>
      <c r="O9" s="50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>
        <v>1</v>
      </c>
      <c r="AH9" s="12"/>
      <c r="AI9" s="14">
        <f>AE9*3+AG9</f>
        <v>1</v>
      </c>
      <c r="AJ9" s="14">
        <f>AF9*3+AH9</f>
        <v>0</v>
      </c>
      <c r="AK9" s="16">
        <f>AJ9+AI9</f>
        <v>1</v>
      </c>
      <c r="AL9" s="10">
        <v>1</v>
      </c>
      <c r="AM9" s="12"/>
      <c r="AN9" s="12">
        <v>2</v>
      </c>
      <c r="AO9" s="12"/>
      <c r="AP9" s="14">
        <f>AL9*3+AN9</f>
        <v>5</v>
      </c>
      <c r="AQ9" s="14">
        <f>AM9*3+AO9</f>
        <v>0</v>
      </c>
      <c r="AR9" s="16">
        <f>AQ9+AP9</f>
        <v>5</v>
      </c>
      <c r="AS9" s="10"/>
      <c r="AT9" s="12"/>
      <c r="AU9" s="12">
        <v>4</v>
      </c>
      <c r="AV9" s="12"/>
      <c r="AW9" s="14">
        <f>AS9*3+AU9</f>
        <v>4</v>
      </c>
      <c r="AX9" s="14">
        <f>AT9*3+AV9</f>
        <v>0</v>
      </c>
      <c r="AY9" s="16">
        <f>AX9+AW9</f>
        <v>4</v>
      </c>
      <c r="AZ9" s="10"/>
      <c r="BA9" s="12"/>
      <c r="BB9" s="12">
        <v>2</v>
      </c>
      <c r="BC9" s="12">
        <v>1</v>
      </c>
      <c r="BD9" s="14">
        <f>AZ9*3+BB9</f>
        <v>2</v>
      </c>
      <c r="BE9" s="14">
        <f>BA9*3+BC9</f>
        <v>1</v>
      </c>
      <c r="BF9" s="16">
        <f>BE9+BD9</f>
        <v>3</v>
      </c>
      <c r="BG9" s="32">
        <v>1</v>
      </c>
      <c r="BH9" s="40"/>
      <c r="BI9" s="40">
        <v>1</v>
      </c>
      <c r="BJ9" s="12"/>
      <c r="BK9" s="14">
        <f>BG9*3+BI9</f>
        <v>4</v>
      </c>
      <c r="BL9" s="14">
        <f>BH9*3+BJ9</f>
        <v>0</v>
      </c>
      <c r="BM9" s="39">
        <f>BL9+BK9</f>
        <v>4</v>
      </c>
      <c r="BN9" s="32">
        <v>1</v>
      </c>
      <c r="BO9" s="40"/>
      <c r="BP9" s="40">
        <v>1</v>
      </c>
      <c r="BQ9" s="40"/>
      <c r="BR9" s="14">
        <f>BN9*3+BP9</f>
        <v>4</v>
      </c>
      <c r="BS9" s="14">
        <f>BO9*3+BQ9</f>
        <v>0</v>
      </c>
      <c r="BT9" s="39">
        <f>BS9+BR9</f>
        <v>4</v>
      </c>
      <c r="BU9" s="32"/>
      <c r="BV9" s="40"/>
      <c r="BW9" s="40">
        <v>1</v>
      </c>
      <c r="BX9" s="40"/>
      <c r="BY9" s="14">
        <f>BU9*3+BW9</f>
        <v>1</v>
      </c>
      <c r="BZ9" s="14">
        <f>BV9*3+BX9</f>
        <v>0</v>
      </c>
      <c r="CA9" s="39">
        <f>BZ9+BY9</f>
        <v>1</v>
      </c>
      <c r="CB9" s="32"/>
      <c r="CC9" s="40"/>
      <c r="CD9" s="40">
        <v>1</v>
      </c>
      <c r="CE9" s="79"/>
      <c r="CF9" s="14">
        <f>CB9*3+CD9</f>
        <v>1</v>
      </c>
      <c r="CG9" s="14">
        <f>CC9*3+CE9</f>
        <v>0</v>
      </c>
      <c r="CH9" s="39">
        <f>CG9+CF9</f>
        <v>1</v>
      </c>
      <c r="CI9" s="40"/>
      <c r="CJ9" s="40">
        <v>1</v>
      </c>
      <c r="CK9" s="40">
        <v>1</v>
      </c>
      <c r="CL9" s="83"/>
      <c r="CM9" s="14">
        <f>CI9*3+CK9</f>
        <v>1</v>
      </c>
      <c r="CN9" s="14">
        <f>CJ9*3+CL9</f>
        <v>3</v>
      </c>
      <c r="CO9" s="39">
        <f>CN9+CM9</f>
        <v>4</v>
      </c>
      <c r="CP9" s="108"/>
      <c r="CQ9" s="40"/>
      <c r="CR9" s="40">
        <v>2</v>
      </c>
      <c r="CS9" s="40"/>
      <c r="CT9" s="14">
        <f>CP9*3+CR9</f>
        <v>2</v>
      </c>
      <c r="CU9" s="14">
        <f>CQ9*3+CS9</f>
        <v>0</v>
      </c>
      <c r="CV9" s="39">
        <f>CU9+CT9</f>
        <v>2</v>
      </c>
      <c r="CW9" s="32">
        <v>1</v>
      </c>
      <c r="CX9" s="40"/>
      <c r="CY9" s="40"/>
      <c r="CZ9" s="40"/>
      <c r="DA9" s="17">
        <f>CW9*3+CY9</f>
        <v>3</v>
      </c>
      <c r="DB9" s="17">
        <f>CX9*3+CZ9</f>
        <v>0</v>
      </c>
      <c r="DC9" s="18">
        <f>DB9+DA9</f>
        <v>3</v>
      </c>
      <c r="DD9" s="108"/>
      <c r="DE9" s="40"/>
      <c r="DF9" s="40">
        <v>3</v>
      </c>
      <c r="DG9" s="40"/>
      <c r="DH9" s="157">
        <f>DD9*3+DF9</f>
        <v>3</v>
      </c>
      <c r="DI9" s="157">
        <f>DE9*3+DG9</f>
        <v>0</v>
      </c>
      <c r="DJ9" s="18">
        <f>DI9+DH9</f>
        <v>3</v>
      </c>
      <c r="DK9" s="108"/>
      <c r="DL9" s="40">
        <v>1</v>
      </c>
      <c r="DM9" s="40">
        <v>1</v>
      </c>
      <c r="DN9" s="40"/>
      <c r="DO9" s="157">
        <f>DK9*3+DM9</f>
        <v>1</v>
      </c>
      <c r="DP9" s="157">
        <f>DL9*3+DN9</f>
        <v>3</v>
      </c>
      <c r="DQ9" s="18">
        <f>DP9+DO9</f>
        <v>4</v>
      </c>
      <c r="DR9" s="108"/>
      <c r="DS9" s="40"/>
      <c r="DT9" s="40">
        <v>2</v>
      </c>
      <c r="DU9" s="40"/>
      <c r="DV9" s="157">
        <f>DR9*3+DT9</f>
        <v>2</v>
      </c>
      <c r="DW9" s="157">
        <f>DS9*3+DU9</f>
        <v>0</v>
      </c>
      <c r="DX9" s="18">
        <f>DW9+DV9</f>
        <v>2</v>
      </c>
      <c r="DY9" s="108">
        <v>1</v>
      </c>
      <c r="DZ9" s="40"/>
      <c r="EA9" s="40"/>
      <c r="EB9" s="40"/>
      <c r="EC9" s="157">
        <f>DY9*3+EA9</f>
        <v>3</v>
      </c>
      <c r="ED9" s="157">
        <f>DZ9*3+EB9</f>
        <v>0</v>
      </c>
      <c r="EE9" s="18">
        <f>ED9+EC9</f>
        <v>3</v>
      </c>
      <c r="EF9" s="74">
        <f>SUM(AP9,AI9,AB9,U9,N9,AW9,BD9,BK9,BR9,BY9,CF9,CM9,CT9,DA9,DH9,DO9,DV9,EC9)</f>
        <v>37</v>
      </c>
      <c r="EG9" s="75">
        <f ca="1">EF9/(10+TODAY()-G9)</f>
        <v>8.7058823529411758E-2</v>
      </c>
      <c r="EH9" s="76">
        <f>SUM(AQ9,AJ9,AC9,V9,O9,AX9,BE9,BL9,BS9,BZ9,CG9,CN9,CU9,DB9,DI9,DP9,DW9,ED9)</f>
        <v>7</v>
      </c>
      <c r="EI9" s="75">
        <f ca="1">EH9/(10+TODAY()-G9)</f>
        <v>1.6470588235294119E-2</v>
      </c>
      <c r="EJ9" s="76">
        <f>EF9+EH9</f>
        <v>44</v>
      </c>
      <c r="EK9" s="75">
        <f ca="1">EI9+EG9</f>
        <v>0.10352941176470587</v>
      </c>
      <c r="EL9" s="76">
        <f>SUM(AS9,AL9,AE9,X9,Q9,Q9,J9,AZ9,BG9,BN9,BU9,CB9,CI9,CP9,CW9,DD9,DK9,DR9,DY9)</f>
        <v>5</v>
      </c>
      <c r="EM9" s="76">
        <f>SUM(AT9,AM9,AF9,Y9,R9,R9,K9,BA9,BH9,BO9,BV9,CC9,CJ9,CQ9,CX9,DE9,DL9,DS9,DZ9)</f>
        <v>2</v>
      </c>
      <c r="EN9" s="76">
        <f>EM9+EL9</f>
        <v>7</v>
      </c>
    </row>
    <row r="10" spans="1:144" ht="15.75" thickBot="1" x14ac:dyDescent="0.3">
      <c r="A10" s="10">
        <v>11</v>
      </c>
      <c r="B10" s="24" t="s">
        <v>164</v>
      </c>
      <c r="C10" s="26" t="str">
        <f>B10&amp;" "&amp;A10</f>
        <v>גל 11</v>
      </c>
      <c r="D10" s="23" t="s">
        <v>6</v>
      </c>
      <c r="E10" s="23" t="s">
        <v>7</v>
      </c>
      <c r="F10" s="31" t="s">
        <v>167</v>
      </c>
      <c r="G10" s="30">
        <v>43191</v>
      </c>
      <c r="H10" s="42"/>
      <c r="I10" s="13"/>
      <c r="J10" s="48"/>
      <c r="K10" s="49"/>
      <c r="L10" s="49"/>
      <c r="M10" s="49"/>
      <c r="N10" s="50">
        <f>J10*3+L10</f>
        <v>0</v>
      </c>
      <c r="O10" s="50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/>
      <c r="BH10" s="40"/>
      <c r="BI10" s="12"/>
      <c r="BJ10" s="12"/>
      <c r="BK10" s="14">
        <f>BG10*3+BI10</f>
        <v>0</v>
      </c>
      <c r="BL10" s="14">
        <f>BH10*3+BJ10</f>
        <v>0</v>
      </c>
      <c r="BM10" s="39">
        <f>BL10+BK10</f>
        <v>0</v>
      </c>
      <c r="BN10" s="32"/>
      <c r="BO10" s="40"/>
      <c r="BP10" s="40"/>
      <c r="BQ10" s="40"/>
      <c r="BR10" s="14">
        <f>BN10*3+BP10</f>
        <v>0</v>
      </c>
      <c r="BS10" s="14">
        <f>BO10*3+BQ10</f>
        <v>0</v>
      </c>
      <c r="BT10" s="39">
        <f>BS10+BR10</f>
        <v>0</v>
      </c>
      <c r="BU10" s="32"/>
      <c r="BV10" s="40"/>
      <c r="BW10" s="40">
        <v>1</v>
      </c>
      <c r="BX10" s="40"/>
      <c r="BY10" s="14">
        <f>BU10*3+BW10</f>
        <v>1</v>
      </c>
      <c r="BZ10" s="14">
        <f>BV10*3+BX10</f>
        <v>0</v>
      </c>
      <c r="CA10" s="39">
        <f>BZ10+BY10</f>
        <v>1</v>
      </c>
      <c r="CB10" s="32"/>
      <c r="CC10" s="40"/>
      <c r="CD10" s="40">
        <v>2</v>
      </c>
      <c r="CE10" s="79"/>
      <c r="CF10" s="14">
        <f>CB10*3+CD10</f>
        <v>2</v>
      </c>
      <c r="CG10" s="14">
        <f>CC10*3+CE10</f>
        <v>0</v>
      </c>
      <c r="CH10" s="39">
        <f>CG10+CF10</f>
        <v>2</v>
      </c>
      <c r="CI10" s="40">
        <v>1</v>
      </c>
      <c r="CJ10" s="40"/>
      <c r="CK10" s="40">
        <v>1</v>
      </c>
      <c r="CL10" s="83"/>
      <c r="CM10" s="14">
        <f>CI10*3+CK10</f>
        <v>4</v>
      </c>
      <c r="CN10" s="14">
        <f>CJ10*3+CL10</f>
        <v>0</v>
      </c>
      <c r="CO10" s="39">
        <f>CN10+CM10</f>
        <v>4</v>
      </c>
      <c r="CP10" s="108"/>
      <c r="CQ10" s="40"/>
      <c r="CR10" s="40">
        <v>1</v>
      </c>
      <c r="CS10" s="40">
        <v>1</v>
      </c>
      <c r="CT10" s="14">
        <f>CP10*3+CR10</f>
        <v>1</v>
      </c>
      <c r="CU10" s="14">
        <f>CQ10*3+CS10</f>
        <v>1</v>
      </c>
      <c r="CV10" s="39">
        <f>CU10+CT10</f>
        <v>2</v>
      </c>
      <c r="CW10" s="32">
        <v>1</v>
      </c>
      <c r="CX10" s="40"/>
      <c r="CY10" s="40">
        <v>2</v>
      </c>
      <c r="CZ10" s="40"/>
      <c r="DA10" s="17">
        <f>CW10*3+CY10</f>
        <v>5</v>
      </c>
      <c r="DB10" s="17">
        <f>CX10*3+CZ10</f>
        <v>0</v>
      </c>
      <c r="DC10" s="18">
        <f>DB10+DA10</f>
        <v>5</v>
      </c>
      <c r="DD10" s="108"/>
      <c r="DE10" s="40"/>
      <c r="DF10" s="40">
        <v>2</v>
      </c>
      <c r="DG10" s="40"/>
      <c r="DH10" s="157">
        <f>DD10*3+DF10</f>
        <v>2</v>
      </c>
      <c r="DI10" s="157">
        <f>DE10*3+DG10</f>
        <v>0</v>
      </c>
      <c r="DJ10" s="18">
        <f>DI10+DH10</f>
        <v>2</v>
      </c>
      <c r="DK10" s="108"/>
      <c r="DL10" s="40"/>
      <c r="DM10" s="40">
        <v>3</v>
      </c>
      <c r="DN10" s="40"/>
      <c r="DO10" s="157">
        <f>DK10*3+DM10</f>
        <v>3</v>
      </c>
      <c r="DP10" s="157">
        <f>DL10*3+DN10</f>
        <v>0</v>
      </c>
      <c r="DQ10" s="18">
        <f>DP10+DO10</f>
        <v>3</v>
      </c>
      <c r="DR10" s="108"/>
      <c r="DS10" s="40">
        <v>1</v>
      </c>
      <c r="DT10" s="40"/>
      <c r="DU10" s="40"/>
      <c r="DV10" s="157">
        <f>DR10*3+DT10</f>
        <v>0</v>
      </c>
      <c r="DW10" s="157">
        <f>DS10*3+DU10</f>
        <v>3</v>
      </c>
      <c r="DX10" s="18">
        <f>DW10+DV10</f>
        <v>3</v>
      </c>
      <c r="DY10" s="108">
        <v>1</v>
      </c>
      <c r="DZ10" s="40"/>
      <c r="EA10" s="40"/>
      <c r="EB10" s="40"/>
      <c r="EC10" s="157">
        <f>DY10*3+EA10</f>
        <v>3</v>
      </c>
      <c r="ED10" s="157">
        <f>DZ10*3+EB10</f>
        <v>0</v>
      </c>
      <c r="EE10" s="18">
        <f>ED10+EC10</f>
        <v>3</v>
      </c>
      <c r="EF10" s="74">
        <f>SUM(AP10,AI10,AB10,U10,N10,AW10,BD10,BK10,BR10,BY10,CF10,CM10,CT10,DA10,DH10,DO10,DV10,EC10)</f>
        <v>21</v>
      </c>
      <c r="EG10" s="75">
        <f ca="1">EF10/(10+TODAY()-G10)</f>
        <v>8.6419753086419748E-2</v>
      </c>
      <c r="EH10" s="76">
        <f>SUM(AQ10,AJ10,AC10,V10,O10,AX10,BE10,BL10,BS10,BZ10,CG10,CN10,CU10,DB10,DI10,DP10,DW10,ED10)</f>
        <v>4</v>
      </c>
      <c r="EI10" s="75">
        <f ca="1">EH10/(10+TODAY()-G10)</f>
        <v>1.646090534979424E-2</v>
      </c>
      <c r="EJ10" s="76">
        <f>EF10+EH10</f>
        <v>25</v>
      </c>
      <c r="EK10" s="75">
        <f ca="1">EI10+EG10</f>
        <v>0.102880658436214</v>
      </c>
      <c r="EL10" s="76">
        <f>SUM(AS10,AL10,AE10,X10,Q10,Q10,J10,AZ10,BG10,BN10,BU10,CB10,CI10,CP10,CW10,DD10,DK10,DR10,DY10)</f>
        <v>3</v>
      </c>
      <c r="EM10" s="76">
        <f>SUM(AT10,AM10,AF10,Y10,R10,R10,K10,BA10,BH10,BO10,BV10,CC10,CJ10,CQ10,CX10,DE10,DL10,DS10,DZ10)</f>
        <v>1</v>
      </c>
      <c r="EN10" s="76">
        <f>EM10+EL10</f>
        <v>4</v>
      </c>
    </row>
    <row r="11" spans="1:144" ht="15.75" thickBot="1" x14ac:dyDescent="0.3">
      <c r="A11" s="32">
        <v>11</v>
      </c>
      <c r="B11" s="230" t="s">
        <v>133</v>
      </c>
      <c r="C11" s="85" t="str">
        <f>B11&amp;" "&amp;A11</f>
        <v>ניקול 11</v>
      </c>
      <c r="D11" s="23" t="s">
        <v>6</v>
      </c>
      <c r="E11" s="23" t="s">
        <v>7</v>
      </c>
      <c r="F11" s="31" t="s">
        <v>148</v>
      </c>
      <c r="G11" s="30">
        <v>43151</v>
      </c>
      <c r="H11" s="42"/>
      <c r="I11" s="13"/>
      <c r="J11" s="48"/>
      <c r="K11" s="49"/>
      <c r="L11" s="49"/>
      <c r="M11" s="49"/>
      <c r="N11" s="50">
        <f>J11*3+L11</f>
        <v>0</v>
      </c>
      <c r="O11" s="50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/>
      <c r="AF11" s="12"/>
      <c r="AG11" s="12"/>
      <c r="AH11" s="12"/>
      <c r="AI11" s="14">
        <f>AE11*3+AG11</f>
        <v>0</v>
      </c>
      <c r="AJ11" s="14">
        <f>AF11*3+AH11</f>
        <v>0</v>
      </c>
      <c r="AK11" s="16">
        <f>AJ11+AI11</f>
        <v>0</v>
      </c>
      <c r="AL11" s="10"/>
      <c r="AM11" s="12"/>
      <c r="AN11" s="12"/>
      <c r="AO11" s="12"/>
      <c r="AP11" s="14">
        <f>AL11*3+AN11</f>
        <v>0</v>
      </c>
      <c r="AQ11" s="14">
        <f>AM11*3+AO11</f>
        <v>0</v>
      </c>
      <c r="AR11" s="16">
        <f>AQ11+AP11</f>
        <v>0</v>
      </c>
      <c r="AS11" s="10"/>
      <c r="AT11" s="12"/>
      <c r="AU11" s="12"/>
      <c r="AV11" s="12"/>
      <c r="AW11" s="14">
        <f>AS11*3+AU11</f>
        <v>0</v>
      </c>
      <c r="AX11" s="14">
        <f>AT11*3+AV11</f>
        <v>0</v>
      </c>
      <c r="AY11" s="16">
        <f>AX11+AW11</f>
        <v>0</v>
      </c>
      <c r="AZ11" s="10"/>
      <c r="BA11" s="12"/>
      <c r="BB11" s="12"/>
      <c r="BC11" s="12"/>
      <c r="BD11" s="14">
        <f>AZ11*3+BB11</f>
        <v>0</v>
      </c>
      <c r="BE11" s="14">
        <f>BA11*3+BC11</f>
        <v>0</v>
      </c>
      <c r="BF11" s="16">
        <f>BE11+BD11</f>
        <v>0</v>
      </c>
      <c r="BG11" s="32"/>
      <c r="BH11" s="40"/>
      <c r="BI11" s="12"/>
      <c r="BJ11" s="12"/>
      <c r="BK11" s="14">
        <f>BG11*3+BI11</f>
        <v>0</v>
      </c>
      <c r="BL11" s="14">
        <f>BH11*3+BJ11</f>
        <v>0</v>
      </c>
      <c r="BM11" s="39">
        <f>BL11+BK11</f>
        <v>0</v>
      </c>
      <c r="BN11" s="32">
        <v>1</v>
      </c>
      <c r="BO11" s="40"/>
      <c r="BP11" s="40">
        <v>2</v>
      </c>
      <c r="BQ11" s="40"/>
      <c r="BR11" s="14">
        <f>BN11*3+BP11</f>
        <v>5</v>
      </c>
      <c r="BS11" s="14">
        <f>BO11*3+BQ11</f>
        <v>0</v>
      </c>
      <c r="BT11" s="39">
        <f>BS11+BR11</f>
        <v>5</v>
      </c>
      <c r="BU11" s="32">
        <v>1</v>
      </c>
      <c r="BV11" s="40"/>
      <c r="BW11" s="40">
        <v>1</v>
      </c>
      <c r="BX11" s="40"/>
      <c r="BY11" s="14">
        <f>BU11*3+BW11</f>
        <v>4</v>
      </c>
      <c r="BZ11" s="14">
        <f>BV11*3+BX11</f>
        <v>0</v>
      </c>
      <c r="CA11" s="39">
        <f>BZ11+BY11</f>
        <v>4</v>
      </c>
      <c r="CB11" s="32"/>
      <c r="CC11" s="40"/>
      <c r="CD11" s="40">
        <v>2</v>
      </c>
      <c r="CE11" s="79"/>
      <c r="CF11" s="14">
        <f>CB11*3+CD11</f>
        <v>2</v>
      </c>
      <c r="CG11" s="14">
        <f>CC11*3+CE11</f>
        <v>0</v>
      </c>
      <c r="CH11" s="39">
        <f>CG11+CF11</f>
        <v>2</v>
      </c>
      <c r="CI11" s="40"/>
      <c r="CJ11" s="40"/>
      <c r="CK11" s="40"/>
      <c r="CL11" s="83"/>
      <c r="CM11" s="14">
        <f>CI11*3+CK11</f>
        <v>0</v>
      </c>
      <c r="CN11" s="14">
        <f>CJ11*3+CL11</f>
        <v>0</v>
      </c>
      <c r="CO11" s="39">
        <f>CN11+CM11</f>
        <v>0</v>
      </c>
      <c r="CP11" s="108"/>
      <c r="CQ11" s="40"/>
      <c r="CR11" s="40"/>
      <c r="CS11" s="40">
        <v>1</v>
      </c>
      <c r="CT11" s="14">
        <f>CP11*3+CR11</f>
        <v>0</v>
      </c>
      <c r="CU11" s="14">
        <f>CQ11*3+CS11</f>
        <v>1</v>
      </c>
      <c r="CV11" s="39">
        <f>CU11+CT11</f>
        <v>1</v>
      </c>
      <c r="CW11" s="32"/>
      <c r="CX11" s="40"/>
      <c r="CY11" s="40">
        <v>2</v>
      </c>
      <c r="CZ11" s="40"/>
      <c r="DA11" s="17">
        <f>CW11*3+CY11</f>
        <v>2</v>
      </c>
      <c r="DB11" s="17">
        <f>CX11*3+CZ11</f>
        <v>0</v>
      </c>
      <c r="DC11" s="18">
        <f>DB11+DA11</f>
        <v>2</v>
      </c>
      <c r="DD11" s="108">
        <v>1</v>
      </c>
      <c r="DE11" s="40"/>
      <c r="DF11" s="40"/>
      <c r="DG11" s="40"/>
      <c r="DH11" s="157">
        <f>DD11*3+DF11</f>
        <v>3</v>
      </c>
      <c r="DI11" s="157">
        <f>DE11*3+DG11</f>
        <v>0</v>
      </c>
      <c r="DJ11" s="18">
        <f>DI11+DH11</f>
        <v>3</v>
      </c>
      <c r="DK11" s="108"/>
      <c r="DL11" s="40">
        <v>1</v>
      </c>
      <c r="DM11" s="40">
        <v>1</v>
      </c>
      <c r="DN11" s="40"/>
      <c r="DO11" s="157">
        <f>DK11*3+DM11</f>
        <v>1</v>
      </c>
      <c r="DP11" s="157">
        <f>DL11*3+DN11</f>
        <v>3</v>
      </c>
      <c r="DQ11" s="18">
        <f>DP11+DO11</f>
        <v>4</v>
      </c>
      <c r="DR11" s="108"/>
      <c r="DS11" s="40"/>
      <c r="DT11" s="40">
        <v>3</v>
      </c>
      <c r="DU11" s="40"/>
      <c r="DV11" s="157">
        <f>DR11*3+DT11</f>
        <v>3</v>
      </c>
      <c r="DW11" s="157">
        <f>DS11*3+DU11</f>
        <v>0</v>
      </c>
      <c r="DX11" s="18">
        <f>DW11+DV11</f>
        <v>3</v>
      </c>
      <c r="DY11" s="108">
        <v>1</v>
      </c>
      <c r="DZ11" s="40"/>
      <c r="EA11" s="40"/>
      <c r="EB11" s="40"/>
      <c r="EC11" s="157">
        <f>DY11*3+EA11</f>
        <v>3</v>
      </c>
      <c r="ED11" s="157">
        <f>DZ11*3+EB11</f>
        <v>0</v>
      </c>
      <c r="EE11" s="18">
        <f>ED11+EC11</f>
        <v>3</v>
      </c>
      <c r="EF11" s="74">
        <f>SUM(AP11,AI11,AB11,U11,N11,AW11,BD11,BK11,BR11,BY11,CF11,CM11,CT11,DA11,DH11,DO11,DV11,EC11)</f>
        <v>23</v>
      </c>
      <c r="EG11" s="75">
        <f ca="1">EF11/(10+TODAY()-G11)</f>
        <v>8.1272084805653705E-2</v>
      </c>
      <c r="EH11" s="76">
        <f>SUM(AQ11,AJ11,AC11,V11,O11,AX11,BE11,BL11,BS11,BZ11,CG11,CN11,CU11,DB11,DI11,DP11,DW11,ED11)</f>
        <v>4</v>
      </c>
      <c r="EI11" s="75">
        <f ca="1">EH11/(10+TODAY()-G11)</f>
        <v>1.4134275618374558E-2</v>
      </c>
      <c r="EJ11" s="76">
        <f>EF11+EH11</f>
        <v>27</v>
      </c>
      <c r="EK11" s="75">
        <f ca="1">EI11+EG11</f>
        <v>9.5406360424028266E-2</v>
      </c>
      <c r="EL11" s="76">
        <f>SUM(AS11,AL11,AE11,X11,Q11,Q11,J11,AZ11,BG11,BN11,BU11,CB11,CI11,CP11,CW11,DD11,DK11,DR11,DY11)</f>
        <v>4</v>
      </c>
      <c r="EM11" s="76">
        <f>SUM(AT11,AM11,AF11,Y11,R11,R11,K11,BA11,BH11,BO11,BV11,CC11,CJ11,CQ11,CX11,DE11,DL11,DS11,DZ11)</f>
        <v>1</v>
      </c>
      <c r="EN11" s="76">
        <f>EM11+EL11</f>
        <v>5</v>
      </c>
    </row>
    <row r="12" spans="1:144" ht="15.75" thickBot="1" x14ac:dyDescent="0.3">
      <c r="A12" s="10">
        <v>209</v>
      </c>
      <c r="B12" s="24" t="s">
        <v>116</v>
      </c>
      <c r="C12" s="26" t="str">
        <f>B12&amp;" "&amp;A12</f>
        <v>אלינה 209</v>
      </c>
      <c r="D12" s="23" t="s">
        <v>6</v>
      </c>
      <c r="E12" s="23" t="s">
        <v>7</v>
      </c>
      <c r="F12" s="31" t="s">
        <v>147</v>
      </c>
      <c r="G12" s="30">
        <v>43101</v>
      </c>
      <c r="H12" s="19">
        <v>43490</v>
      </c>
      <c r="I12" s="13"/>
      <c r="J12" s="48"/>
      <c r="K12" s="49"/>
      <c r="L12" s="49"/>
      <c r="M12" s="49"/>
      <c r="N12" s="50">
        <f>J12*3+L12</f>
        <v>0</v>
      </c>
      <c r="O12" s="50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/>
      <c r="AV12" s="12"/>
      <c r="AW12" s="14">
        <f>AS12*3+AU12</f>
        <v>0</v>
      </c>
      <c r="AX12" s="14">
        <f>AT12*3+AV12</f>
        <v>0</v>
      </c>
      <c r="AY12" s="16">
        <f>AX12+AW12</f>
        <v>0</v>
      </c>
      <c r="AZ12" s="10">
        <v>1</v>
      </c>
      <c r="BA12" s="12"/>
      <c r="BB12" s="12"/>
      <c r="BC12" s="12"/>
      <c r="BD12" s="14">
        <f>AZ12*3+BB12</f>
        <v>3</v>
      </c>
      <c r="BE12" s="14">
        <f>BA12*3+BC12</f>
        <v>0</v>
      </c>
      <c r="BF12" s="16">
        <f>BE12+BD12</f>
        <v>3</v>
      </c>
      <c r="BG12" s="32"/>
      <c r="BH12" s="40">
        <v>1</v>
      </c>
      <c r="BI12" s="40">
        <v>1</v>
      </c>
      <c r="BJ12" s="12"/>
      <c r="BK12" s="14">
        <f>BG12*3+BI12</f>
        <v>1</v>
      </c>
      <c r="BL12" s="14">
        <f>BH12*3+BJ12</f>
        <v>3</v>
      </c>
      <c r="BM12" s="39">
        <f>BL12+BK12</f>
        <v>4</v>
      </c>
      <c r="BN12" s="32"/>
      <c r="BO12" s="40"/>
      <c r="BP12" s="40">
        <v>1</v>
      </c>
      <c r="BQ12" s="40"/>
      <c r="BR12" s="14">
        <f>BN12*3+BP12</f>
        <v>1</v>
      </c>
      <c r="BS12" s="14">
        <f>BO12*3+BQ12</f>
        <v>0</v>
      </c>
      <c r="BT12" s="39">
        <f>BS12+BR12</f>
        <v>1</v>
      </c>
      <c r="BU12" s="32">
        <v>1</v>
      </c>
      <c r="BV12" s="40"/>
      <c r="BW12" s="40"/>
      <c r="BX12" s="40"/>
      <c r="BY12" s="14">
        <f>BU12*3+BW12</f>
        <v>3</v>
      </c>
      <c r="BZ12" s="14">
        <f>BV12*3+BX12</f>
        <v>0</v>
      </c>
      <c r="CA12" s="39">
        <f>BZ12+BY12</f>
        <v>3</v>
      </c>
      <c r="CB12" s="32"/>
      <c r="CC12" s="40"/>
      <c r="CD12" s="40">
        <v>2</v>
      </c>
      <c r="CE12" s="79"/>
      <c r="CF12" s="14">
        <f>CB12*3+CD12</f>
        <v>2</v>
      </c>
      <c r="CG12" s="14">
        <f>CC12*3+CE12</f>
        <v>0</v>
      </c>
      <c r="CH12" s="39">
        <f>CG12+CF12</f>
        <v>2</v>
      </c>
      <c r="CI12" s="40"/>
      <c r="CJ12" s="40">
        <v>1</v>
      </c>
      <c r="CK12" s="40">
        <v>2</v>
      </c>
      <c r="CL12" s="83"/>
      <c r="CM12" s="14">
        <f>CI12*3+CK12</f>
        <v>2</v>
      </c>
      <c r="CN12" s="14">
        <f>CJ12*3+CL12</f>
        <v>3</v>
      </c>
      <c r="CO12" s="39">
        <f>CN12+CM12</f>
        <v>5</v>
      </c>
      <c r="CP12" s="108"/>
      <c r="CQ12" s="40"/>
      <c r="CR12" s="40"/>
      <c r="CS12" s="40"/>
      <c r="CT12" s="14">
        <f>CP12*3+CR12</f>
        <v>0</v>
      </c>
      <c r="CU12" s="14">
        <f>CQ12*3+CS12</f>
        <v>0</v>
      </c>
      <c r="CV12" s="39">
        <f>CU12+CT12</f>
        <v>0</v>
      </c>
      <c r="CW12" s="32">
        <v>1</v>
      </c>
      <c r="CX12" s="40"/>
      <c r="CY12" s="40">
        <v>1</v>
      </c>
      <c r="CZ12" s="40"/>
      <c r="DA12" s="17">
        <f>CW12*3+CY12</f>
        <v>4</v>
      </c>
      <c r="DB12" s="17">
        <f>CX12*3+CZ12</f>
        <v>0</v>
      </c>
      <c r="DC12" s="18">
        <f>DB12+DA12</f>
        <v>4</v>
      </c>
      <c r="DD12" s="108">
        <v>1</v>
      </c>
      <c r="DE12" s="40">
        <v>1</v>
      </c>
      <c r="DF12" s="40"/>
      <c r="DG12" s="40"/>
      <c r="DH12" s="157">
        <f>DD12*3+DF12</f>
        <v>3</v>
      </c>
      <c r="DI12" s="157">
        <f>DE12*3+DG12</f>
        <v>3</v>
      </c>
      <c r="DJ12" s="18">
        <f>DI12+DH12</f>
        <v>6</v>
      </c>
      <c r="DK12" s="108"/>
      <c r="DL12" s="40"/>
      <c r="DM12" s="40"/>
      <c r="DN12" s="40">
        <v>1</v>
      </c>
      <c r="DO12" s="157">
        <f>DK12*3+DM12</f>
        <v>0</v>
      </c>
      <c r="DP12" s="157">
        <f>DL12*3+DN12</f>
        <v>1</v>
      </c>
      <c r="DQ12" s="18">
        <f>DP12+DO12</f>
        <v>1</v>
      </c>
      <c r="DR12" s="108"/>
      <c r="DS12" s="40"/>
      <c r="DT12" s="40">
        <v>1</v>
      </c>
      <c r="DU12" s="40"/>
      <c r="DV12" s="157">
        <f>DR12*3+DT12</f>
        <v>1</v>
      </c>
      <c r="DW12" s="157">
        <f>DS12*3+DU12</f>
        <v>0</v>
      </c>
      <c r="DX12" s="18">
        <f>DW12+DV12</f>
        <v>1</v>
      </c>
      <c r="DY12" s="108">
        <v>1</v>
      </c>
      <c r="DZ12" s="40"/>
      <c r="EA12" s="40"/>
      <c r="EB12" s="40"/>
      <c r="EC12" s="157">
        <f>DY12*3+EA12</f>
        <v>3</v>
      </c>
      <c r="ED12" s="157">
        <f>DZ12*3+EB12</f>
        <v>0</v>
      </c>
      <c r="EE12" s="18">
        <f>ED12+EC12</f>
        <v>3</v>
      </c>
      <c r="EF12" s="74">
        <f>SUM(AP12,AI12,AB12,U12,N12,AW12,BD12,BK12,BR12,BY12,CF12,CM12,CT12,DA12,DH12,DO12,DV12,EC12)</f>
        <v>23</v>
      </c>
      <c r="EG12" s="75">
        <f ca="1">EF12/(10+TODAY()-G12)</f>
        <v>6.9069069069069067E-2</v>
      </c>
      <c r="EH12" s="76">
        <f>SUM(AQ12,AJ12,AC12,V12,O12,AX12,BE12,BL12,BS12,BZ12,CG12,CN12,CU12,DB12,DI12,DP12,DW12,ED12)</f>
        <v>10</v>
      </c>
      <c r="EI12" s="75">
        <f ca="1">EH12/(10+TODAY()-G12)</f>
        <v>3.003003003003003E-2</v>
      </c>
      <c r="EJ12" s="76">
        <f>EF12+EH12</f>
        <v>33</v>
      </c>
      <c r="EK12" s="75">
        <f ca="1">EI12+EG12</f>
        <v>9.90990990990991E-2</v>
      </c>
      <c r="EL12" s="76">
        <f>SUM(AS12,AL12,AE12,X12,Q12,Q12,J12,AZ12,BG12,BN12,BU12,CB12,CI12,CP12,CW12,DD12,DK12,DR12,DY12)</f>
        <v>5</v>
      </c>
      <c r="EM12" s="76">
        <f>SUM(AT12,AM12,AF12,Y12,R12,R12,K12,BA12,BH12,BO12,BV12,CC12,CJ12,CQ12,CX12,DE12,DL12,DS12,DZ12)</f>
        <v>3</v>
      </c>
      <c r="EN12" s="76">
        <f>EM12+EL12</f>
        <v>8</v>
      </c>
    </row>
    <row r="13" spans="1:144" ht="15.75" thickBot="1" x14ac:dyDescent="0.3">
      <c r="A13" s="10">
        <v>209</v>
      </c>
      <c r="B13" s="24" t="s">
        <v>97</v>
      </c>
      <c r="C13" s="26" t="str">
        <f>B13&amp;" "&amp;A13</f>
        <v>ולריה 209</v>
      </c>
      <c r="D13" s="23" t="s">
        <v>6</v>
      </c>
      <c r="E13" s="23" t="s">
        <v>7</v>
      </c>
      <c r="F13" s="31" t="s">
        <v>146</v>
      </c>
      <c r="G13" s="30">
        <v>43040</v>
      </c>
      <c r="H13" s="31"/>
      <c r="I13" s="13"/>
      <c r="J13" s="48"/>
      <c r="K13" s="49"/>
      <c r="L13" s="49"/>
      <c r="M13" s="49"/>
      <c r="N13" s="50">
        <f>J13*3+L13</f>
        <v>0</v>
      </c>
      <c r="O13" s="50">
        <f>K13*3+M13</f>
        <v>0</v>
      </c>
      <c r="P13" s="15">
        <f>O13+N13</f>
        <v>0</v>
      </c>
      <c r="Q13" s="10"/>
      <c r="R13" s="12"/>
      <c r="S13" s="12"/>
      <c r="T13" s="12"/>
      <c r="U13" s="14">
        <f>Q13*3+S13</f>
        <v>0</v>
      </c>
      <c r="V13" s="14">
        <f>R13*3+T13</f>
        <v>0</v>
      </c>
      <c r="W13" s="16">
        <f>V13+U13</f>
        <v>0</v>
      </c>
      <c r="X13" s="10"/>
      <c r="Y13" s="12"/>
      <c r="Z13" s="12"/>
      <c r="AA13" s="12"/>
      <c r="AB13" s="17">
        <f>X13*3+Z13</f>
        <v>0</v>
      </c>
      <c r="AC13" s="17">
        <f>Y13*3+AA13</f>
        <v>0</v>
      </c>
      <c r="AD13" s="18">
        <f>AC13+AB13</f>
        <v>0</v>
      </c>
      <c r="AE13" s="10"/>
      <c r="AF13" s="12"/>
      <c r="AG13" s="12"/>
      <c r="AH13" s="12"/>
      <c r="AI13" s="14">
        <f>AE13*3+AG13</f>
        <v>0</v>
      </c>
      <c r="AJ13" s="14">
        <f>AF13*3+AH13</f>
        <v>0</v>
      </c>
      <c r="AK13" s="16">
        <f>AJ13+AI13</f>
        <v>0</v>
      </c>
      <c r="AL13" s="10"/>
      <c r="AM13" s="12"/>
      <c r="AN13" s="12"/>
      <c r="AO13" s="12"/>
      <c r="AP13" s="14">
        <f>AL13*3+AN13</f>
        <v>0</v>
      </c>
      <c r="AQ13" s="14">
        <f>AM13*3+AO13</f>
        <v>0</v>
      </c>
      <c r="AR13" s="16">
        <f>AQ13+AP13</f>
        <v>0</v>
      </c>
      <c r="AS13" s="10"/>
      <c r="AT13" s="12"/>
      <c r="AU13" s="12">
        <v>1</v>
      </c>
      <c r="AV13" s="12"/>
      <c r="AW13" s="14">
        <f>AS13*3+AU13</f>
        <v>1</v>
      </c>
      <c r="AX13" s="14">
        <f>AT13*3+AV13</f>
        <v>0</v>
      </c>
      <c r="AY13" s="16">
        <f>AX13+AW13</f>
        <v>1</v>
      </c>
      <c r="AZ13" s="10">
        <v>1</v>
      </c>
      <c r="BA13" s="12"/>
      <c r="BB13" s="12">
        <v>2</v>
      </c>
      <c r="BC13" s="12"/>
      <c r="BD13" s="14">
        <f>AZ13*3+BB13</f>
        <v>5</v>
      </c>
      <c r="BE13" s="14">
        <f>BA13*3+BC13</f>
        <v>0</v>
      </c>
      <c r="BF13" s="16">
        <f>BE13+BD13</f>
        <v>5</v>
      </c>
      <c r="BG13" s="32"/>
      <c r="BH13" s="40"/>
      <c r="BI13" s="12">
        <v>3</v>
      </c>
      <c r="BJ13" s="12"/>
      <c r="BK13" s="14">
        <f>BG13*3+BI13</f>
        <v>3</v>
      </c>
      <c r="BL13" s="14">
        <f>BH13*3+BJ13</f>
        <v>0</v>
      </c>
      <c r="BM13" s="39">
        <f>BL13+BK13</f>
        <v>3</v>
      </c>
      <c r="BN13" s="32"/>
      <c r="BO13" s="40">
        <v>1</v>
      </c>
      <c r="BP13" s="40">
        <v>3</v>
      </c>
      <c r="BQ13" s="40"/>
      <c r="BR13" s="14">
        <f>BN13*3+BP13</f>
        <v>3</v>
      </c>
      <c r="BS13" s="14">
        <f>BO13*3+BQ13</f>
        <v>3</v>
      </c>
      <c r="BT13" s="39">
        <f>BS13+BR13</f>
        <v>6</v>
      </c>
      <c r="BU13" s="32">
        <v>1</v>
      </c>
      <c r="BV13" s="40"/>
      <c r="BW13" s="40">
        <v>1</v>
      </c>
      <c r="BX13" s="40"/>
      <c r="BY13" s="14">
        <f>BU13*3+BW13</f>
        <v>4</v>
      </c>
      <c r="BZ13" s="14">
        <f>BV13*3+BX13</f>
        <v>0</v>
      </c>
      <c r="CA13" s="39">
        <f>BZ13+BY13</f>
        <v>4</v>
      </c>
      <c r="CB13" s="32"/>
      <c r="CC13" s="40"/>
      <c r="CD13" s="40">
        <v>1</v>
      </c>
      <c r="CE13" s="79"/>
      <c r="CF13" s="14">
        <f>CB13*3+CD13</f>
        <v>1</v>
      </c>
      <c r="CG13" s="14">
        <f>CC13*3+CE13</f>
        <v>0</v>
      </c>
      <c r="CH13" s="39">
        <f>CG13+CF13</f>
        <v>1</v>
      </c>
      <c r="CI13" s="40"/>
      <c r="CJ13" s="40"/>
      <c r="CK13" s="40">
        <v>2</v>
      </c>
      <c r="CL13" s="83"/>
      <c r="CM13" s="14">
        <f>CI13*3+CK13</f>
        <v>2</v>
      </c>
      <c r="CN13" s="14">
        <f>CJ13*3+CL13</f>
        <v>0</v>
      </c>
      <c r="CO13" s="39">
        <f>CN13+CM13</f>
        <v>2</v>
      </c>
      <c r="CP13" s="108">
        <v>1</v>
      </c>
      <c r="CQ13" s="40"/>
      <c r="CR13" s="40">
        <v>1</v>
      </c>
      <c r="CS13" s="40"/>
      <c r="CT13" s="14">
        <f>CP13*3+CR13</f>
        <v>4</v>
      </c>
      <c r="CU13" s="14">
        <f>CQ13*3+CS13</f>
        <v>0</v>
      </c>
      <c r="CV13" s="39">
        <f>CU13+CT13</f>
        <v>4</v>
      </c>
      <c r="CW13" s="32"/>
      <c r="CX13" s="40"/>
      <c r="CY13" s="40">
        <v>2</v>
      </c>
      <c r="CZ13" s="40"/>
      <c r="DA13" s="17">
        <f>CW13*3+CY13</f>
        <v>2</v>
      </c>
      <c r="DB13" s="17">
        <f>CX13*3+CZ13</f>
        <v>0</v>
      </c>
      <c r="DC13" s="18">
        <f>DB13+DA13</f>
        <v>2</v>
      </c>
      <c r="DD13" s="108">
        <v>1</v>
      </c>
      <c r="DE13" s="40"/>
      <c r="DF13" s="40"/>
      <c r="DG13" s="40"/>
      <c r="DH13" s="157">
        <f>DD13*3+DF13</f>
        <v>3</v>
      </c>
      <c r="DI13" s="157">
        <f>DE13*3+DG13</f>
        <v>0</v>
      </c>
      <c r="DJ13" s="18">
        <f>DI13+DH13</f>
        <v>3</v>
      </c>
      <c r="DK13" s="108"/>
      <c r="DL13" s="40"/>
      <c r="DM13" s="40">
        <v>4</v>
      </c>
      <c r="DN13" s="40">
        <v>2</v>
      </c>
      <c r="DO13" s="157">
        <f>DK13*3+DM13</f>
        <v>4</v>
      </c>
      <c r="DP13" s="157">
        <f>DL13*3+DN13</f>
        <v>2</v>
      </c>
      <c r="DQ13" s="18">
        <f>DP13+DO13</f>
        <v>6</v>
      </c>
      <c r="DR13" s="108"/>
      <c r="DS13" s="40"/>
      <c r="DT13" s="40">
        <v>1</v>
      </c>
      <c r="DU13" s="40"/>
      <c r="DV13" s="157">
        <f>DR13*3+DT13</f>
        <v>1</v>
      </c>
      <c r="DW13" s="157">
        <f>DS13*3+DU13</f>
        <v>0</v>
      </c>
      <c r="DX13" s="18">
        <f>DW13+DV13</f>
        <v>1</v>
      </c>
      <c r="DY13" s="108">
        <v>1</v>
      </c>
      <c r="DZ13" s="40"/>
      <c r="EA13" s="40"/>
      <c r="EB13" s="40"/>
      <c r="EC13" s="157">
        <f>DY13*3+EA13</f>
        <v>3</v>
      </c>
      <c r="ED13" s="157">
        <f>DZ13*3+EB13</f>
        <v>0</v>
      </c>
      <c r="EE13" s="18">
        <f>ED13+EC13</f>
        <v>3</v>
      </c>
      <c r="EF13" s="74">
        <f>SUM(AP13,AI13,AB13,U13,N13,AW13,BD13,BK13,BR13,BY13,CF13,CM13,CT13,DA13,DH13,DO13,DV13,EC13)</f>
        <v>36</v>
      </c>
      <c r="EG13" s="75">
        <f ca="1">EF13/(10+TODAY()-G13)</f>
        <v>9.1370558375634514E-2</v>
      </c>
      <c r="EH13" s="76">
        <f>SUM(AQ13,AJ13,AC13,V13,O13,AX13,BE13,BL13,BS13,BZ13,CG13,CN13,CU13,DB13,DI13,DP13,DW13,ED13)</f>
        <v>5</v>
      </c>
      <c r="EI13" s="75">
        <f ca="1">EH13/(10+TODAY()-G13)</f>
        <v>1.2690355329949238E-2</v>
      </c>
      <c r="EJ13" s="76">
        <f>EF13+EH13</f>
        <v>41</v>
      </c>
      <c r="EK13" s="75">
        <f ca="1">EI13+EG13</f>
        <v>0.10406091370558375</v>
      </c>
      <c r="EL13" s="76">
        <f>SUM(AS13,AL13,AE13,X13,Q13,Q13,J13,AZ13,BG13,BN13,BU13,CB13,CI13,CP13,CW13,DD13,DK13,DR13,DY13)</f>
        <v>5</v>
      </c>
      <c r="EM13" s="76">
        <f>SUM(AT13,AM13,AF13,Y13,R13,R13,K13,BA13,BH13,BO13,BV13,CC13,CJ13,CQ13,CX13,DE13,DL13,DS13,DZ13)</f>
        <v>1</v>
      </c>
      <c r="EN13" s="76">
        <f>EM13+EL13</f>
        <v>6</v>
      </c>
    </row>
    <row r="14" spans="1:144" ht="15.75" thickBot="1" x14ac:dyDescent="0.3">
      <c r="A14" s="222">
        <v>209</v>
      </c>
      <c r="B14" s="24" t="s">
        <v>302</v>
      </c>
      <c r="C14" s="26" t="str">
        <f>B14&amp;" "&amp;A14</f>
        <v>טל 209</v>
      </c>
      <c r="D14" s="23" t="s">
        <v>6</v>
      </c>
      <c r="E14" s="23" t="s">
        <v>6</v>
      </c>
      <c r="F14" s="31" t="s">
        <v>303</v>
      </c>
      <c r="G14" s="30">
        <v>43405</v>
      </c>
      <c r="H14" s="42"/>
      <c r="I14" s="13"/>
      <c r="J14" s="48"/>
      <c r="K14" s="49"/>
      <c r="L14" s="49"/>
      <c r="M14" s="49"/>
      <c r="N14" s="50"/>
      <c r="O14" s="50"/>
      <c r="P14" s="15"/>
      <c r="Q14" s="10"/>
      <c r="R14" s="12"/>
      <c r="S14" s="12"/>
      <c r="T14" s="12"/>
      <c r="U14" s="14"/>
      <c r="V14" s="14"/>
      <c r="W14" s="16"/>
      <c r="X14" s="10"/>
      <c r="Y14" s="12"/>
      <c r="Z14" s="12"/>
      <c r="AA14" s="12"/>
      <c r="AB14" s="17"/>
      <c r="AC14" s="17"/>
      <c r="AD14" s="18"/>
      <c r="AE14" s="10"/>
      <c r="AF14" s="12"/>
      <c r="AG14" s="12"/>
      <c r="AH14" s="12"/>
      <c r="AI14" s="14"/>
      <c r="AJ14" s="14"/>
      <c r="AK14" s="16"/>
      <c r="AL14" s="10"/>
      <c r="AM14" s="12"/>
      <c r="AN14" s="12"/>
      <c r="AO14" s="12"/>
      <c r="AP14" s="14"/>
      <c r="AQ14" s="14"/>
      <c r="AR14" s="16"/>
      <c r="AS14" s="10"/>
      <c r="AT14" s="12"/>
      <c r="AU14" s="12"/>
      <c r="AV14" s="12"/>
      <c r="AW14" s="14"/>
      <c r="AX14" s="14"/>
      <c r="AY14" s="16"/>
      <c r="AZ14" s="10"/>
      <c r="BA14" s="12"/>
      <c r="BB14" s="12"/>
      <c r="BC14" s="12"/>
      <c r="BD14" s="14"/>
      <c r="BE14" s="14"/>
      <c r="BF14" s="16"/>
      <c r="BG14" s="32"/>
      <c r="BH14" s="40"/>
      <c r="BI14" s="12"/>
      <c r="BJ14" s="12"/>
      <c r="BK14" s="14"/>
      <c r="BL14" s="14"/>
      <c r="BM14" s="39"/>
      <c r="BN14" s="32"/>
      <c r="BO14" s="40"/>
      <c r="BP14" s="40"/>
      <c r="BQ14" s="40"/>
      <c r="BR14" s="14"/>
      <c r="BS14" s="14"/>
      <c r="BT14" s="39"/>
      <c r="BU14" s="32"/>
      <c r="BV14" s="40"/>
      <c r="BW14" s="40"/>
      <c r="BX14" s="40"/>
      <c r="BY14" s="14"/>
      <c r="BZ14" s="14"/>
      <c r="CA14" s="39"/>
      <c r="CB14" s="32"/>
      <c r="CC14" s="40"/>
      <c r="CD14" s="40"/>
      <c r="CE14" s="79"/>
      <c r="CF14" s="14"/>
      <c r="CG14" s="14"/>
      <c r="CH14" s="39"/>
      <c r="CI14" s="40"/>
      <c r="CJ14" s="40"/>
      <c r="CK14" s="40"/>
      <c r="CL14" s="83"/>
      <c r="CM14" s="14"/>
      <c r="CN14" s="14"/>
      <c r="CO14" s="39"/>
      <c r="CP14" s="108"/>
      <c r="CQ14" s="40"/>
      <c r="CR14" s="40"/>
      <c r="CS14" s="40"/>
      <c r="CT14" s="14"/>
      <c r="CU14" s="14"/>
      <c r="CV14" s="39"/>
      <c r="CW14" s="32"/>
      <c r="CX14" s="40"/>
      <c r="CY14" s="40"/>
      <c r="CZ14" s="40"/>
      <c r="DA14" s="17"/>
      <c r="DB14" s="17"/>
      <c r="DC14" s="18"/>
      <c r="DD14" s="108"/>
      <c r="DE14" s="40"/>
      <c r="DF14" s="40"/>
      <c r="DG14" s="40"/>
      <c r="DH14" s="157"/>
      <c r="DI14" s="157"/>
      <c r="DJ14" s="18"/>
      <c r="DK14" s="108"/>
      <c r="DL14" s="40"/>
      <c r="DM14" s="40"/>
      <c r="DN14" s="40"/>
      <c r="DO14" s="157">
        <f>DK14*3+DM14</f>
        <v>0</v>
      </c>
      <c r="DP14" s="157">
        <f>DL14*3+DN14</f>
        <v>0</v>
      </c>
      <c r="DQ14" s="18">
        <f>DP14+DO14</f>
        <v>0</v>
      </c>
      <c r="DR14" s="108"/>
      <c r="DS14" s="40"/>
      <c r="DT14" s="40"/>
      <c r="DU14" s="40"/>
      <c r="DV14" s="157">
        <f>DR14*3+DT14</f>
        <v>0</v>
      </c>
      <c r="DW14" s="157">
        <f>DS14*3+DU14</f>
        <v>0</v>
      </c>
      <c r="DX14" s="18">
        <f>DW14+DV14</f>
        <v>0</v>
      </c>
      <c r="DY14" s="108">
        <v>1</v>
      </c>
      <c r="DZ14" s="40"/>
      <c r="EA14" s="40"/>
      <c r="EB14" s="40"/>
      <c r="EC14" s="157">
        <f>DY14*3+EA14</f>
        <v>3</v>
      </c>
      <c r="ED14" s="157">
        <f>DZ14*3+EB14</f>
        <v>0</v>
      </c>
      <c r="EE14" s="18">
        <f>ED14+EC14</f>
        <v>3</v>
      </c>
      <c r="EF14" s="74">
        <f>SUM(AP14,AI14,AB14,U14,N14,AW14,BD14,BK14,BR14,BY14,CF14,CM14,CT14,DA14,DH14,DO14,DV14,EC14)</f>
        <v>3</v>
      </c>
      <c r="EG14" s="75">
        <f ca="1">EF14/(10+TODAY()-G14)</f>
        <v>0.10344827586206896</v>
      </c>
      <c r="EH14" s="76">
        <f>SUM(AQ14,AJ14,AC14,V14,O14,AX14,BE14,BL14,BS14,BZ14,CG14,CN14,CU14,DB14,DI14,DP14,DW14,ED14)</f>
        <v>0</v>
      </c>
      <c r="EI14" s="75">
        <f ca="1">EH14/(10+TODAY()-G14)</f>
        <v>0</v>
      </c>
      <c r="EJ14" s="76">
        <f>EF14+EH14</f>
        <v>3</v>
      </c>
      <c r="EK14" s="75">
        <f ca="1">EI14+EG14</f>
        <v>0.10344827586206896</v>
      </c>
      <c r="EL14" s="76">
        <f>SUM(AS14,AL14,AE14,X14,Q14,Q14,J14,AZ14,BG14,BN14,BU14,CB14,CI14,CP14,CW14,DD14,DK14,DR14,DY14)</f>
        <v>1</v>
      </c>
      <c r="EM14" s="76">
        <f>SUM(AT14,AM14,AF14,Y14,R14,R14,K14,BA14,BH14,BO14,BV14,CC14,CJ14,CQ14,CX14,DE14,DL14,DS14,DZ14)</f>
        <v>0</v>
      </c>
      <c r="EN14" s="76">
        <f>EM14+EL14</f>
        <v>1</v>
      </c>
    </row>
    <row r="15" spans="1:144" ht="15.75" thickBot="1" x14ac:dyDescent="0.3">
      <c r="A15" s="32">
        <v>209</v>
      </c>
      <c r="B15" s="24" t="s">
        <v>275</v>
      </c>
      <c r="C15" s="26" t="str">
        <f>B15&amp;" "&amp;A15</f>
        <v>שי 209</v>
      </c>
      <c r="D15" s="23" t="s">
        <v>6</v>
      </c>
      <c r="E15" s="23" t="s">
        <v>7</v>
      </c>
      <c r="F15" s="31" t="s">
        <v>276</v>
      </c>
      <c r="G15" s="30">
        <v>43383</v>
      </c>
      <c r="H15" s="31"/>
      <c r="I15" s="35"/>
      <c r="J15" s="48"/>
      <c r="K15" s="49"/>
      <c r="L15" s="49"/>
      <c r="M15" s="49"/>
      <c r="N15" s="50"/>
      <c r="O15" s="50"/>
      <c r="P15" s="15"/>
      <c r="Q15" s="10"/>
      <c r="R15" s="12"/>
      <c r="S15" s="12"/>
      <c r="T15" s="12"/>
      <c r="U15" s="14"/>
      <c r="V15" s="14"/>
      <c r="W15" s="16"/>
      <c r="X15" s="10"/>
      <c r="Y15" s="12"/>
      <c r="Z15" s="12"/>
      <c r="AA15" s="12"/>
      <c r="AB15" s="17"/>
      <c r="AC15" s="17"/>
      <c r="AD15" s="18"/>
      <c r="AE15" s="10"/>
      <c r="AF15" s="12"/>
      <c r="AG15" s="12"/>
      <c r="AH15" s="12"/>
      <c r="AI15" s="14"/>
      <c r="AJ15" s="14"/>
      <c r="AK15" s="16"/>
      <c r="AL15" s="10"/>
      <c r="AM15" s="12"/>
      <c r="AN15" s="12"/>
      <c r="AO15" s="12"/>
      <c r="AP15" s="14"/>
      <c r="AQ15" s="14"/>
      <c r="AR15" s="16"/>
      <c r="AS15" s="10"/>
      <c r="AT15" s="12"/>
      <c r="AU15" s="12"/>
      <c r="AV15" s="12"/>
      <c r="AW15" s="14"/>
      <c r="AX15" s="14"/>
      <c r="AY15" s="16"/>
      <c r="AZ15" s="10"/>
      <c r="BA15" s="12"/>
      <c r="BB15" s="12"/>
      <c r="BC15" s="12"/>
      <c r="BD15" s="14"/>
      <c r="BE15" s="14"/>
      <c r="BF15" s="16"/>
      <c r="BG15" s="32"/>
      <c r="BH15" s="40"/>
      <c r="BI15" s="12"/>
      <c r="BJ15" s="12"/>
      <c r="BK15" s="14"/>
      <c r="BL15" s="14"/>
      <c r="BM15" s="39"/>
      <c r="BN15" s="32"/>
      <c r="BO15" s="40"/>
      <c r="BP15" s="40"/>
      <c r="BQ15" s="40"/>
      <c r="BR15" s="14"/>
      <c r="BS15" s="14"/>
      <c r="BT15" s="39"/>
      <c r="BU15" s="32"/>
      <c r="BV15" s="40"/>
      <c r="BW15" s="40"/>
      <c r="BX15" s="40"/>
      <c r="BY15" s="14"/>
      <c r="BZ15" s="14"/>
      <c r="CA15" s="39"/>
      <c r="CB15" s="32"/>
      <c r="CC15" s="40"/>
      <c r="CD15" s="40"/>
      <c r="CE15" s="79"/>
      <c r="CF15" s="14"/>
      <c r="CG15" s="14"/>
      <c r="CH15" s="39"/>
      <c r="CI15" s="40"/>
      <c r="CJ15" s="40"/>
      <c r="CK15" s="40"/>
      <c r="CL15" s="83"/>
      <c r="CM15" s="14"/>
      <c r="CN15" s="14"/>
      <c r="CO15" s="39"/>
      <c r="CP15" s="108"/>
      <c r="CQ15" s="40"/>
      <c r="CR15" s="40"/>
      <c r="CS15" s="40"/>
      <c r="CT15" s="14"/>
      <c r="CU15" s="14"/>
      <c r="CV15" s="39"/>
      <c r="CW15" s="32"/>
      <c r="CX15" s="40"/>
      <c r="CY15" s="40"/>
      <c r="CZ15" s="40"/>
      <c r="DA15" s="17"/>
      <c r="DB15" s="17"/>
      <c r="DC15" s="18"/>
      <c r="DD15" s="108"/>
      <c r="DE15" s="40"/>
      <c r="DF15" s="40"/>
      <c r="DG15" s="40"/>
      <c r="DH15" s="157">
        <f>DD15*3+DF15</f>
        <v>0</v>
      </c>
      <c r="DI15" s="157">
        <f>DE15*3+DG15</f>
        <v>0</v>
      </c>
      <c r="DJ15" s="18">
        <f>DI15+DH15</f>
        <v>0</v>
      </c>
      <c r="DK15" s="108"/>
      <c r="DL15" s="40"/>
      <c r="DM15" s="40"/>
      <c r="DN15" s="40"/>
      <c r="DO15" s="157">
        <f>DK15*3+DM15</f>
        <v>0</v>
      </c>
      <c r="DP15" s="157">
        <f>DL15*3+DN15</f>
        <v>0</v>
      </c>
      <c r="DQ15" s="18">
        <f>DP15+DO15</f>
        <v>0</v>
      </c>
      <c r="DR15" s="108"/>
      <c r="DS15" s="40"/>
      <c r="DT15" s="40">
        <v>3</v>
      </c>
      <c r="DU15" s="40"/>
      <c r="DV15" s="157">
        <f>DR15*3+DT15</f>
        <v>3</v>
      </c>
      <c r="DW15" s="157">
        <f>DS15*3+DU15</f>
        <v>0</v>
      </c>
      <c r="DX15" s="18">
        <f>DW15+DV15</f>
        <v>3</v>
      </c>
      <c r="DY15" s="108">
        <v>1</v>
      </c>
      <c r="DZ15" s="40"/>
      <c r="EA15" s="40"/>
      <c r="EB15" s="40"/>
      <c r="EC15" s="157">
        <f>DY15*3+EA15</f>
        <v>3</v>
      </c>
      <c r="ED15" s="157">
        <f>DZ15*3+EB15</f>
        <v>0</v>
      </c>
      <c r="EE15" s="18">
        <f>ED15+EC15</f>
        <v>3</v>
      </c>
      <c r="EF15" s="74">
        <f>SUM(AP15,AI15,AB15,U15,N15,AW15,BD15,BK15,BR15,BY15,CF15,CM15,CT15,DA15,DH15,DO15,DV15,EC15)</f>
        <v>6</v>
      </c>
      <c r="EG15" s="75">
        <f ca="1">EF15/(10+TODAY()-G15)</f>
        <v>0.11764705882352941</v>
      </c>
      <c r="EH15" s="76">
        <f>SUM(AQ15,AJ15,AC15,V15,O15,AX15,BE15,BL15,BS15,BZ15,CG15,CN15,CU15,DB15,DI15,DP15,DW15,ED15)</f>
        <v>0</v>
      </c>
      <c r="EI15" s="75">
        <f ca="1">EH15/(10+TODAY()-G15)</f>
        <v>0</v>
      </c>
      <c r="EJ15" s="76">
        <f>EF15+EH15</f>
        <v>6</v>
      </c>
      <c r="EK15" s="75">
        <f ca="1">EI15+EG15</f>
        <v>0.11764705882352941</v>
      </c>
      <c r="EL15" s="76">
        <f>SUM(AS15,AL15,AE15,X15,Q15,Q15,J15,AZ15,BG15,BN15,BU15,CB15,CI15,CP15,CW15,DD15,DK15,DR15,DY15)</f>
        <v>1</v>
      </c>
      <c r="EM15" s="76">
        <f>SUM(AT15,AM15,AF15,Y15,R15,R15,K15,BA15,BH15,BO15,BV15,CC15,CJ15,CQ15,CX15,DE15,DL15,DS15,DZ15)</f>
        <v>0</v>
      </c>
      <c r="EN15" s="76">
        <f>EM15+EL15</f>
        <v>1</v>
      </c>
    </row>
    <row r="16" spans="1:144" ht="15.75" thickBot="1" x14ac:dyDescent="0.3">
      <c r="A16" s="10">
        <v>474</v>
      </c>
      <c r="B16" s="24" t="s">
        <v>166</v>
      </c>
      <c r="C16" s="26" t="str">
        <f>B16&amp;" "&amp;A16</f>
        <v>לירוז 474</v>
      </c>
      <c r="D16" s="23" t="s">
        <v>6</v>
      </c>
      <c r="E16" s="23" t="s">
        <v>7</v>
      </c>
      <c r="F16" s="31" t="s">
        <v>167</v>
      </c>
      <c r="G16" s="30">
        <v>43191</v>
      </c>
      <c r="H16" s="42"/>
      <c r="I16" s="13"/>
      <c r="J16" s="48"/>
      <c r="K16" s="49"/>
      <c r="L16" s="49"/>
      <c r="M16" s="49"/>
      <c r="N16" s="50">
        <f>J16*3+L16</f>
        <v>0</v>
      </c>
      <c r="O16" s="50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/>
      <c r="AF16" s="12"/>
      <c r="AG16" s="12"/>
      <c r="AH16" s="12"/>
      <c r="AI16" s="14">
        <f>AE16*3+AG16</f>
        <v>0</v>
      </c>
      <c r="AJ16" s="14">
        <f>AF16*3+AH16</f>
        <v>0</v>
      </c>
      <c r="AK16" s="16">
        <f>AJ16+AI16</f>
        <v>0</v>
      </c>
      <c r="AL16" s="10"/>
      <c r="AM16" s="12"/>
      <c r="AN16" s="12"/>
      <c r="AO16" s="12"/>
      <c r="AP16" s="14">
        <f>AL16*3+AN16</f>
        <v>0</v>
      </c>
      <c r="AQ16" s="14">
        <f>AM16*3+AO16</f>
        <v>0</v>
      </c>
      <c r="AR16" s="16">
        <f>AQ16+AP16</f>
        <v>0</v>
      </c>
      <c r="AS16" s="10"/>
      <c r="AT16" s="12"/>
      <c r="AU16" s="12"/>
      <c r="AV16" s="12"/>
      <c r="AW16" s="14">
        <f>AS16*3+AU16</f>
        <v>0</v>
      </c>
      <c r="AX16" s="14">
        <f>AT16*3+AV16</f>
        <v>0</v>
      </c>
      <c r="AY16" s="16">
        <f>AX16+AW16</f>
        <v>0</v>
      </c>
      <c r="AZ16" s="10"/>
      <c r="BA16" s="12"/>
      <c r="BB16" s="12"/>
      <c r="BC16" s="12"/>
      <c r="BD16" s="14">
        <f>AZ16*3+BB16</f>
        <v>0</v>
      </c>
      <c r="BE16" s="14">
        <f>BA16*3+BC16</f>
        <v>0</v>
      </c>
      <c r="BF16" s="16">
        <f>BE16+BD16</f>
        <v>0</v>
      </c>
      <c r="BG16" s="32"/>
      <c r="BH16" s="40"/>
      <c r="BI16" s="12"/>
      <c r="BJ16" s="12"/>
      <c r="BK16" s="14">
        <f>BG16*3+BI16</f>
        <v>0</v>
      </c>
      <c r="BL16" s="14">
        <f>BH16*3+BJ16</f>
        <v>0</v>
      </c>
      <c r="BM16" s="39">
        <f>BL16+BK16</f>
        <v>0</v>
      </c>
      <c r="BN16" s="32"/>
      <c r="BO16" s="40"/>
      <c r="BP16" s="40"/>
      <c r="BQ16" s="40"/>
      <c r="BR16" s="14">
        <f>BN16*3+BP16</f>
        <v>0</v>
      </c>
      <c r="BS16" s="14">
        <f>BO16*3+BQ16</f>
        <v>0</v>
      </c>
      <c r="BT16" s="39">
        <f>BS16+BR16</f>
        <v>0</v>
      </c>
      <c r="BU16" s="32"/>
      <c r="BV16" s="40"/>
      <c r="BW16" s="40"/>
      <c r="BX16" s="40"/>
      <c r="BY16" s="14">
        <f>BU16*3+BW16</f>
        <v>0</v>
      </c>
      <c r="BZ16" s="14">
        <f>BV16*3+BX16</f>
        <v>0</v>
      </c>
      <c r="CA16" s="39">
        <f>BZ16+BY16</f>
        <v>0</v>
      </c>
      <c r="CB16" s="32">
        <v>1</v>
      </c>
      <c r="CC16" s="40"/>
      <c r="CD16" s="40">
        <v>1</v>
      </c>
      <c r="CE16" s="79"/>
      <c r="CF16" s="14">
        <f>CB16*3+CD16</f>
        <v>4</v>
      </c>
      <c r="CG16" s="14">
        <f>CC16*3+CE16</f>
        <v>0</v>
      </c>
      <c r="CH16" s="39">
        <f>CG16+CF16</f>
        <v>4</v>
      </c>
      <c r="CI16" s="40"/>
      <c r="CJ16" s="40"/>
      <c r="CK16" s="40">
        <v>2</v>
      </c>
      <c r="CL16" s="83"/>
      <c r="CM16" s="14">
        <f>CI16*3+CK16</f>
        <v>2</v>
      </c>
      <c r="CN16" s="14">
        <f>CJ16*3+CL16</f>
        <v>0</v>
      </c>
      <c r="CO16" s="39">
        <f>CN16+CM16</f>
        <v>2</v>
      </c>
      <c r="CP16" s="108"/>
      <c r="CQ16" s="40"/>
      <c r="CR16" s="40">
        <v>3</v>
      </c>
      <c r="CS16" s="40">
        <v>1</v>
      </c>
      <c r="CT16" s="14">
        <f>CP16*3+CR16</f>
        <v>3</v>
      </c>
      <c r="CU16" s="14">
        <f>CQ16*3+CS16</f>
        <v>1</v>
      </c>
      <c r="CV16" s="39">
        <f>CU16+CT16</f>
        <v>4</v>
      </c>
      <c r="CW16" s="32">
        <v>1</v>
      </c>
      <c r="CX16" s="40"/>
      <c r="CY16" s="40"/>
      <c r="CZ16" s="40"/>
      <c r="DA16" s="17">
        <f>CW16*3+CY16</f>
        <v>3</v>
      </c>
      <c r="DB16" s="17">
        <f>CX16*3+CZ16</f>
        <v>0</v>
      </c>
      <c r="DC16" s="18">
        <f>DB16+DA16</f>
        <v>3</v>
      </c>
      <c r="DD16" s="108"/>
      <c r="DE16" s="40"/>
      <c r="DF16" s="40">
        <v>3</v>
      </c>
      <c r="DG16" s="40"/>
      <c r="DH16" s="157">
        <f>DD16*3+DF16</f>
        <v>3</v>
      </c>
      <c r="DI16" s="157">
        <f>DE16*3+DG16</f>
        <v>0</v>
      </c>
      <c r="DJ16" s="18">
        <f>DI16+DH16</f>
        <v>3</v>
      </c>
      <c r="DK16" s="108"/>
      <c r="DL16" s="40"/>
      <c r="DM16" s="40">
        <v>1</v>
      </c>
      <c r="DN16" s="40">
        <v>2</v>
      </c>
      <c r="DO16" s="157">
        <f>DK16*3+DM16</f>
        <v>1</v>
      </c>
      <c r="DP16" s="157">
        <f>DL16*3+DN16</f>
        <v>2</v>
      </c>
      <c r="DQ16" s="18">
        <f>DP16+DO16</f>
        <v>3</v>
      </c>
      <c r="DR16" s="108"/>
      <c r="DS16" s="40"/>
      <c r="DT16" s="40">
        <v>3</v>
      </c>
      <c r="DU16" s="40"/>
      <c r="DV16" s="157">
        <f>DR16*3+DT16</f>
        <v>3</v>
      </c>
      <c r="DW16" s="157">
        <f>DS16*3+DU16</f>
        <v>0</v>
      </c>
      <c r="DX16" s="18">
        <f>DW16+DV16</f>
        <v>3</v>
      </c>
      <c r="DY16" s="108">
        <v>1</v>
      </c>
      <c r="DZ16" s="40"/>
      <c r="EA16" s="40"/>
      <c r="EB16" s="40"/>
      <c r="EC16" s="157">
        <f>DY16*3+EA16</f>
        <v>3</v>
      </c>
      <c r="ED16" s="157">
        <f>DZ16*3+EB16</f>
        <v>0</v>
      </c>
      <c r="EE16" s="18">
        <f>ED16+EC16</f>
        <v>3</v>
      </c>
      <c r="EF16" s="74">
        <f>SUM(AP16,AI16,AB16,U16,N16,AW16,BD16,BK16,BR16,BY16,CF16,CM16,CT16,DA16,DH16,DO16,DV16,EC16)</f>
        <v>22</v>
      </c>
      <c r="EG16" s="75">
        <f ca="1">EF16/(10+TODAY()-G16)</f>
        <v>9.0534979423868317E-2</v>
      </c>
      <c r="EH16" s="76">
        <f>SUM(AQ16,AJ16,AC16,V16,O16,AX16,BE16,BL16,BS16,BZ16,CG16,CN16,CU16,DB16,DI16,DP16,DW16,ED16)</f>
        <v>3</v>
      </c>
      <c r="EI16" s="75">
        <f ca="1">EH16/(10+TODAY()-G16)</f>
        <v>1.2345679012345678E-2</v>
      </c>
      <c r="EJ16" s="76">
        <f>EF16+EH16</f>
        <v>25</v>
      </c>
      <c r="EK16" s="75">
        <f ca="1">EI16+EG16</f>
        <v>0.102880658436214</v>
      </c>
      <c r="EL16" s="76">
        <f>SUM(AS16,AL16,AE16,X16,Q16,Q16,J16,AZ16,BG16,BN16,BU16,CB16,CI16,CP16,CW16,DD16,DK16,DR16,DY16)</f>
        <v>3</v>
      </c>
      <c r="EM16" s="76">
        <f>SUM(AT16,AM16,AF16,Y16,R16,R16,K16,BA16,BH16,BO16,BV16,CC16,CJ16,CQ16,CX16,DE16,DL16,DS16,DZ16)</f>
        <v>0</v>
      </c>
      <c r="EN16" s="76">
        <f>EM16+EL16</f>
        <v>3</v>
      </c>
    </row>
    <row r="17" spans="1:144" ht="15.75" thickBot="1" x14ac:dyDescent="0.3">
      <c r="A17" s="32">
        <v>679</v>
      </c>
      <c r="B17" s="230" t="s">
        <v>49</v>
      </c>
      <c r="C17" s="26" t="str">
        <f>B17&amp;" "&amp;A17</f>
        <v>אלכס 679</v>
      </c>
      <c r="D17" s="12" t="s">
        <v>6</v>
      </c>
      <c r="E17" s="23" t="s">
        <v>7</v>
      </c>
      <c r="F17" s="31" t="s">
        <v>144</v>
      </c>
      <c r="G17" s="30">
        <v>42979</v>
      </c>
      <c r="H17" s="19">
        <v>43573</v>
      </c>
      <c r="I17" s="13"/>
      <c r="J17" s="48"/>
      <c r="K17" s="49"/>
      <c r="L17" s="49"/>
      <c r="M17" s="49"/>
      <c r="N17" s="50">
        <f>J17*3+L17</f>
        <v>0</v>
      </c>
      <c r="O17" s="50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>
        <v>1</v>
      </c>
      <c r="AF17" s="12"/>
      <c r="AG17" s="12"/>
      <c r="AH17" s="12"/>
      <c r="AI17" s="14">
        <f>AE17*3+AG17</f>
        <v>3</v>
      </c>
      <c r="AJ17" s="14">
        <f>AF17*3+AH17</f>
        <v>0</v>
      </c>
      <c r="AK17" s="16">
        <f>AJ17+AI17</f>
        <v>3</v>
      </c>
      <c r="AL17" s="10"/>
      <c r="AM17" s="12"/>
      <c r="AN17" s="12">
        <v>4</v>
      </c>
      <c r="AO17" s="12"/>
      <c r="AP17" s="14">
        <f>AL17*3+AN17</f>
        <v>4</v>
      </c>
      <c r="AQ17" s="14">
        <f>AM17*3+AO17</f>
        <v>0</v>
      </c>
      <c r="AR17" s="16">
        <f>AQ17+AP17</f>
        <v>4</v>
      </c>
      <c r="AS17" s="10"/>
      <c r="AT17" s="12"/>
      <c r="AU17" s="12">
        <v>4</v>
      </c>
      <c r="AV17" s="12"/>
      <c r="AW17" s="14">
        <f>AS17*3+AU17</f>
        <v>4</v>
      </c>
      <c r="AX17" s="14">
        <f>AT17*3+AV17</f>
        <v>0</v>
      </c>
      <c r="AY17" s="16">
        <f>AX17+AW17</f>
        <v>4</v>
      </c>
      <c r="AZ17" s="10">
        <v>1</v>
      </c>
      <c r="BA17" s="12"/>
      <c r="BB17" s="12"/>
      <c r="BC17" s="12"/>
      <c r="BD17" s="14">
        <f>AZ17*3+BB17</f>
        <v>3</v>
      </c>
      <c r="BE17" s="14">
        <f>BA17*3+BC17</f>
        <v>0</v>
      </c>
      <c r="BF17" s="16">
        <f>BE17+BD17</f>
        <v>3</v>
      </c>
      <c r="BG17" s="32"/>
      <c r="BH17" s="40"/>
      <c r="BI17" s="12">
        <v>2</v>
      </c>
      <c r="BJ17" s="12">
        <v>1</v>
      </c>
      <c r="BK17" s="14">
        <f>BG17*3+BI17</f>
        <v>2</v>
      </c>
      <c r="BL17" s="14">
        <f>BH17*3+BJ17</f>
        <v>1</v>
      </c>
      <c r="BM17" s="39">
        <f>BL17+BK17</f>
        <v>3</v>
      </c>
      <c r="BN17" s="32">
        <v>1</v>
      </c>
      <c r="BO17" s="40"/>
      <c r="BP17" s="40">
        <v>2</v>
      </c>
      <c r="BQ17" s="40">
        <v>1</v>
      </c>
      <c r="BR17" s="14">
        <f>BN17*3+BP17</f>
        <v>5</v>
      </c>
      <c r="BS17" s="14">
        <f>BO17*3+BQ17</f>
        <v>1</v>
      </c>
      <c r="BT17" s="39">
        <f>BS17+BR17</f>
        <v>6</v>
      </c>
      <c r="BU17" s="32"/>
      <c r="BV17" s="40"/>
      <c r="BW17" s="40">
        <v>1</v>
      </c>
      <c r="BX17" s="40"/>
      <c r="BY17" s="14">
        <f>BU17*3+BW17</f>
        <v>1</v>
      </c>
      <c r="BZ17" s="14">
        <f>BV17*3+BX17</f>
        <v>0</v>
      </c>
      <c r="CA17" s="39">
        <f>BZ17+BY17</f>
        <v>1</v>
      </c>
      <c r="CB17" s="32"/>
      <c r="CC17" s="40"/>
      <c r="CD17" s="232">
        <v>2</v>
      </c>
      <c r="CE17" s="80"/>
      <c r="CF17" s="14">
        <f>CB17*3+CD17</f>
        <v>2</v>
      </c>
      <c r="CG17" s="14">
        <f>CC17*3+CE17</f>
        <v>0</v>
      </c>
      <c r="CH17" s="39">
        <f>CG17+CF17</f>
        <v>2</v>
      </c>
      <c r="CI17" s="40">
        <v>1</v>
      </c>
      <c r="CJ17" s="40"/>
      <c r="CK17" s="40">
        <v>1</v>
      </c>
      <c r="CL17" s="83">
        <v>1</v>
      </c>
      <c r="CM17" s="14">
        <f>CI17*3+CK17</f>
        <v>4</v>
      </c>
      <c r="CN17" s="14">
        <f>CJ17*3+CL17</f>
        <v>1</v>
      </c>
      <c r="CO17" s="39">
        <f>CN17+CM17</f>
        <v>5</v>
      </c>
      <c r="CP17" s="108"/>
      <c r="CQ17" s="40"/>
      <c r="CR17" s="40">
        <v>2</v>
      </c>
      <c r="CS17" s="40"/>
      <c r="CT17" s="14">
        <f>CP17*3+CR17</f>
        <v>2</v>
      </c>
      <c r="CU17" s="14">
        <f>CQ17*3+CS17</f>
        <v>0</v>
      </c>
      <c r="CV17" s="39">
        <f>CU17+CT17</f>
        <v>2</v>
      </c>
      <c r="CW17" s="32">
        <v>1</v>
      </c>
      <c r="CX17" s="40"/>
      <c r="CY17" s="40"/>
      <c r="CZ17" s="40"/>
      <c r="DA17" s="17">
        <f>CW17*3+CY17</f>
        <v>3</v>
      </c>
      <c r="DB17" s="17">
        <f>CX17*3+CZ17</f>
        <v>0</v>
      </c>
      <c r="DC17" s="18">
        <f>DB17+DA17</f>
        <v>3</v>
      </c>
      <c r="DD17" s="108"/>
      <c r="DE17" s="40">
        <v>1</v>
      </c>
      <c r="DF17" s="40">
        <v>1</v>
      </c>
      <c r="DG17" s="40"/>
      <c r="DH17" s="157">
        <f>DD17*3+DF17</f>
        <v>1</v>
      </c>
      <c r="DI17" s="157">
        <f>DE17*3+DG17</f>
        <v>3</v>
      </c>
      <c r="DJ17" s="18">
        <f>DI17+DH17</f>
        <v>4</v>
      </c>
      <c r="DK17" s="108"/>
      <c r="DL17" s="40"/>
      <c r="DM17" s="40">
        <v>1</v>
      </c>
      <c r="DN17" s="40">
        <v>1</v>
      </c>
      <c r="DO17" s="157">
        <f>DK17*3+DM17</f>
        <v>1</v>
      </c>
      <c r="DP17" s="157">
        <f>DL17*3+DN17</f>
        <v>1</v>
      </c>
      <c r="DQ17" s="18">
        <f>DP17+DO17</f>
        <v>2</v>
      </c>
      <c r="DR17" s="108"/>
      <c r="DS17" s="40"/>
      <c r="DT17" s="40">
        <v>3</v>
      </c>
      <c r="DU17" s="40"/>
      <c r="DV17" s="157">
        <f>DR17*3+DT17</f>
        <v>3</v>
      </c>
      <c r="DW17" s="157">
        <f>DS17*3+DU17</f>
        <v>0</v>
      </c>
      <c r="DX17" s="18">
        <f>DW17+DV17</f>
        <v>3</v>
      </c>
      <c r="DY17" s="108">
        <v>1</v>
      </c>
      <c r="DZ17" s="40"/>
      <c r="EA17" s="40"/>
      <c r="EB17" s="40"/>
      <c r="EC17" s="157">
        <f>DY17*3+EA17</f>
        <v>3</v>
      </c>
      <c r="ED17" s="157">
        <f>DZ17*3+EB17</f>
        <v>0</v>
      </c>
      <c r="EE17" s="18">
        <f>ED17+EC17</f>
        <v>3</v>
      </c>
      <c r="EF17" s="74">
        <f>SUM(AP17,AI17,AB17,U17,N17,AW17,BD17,BK17,BR17,BY17,CF17,CM17,CT17,DA17,DH17,DO17,DV17,EC17)</f>
        <v>41</v>
      </c>
      <c r="EG17" s="75">
        <f ca="1">EF17/(10+TODAY()-G17)</f>
        <v>9.0109890109890109E-2</v>
      </c>
      <c r="EH17" s="76">
        <f>SUM(AQ17,AJ17,AC17,V17,O17,AX17,BE17,BL17,BS17,BZ17,CG17,CN17,CU17,DB17,DI17,DP17,DW17,ED17)</f>
        <v>7</v>
      </c>
      <c r="EI17" s="75">
        <f ca="1">EH17/(10+TODAY()-G17)</f>
        <v>1.5384615384615385E-2</v>
      </c>
      <c r="EJ17" s="76">
        <f>EF17+EH17</f>
        <v>48</v>
      </c>
      <c r="EK17" s="75">
        <f ca="1">EI17+EG17</f>
        <v>0.10549450549450549</v>
      </c>
      <c r="EL17" s="76">
        <f>SUM(AS17,AL17,AE17,X17,Q17,Q17,J17,AZ17,BG17,BN17,BU17,CB17,CI17,CP17,CW17,DD17,DK17,DR17,DY17)</f>
        <v>6</v>
      </c>
      <c r="EM17" s="76">
        <f>SUM(AT17,AM17,AF17,Y17,R17,R17,K17,BA17,BH17,BO17,BV17,CC17,CJ17,CQ17,CX17,DE17,DL17,DS17,DZ17)</f>
        <v>1</v>
      </c>
      <c r="EN17" s="76">
        <f>EM17+EL17</f>
        <v>7</v>
      </c>
    </row>
    <row r="18" spans="1:144" ht="15.75" thickBot="1" x14ac:dyDescent="0.3">
      <c r="A18" s="32">
        <v>679</v>
      </c>
      <c r="B18" s="230" t="s">
        <v>277</v>
      </c>
      <c r="C18" s="26" t="str">
        <f>B18&amp;" "&amp;A18</f>
        <v>יובל 679</v>
      </c>
      <c r="D18" s="23" t="s">
        <v>6</v>
      </c>
      <c r="E18" s="23" t="s">
        <v>7</v>
      </c>
      <c r="F18" s="31" t="s">
        <v>276</v>
      </c>
      <c r="G18" s="30">
        <v>43383</v>
      </c>
      <c r="H18" s="19"/>
      <c r="I18" s="13"/>
      <c r="J18" s="48"/>
      <c r="K18" s="49"/>
      <c r="L18" s="49"/>
      <c r="M18" s="49"/>
      <c r="N18" s="50"/>
      <c r="O18" s="50"/>
      <c r="P18" s="15"/>
      <c r="Q18" s="10"/>
      <c r="R18" s="12"/>
      <c r="S18" s="12"/>
      <c r="T18" s="12"/>
      <c r="U18" s="14"/>
      <c r="V18" s="14"/>
      <c r="W18" s="16"/>
      <c r="X18" s="10"/>
      <c r="Y18" s="12"/>
      <c r="Z18" s="12"/>
      <c r="AA18" s="12"/>
      <c r="AB18" s="17"/>
      <c r="AC18" s="17"/>
      <c r="AD18" s="18"/>
      <c r="AE18" s="10"/>
      <c r="AF18" s="12"/>
      <c r="AG18" s="12"/>
      <c r="AH18" s="12"/>
      <c r="AI18" s="14"/>
      <c r="AJ18" s="14"/>
      <c r="AK18" s="16"/>
      <c r="AL18" s="10"/>
      <c r="AM18" s="12"/>
      <c r="AN18" s="12"/>
      <c r="AO18" s="12"/>
      <c r="AP18" s="14"/>
      <c r="AQ18" s="14"/>
      <c r="AR18" s="16"/>
      <c r="AS18" s="10"/>
      <c r="AT18" s="12"/>
      <c r="AU18" s="12"/>
      <c r="AV18" s="12"/>
      <c r="AW18" s="14"/>
      <c r="AX18" s="14"/>
      <c r="AY18" s="16"/>
      <c r="AZ18" s="10"/>
      <c r="BA18" s="12"/>
      <c r="BB18" s="12"/>
      <c r="BC18" s="12"/>
      <c r="BD18" s="14"/>
      <c r="BE18" s="14"/>
      <c r="BF18" s="16"/>
      <c r="BG18" s="32"/>
      <c r="BH18" s="40"/>
      <c r="BI18" s="12"/>
      <c r="BJ18" s="12"/>
      <c r="BK18" s="14"/>
      <c r="BL18" s="14"/>
      <c r="BM18" s="39"/>
      <c r="BN18" s="32"/>
      <c r="BO18" s="40"/>
      <c r="BP18" s="40"/>
      <c r="BQ18" s="40"/>
      <c r="BR18" s="14"/>
      <c r="BS18" s="14"/>
      <c r="BT18" s="39"/>
      <c r="BU18" s="32"/>
      <c r="BV18" s="40"/>
      <c r="BW18" s="40"/>
      <c r="BX18" s="40"/>
      <c r="BY18" s="14"/>
      <c r="BZ18" s="14"/>
      <c r="CA18" s="39"/>
      <c r="CB18" s="32"/>
      <c r="CC18" s="40"/>
      <c r="CD18" s="232"/>
      <c r="CE18" s="80"/>
      <c r="CF18" s="14"/>
      <c r="CG18" s="14"/>
      <c r="CH18" s="39"/>
      <c r="CI18" s="40"/>
      <c r="CJ18" s="40"/>
      <c r="CK18" s="40"/>
      <c r="CL18" s="83"/>
      <c r="CM18" s="14"/>
      <c r="CN18" s="14"/>
      <c r="CO18" s="39"/>
      <c r="CP18" s="108"/>
      <c r="CQ18" s="40"/>
      <c r="CR18" s="40"/>
      <c r="CS18" s="40"/>
      <c r="CT18" s="14"/>
      <c r="CU18" s="14"/>
      <c r="CV18" s="39"/>
      <c r="CW18" s="32"/>
      <c r="CX18" s="40"/>
      <c r="CY18" s="40"/>
      <c r="CZ18" s="40"/>
      <c r="DA18" s="17"/>
      <c r="DB18" s="17"/>
      <c r="DC18" s="18"/>
      <c r="DD18" s="108"/>
      <c r="DE18" s="40"/>
      <c r="DF18" s="40"/>
      <c r="DG18" s="40"/>
      <c r="DH18" s="157">
        <f>DD18*3+DF18</f>
        <v>0</v>
      </c>
      <c r="DI18" s="157">
        <f>DE18*3+DG18</f>
        <v>0</v>
      </c>
      <c r="DJ18" s="18">
        <f>DI18+DH18</f>
        <v>0</v>
      </c>
      <c r="DK18" s="108"/>
      <c r="DL18" s="40"/>
      <c r="DM18" s="40"/>
      <c r="DN18" s="40"/>
      <c r="DO18" s="157">
        <f>DK18*3+DM18</f>
        <v>0</v>
      </c>
      <c r="DP18" s="157">
        <f>DL18*3+DN18</f>
        <v>0</v>
      </c>
      <c r="DQ18" s="18">
        <f>DP18+DO18</f>
        <v>0</v>
      </c>
      <c r="DR18" s="108"/>
      <c r="DS18" s="40"/>
      <c r="DT18" s="40">
        <v>3</v>
      </c>
      <c r="DU18" s="40"/>
      <c r="DV18" s="157">
        <f>DR18*3+DT18</f>
        <v>3</v>
      </c>
      <c r="DW18" s="157">
        <f>DS18*3+DU18</f>
        <v>0</v>
      </c>
      <c r="DX18" s="18">
        <f>DW18+DV18</f>
        <v>3</v>
      </c>
      <c r="DY18" s="108">
        <v>1</v>
      </c>
      <c r="DZ18" s="40"/>
      <c r="EA18" s="40"/>
      <c r="EB18" s="40"/>
      <c r="EC18" s="157">
        <f>DY18*3+EA18</f>
        <v>3</v>
      </c>
      <c r="ED18" s="157">
        <f>DZ18*3+EB18</f>
        <v>0</v>
      </c>
      <c r="EE18" s="18">
        <f>ED18+EC18</f>
        <v>3</v>
      </c>
      <c r="EF18" s="74">
        <f>SUM(AP18,AI18,AB18,U18,N18,AW18,BD18,BK18,BR18,BY18,CF18,CM18,CT18,DA18,DH18,DO18,DV18,EC18)</f>
        <v>6</v>
      </c>
      <c r="EG18" s="75">
        <f ca="1">EF18/(10+TODAY()-G18)</f>
        <v>0.11764705882352941</v>
      </c>
      <c r="EH18" s="76">
        <f>SUM(AQ18,AJ18,AC18,V18,O18,AX18,BE18,BL18,BS18,BZ18,CG18,CN18,CU18,DB18,DI18,DP18,DW18,ED18)</f>
        <v>0</v>
      </c>
      <c r="EI18" s="75">
        <f ca="1">EH18/(10+TODAY()-G18)</f>
        <v>0</v>
      </c>
      <c r="EJ18" s="76">
        <f>EF18+EH18</f>
        <v>6</v>
      </c>
      <c r="EK18" s="75">
        <f ca="1">EI18+EG18</f>
        <v>0.11764705882352941</v>
      </c>
      <c r="EL18" s="76">
        <f>SUM(AS18,AL18,AE18,X18,Q18,Q18,J18,AZ18,BG18,BN18,BU18,CB18,CI18,CP18,CW18,DD18,DK18,DR18,DY18)</f>
        <v>1</v>
      </c>
      <c r="EM18" s="76">
        <f>SUM(AT18,AM18,AF18,Y18,R18,R18,K18,BA18,BH18,BO18,BV18,CC18,CJ18,CQ18,CX18,DE18,DL18,DS18,DZ18)</f>
        <v>0</v>
      </c>
      <c r="EN18" s="76">
        <f>EM18+EL18</f>
        <v>1</v>
      </c>
    </row>
    <row r="19" spans="1:144" ht="15.75" thickBot="1" x14ac:dyDescent="0.3">
      <c r="A19" s="178" t="s">
        <v>63</v>
      </c>
      <c r="B19" s="230" t="s">
        <v>280</v>
      </c>
      <c r="C19" s="85" t="str">
        <f>B19&amp;" "&amp;A19</f>
        <v>דקל אחודה</v>
      </c>
      <c r="D19" s="23" t="s">
        <v>7</v>
      </c>
      <c r="E19" s="23" t="s">
        <v>7</v>
      </c>
      <c r="F19" s="31" t="s">
        <v>276</v>
      </c>
      <c r="G19" s="30">
        <v>43393</v>
      </c>
      <c r="H19" s="31"/>
      <c r="I19" s="13"/>
      <c r="J19" s="48"/>
      <c r="K19" s="49"/>
      <c r="L19" s="49"/>
      <c r="M19" s="49"/>
      <c r="N19" s="50"/>
      <c r="O19" s="50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12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9"/>
      <c r="CF19" s="14"/>
      <c r="CG19" s="14"/>
      <c r="CH19" s="39"/>
      <c r="CI19" s="40"/>
      <c r="CJ19" s="40"/>
      <c r="CK19" s="40"/>
      <c r="CL19" s="83"/>
      <c r="CM19" s="14"/>
      <c r="CN19" s="14"/>
      <c r="CO19" s="39"/>
      <c r="CP19" s="108"/>
      <c r="CQ19" s="40"/>
      <c r="CR19" s="40"/>
      <c r="CS19" s="40"/>
      <c r="CT19" s="14"/>
      <c r="CU19" s="14"/>
      <c r="CV19" s="39"/>
      <c r="CW19" s="32"/>
      <c r="CX19" s="40"/>
      <c r="CY19" s="40"/>
      <c r="CZ19" s="40"/>
      <c r="DA19" s="17"/>
      <c r="DB19" s="17"/>
      <c r="DC19" s="18"/>
      <c r="DD19" s="108"/>
      <c r="DE19" s="40"/>
      <c r="DF19" s="40"/>
      <c r="DG19" s="40"/>
      <c r="DH19" s="157">
        <f>DD19*3+DF19</f>
        <v>0</v>
      </c>
      <c r="DI19" s="157">
        <f>DE19*3+DG19</f>
        <v>0</v>
      </c>
      <c r="DJ19" s="18">
        <f>DI19+DH19</f>
        <v>0</v>
      </c>
      <c r="DK19" s="108"/>
      <c r="DL19" s="40"/>
      <c r="DM19" s="40"/>
      <c r="DN19" s="40"/>
      <c r="DO19" s="157">
        <f>DK19*3+DM19</f>
        <v>0</v>
      </c>
      <c r="DP19" s="157">
        <f>DL19*3+DN19</f>
        <v>0</v>
      </c>
      <c r="DQ19" s="18">
        <f>DP19+DO19</f>
        <v>0</v>
      </c>
      <c r="DR19" s="108"/>
      <c r="DS19" s="40"/>
      <c r="DT19" s="40">
        <v>1</v>
      </c>
      <c r="DU19" s="40">
        <v>2</v>
      </c>
      <c r="DV19" s="157">
        <f>DR19*3+DT19</f>
        <v>1</v>
      </c>
      <c r="DW19" s="157">
        <f>DS19*3+DU19</f>
        <v>2</v>
      </c>
      <c r="DX19" s="18">
        <f>DW19+DV19</f>
        <v>3</v>
      </c>
      <c r="DY19" s="108">
        <v>1</v>
      </c>
      <c r="DZ19" s="40"/>
      <c r="EA19" s="40"/>
      <c r="EB19" s="40"/>
      <c r="EC19" s="157">
        <f>DY19*3+EA19</f>
        <v>3</v>
      </c>
      <c r="ED19" s="157">
        <f>DZ19*3+EB19</f>
        <v>0</v>
      </c>
      <c r="EE19" s="18">
        <f>ED19+EC19</f>
        <v>3</v>
      </c>
      <c r="EF19" s="74">
        <f>SUM(AP19,AI19,AB19,U19,N19,AW19,BD19,BK19,BR19,BY19,CF19,CM19,CT19,DA19,DH19,DO19,DV19,EC19)</f>
        <v>4</v>
      </c>
      <c r="EG19" s="75">
        <f ca="1">EF19/(10+TODAY()-G19)</f>
        <v>9.7560975609756101E-2</v>
      </c>
      <c r="EH19" s="76">
        <f>SUM(AQ19,AJ19,AC19,V19,O19,AX19,BE19,BL19,BS19,BZ19,CG19,CN19,CU19,DB19,DI19,DP19,DW19,ED19)</f>
        <v>2</v>
      </c>
      <c r="EI19" s="75">
        <f ca="1">EH19/(10+TODAY()-G19)</f>
        <v>4.878048780487805E-2</v>
      </c>
      <c r="EJ19" s="76">
        <f>EF19+EH19</f>
        <v>6</v>
      </c>
      <c r="EK19" s="75">
        <f ca="1">EI19+EG19</f>
        <v>0.14634146341463417</v>
      </c>
      <c r="EL19" s="76">
        <f>SUM(AS19,AL19,AE19,X19,Q19,Q19,J19,AZ19,BG19,BN19,BU19,CB19,CI19,CP19,CW19,DD19,DK19,DR19,DY19)</f>
        <v>1</v>
      </c>
      <c r="EM19" s="76">
        <f>SUM(AT19,AM19,AF19,Y19,R19,R19,K19,BA19,BH19,BO19,BV19,CC19,CJ19,CQ19,CX19,DE19,DL19,DS19,DZ19)</f>
        <v>0</v>
      </c>
      <c r="EN19" s="76">
        <f>EM19+EL19</f>
        <v>1</v>
      </c>
    </row>
    <row r="20" spans="1:144" ht="15.75" thickBot="1" x14ac:dyDescent="0.3">
      <c r="A20" s="178" t="s">
        <v>12</v>
      </c>
      <c r="B20" s="230" t="s">
        <v>254</v>
      </c>
      <c r="C20" s="85" t="str">
        <f>B20&amp;" "&amp;A20</f>
        <v>דור מפאוג</v>
      </c>
      <c r="D20" s="23" t="s">
        <v>6</v>
      </c>
      <c r="E20" s="23" t="s">
        <v>6</v>
      </c>
      <c r="F20" s="31" t="s">
        <v>260</v>
      </c>
      <c r="G20" s="30">
        <v>43344</v>
      </c>
      <c r="H20" s="31"/>
      <c r="I20" s="35" t="s">
        <v>255</v>
      </c>
      <c r="J20" s="48"/>
      <c r="K20" s="49"/>
      <c r="L20" s="49"/>
      <c r="M20" s="49"/>
      <c r="N20" s="50"/>
      <c r="O20" s="50"/>
      <c r="P20" s="15"/>
      <c r="Q20" s="10"/>
      <c r="R20" s="12"/>
      <c r="S20" s="12"/>
      <c r="T20" s="12"/>
      <c r="U20" s="14"/>
      <c r="V20" s="14"/>
      <c r="W20" s="16"/>
      <c r="X20" s="10"/>
      <c r="Y20" s="12"/>
      <c r="Z20" s="12"/>
      <c r="AA20" s="12"/>
      <c r="AB20" s="17"/>
      <c r="AC20" s="17"/>
      <c r="AD20" s="18"/>
      <c r="AE20" s="10"/>
      <c r="AF20" s="12"/>
      <c r="AG20" s="12"/>
      <c r="AH20" s="12"/>
      <c r="AI20" s="14"/>
      <c r="AJ20" s="14"/>
      <c r="AK20" s="16"/>
      <c r="AL20" s="10"/>
      <c r="AM20" s="12"/>
      <c r="AN20" s="12"/>
      <c r="AO20" s="12"/>
      <c r="AP20" s="14"/>
      <c r="AQ20" s="14"/>
      <c r="AR20" s="16"/>
      <c r="AS20" s="10"/>
      <c r="AT20" s="12"/>
      <c r="AU20" s="12"/>
      <c r="AV20" s="12"/>
      <c r="AW20" s="14"/>
      <c r="AX20" s="14"/>
      <c r="AY20" s="16"/>
      <c r="AZ20" s="10"/>
      <c r="BA20" s="12"/>
      <c r="BB20" s="12"/>
      <c r="BC20" s="12"/>
      <c r="BD20" s="14"/>
      <c r="BE20" s="14"/>
      <c r="BF20" s="16"/>
      <c r="BG20" s="32"/>
      <c r="BH20" s="40"/>
      <c r="BI20" s="40"/>
      <c r="BJ20" s="12"/>
      <c r="BK20" s="14"/>
      <c r="BL20" s="14"/>
      <c r="BM20" s="39"/>
      <c r="BN20" s="32"/>
      <c r="BO20" s="40"/>
      <c r="BP20" s="40"/>
      <c r="BQ20" s="40"/>
      <c r="BR20" s="14"/>
      <c r="BS20" s="14"/>
      <c r="BT20" s="39"/>
      <c r="BU20" s="32"/>
      <c r="BV20" s="40"/>
      <c r="BW20" s="40"/>
      <c r="BX20" s="40"/>
      <c r="BY20" s="14"/>
      <c r="BZ20" s="14"/>
      <c r="CA20" s="39"/>
      <c r="CB20" s="78"/>
      <c r="CC20" s="40"/>
      <c r="CD20" s="40"/>
      <c r="CE20" s="79"/>
      <c r="CF20" s="14"/>
      <c r="CG20" s="14"/>
      <c r="CH20" s="39"/>
      <c r="CI20" s="40"/>
      <c r="CJ20" s="40"/>
      <c r="CK20" s="40"/>
      <c r="CL20" s="83"/>
      <c r="CM20" s="14"/>
      <c r="CN20" s="14"/>
      <c r="CO20" s="39"/>
      <c r="CP20" s="108"/>
      <c r="CQ20" s="40"/>
      <c r="CR20" s="40"/>
      <c r="CS20" s="40"/>
      <c r="CT20" s="14"/>
      <c r="CU20" s="14"/>
      <c r="CV20" s="39"/>
      <c r="CW20" s="32"/>
      <c r="CX20" s="40"/>
      <c r="CY20" s="40"/>
      <c r="CZ20" s="40"/>
      <c r="DA20" s="17">
        <f>CW20*3+CY20</f>
        <v>0</v>
      </c>
      <c r="DB20" s="17">
        <f>CX20*3+CZ20</f>
        <v>0</v>
      </c>
      <c r="DC20" s="18">
        <f>DB20+DA20</f>
        <v>0</v>
      </c>
      <c r="DD20" s="108"/>
      <c r="DE20" s="40"/>
      <c r="DF20" s="40"/>
      <c r="DG20" s="40"/>
      <c r="DH20" s="157">
        <f>DD20*3+DF20</f>
        <v>0</v>
      </c>
      <c r="DI20" s="157">
        <f>DE20*3+DG20</f>
        <v>0</v>
      </c>
      <c r="DJ20" s="18">
        <f>DI20+DH20</f>
        <v>0</v>
      </c>
      <c r="DK20" s="108">
        <v>1</v>
      </c>
      <c r="DL20" s="40"/>
      <c r="DM20" s="40">
        <v>2</v>
      </c>
      <c r="DN20" s="40"/>
      <c r="DO20" s="157">
        <f>DK20*3+DM20</f>
        <v>5</v>
      </c>
      <c r="DP20" s="157">
        <f>DL20*3+DN20</f>
        <v>0</v>
      </c>
      <c r="DQ20" s="18">
        <f>DP20+DO20</f>
        <v>5</v>
      </c>
      <c r="DR20" s="108"/>
      <c r="DS20" s="40"/>
      <c r="DT20" s="40">
        <v>2</v>
      </c>
      <c r="DU20" s="40"/>
      <c r="DV20" s="157">
        <f>DR20*3+DT20</f>
        <v>2</v>
      </c>
      <c r="DW20" s="157">
        <f>DS20*3+DU20</f>
        <v>0</v>
      </c>
      <c r="DX20" s="18">
        <f>DW20+DV20</f>
        <v>2</v>
      </c>
      <c r="DY20" s="108">
        <v>1</v>
      </c>
      <c r="DZ20" s="40"/>
      <c r="EA20" s="40"/>
      <c r="EB20" s="40"/>
      <c r="EC20" s="157">
        <f>DY20*3+EA20</f>
        <v>3</v>
      </c>
      <c r="ED20" s="157">
        <f>DZ20*3+EB20</f>
        <v>0</v>
      </c>
      <c r="EE20" s="18">
        <f>ED20+EC20</f>
        <v>3</v>
      </c>
      <c r="EF20" s="74">
        <f>SUM(AP20,AI20,AB20,U20,N20,AW20,BD20,BK20,BR20,BY20,CF20,CM20,CT20,DA20,DH20,DO20,DV20,EC20)</f>
        <v>10</v>
      </c>
      <c r="EG20" s="75">
        <f ca="1">EF20/(10+TODAY()-G20)</f>
        <v>0.1111111111111111</v>
      </c>
      <c r="EH20" s="76">
        <f>SUM(AQ20,AJ20,AC20,V20,O20,AX20,BE20,BL20,BS20,BZ20,CG20,CN20,CU20,DB20,DI20,DP20,DW20,ED20)</f>
        <v>0</v>
      </c>
      <c r="EI20" s="75">
        <f ca="1">EH20/(10+TODAY()-G20)</f>
        <v>0</v>
      </c>
      <c r="EJ20" s="76">
        <f>EF20+EH20</f>
        <v>10</v>
      </c>
      <c r="EK20" s="75">
        <f ca="1">EI20+EG20</f>
        <v>0.1111111111111111</v>
      </c>
      <c r="EL20" s="76">
        <f>SUM(AS20,AL20,AE20,X20,Q20,Q20,J20,AZ20,BG20,BN20,BU20,CB20,CI20,CP20,CW20,DD20,DK20,DR20,DY20)</f>
        <v>2</v>
      </c>
      <c r="EM20" s="76">
        <f>SUM(AT20,AM20,AF20,Y20,R20,R20,K20,BA20,BH20,BO20,BV20,CC20,CJ20,CQ20,CX20,DE20,DL20,DS20,DZ20)</f>
        <v>0</v>
      </c>
      <c r="EN20" s="76">
        <f>EM20+EL20</f>
        <v>2</v>
      </c>
    </row>
    <row r="21" spans="1:144" ht="15.75" thickBot="1" x14ac:dyDescent="0.3">
      <c r="A21" s="178" t="s">
        <v>14</v>
      </c>
      <c r="B21" s="230" t="s">
        <v>189</v>
      </c>
      <c r="C21" s="85" t="str">
        <f>B21&amp;" "&amp;A21</f>
        <v>יונתן מרחבים</v>
      </c>
      <c r="D21" s="23" t="s">
        <v>6</v>
      </c>
      <c r="E21" s="23" t="s">
        <v>7</v>
      </c>
      <c r="F21" s="31" t="s">
        <v>188</v>
      </c>
      <c r="G21" s="30">
        <v>43230</v>
      </c>
      <c r="H21" s="42"/>
      <c r="I21" s="35" t="s">
        <v>190</v>
      </c>
      <c r="J21" s="48"/>
      <c r="K21" s="49"/>
      <c r="L21" s="49"/>
      <c r="M21" s="49"/>
      <c r="N21" s="50">
        <f>J21*3+L21</f>
        <v>0</v>
      </c>
      <c r="O21" s="50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/>
      <c r="BH21" s="40"/>
      <c r="BI21" s="12"/>
      <c r="BJ21" s="12"/>
      <c r="BK21" s="14">
        <f>BG21*3+BI21</f>
        <v>0</v>
      </c>
      <c r="BL21" s="14">
        <f>BH21*3+BJ21</f>
        <v>0</v>
      </c>
      <c r="BM21" s="39">
        <f>BL21+BK21</f>
        <v>0</v>
      </c>
      <c r="BN21" s="32"/>
      <c r="BO21" s="40"/>
      <c r="BP21" s="40"/>
      <c r="BQ21" s="40"/>
      <c r="BR21" s="14">
        <f>BN21*3+BP21</f>
        <v>0</v>
      </c>
      <c r="BS21" s="14">
        <f>BO21*3+BQ21</f>
        <v>0</v>
      </c>
      <c r="BT21" s="39">
        <f>BS21+BR21</f>
        <v>0</v>
      </c>
      <c r="BU21" s="32"/>
      <c r="BV21" s="40"/>
      <c r="BW21" s="40"/>
      <c r="BX21" s="40"/>
      <c r="BY21" s="14">
        <f>BU21*3+BW21</f>
        <v>0</v>
      </c>
      <c r="BZ21" s="14">
        <f>BV21*3+BX21</f>
        <v>0</v>
      </c>
      <c r="CA21" s="39">
        <f>BZ21+BY21</f>
        <v>0</v>
      </c>
      <c r="CB21" s="32"/>
      <c r="CC21" s="40"/>
      <c r="CD21" s="40"/>
      <c r="CE21" s="79"/>
      <c r="CF21" s="14">
        <f>CB21*3+CD21</f>
        <v>0</v>
      </c>
      <c r="CG21" s="14">
        <f>CC21*3+CE21</f>
        <v>0</v>
      </c>
      <c r="CH21" s="39">
        <f>CG21+CF21</f>
        <v>0</v>
      </c>
      <c r="CI21" s="40"/>
      <c r="CJ21" s="40"/>
      <c r="CK21" s="40">
        <v>1</v>
      </c>
      <c r="CL21" s="83"/>
      <c r="CM21" s="14">
        <f>CI21*3+CK21</f>
        <v>1</v>
      </c>
      <c r="CN21" s="14">
        <f>CJ21*3+CL21</f>
        <v>0</v>
      </c>
      <c r="CO21" s="39">
        <f>CN21+CM21</f>
        <v>1</v>
      </c>
      <c r="CP21" s="108"/>
      <c r="CQ21" s="40"/>
      <c r="CR21" s="40">
        <v>3</v>
      </c>
      <c r="CS21" s="40"/>
      <c r="CT21" s="14">
        <f>CP21*3+CR21</f>
        <v>3</v>
      </c>
      <c r="CU21" s="14">
        <f>CQ21*3+CS21</f>
        <v>0</v>
      </c>
      <c r="CV21" s="39">
        <f>CU21+CT21</f>
        <v>3</v>
      </c>
      <c r="CW21" s="32"/>
      <c r="CX21" s="40"/>
      <c r="CY21" s="40">
        <v>3</v>
      </c>
      <c r="CZ21" s="40"/>
      <c r="DA21" s="17">
        <f>CW21*3+CY21</f>
        <v>3</v>
      </c>
      <c r="DB21" s="17">
        <f>CX21*3+CZ21</f>
        <v>0</v>
      </c>
      <c r="DC21" s="18">
        <f>DB21+DA21</f>
        <v>3</v>
      </c>
      <c r="DD21" s="108"/>
      <c r="DE21" s="40">
        <v>1</v>
      </c>
      <c r="DF21" s="40">
        <v>1</v>
      </c>
      <c r="DG21" s="40"/>
      <c r="DH21" s="157">
        <f>DD21*3+DF21</f>
        <v>1</v>
      </c>
      <c r="DI21" s="157">
        <f>DE21*3+DG21</f>
        <v>3</v>
      </c>
      <c r="DJ21" s="18">
        <f>DI21+DH21</f>
        <v>4</v>
      </c>
      <c r="DK21" s="108"/>
      <c r="DL21" s="40"/>
      <c r="DM21" s="40">
        <v>2</v>
      </c>
      <c r="DN21" s="40"/>
      <c r="DO21" s="157">
        <f>DK21*3+DM21</f>
        <v>2</v>
      </c>
      <c r="DP21" s="157">
        <f>DL21*3+DN21</f>
        <v>0</v>
      </c>
      <c r="DQ21" s="18">
        <f>DP21+DO21</f>
        <v>2</v>
      </c>
      <c r="DR21" s="108">
        <v>1</v>
      </c>
      <c r="DS21" s="40"/>
      <c r="DT21" s="40">
        <v>2</v>
      </c>
      <c r="DU21" s="40"/>
      <c r="DV21" s="157">
        <f>DR21*3+DT21</f>
        <v>5</v>
      </c>
      <c r="DW21" s="157">
        <f>DS21*3+DU21</f>
        <v>0</v>
      </c>
      <c r="DX21" s="18">
        <f>DW21+DV21</f>
        <v>5</v>
      </c>
      <c r="DY21" s="108">
        <v>1</v>
      </c>
      <c r="DZ21" s="40"/>
      <c r="EA21" s="40"/>
      <c r="EB21" s="40"/>
      <c r="EC21" s="157">
        <f>DY21*3+EA21</f>
        <v>3</v>
      </c>
      <c r="ED21" s="157">
        <f>DZ21*3+EB21</f>
        <v>0</v>
      </c>
      <c r="EE21" s="18">
        <f>ED21+EC21</f>
        <v>3</v>
      </c>
      <c r="EF21" s="74">
        <f>SUM(AP21,AI21,AB21,U21,N21,AW21,BD21,BK21,BR21,BY21,CF21,CM21,CT21,DA21,DH21,DO21,DV21,EC21)</f>
        <v>18</v>
      </c>
      <c r="EG21" s="75">
        <f ca="1">EF21/(10+TODAY()-G21)</f>
        <v>8.8235294117647065E-2</v>
      </c>
      <c r="EH21" s="76">
        <f>SUM(AQ21,AJ21,AC21,V21,O21,AX21,BE21,BL21,BS21,BZ21,CG21,CN21,CU21,DB21,DI21,DP21,DW21,ED21)</f>
        <v>3</v>
      </c>
      <c r="EI21" s="75">
        <f ca="1">EH21/(10+TODAY()-G21)</f>
        <v>1.4705882352941176E-2</v>
      </c>
      <c r="EJ21" s="76">
        <f>EF21+EH21</f>
        <v>21</v>
      </c>
      <c r="EK21" s="75">
        <f ca="1">EI21+EG21</f>
        <v>0.10294117647058824</v>
      </c>
      <c r="EL21" s="76">
        <f>SUM(AS21,AL21,AE21,X21,Q21,Q21,J21,AZ21,BG21,BN21,BU21,CB21,CI21,CP21,CW21,DD21,DK21,DR21,DY21)</f>
        <v>2</v>
      </c>
      <c r="EM21" s="76">
        <f>SUM(AT21,AM21,AF21,Y21,R21,R21,K21,BA21,BH21,BO21,BV21,CC21,CJ21,CQ21,CX21,DE21,DL21,DS21,DZ21)</f>
        <v>1</v>
      </c>
      <c r="EN21" s="76">
        <f>EM21+EL21</f>
        <v>3</v>
      </c>
    </row>
    <row r="22" spans="1:144" ht="15.75" thickBot="1" x14ac:dyDescent="0.3">
      <c r="A22" s="32">
        <v>679</v>
      </c>
      <c r="B22" s="33" t="s">
        <v>13</v>
      </c>
      <c r="C22" s="11" t="str">
        <f>B22&amp;" "&amp;A22</f>
        <v>אופיר 679</v>
      </c>
      <c r="D22" s="12" t="s">
        <v>6</v>
      </c>
      <c r="E22" s="23" t="s">
        <v>7</v>
      </c>
      <c r="F22" s="31" t="s">
        <v>144</v>
      </c>
      <c r="G22" s="30">
        <v>42979</v>
      </c>
      <c r="H22" s="19"/>
      <c r="I22" s="13"/>
      <c r="J22" s="48"/>
      <c r="K22" s="49"/>
      <c r="L22" s="49"/>
      <c r="M22" s="49"/>
      <c r="N22" s="50">
        <f>J22*3+L22</f>
        <v>0</v>
      </c>
      <c r="O22" s="50">
        <f>K22*3+M22</f>
        <v>0</v>
      </c>
      <c r="P22" s="15">
        <f>O22+N22</f>
        <v>0</v>
      </c>
      <c r="Q22" s="10"/>
      <c r="R22" s="12"/>
      <c r="S22" s="12"/>
      <c r="T22" s="12"/>
      <c r="U22" s="14">
        <f>Q22*3+S22</f>
        <v>0</v>
      </c>
      <c r="V22" s="14">
        <f>R22*3+T22</f>
        <v>0</v>
      </c>
      <c r="W22" s="16">
        <f>V22+U22</f>
        <v>0</v>
      </c>
      <c r="X22" s="10"/>
      <c r="Y22" s="12"/>
      <c r="Z22" s="12"/>
      <c r="AA22" s="12"/>
      <c r="AB22" s="17">
        <f>X22*3+Z22</f>
        <v>0</v>
      </c>
      <c r="AC22" s="17">
        <f>Y22*3+AA22</f>
        <v>0</v>
      </c>
      <c r="AD22" s="18">
        <f>AC22+AB22</f>
        <v>0</v>
      </c>
      <c r="AE22" s="10"/>
      <c r="AF22" s="12"/>
      <c r="AG22" s="12">
        <v>2</v>
      </c>
      <c r="AH22" s="12"/>
      <c r="AI22" s="14">
        <f>AE22*3+AG22</f>
        <v>2</v>
      </c>
      <c r="AJ22" s="14">
        <f>AF22*3+AH22</f>
        <v>0</v>
      </c>
      <c r="AK22" s="16">
        <f>AJ22+AI22</f>
        <v>2</v>
      </c>
      <c r="AL22" s="10"/>
      <c r="AM22" s="12"/>
      <c r="AN22" s="12">
        <v>5</v>
      </c>
      <c r="AO22" s="12"/>
      <c r="AP22" s="14">
        <f>AL22*3+AN22</f>
        <v>5</v>
      </c>
      <c r="AQ22" s="14">
        <f>AM22*3+AO22</f>
        <v>0</v>
      </c>
      <c r="AR22" s="16">
        <f>AQ22+AP22</f>
        <v>5</v>
      </c>
      <c r="AS22" s="10">
        <v>1</v>
      </c>
      <c r="AT22" s="12"/>
      <c r="AU22" s="12">
        <v>3</v>
      </c>
      <c r="AV22" s="12"/>
      <c r="AW22" s="14">
        <f>AS22*3+AU22</f>
        <v>6</v>
      </c>
      <c r="AX22" s="14">
        <f>AT22*3+AV22</f>
        <v>0</v>
      </c>
      <c r="AY22" s="16">
        <f>AX22+AW22</f>
        <v>6</v>
      </c>
      <c r="AZ22" s="10"/>
      <c r="BA22" s="12"/>
      <c r="BB22" s="12"/>
      <c r="BC22" s="12"/>
      <c r="BD22" s="14">
        <f>AZ22*3+BB22</f>
        <v>0</v>
      </c>
      <c r="BE22" s="14">
        <f>BA22*3+BC22</f>
        <v>0</v>
      </c>
      <c r="BF22" s="16">
        <f>BE22+BD22</f>
        <v>0</v>
      </c>
      <c r="BG22" s="32"/>
      <c r="BH22" s="40"/>
      <c r="BI22" s="12">
        <v>5</v>
      </c>
      <c r="BJ22" s="12">
        <v>2</v>
      </c>
      <c r="BK22" s="14">
        <f>BG22*3+BI22</f>
        <v>5</v>
      </c>
      <c r="BL22" s="14">
        <f>BH22*3+BJ22</f>
        <v>2</v>
      </c>
      <c r="BM22" s="39">
        <f>BL22+BK22</f>
        <v>7</v>
      </c>
      <c r="BN22" s="32">
        <v>1</v>
      </c>
      <c r="BO22" s="40"/>
      <c r="BP22" s="40">
        <v>-1</v>
      </c>
      <c r="BQ22" s="40"/>
      <c r="BR22" s="14">
        <f>BN22*3+BP22</f>
        <v>2</v>
      </c>
      <c r="BS22" s="14">
        <f>BO22*3+BQ22</f>
        <v>0</v>
      </c>
      <c r="BT22" s="39">
        <f>BS22+BR22</f>
        <v>2</v>
      </c>
      <c r="BU22" s="32"/>
      <c r="BV22" s="40"/>
      <c r="BW22" s="40">
        <v>2</v>
      </c>
      <c r="BX22" s="40"/>
      <c r="BY22" s="14">
        <f>BU22*3+BW22</f>
        <v>2</v>
      </c>
      <c r="BZ22" s="14">
        <f>BV22*3+BX22</f>
        <v>0</v>
      </c>
      <c r="CA22" s="39">
        <f>BZ22+BY22</f>
        <v>2</v>
      </c>
      <c r="CB22" s="32"/>
      <c r="CC22" s="40"/>
      <c r="CD22" s="232"/>
      <c r="CE22" s="80"/>
      <c r="CF22" s="14">
        <f>CB22*3+CD22</f>
        <v>0</v>
      </c>
      <c r="CG22" s="14">
        <f>CC22*3+CE22</f>
        <v>0</v>
      </c>
      <c r="CH22" s="39">
        <f>CG22+CF22</f>
        <v>0</v>
      </c>
      <c r="CI22" s="40"/>
      <c r="CJ22" s="40"/>
      <c r="CK22" s="40">
        <v>1</v>
      </c>
      <c r="CL22" s="83"/>
      <c r="CM22" s="14">
        <f>CI22*3+CK22</f>
        <v>1</v>
      </c>
      <c r="CN22" s="14">
        <f>CJ22*3+CL22</f>
        <v>0</v>
      </c>
      <c r="CO22" s="39">
        <f>CN22+CM22</f>
        <v>1</v>
      </c>
      <c r="CP22" s="108">
        <v>2</v>
      </c>
      <c r="CQ22" s="40"/>
      <c r="CR22" s="40">
        <v>1</v>
      </c>
      <c r="CS22" s="40"/>
      <c r="CT22" s="14">
        <f>CP22*3+CR22</f>
        <v>7</v>
      </c>
      <c r="CU22" s="14">
        <f>CQ22*3+CS22</f>
        <v>0</v>
      </c>
      <c r="CV22" s="39">
        <f>CU22+CT22</f>
        <v>7</v>
      </c>
      <c r="CW22" s="32"/>
      <c r="CX22" s="40"/>
      <c r="CY22" s="40">
        <v>4</v>
      </c>
      <c r="CZ22" s="40"/>
      <c r="DA22" s="17">
        <f>CW22*3+CY22</f>
        <v>4</v>
      </c>
      <c r="DB22" s="17">
        <f>CX22*3+CZ22</f>
        <v>0</v>
      </c>
      <c r="DC22" s="18">
        <f>DB22+DA22</f>
        <v>4</v>
      </c>
      <c r="DD22" s="108"/>
      <c r="DE22" s="40"/>
      <c r="DF22" s="40">
        <v>3</v>
      </c>
      <c r="DG22" s="40"/>
      <c r="DH22" s="157">
        <f>DD22*3+DF22</f>
        <v>3</v>
      </c>
      <c r="DI22" s="157">
        <f>DE22*3+DG22</f>
        <v>0</v>
      </c>
      <c r="DJ22" s="18">
        <f>DI22+DH22</f>
        <v>3</v>
      </c>
      <c r="DK22" s="108">
        <v>1</v>
      </c>
      <c r="DL22" s="40"/>
      <c r="DM22" s="40"/>
      <c r="DN22" s="40"/>
      <c r="DO22" s="157">
        <f>DK22*3+DM22</f>
        <v>3</v>
      </c>
      <c r="DP22" s="157">
        <f>DL22*3+DN22</f>
        <v>0</v>
      </c>
      <c r="DQ22" s="18">
        <f>DP22+DO22</f>
        <v>3</v>
      </c>
      <c r="DR22" s="108"/>
      <c r="DS22" s="40">
        <v>1</v>
      </c>
      <c r="DT22" s="40">
        <v>1</v>
      </c>
      <c r="DU22" s="40"/>
      <c r="DV22" s="157">
        <f>DR22*3+DT22</f>
        <v>1</v>
      </c>
      <c r="DW22" s="157">
        <f>DS22*3+DU22</f>
        <v>3</v>
      </c>
      <c r="DX22" s="18">
        <f>DW22+DV22</f>
        <v>4</v>
      </c>
      <c r="DY22" s="108"/>
      <c r="DZ22" s="40"/>
      <c r="EA22" s="40"/>
      <c r="EB22" s="40"/>
      <c r="EC22" s="157">
        <f>DY22*3+EA22</f>
        <v>0</v>
      </c>
      <c r="ED22" s="157">
        <f>DZ22*3+EB22</f>
        <v>0</v>
      </c>
      <c r="EE22" s="18">
        <f>ED22+EC22</f>
        <v>0</v>
      </c>
      <c r="EF22" s="74">
        <f>SUM(AP22,AI22,AB22,U22,N22,AW22,BD22,BK22,BR22,BY22,CF22,CM22,CT22,DA22,DH22,DO22,DV22,EC22)</f>
        <v>41</v>
      </c>
      <c r="EG22" s="75">
        <f ca="1">EF22/(10+TODAY()-G22)</f>
        <v>9.0109890109890109E-2</v>
      </c>
      <c r="EH22" s="76">
        <f>SUM(AQ22,AJ22,AC22,V22,O22,AX22,BE22,BL22,BS22,BZ22,CG22,CN22,CU22,DB22,DI22,DP22,DW22,ED22)</f>
        <v>5</v>
      </c>
      <c r="EI22" s="75">
        <f ca="1">EH22/(10+TODAY()-G22)</f>
        <v>1.098901098901099E-2</v>
      </c>
      <c r="EJ22" s="76">
        <f>EF22+EH22</f>
        <v>46</v>
      </c>
      <c r="EK22" s="75">
        <f ca="1">EI22+EG22</f>
        <v>0.1010989010989011</v>
      </c>
      <c r="EL22" s="76">
        <f>SUM(AS22,AL22,AE22,X22,Q22,Q22,J22,AZ22,BG22,BN22,BU22,CB22,CI22,CP22,CW22,DD22,DK22,DR22,DY22)</f>
        <v>5</v>
      </c>
      <c r="EM22" s="76">
        <f>SUM(AT22,AM22,AF22,Y22,R22,R22,K22,BA22,BH22,BO22,BV22,CC22,CJ22,CQ22,CX22,DE22,DL22,DS22,DZ22)</f>
        <v>1</v>
      </c>
      <c r="EN22" s="76">
        <f>EM22+EL22</f>
        <v>6</v>
      </c>
    </row>
    <row r="23" spans="1:144" ht="15.75" thickBot="1" x14ac:dyDescent="0.3">
      <c r="A23" s="32">
        <v>9</v>
      </c>
      <c r="B23" s="230" t="s">
        <v>226</v>
      </c>
      <c r="C23" s="85" t="str">
        <f>B23&amp;" "&amp;A23</f>
        <v>דריה 9</v>
      </c>
      <c r="D23" s="23" t="s">
        <v>6</v>
      </c>
      <c r="E23" s="23" t="s">
        <v>6</v>
      </c>
      <c r="F23" s="31" t="s">
        <v>224</v>
      </c>
      <c r="G23" s="30">
        <v>43313</v>
      </c>
      <c r="H23" s="31"/>
      <c r="I23" s="13"/>
      <c r="J23" s="48"/>
      <c r="K23" s="49"/>
      <c r="L23" s="49"/>
      <c r="M23" s="49"/>
      <c r="N23" s="50"/>
      <c r="O23" s="50"/>
      <c r="P23" s="15"/>
      <c r="Q23" s="10"/>
      <c r="R23" s="12"/>
      <c r="S23" s="12"/>
      <c r="T23" s="12"/>
      <c r="U23" s="14"/>
      <c r="V23" s="14"/>
      <c r="W23" s="16"/>
      <c r="X23" s="10"/>
      <c r="Y23" s="12"/>
      <c r="Z23" s="12"/>
      <c r="AA23" s="12"/>
      <c r="AB23" s="17"/>
      <c r="AC23" s="17"/>
      <c r="AD23" s="18"/>
      <c r="AE23" s="10"/>
      <c r="AF23" s="12"/>
      <c r="AG23" s="12"/>
      <c r="AH23" s="12"/>
      <c r="AI23" s="14"/>
      <c r="AJ23" s="14"/>
      <c r="AK23" s="16"/>
      <c r="AL23" s="10"/>
      <c r="AM23" s="12"/>
      <c r="AN23" s="12"/>
      <c r="AO23" s="12"/>
      <c r="AP23" s="14"/>
      <c r="AQ23" s="14"/>
      <c r="AR23" s="16"/>
      <c r="AS23" s="10"/>
      <c r="AT23" s="12"/>
      <c r="AU23" s="12"/>
      <c r="AV23" s="12"/>
      <c r="AW23" s="14"/>
      <c r="AX23" s="14"/>
      <c r="AY23" s="16"/>
      <c r="AZ23" s="10"/>
      <c r="BA23" s="12"/>
      <c r="BB23" s="12"/>
      <c r="BC23" s="12"/>
      <c r="BD23" s="14"/>
      <c r="BE23" s="14"/>
      <c r="BF23" s="16"/>
      <c r="BG23" s="32"/>
      <c r="BH23" s="40"/>
      <c r="BI23" s="40"/>
      <c r="BJ23" s="12"/>
      <c r="BK23" s="14"/>
      <c r="BL23" s="14"/>
      <c r="BM23" s="39"/>
      <c r="BN23" s="32"/>
      <c r="BO23" s="40"/>
      <c r="BP23" s="40"/>
      <c r="BQ23" s="40"/>
      <c r="BR23" s="14"/>
      <c r="BS23" s="14"/>
      <c r="BT23" s="39"/>
      <c r="BU23" s="32"/>
      <c r="BV23" s="40"/>
      <c r="BW23" s="40"/>
      <c r="BX23" s="40"/>
      <c r="BY23" s="14"/>
      <c r="BZ23" s="14"/>
      <c r="CA23" s="39"/>
      <c r="CB23" s="32"/>
      <c r="CC23" s="40"/>
      <c r="CD23" s="40"/>
      <c r="CE23" s="79"/>
      <c r="CF23" s="14"/>
      <c r="CG23" s="14"/>
      <c r="CH23" s="39"/>
      <c r="CI23" s="40"/>
      <c r="CJ23" s="40"/>
      <c r="CK23" s="40"/>
      <c r="CL23" s="83"/>
      <c r="CM23" s="14"/>
      <c r="CN23" s="14"/>
      <c r="CO23" s="39"/>
      <c r="CP23" s="108"/>
      <c r="CQ23" s="40"/>
      <c r="CR23" s="40"/>
      <c r="CS23" s="40"/>
      <c r="CT23" s="14">
        <f>CP23*3+CR23</f>
        <v>0</v>
      </c>
      <c r="CU23" s="14">
        <f>CQ23*3+CS23</f>
        <v>0</v>
      </c>
      <c r="CV23" s="39">
        <f>CU23+CT23</f>
        <v>0</v>
      </c>
      <c r="CW23" s="32"/>
      <c r="CX23" s="40"/>
      <c r="CY23" s="40"/>
      <c r="CZ23" s="40"/>
      <c r="DA23" s="17">
        <f>CW23*3+CY23</f>
        <v>0</v>
      </c>
      <c r="DB23" s="17">
        <f>CX23*3+CZ23</f>
        <v>0</v>
      </c>
      <c r="DC23" s="18">
        <f>DB23+DA23</f>
        <v>0</v>
      </c>
      <c r="DD23" s="108">
        <v>1</v>
      </c>
      <c r="DE23" s="40"/>
      <c r="DF23" s="40">
        <v>1</v>
      </c>
      <c r="DG23" s="40"/>
      <c r="DH23" s="157">
        <f>DD23*3+DF23</f>
        <v>4</v>
      </c>
      <c r="DI23" s="157">
        <f>DE23*3+DG23</f>
        <v>0</v>
      </c>
      <c r="DJ23" s="18">
        <f>DI23+DH23</f>
        <v>4</v>
      </c>
      <c r="DK23" s="108"/>
      <c r="DL23" s="40"/>
      <c r="DM23" s="40">
        <v>2</v>
      </c>
      <c r="DN23" s="40">
        <v>1</v>
      </c>
      <c r="DO23" s="157">
        <f>DK23*3+DM23</f>
        <v>2</v>
      </c>
      <c r="DP23" s="157">
        <f>DL23*3+DN23</f>
        <v>1</v>
      </c>
      <c r="DQ23" s="18">
        <f>DP23+DO23</f>
        <v>3</v>
      </c>
      <c r="DR23" s="108">
        <v>1</v>
      </c>
      <c r="DS23" s="40"/>
      <c r="DT23" s="40">
        <v>1</v>
      </c>
      <c r="DU23" s="40">
        <v>2</v>
      </c>
      <c r="DV23" s="157">
        <f>DR23*3+DT23</f>
        <v>4</v>
      </c>
      <c r="DW23" s="157">
        <f>DS23*3+DU23</f>
        <v>2</v>
      </c>
      <c r="DX23" s="18">
        <f>DW23+DV23</f>
        <v>6</v>
      </c>
      <c r="DY23" s="108"/>
      <c r="DZ23" s="40"/>
      <c r="EA23" s="40"/>
      <c r="EB23" s="40"/>
      <c r="EC23" s="157">
        <f>DY23*3+EA23</f>
        <v>0</v>
      </c>
      <c r="ED23" s="157">
        <f>DZ23*3+EB23</f>
        <v>0</v>
      </c>
      <c r="EE23" s="18">
        <f>ED23+EC23</f>
        <v>0</v>
      </c>
      <c r="EF23" s="74">
        <f>SUM(AP23,AI23,AB23,U23,N23,AW23,BD23,BK23,BR23,BY23,CF23,CM23,CT23,DA23,DH23,DO23,DV23,EC23)</f>
        <v>10</v>
      </c>
      <c r="EG23" s="75">
        <f ca="1">EF23/(10+TODAY()-G23)</f>
        <v>8.2644628099173556E-2</v>
      </c>
      <c r="EH23" s="76">
        <f>SUM(AQ23,AJ23,AC23,V23,O23,AX23,BE23,BL23,BS23,BZ23,CG23,CN23,CU23,DB23,DI23,DP23,DW23,ED23)</f>
        <v>3</v>
      </c>
      <c r="EI23" s="75">
        <f ca="1">EH23/(10+TODAY()-G23)</f>
        <v>2.4793388429752067E-2</v>
      </c>
      <c r="EJ23" s="76">
        <f>EF23+EH23</f>
        <v>13</v>
      </c>
      <c r="EK23" s="75">
        <f ca="1">EI23+EG23</f>
        <v>0.10743801652892562</v>
      </c>
      <c r="EL23" s="76">
        <f>SUM(AS23,AL23,AE23,X23,Q23,Q23,J23,AZ23,BG23,BN23,BU23,CB23,CI23,CP23,CW23,DD23,DK23,DR23,DY23)</f>
        <v>2</v>
      </c>
      <c r="EM23" s="76">
        <f>SUM(AT23,AM23,AF23,Y23,R23,R23,K23,BA23,BH23,BO23,BV23,CC23,CJ23,CQ23,CX23,DE23,DL23,DS23,DZ23)</f>
        <v>0</v>
      </c>
      <c r="EN23" s="76">
        <f>EM23+EL23</f>
        <v>2</v>
      </c>
    </row>
    <row r="24" spans="1:144" ht="15.75" thickBot="1" x14ac:dyDescent="0.3">
      <c r="A24" s="32">
        <v>9</v>
      </c>
      <c r="B24" s="230" t="s">
        <v>258</v>
      </c>
      <c r="C24" s="85" t="str">
        <f>B24&amp;" "&amp;A24</f>
        <v>טליה 9</v>
      </c>
      <c r="D24" s="23" t="s">
        <v>6</v>
      </c>
      <c r="E24" s="23" t="s">
        <v>6</v>
      </c>
      <c r="F24" s="31" t="s">
        <v>260</v>
      </c>
      <c r="G24" s="30">
        <v>43344</v>
      </c>
      <c r="H24" s="31"/>
      <c r="I24" s="35"/>
      <c r="J24" s="48"/>
      <c r="K24" s="49"/>
      <c r="L24" s="49"/>
      <c r="M24" s="49"/>
      <c r="N24" s="50"/>
      <c r="O24" s="50"/>
      <c r="P24" s="15"/>
      <c r="Q24" s="10"/>
      <c r="R24" s="12"/>
      <c r="S24" s="12"/>
      <c r="T24" s="12"/>
      <c r="U24" s="14"/>
      <c r="V24" s="14"/>
      <c r="W24" s="16"/>
      <c r="X24" s="10"/>
      <c r="Y24" s="12"/>
      <c r="Z24" s="12"/>
      <c r="AA24" s="12"/>
      <c r="AB24" s="17"/>
      <c r="AC24" s="17"/>
      <c r="AD24" s="18"/>
      <c r="AE24" s="10"/>
      <c r="AF24" s="12"/>
      <c r="AG24" s="12"/>
      <c r="AH24" s="12"/>
      <c r="AI24" s="14"/>
      <c r="AJ24" s="14"/>
      <c r="AK24" s="16"/>
      <c r="AL24" s="10"/>
      <c r="AM24" s="12"/>
      <c r="AN24" s="12"/>
      <c r="AO24" s="12"/>
      <c r="AP24" s="14"/>
      <c r="AQ24" s="14"/>
      <c r="AR24" s="16"/>
      <c r="AS24" s="10"/>
      <c r="AT24" s="12"/>
      <c r="AU24" s="12"/>
      <c r="AV24" s="12"/>
      <c r="AW24" s="14"/>
      <c r="AX24" s="14"/>
      <c r="AY24" s="16"/>
      <c r="AZ24" s="10"/>
      <c r="BA24" s="12"/>
      <c r="BB24" s="12"/>
      <c r="BC24" s="12"/>
      <c r="BD24" s="14"/>
      <c r="BE24" s="14"/>
      <c r="BF24" s="16"/>
      <c r="BG24" s="32"/>
      <c r="BH24" s="40"/>
      <c r="BI24" s="40"/>
      <c r="BJ24" s="12"/>
      <c r="BK24" s="14"/>
      <c r="BL24" s="14"/>
      <c r="BM24" s="39"/>
      <c r="BN24" s="32"/>
      <c r="BO24" s="40"/>
      <c r="BP24" s="40"/>
      <c r="BQ24" s="40"/>
      <c r="BR24" s="14"/>
      <c r="BS24" s="14"/>
      <c r="BT24" s="39"/>
      <c r="BU24" s="32"/>
      <c r="BV24" s="40"/>
      <c r="BW24" s="40"/>
      <c r="BX24" s="40"/>
      <c r="BY24" s="14"/>
      <c r="BZ24" s="14"/>
      <c r="CA24" s="39"/>
      <c r="CB24" s="32"/>
      <c r="CC24" s="40"/>
      <c r="CD24" s="40"/>
      <c r="CE24" s="79"/>
      <c r="CF24" s="14"/>
      <c r="CG24" s="14"/>
      <c r="CH24" s="39"/>
      <c r="CI24" s="40"/>
      <c r="CJ24" s="40"/>
      <c r="CK24" s="40"/>
      <c r="CL24" s="83"/>
      <c r="CM24" s="14"/>
      <c r="CN24" s="14"/>
      <c r="CO24" s="39"/>
      <c r="CP24" s="108"/>
      <c r="CQ24" s="40"/>
      <c r="CR24" s="40"/>
      <c r="CS24" s="40"/>
      <c r="CT24" s="14"/>
      <c r="CU24" s="14"/>
      <c r="CV24" s="39"/>
      <c r="CW24" s="32"/>
      <c r="CX24" s="40"/>
      <c r="CY24" s="40"/>
      <c r="CZ24" s="40"/>
      <c r="DA24" s="17"/>
      <c r="DB24" s="17"/>
      <c r="DC24" s="18"/>
      <c r="DD24" s="108"/>
      <c r="DE24" s="40"/>
      <c r="DF24" s="40"/>
      <c r="DG24" s="40"/>
      <c r="DH24" s="157">
        <f>DD24*3+DF24</f>
        <v>0</v>
      </c>
      <c r="DI24" s="157">
        <f>DE24*3+DG24</f>
        <v>0</v>
      </c>
      <c r="DJ24" s="18">
        <f>DI24+DH24</f>
        <v>0</v>
      </c>
      <c r="DK24" s="108">
        <v>1</v>
      </c>
      <c r="DL24" s="40"/>
      <c r="DM24" s="40">
        <v>2</v>
      </c>
      <c r="DN24" s="40"/>
      <c r="DO24" s="157">
        <f>DK24*3+DM24</f>
        <v>5</v>
      </c>
      <c r="DP24" s="157">
        <f>DL24*3+DN24</f>
        <v>0</v>
      </c>
      <c r="DQ24" s="18">
        <f>DP24+DO24</f>
        <v>5</v>
      </c>
      <c r="DR24" s="108">
        <v>1</v>
      </c>
      <c r="DS24" s="40"/>
      <c r="DT24" s="40">
        <v>1</v>
      </c>
      <c r="DU24" s="40"/>
      <c r="DV24" s="157">
        <f>DR24*3+DT24</f>
        <v>4</v>
      </c>
      <c r="DW24" s="157">
        <f>DS24*3+DU24</f>
        <v>0</v>
      </c>
      <c r="DX24" s="18">
        <f>DW24+DV24</f>
        <v>4</v>
      </c>
      <c r="DY24" s="108"/>
      <c r="DZ24" s="40"/>
      <c r="EA24" s="40"/>
      <c r="EB24" s="40"/>
      <c r="EC24" s="157">
        <f>DY24*3+EA24</f>
        <v>0</v>
      </c>
      <c r="ED24" s="157">
        <f>DZ24*3+EB24</f>
        <v>0</v>
      </c>
      <c r="EE24" s="18">
        <f>ED24+EC24</f>
        <v>0</v>
      </c>
      <c r="EF24" s="74">
        <f>SUM(AP24,AI24,AB24,U24,N24,AW24,BD24,BK24,BR24,BY24,CF24,CM24,CT24,DA24,DH24,DO24,DV24,EC24)</f>
        <v>9</v>
      </c>
      <c r="EG24" s="75">
        <f ca="1">EF24/(10+TODAY()-G24)</f>
        <v>0.1</v>
      </c>
      <c r="EH24" s="76">
        <f>SUM(AQ24,AJ24,AC24,V24,O24,AX24,BE24,BL24,BS24,BZ24,CG24,CN24,CU24,DB24,DI24,DP24,DW24,ED24)</f>
        <v>0</v>
      </c>
      <c r="EI24" s="75">
        <f ca="1">EH24/(10+TODAY()-G24)</f>
        <v>0</v>
      </c>
      <c r="EJ24" s="76">
        <f>EF24+EH24</f>
        <v>9</v>
      </c>
      <c r="EK24" s="75">
        <f ca="1">EI24+EG24</f>
        <v>0.1</v>
      </c>
      <c r="EL24" s="76">
        <f>SUM(AS24,AL24,AE24,X24,Q24,Q24,J24,AZ24,BG24,BN24,BU24,CB24,CI24,CP24,CW24,DD24,DK24,DR24,DY24)</f>
        <v>2</v>
      </c>
      <c r="EM24" s="76">
        <f>SUM(AT24,AM24,AF24,Y24,R24,R24,K24,BA24,BH24,BO24,BV24,CC24,CJ24,CQ24,CX24,DE24,DL24,DS24,DZ24)</f>
        <v>0</v>
      </c>
      <c r="EN24" s="76">
        <f>EM24+EL24</f>
        <v>2</v>
      </c>
    </row>
    <row r="25" spans="1:144" ht="15.75" thickBot="1" x14ac:dyDescent="0.3">
      <c r="A25" s="220">
        <v>9</v>
      </c>
      <c r="B25" s="221" t="s">
        <v>5</v>
      </c>
      <c r="C25" s="77" t="str">
        <f>B25&amp;" "&amp;A25</f>
        <v>מאי 9</v>
      </c>
      <c r="D25" s="23" t="s">
        <v>6</v>
      </c>
      <c r="E25" s="23" t="s">
        <v>7</v>
      </c>
      <c r="F25" s="31" t="s">
        <v>158</v>
      </c>
      <c r="G25" s="30">
        <v>43160</v>
      </c>
      <c r="H25" s="42"/>
      <c r="I25" s="35"/>
      <c r="J25" s="48"/>
      <c r="K25" s="49"/>
      <c r="L25" s="49"/>
      <c r="M25" s="49"/>
      <c r="N25" s="50">
        <f>J25*3+L25</f>
        <v>0</v>
      </c>
      <c r="O25" s="50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/>
      <c r="BH25" s="40"/>
      <c r="BI25" s="12"/>
      <c r="BJ25" s="12"/>
      <c r="BK25" s="14">
        <f>BG25*3+BI25</f>
        <v>0</v>
      </c>
      <c r="BL25" s="14">
        <f>BH25*3+BJ25</f>
        <v>0</v>
      </c>
      <c r="BM25" s="39">
        <f>BL25+BK25</f>
        <v>0</v>
      </c>
      <c r="BN25" s="32"/>
      <c r="BO25" s="40"/>
      <c r="BP25" s="40"/>
      <c r="BQ25" s="40"/>
      <c r="BR25" s="14">
        <f>BN25*3+BP25</f>
        <v>0</v>
      </c>
      <c r="BS25" s="14">
        <f>BO25*3+BQ25</f>
        <v>0</v>
      </c>
      <c r="BT25" s="39">
        <f>BS25+BR25</f>
        <v>0</v>
      </c>
      <c r="BU25" s="32"/>
      <c r="BV25" s="40"/>
      <c r="BW25" s="40">
        <v>1</v>
      </c>
      <c r="BX25" s="40"/>
      <c r="BY25" s="14">
        <f>BU25*3+BW25</f>
        <v>1</v>
      </c>
      <c r="BZ25" s="14">
        <f>BV25*3+BX25</f>
        <v>0</v>
      </c>
      <c r="CA25" s="39">
        <f>BZ25+BY25</f>
        <v>1</v>
      </c>
      <c r="CB25" s="78"/>
      <c r="CC25" s="40"/>
      <c r="CD25" s="40"/>
      <c r="CE25" s="79"/>
      <c r="CF25" s="14">
        <f>CB25*3+CD25</f>
        <v>0</v>
      </c>
      <c r="CG25" s="14">
        <f>CC25*3+CE25</f>
        <v>0</v>
      </c>
      <c r="CH25" s="39">
        <f>CG25+CF25</f>
        <v>0</v>
      </c>
      <c r="CI25" s="40"/>
      <c r="CJ25" s="40"/>
      <c r="CK25" s="40"/>
      <c r="CL25" s="83"/>
      <c r="CM25" s="14">
        <f>CI25*3+CK25</f>
        <v>0</v>
      </c>
      <c r="CN25" s="14">
        <f>CJ25*3+CL25</f>
        <v>0</v>
      </c>
      <c r="CO25" s="39">
        <f>CN25+CM25</f>
        <v>0</v>
      </c>
      <c r="CP25" s="108"/>
      <c r="CQ25" s="40"/>
      <c r="CR25" s="40"/>
      <c r="CS25" s="40"/>
      <c r="CT25" s="14">
        <f>CP25*3+CR25</f>
        <v>0</v>
      </c>
      <c r="CU25" s="14">
        <f>CQ25*3+CS25</f>
        <v>0</v>
      </c>
      <c r="CV25" s="39">
        <f>CU25+CT25</f>
        <v>0</v>
      </c>
      <c r="CW25" s="32"/>
      <c r="CX25" s="40"/>
      <c r="CY25" s="40"/>
      <c r="CZ25" s="40"/>
      <c r="DA25" s="17">
        <f>CW25*3+CY25</f>
        <v>0</v>
      </c>
      <c r="DB25" s="17">
        <f>CX25*3+CZ25</f>
        <v>0</v>
      </c>
      <c r="DC25" s="18">
        <f>DB25+DA25</f>
        <v>0</v>
      </c>
      <c r="DD25" s="108"/>
      <c r="DE25" s="40"/>
      <c r="DF25" s="40"/>
      <c r="DG25" s="40"/>
      <c r="DH25" s="157">
        <f>DD25*3+DF25</f>
        <v>0</v>
      </c>
      <c r="DI25" s="157">
        <f>DE25*3+DG25</f>
        <v>0</v>
      </c>
      <c r="DJ25" s="18">
        <f>DI25+DH25</f>
        <v>0</v>
      </c>
      <c r="DK25" s="108"/>
      <c r="DL25" s="40"/>
      <c r="DM25" s="40"/>
      <c r="DN25" s="40"/>
      <c r="DO25" s="157">
        <f>DK25*3+DM25</f>
        <v>0</v>
      </c>
      <c r="DP25" s="157">
        <f>DL25*3+DN25</f>
        <v>0</v>
      </c>
      <c r="DQ25" s="18">
        <f>DP25+DO25</f>
        <v>0</v>
      </c>
      <c r="DR25" s="108"/>
      <c r="DS25" s="40"/>
      <c r="DT25" s="40"/>
      <c r="DU25" s="40"/>
      <c r="DV25" s="157">
        <f>DR25*3+DT25</f>
        <v>0</v>
      </c>
      <c r="DW25" s="157">
        <f>DS25*3+DU25</f>
        <v>0</v>
      </c>
      <c r="DX25" s="18">
        <f>DW25+DV25</f>
        <v>0</v>
      </c>
      <c r="DY25" s="108"/>
      <c r="DZ25" s="40"/>
      <c r="EA25" s="40"/>
      <c r="EB25" s="40">
        <v>2</v>
      </c>
      <c r="EC25" s="157">
        <f>DY25*3+EA25</f>
        <v>0</v>
      </c>
      <c r="ED25" s="157">
        <f>DZ25*3+EB25</f>
        <v>2</v>
      </c>
      <c r="EE25" s="18">
        <f>ED25+EC25</f>
        <v>2</v>
      </c>
      <c r="EF25" s="74">
        <f>SUM(AP25,AI25,AB25,U25,N25,AW25,BD25,BK25,BR25,BY25,CF25,CM25,CT25,DA25,DH25,DO25,DV25,EC25)</f>
        <v>1</v>
      </c>
      <c r="EG25" s="75">
        <f ca="1">EF25/(10+TODAY()-G25)</f>
        <v>3.6496350364963502E-3</v>
      </c>
      <c r="EH25" s="76">
        <f>SUM(AQ25,AJ25,AC25,V25,O25,AX25,BE25,BL25,BS25,BZ25,CG25,CN25,CU25,DB25,DI25,DP25,DW25,ED25)</f>
        <v>2</v>
      </c>
      <c r="EI25" s="75">
        <f ca="1">EH25/(10+TODAY()-G25)</f>
        <v>7.2992700729927005E-3</v>
      </c>
      <c r="EJ25" s="76">
        <f>EF25+EH25</f>
        <v>3</v>
      </c>
      <c r="EK25" s="75">
        <f ca="1">EI25+EG25</f>
        <v>1.0948905109489052E-2</v>
      </c>
      <c r="EL25" s="76">
        <f>SUM(AS25,AL25,AE25,X25,Q25,Q25,J25,AZ25,BG25,BN25,BU25,CB25,CI25,CP25,CW25,DD25,DK25,DR25,DY25)</f>
        <v>0</v>
      </c>
      <c r="EM25" s="76">
        <f>SUM(AT25,AM25,AF25,Y25,R25,R25,K25,BA25,BH25,BO25,BV25,CC25,CJ25,CQ25,CX25,DE25,DL25,DS25,DZ25)</f>
        <v>0</v>
      </c>
      <c r="EN25" s="76">
        <f>EM25+EL25</f>
        <v>0</v>
      </c>
    </row>
    <row r="26" spans="1:144" ht="15.75" thickBot="1" x14ac:dyDescent="0.3">
      <c r="A26" s="32">
        <v>9</v>
      </c>
      <c r="B26" s="230" t="s">
        <v>263</v>
      </c>
      <c r="C26" s="85" t="str">
        <f>B26&amp;" "&amp;A26</f>
        <v>מתן 9</v>
      </c>
      <c r="D26" s="23" t="s">
        <v>6</v>
      </c>
      <c r="E26" s="23" t="s">
        <v>6</v>
      </c>
      <c r="F26" s="31" t="s">
        <v>260</v>
      </c>
      <c r="G26" s="30">
        <v>43344</v>
      </c>
      <c r="H26" s="31"/>
      <c r="I26" s="35"/>
      <c r="J26" s="48"/>
      <c r="K26" s="49"/>
      <c r="L26" s="49"/>
      <c r="M26" s="49"/>
      <c r="N26" s="50"/>
      <c r="O26" s="50"/>
      <c r="P26" s="15"/>
      <c r="Q26" s="10"/>
      <c r="R26" s="12"/>
      <c r="S26" s="12"/>
      <c r="T26" s="12"/>
      <c r="U26" s="14"/>
      <c r="V26" s="14"/>
      <c r="W26" s="16"/>
      <c r="X26" s="10"/>
      <c r="Y26" s="12"/>
      <c r="Z26" s="12"/>
      <c r="AA26" s="12"/>
      <c r="AB26" s="17"/>
      <c r="AC26" s="17"/>
      <c r="AD26" s="18"/>
      <c r="AE26" s="10"/>
      <c r="AF26" s="12"/>
      <c r="AG26" s="12"/>
      <c r="AH26" s="12"/>
      <c r="AI26" s="14"/>
      <c r="AJ26" s="14"/>
      <c r="AK26" s="16"/>
      <c r="AL26" s="10"/>
      <c r="AM26" s="12"/>
      <c r="AN26" s="12"/>
      <c r="AO26" s="12"/>
      <c r="AP26" s="14"/>
      <c r="AQ26" s="14"/>
      <c r="AR26" s="16"/>
      <c r="AS26" s="10"/>
      <c r="AT26" s="12"/>
      <c r="AU26" s="12"/>
      <c r="AV26" s="12"/>
      <c r="AW26" s="14"/>
      <c r="AX26" s="14"/>
      <c r="AY26" s="16"/>
      <c r="AZ26" s="10"/>
      <c r="BA26" s="12"/>
      <c r="BB26" s="12"/>
      <c r="BC26" s="12"/>
      <c r="BD26" s="14"/>
      <c r="BE26" s="14"/>
      <c r="BF26" s="16"/>
      <c r="BG26" s="32"/>
      <c r="BH26" s="40"/>
      <c r="BI26" s="40"/>
      <c r="BJ26" s="12"/>
      <c r="BK26" s="14"/>
      <c r="BL26" s="14"/>
      <c r="BM26" s="39"/>
      <c r="BN26" s="32"/>
      <c r="BO26" s="40"/>
      <c r="BP26" s="40"/>
      <c r="BQ26" s="40"/>
      <c r="BR26" s="14"/>
      <c r="BS26" s="14"/>
      <c r="BT26" s="39"/>
      <c r="BU26" s="32"/>
      <c r="BV26" s="40"/>
      <c r="BW26" s="40"/>
      <c r="BX26" s="40"/>
      <c r="BY26" s="14"/>
      <c r="BZ26" s="14"/>
      <c r="CA26" s="39"/>
      <c r="CB26" s="32"/>
      <c r="CC26" s="40"/>
      <c r="CD26" s="40"/>
      <c r="CE26" s="79"/>
      <c r="CF26" s="14"/>
      <c r="CG26" s="14"/>
      <c r="CH26" s="39"/>
      <c r="CI26" s="40"/>
      <c r="CJ26" s="40"/>
      <c r="CK26" s="40"/>
      <c r="CL26" s="83"/>
      <c r="CM26" s="14"/>
      <c r="CN26" s="14"/>
      <c r="CO26" s="39"/>
      <c r="CP26" s="108"/>
      <c r="CQ26" s="40"/>
      <c r="CR26" s="40"/>
      <c r="CS26" s="40"/>
      <c r="CT26" s="14"/>
      <c r="CU26" s="14"/>
      <c r="CV26" s="39"/>
      <c r="CW26" s="32"/>
      <c r="CX26" s="40"/>
      <c r="CY26" s="40"/>
      <c r="CZ26" s="40"/>
      <c r="DA26" s="17"/>
      <c r="DB26" s="17"/>
      <c r="DC26" s="18"/>
      <c r="DD26" s="108"/>
      <c r="DE26" s="40"/>
      <c r="DF26" s="40"/>
      <c r="DG26" s="40"/>
      <c r="DH26" s="157">
        <f>DD26*3+DF26</f>
        <v>0</v>
      </c>
      <c r="DI26" s="157">
        <f>DE26*3+DG26</f>
        <v>0</v>
      </c>
      <c r="DJ26" s="18">
        <f>DI26+DH26</f>
        <v>0</v>
      </c>
      <c r="DK26" s="108"/>
      <c r="DL26" s="40"/>
      <c r="DM26" s="40">
        <v>2</v>
      </c>
      <c r="DN26" s="40"/>
      <c r="DO26" s="157">
        <f>DK26*3+DM26</f>
        <v>2</v>
      </c>
      <c r="DP26" s="157">
        <f>DL26*3+DN26</f>
        <v>0</v>
      </c>
      <c r="DQ26" s="18">
        <f>DP26+DO26</f>
        <v>2</v>
      </c>
      <c r="DR26" s="108">
        <v>1</v>
      </c>
      <c r="DS26" s="40"/>
      <c r="DT26" s="40">
        <v>1</v>
      </c>
      <c r="DU26" s="40"/>
      <c r="DV26" s="157">
        <f>DR26*3+DT26</f>
        <v>4</v>
      </c>
      <c r="DW26" s="157">
        <f>DS26*3+DU26</f>
        <v>0</v>
      </c>
      <c r="DX26" s="18">
        <f>DW26+DV26</f>
        <v>4</v>
      </c>
      <c r="DY26" s="108"/>
      <c r="DZ26" s="40"/>
      <c r="EA26" s="40"/>
      <c r="EB26" s="40"/>
      <c r="EC26" s="157">
        <f>DY26*3+EA26</f>
        <v>0</v>
      </c>
      <c r="ED26" s="157">
        <f>DZ26*3+EB26</f>
        <v>0</v>
      </c>
      <c r="EE26" s="18">
        <f>ED26+EC26</f>
        <v>0</v>
      </c>
      <c r="EF26" s="74">
        <f>SUM(AP26,AI26,AB26,U26,N26,AW26,BD26,BK26,BR26,BY26,CF26,CM26,CT26,DA26,DH26,DO26,DV26,EC26)</f>
        <v>6</v>
      </c>
      <c r="EG26" s="75">
        <f ca="1">EF26/(10+TODAY()-G26)</f>
        <v>6.6666666666666666E-2</v>
      </c>
      <c r="EH26" s="76">
        <f>SUM(AQ26,AJ26,AC26,V26,O26,AX26,BE26,BL26,BS26,BZ26,CG26,CN26,CU26,DB26,DI26,DP26,DW26,ED26)</f>
        <v>0</v>
      </c>
      <c r="EI26" s="75">
        <f ca="1">EH26/(10+TODAY()-G26)</f>
        <v>0</v>
      </c>
      <c r="EJ26" s="76">
        <f>EF26+EH26</f>
        <v>6</v>
      </c>
      <c r="EK26" s="75">
        <f ca="1">EI26+EG26</f>
        <v>6.6666666666666666E-2</v>
      </c>
      <c r="EL26" s="76">
        <f>SUM(AS26,AL26,AE26,X26,Q26,Q26,J26,AZ26,BG26,BN26,BU26,CB26,CI26,CP26,CW26,DD26,DK26,DR26,DY26)</f>
        <v>1</v>
      </c>
      <c r="EM26" s="76">
        <f>SUM(AT26,AM26,AF26,Y26,R26,R26,K26,BA26,BH26,BO26,BV26,CC26,CJ26,CQ26,CX26,DE26,DL26,DS26,DZ26)</f>
        <v>0</v>
      </c>
      <c r="EN26" s="76">
        <f>EM26+EL26</f>
        <v>1</v>
      </c>
    </row>
    <row r="27" spans="1:144" ht="15.75" thickBot="1" x14ac:dyDescent="0.3">
      <c r="A27" s="32">
        <v>9</v>
      </c>
      <c r="B27" s="230" t="s">
        <v>304</v>
      </c>
      <c r="C27" s="33" t="str">
        <f>B27&amp;" "&amp;A27</f>
        <v>עדי 9</v>
      </c>
      <c r="D27" s="23" t="s">
        <v>6</v>
      </c>
      <c r="E27" s="23" t="s">
        <v>6</v>
      </c>
      <c r="F27" s="31"/>
      <c r="G27" s="30">
        <v>43405</v>
      </c>
      <c r="H27" s="31"/>
      <c r="I27" s="35" t="s">
        <v>308</v>
      </c>
      <c r="J27" s="48"/>
      <c r="K27" s="49"/>
      <c r="L27" s="49"/>
      <c r="M27" s="49"/>
      <c r="N27" s="50"/>
      <c r="O27" s="50"/>
      <c r="P27" s="15"/>
      <c r="Q27" s="10"/>
      <c r="R27" s="12"/>
      <c r="S27" s="12"/>
      <c r="T27" s="12"/>
      <c r="U27" s="14"/>
      <c r="V27" s="14"/>
      <c r="W27" s="16"/>
      <c r="X27" s="10"/>
      <c r="Y27" s="12"/>
      <c r="Z27" s="12"/>
      <c r="AA27" s="12"/>
      <c r="AB27" s="17"/>
      <c r="AC27" s="17"/>
      <c r="AD27" s="18"/>
      <c r="AE27" s="10"/>
      <c r="AF27" s="12"/>
      <c r="AG27" s="12"/>
      <c r="AH27" s="12"/>
      <c r="AI27" s="14"/>
      <c r="AJ27" s="14"/>
      <c r="AK27" s="16"/>
      <c r="AL27" s="10"/>
      <c r="AM27" s="12"/>
      <c r="AN27" s="12"/>
      <c r="AO27" s="12"/>
      <c r="AP27" s="14"/>
      <c r="AQ27" s="14"/>
      <c r="AR27" s="16"/>
      <c r="AS27" s="10"/>
      <c r="AT27" s="12"/>
      <c r="AU27" s="12"/>
      <c r="AV27" s="12"/>
      <c r="AW27" s="14"/>
      <c r="AX27" s="14"/>
      <c r="AY27" s="16"/>
      <c r="AZ27" s="10"/>
      <c r="BA27" s="12"/>
      <c r="BB27" s="12"/>
      <c r="BC27" s="12"/>
      <c r="BD27" s="14"/>
      <c r="BE27" s="14"/>
      <c r="BF27" s="16"/>
      <c r="BG27" s="32"/>
      <c r="BH27" s="40"/>
      <c r="BI27" s="40"/>
      <c r="BJ27" s="12"/>
      <c r="BK27" s="14"/>
      <c r="BL27" s="14"/>
      <c r="BM27" s="39"/>
      <c r="BN27" s="32"/>
      <c r="BO27" s="40"/>
      <c r="BP27" s="40"/>
      <c r="BQ27" s="40"/>
      <c r="BR27" s="14"/>
      <c r="BS27" s="14"/>
      <c r="BT27" s="39"/>
      <c r="BU27" s="32"/>
      <c r="BV27" s="40"/>
      <c r="BW27" s="40"/>
      <c r="BX27" s="40"/>
      <c r="BY27" s="14"/>
      <c r="BZ27" s="14"/>
      <c r="CA27" s="39"/>
      <c r="CB27" s="32"/>
      <c r="CC27" s="40"/>
      <c r="CD27" s="40"/>
      <c r="CE27" s="79"/>
      <c r="CF27" s="14"/>
      <c r="CG27" s="14"/>
      <c r="CH27" s="39"/>
      <c r="CI27" s="40"/>
      <c r="CJ27" s="40"/>
      <c r="CK27" s="40"/>
      <c r="CL27" s="83"/>
      <c r="CM27" s="14"/>
      <c r="CN27" s="14"/>
      <c r="CO27" s="39"/>
      <c r="CP27" s="108"/>
      <c r="CQ27" s="40"/>
      <c r="CR27" s="40"/>
      <c r="CS27" s="40"/>
      <c r="CT27" s="14"/>
      <c r="CU27" s="14"/>
      <c r="CV27" s="39"/>
      <c r="CW27" s="32"/>
      <c r="CX27" s="40"/>
      <c r="CY27" s="40"/>
      <c r="CZ27" s="40"/>
      <c r="DA27" s="17"/>
      <c r="DB27" s="17"/>
      <c r="DC27" s="18"/>
      <c r="DD27" s="108"/>
      <c r="DE27" s="40"/>
      <c r="DF27" s="40"/>
      <c r="DG27" s="40"/>
      <c r="DH27" s="157"/>
      <c r="DI27" s="157"/>
      <c r="DJ27" s="18"/>
      <c r="DK27" s="108"/>
      <c r="DL27" s="40"/>
      <c r="DM27" s="40"/>
      <c r="DN27" s="40"/>
      <c r="DO27" s="157">
        <f>DK27*3+DM27</f>
        <v>0</v>
      </c>
      <c r="DP27" s="157">
        <f>DL27*3+DN27</f>
        <v>0</v>
      </c>
      <c r="DQ27" s="18">
        <f>DP27+DO27</f>
        <v>0</v>
      </c>
      <c r="DR27" s="108"/>
      <c r="DS27" s="40"/>
      <c r="DT27" s="40"/>
      <c r="DU27" s="40"/>
      <c r="DV27" s="157">
        <f>DR27*3+DT27</f>
        <v>0</v>
      </c>
      <c r="DW27" s="157">
        <f>DS27*3+DU27</f>
        <v>0</v>
      </c>
      <c r="DX27" s="18">
        <f>DW27+DV27</f>
        <v>0</v>
      </c>
      <c r="DY27" s="108"/>
      <c r="DZ27" s="40"/>
      <c r="EA27" s="40"/>
      <c r="EB27" s="40"/>
      <c r="EC27" s="157">
        <f>DY27*3+EA27</f>
        <v>0</v>
      </c>
      <c r="ED27" s="157">
        <f>DZ27*3+EB27</f>
        <v>0</v>
      </c>
      <c r="EE27" s="18">
        <f>ED27+EC27</f>
        <v>0</v>
      </c>
      <c r="EF27" s="74">
        <f>SUM(AP27,AI27,AB27,U27,N27,AW27,BD27,BK27,BR27,BY27,CF27,CM27,CT27,DA27,DH27,DO27,DV27,EC27)</f>
        <v>0</v>
      </c>
      <c r="EG27" s="75">
        <f ca="1">EF27/(10+TODAY()-G27)</f>
        <v>0</v>
      </c>
      <c r="EH27" s="76">
        <f>SUM(AQ27,AJ27,AC27,V27,O27,AX27,BE27,BL27,BS27,BZ27,CG27,CN27,CU27,DB27,DI27,DP27,DW27,ED27)</f>
        <v>0</v>
      </c>
      <c r="EI27" s="75">
        <f ca="1">EH27/(10+TODAY()-G27)</f>
        <v>0</v>
      </c>
      <c r="EJ27" s="76">
        <f>EF27+EH27</f>
        <v>0</v>
      </c>
      <c r="EK27" s="75">
        <f ca="1">EI27+EG27</f>
        <v>0</v>
      </c>
      <c r="EL27" s="76">
        <f>SUM(AS27,AL27,AE27,X27,Q27,Q27,J27,AZ27,BG27,BN27,BU27,CB27,CI27,CP27,CW27,DD27,DK27,DR27,DY27)</f>
        <v>0</v>
      </c>
      <c r="EM27" s="76">
        <f>SUM(AT27,AM27,AF27,Y27,R27,R27,K27,BA27,BH27,BO27,BV27,CC27,CJ27,CQ27,CX27,DE27,DL27,DS27,DZ27)</f>
        <v>0</v>
      </c>
      <c r="EN27" s="76">
        <f>EM27+EL27</f>
        <v>0</v>
      </c>
    </row>
    <row r="28" spans="1:144" ht="15.75" thickBot="1" x14ac:dyDescent="0.3">
      <c r="A28" s="10">
        <v>11</v>
      </c>
      <c r="B28" s="24" t="s">
        <v>123</v>
      </c>
      <c r="C28" s="26" t="str">
        <f>B28&amp;" "&amp;A28</f>
        <v>אתי 11</v>
      </c>
      <c r="D28" s="23" t="s">
        <v>6</v>
      </c>
      <c r="E28" s="23" t="s">
        <v>7</v>
      </c>
      <c r="F28" s="31" t="s">
        <v>193</v>
      </c>
      <c r="G28" s="30">
        <v>43252</v>
      </c>
      <c r="H28" s="271"/>
      <c r="I28" s="13"/>
      <c r="J28" s="48"/>
      <c r="K28" s="49"/>
      <c r="L28" s="49"/>
      <c r="M28" s="49"/>
      <c r="N28" s="50">
        <f>J28*3+L28</f>
        <v>0</v>
      </c>
      <c r="O28" s="50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/>
      <c r="AH28" s="12"/>
      <c r="AI28" s="14">
        <f>AE28*3+AG28</f>
        <v>0</v>
      </c>
      <c r="AJ28" s="14">
        <f>AF28*3+AH28</f>
        <v>0</v>
      </c>
      <c r="AK28" s="16">
        <f>AJ28+AI28</f>
        <v>0</v>
      </c>
      <c r="AL28" s="10"/>
      <c r="AM28" s="12"/>
      <c r="AN28" s="12"/>
      <c r="AO28" s="12"/>
      <c r="AP28" s="14">
        <f>AL28*3+AN28</f>
        <v>0</v>
      </c>
      <c r="AQ28" s="14">
        <f>AM28*3+AO28</f>
        <v>0</v>
      </c>
      <c r="AR28" s="16">
        <f>AQ28+AP28</f>
        <v>0</v>
      </c>
      <c r="AS28" s="10"/>
      <c r="AT28" s="12"/>
      <c r="AU28" s="12"/>
      <c r="AV28" s="12"/>
      <c r="AW28" s="14">
        <f>AS28*3+AU28</f>
        <v>0</v>
      </c>
      <c r="AX28" s="14">
        <f>AT28*3+AV28</f>
        <v>0</v>
      </c>
      <c r="AY28" s="16">
        <f>AX28+AW28</f>
        <v>0</v>
      </c>
      <c r="AZ28" s="10"/>
      <c r="BA28" s="12"/>
      <c r="BB28" s="12"/>
      <c r="BC28" s="12"/>
      <c r="BD28" s="14">
        <f>AZ28*3+BB28</f>
        <v>0</v>
      </c>
      <c r="BE28" s="14">
        <f>BA28*3+BC28</f>
        <v>0</v>
      </c>
      <c r="BF28" s="16">
        <f>BE28+BD28</f>
        <v>0</v>
      </c>
      <c r="BG28" s="32"/>
      <c r="BH28" s="40"/>
      <c r="BI28" s="12"/>
      <c r="BJ28" s="12"/>
      <c r="BK28" s="14">
        <f>BG28*3+BI28</f>
        <v>0</v>
      </c>
      <c r="BL28" s="14">
        <f>BH28*3+BJ28</f>
        <v>0</v>
      </c>
      <c r="BM28" s="39">
        <f>BL28+BK28</f>
        <v>0</v>
      </c>
      <c r="BN28" s="32"/>
      <c r="BO28" s="40"/>
      <c r="BP28" s="40"/>
      <c r="BQ28" s="40"/>
      <c r="BR28" s="14">
        <f>BN28*3+BP28</f>
        <v>0</v>
      </c>
      <c r="BS28" s="14">
        <f>BO28*3+BQ28</f>
        <v>0</v>
      </c>
      <c r="BT28" s="39">
        <f>BS28+BR28</f>
        <v>0</v>
      </c>
      <c r="BU28" s="32"/>
      <c r="BV28" s="40"/>
      <c r="BW28" s="40"/>
      <c r="BX28" s="40"/>
      <c r="BY28" s="14">
        <f>BU28*3+BW28</f>
        <v>0</v>
      </c>
      <c r="BZ28" s="14">
        <f>BV28*3+BX28</f>
        <v>0</v>
      </c>
      <c r="CA28" s="39">
        <f>BZ28+BY28</f>
        <v>0</v>
      </c>
      <c r="CB28" s="32"/>
      <c r="CC28" s="40"/>
      <c r="CD28" s="40"/>
      <c r="CE28" s="79"/>
      <c r="CF28" s="14">
        <f>CB28*3+CD28</f>
        <v>0</v>
      </c>
      <c r="CG28" s="14">
        <f>CC28*3+CE28</f>
        <v>0</v>
      </c>
      <c r="CH28" s="39">
        <f>CG28+CF28</f>
        <v>0</v>
      </c>
      <c r="CI28" s="40"/>
      <c r="CJ28" s="40"/>
      <c r="CK28" s="40"/>
      <c r="CL28" s="83"/>
      <c r="CM28" s="14">
        <f>CI28*3+CK28</f>
        <v>0</v>
      </c>
      <c r="CN28" s="14">
        <f>CJ28*3+CL28</f>
        <v>0</v>
      </c>
      <c r="CO28" s="39">
        <f>CN28+CM28</f>
        <v>0</v>
      </c>
      <c r="CP28" s="108"/>
      <c r="CQ28" s="40"/>
      <c r="CR28" s="40">
        <v>3</v>
      </c>
      <c r="CS28" s="40"/>
      <c r="CT28" s="14">
        <f>CP28*3+CR28</f>
        <v>3</v>
      </c>
      <c r="CU28" s="14">
        <f>CQ28*3+CS28</f>
        <v>0</v>
      </c>
      <c r="CV28" s="39">
        <f>CU28+CT28</f>
        <v>3</v>
      </c>
      <c r="CW28" s="32">
        <v>1</v>
      </c>
      <c r="CX28" s="40"/>
      <c r="CY28" s="40">
        <v>1</v>
      </c>
      <c r="CZ28" s="40"/>
      <c r="DA28" s="17">
        <f>CW28*3+CY28</f>
        <v>4</v>
      </c>
      <c r="DB28" s="17">
        <f>CX28*3+CZ28</f>
        <v>0</v>
      </c>
      <c r="DC28" s="18">
        <f>DB28+DA28</f>
        <v>4</v>
      </c>
      <c r="DD28" s="108"/>
      <c r="DE28" s="40"/>
      <c r="DF28" s="40">
        <v>3</v>
      </c>
      <c r="DG28" s="40">
        <v>2</v>
      </c>
      <c r="DH28" s="157">
        <f>DD28*3+DF28</f>
        <v>3</v>
      </c>
      <c r="DI28" s="157">
        <f>DE28*3+DG28</f>
        <v>2</v>
      </c>
      <c r="DJ28" s="18">
        <f>DI28+DH28</f>
        <v>5</v>
      </c>
      <c r="DK28" s="108"/>
      <c r="DL28" s="40"/>
      <c r="DM28" s="40">
        <v>3</v>
      </c>
      <c r="DN28" s="40"/>
      <c r="DO28" s="157">
        <f>DK28*3+DM28</f>
        <v>3</v>
      </c>
      <c r="DP28" s="157">
        <f>DL28*3+DN28</f>
        <v>0</v>
      </c>
      <c r="DQ28" s="18">
        <f>DP28+DO28</f>
        <v>3</v>
      </c>
      <c r="DR28" s="108">
        <v>1</v>
      </c>
      <c r="DS28" s="40"/>
      <c r="DT28" s="40"/>
      <c r="DU28" s="40"/>
      <c r="DV28" s="157">
        <f>DR28*3+DT28</f>
        <v>3</v>
      </c>
      <c r="DW28" s="157">
        <f>DS28*3+DU28</f>
        <v>0</v>
      </c>
      <c r="DX28" s="18">
        <f>DW28+DV28</f>
        <v>3</v>
      </c>
      <c r="DY28" s="108"/>
      <c r="DZ28" s="40"/>
      <c r="EA28" s="40"/>
      <c r="EB28" s="40"/>
      <c r="EC28" s="157">
        <f>DY28*3+EA28</f>
        <v>0</v>
      </c>
      <c r="ED28" s="157">
        <f>DZ28*3+EB28</f>
        <v>0</v>
      </c>
      <c r="EE28" s="18">
        <f>ED28+EC28</f>
        <v>0</v>
      </c>
      <c r="EF28" s="74">
        <f>SUM(AP28,AI28,AB28,U28,N28,AW28,BD28,BK28,BR28,BY28,CF28,CM28,CT28,DA28,DH28,DO28,DV28,EC28)</f>
        <v>16</v>
      </c>
      <c r="EG28" s="75">
        <f ca="1">EF28/(10+TODAY()-G28)</f>
        <v>8.7912087912087919E-2</v>
      </c>
      <c r="EH28" s="76">
        <f>SUM(AQ28,AJ28,AC28,V28,O28,AX28,BE28,BL28,BS28,BZ28,CG28,CN28,CU28,DB28,DI28,DP28,DW28,ED28)</f>
        <v>2</v>
      </c>
      <c r="EI28" s="75">
        <f ca="1">EH28/(10+TODAY()-G28)</f>
        <v>1.098901098901099E-2</v>
      </c>
      <c r="EJ28" s="76">
        <f>EF28+EH28</f>
        <v>18</v>
      </c>
      <c r="EK28" s="75">
        <f ca="1">EI28+EG28</f>
        <v>9.8901098901098911E-2</v>
      </c>
      <c r="EL28" s="76">
        <f>SUM(AS28,AL28,AE28,X28,Q28,Q28,J28,AZ28,BG28,BN28,BU28,CB28,CI28,CP28,CW28,DD28,DK28,DR28,DY28)</f>
        <v>2</v>
      </c>
      <c r="EM28" s="76">
        <f>SUM(AT28,AM28,AF28,Y28,R28,R28,K28,BA28,BH28,BO28,BV28,CC28,CJ28,CQ28,CX28,DE28,DL28,DS28,DZ28)</f>
        <v>0</v>
      </c>
      <c r="EN28" s="76">
        <f>EM28+EL28</f>
        <v>2</v>
      </c>
    </row>
    <row r="29" spans="1:144" ht="15.75" thickBot="1" x14ac:dyDescent="0.3">
      <c r="A29" s="10">
        <v>11</v>
      </c>
      <c r="B29" s="24" t="s">
        <v>301</v>
      </c>
      <c r="C29" s="26" t="str">
        <f>B29&amp;" "&amp;A29</f>
        <v>לירון 11</v>
      </c>
      <c r="D29" s="23" t="s">
        <v>6</v>
      </c>
      <c r="E29" s="23" t="s">
        <v>7</v>
      </c>
      <c r="F29" s="31" t="s">
        <v>303</v>
      </c>
      <c r="G29" s="30">
        <v>43405</v>
      </c>
      <c r="H29" s="271"/>
      <c r="I29" s="13"/>
      <c r="J29" s="48"/>
      <c r="K29" s="49"/>
      <c r="L29" s="49"/>
      <c r="M29" s="49"/>
      <c r="N29" s="50"/>
      <c r="O29" s="50"/>
      <c r="P29" s="15"/>
      <c r="Q29" s="10"/>
      <c r="R29" s="12"/>
      <c r="S29" s="12"/>
      <c r="T29" s="12"/>
      <c r="U29" s="14"/>
      <c r="V29" s="14"/>
      <c r="W29" s="16"/>
      <c r="X29" s="10"/>
      <c r="Y29" s="12"/>
      <c r="Z29" s="12"/>
      <c r="AA29" s="12"/>
      <c r="AB29" s="17"/>
      <c r="AC29" s="17"/>
      <c r="AD29" s="18"/>
      <c r="AE29" s="10"/>
      <c r="AF29" s="12"/>
      <c r="AG29" s="12"/>
      <c r="AH29" s="12"/>
      <c r="AI29" s="14"/>
      <c r="AJ29" s="14"/>
      <c r="AK29" s="16"/>
      <c r="AL29" s="10"/>
      <c r="AM29" s="12"/>
      <c r="AN29" s="12"/>
      <c r="AO29" s="12"/>
      <c r="AP29" s="14"/>
      <c r="AQ29" s="14"/>
      <c r="AR29" s="16"/>
      <c r="AS29" s="10"/>
      <c r="AT29" s="12"/>
      <c r="AU29" s="12"/>
      <c r="AV29" s="12"/>
      <c r="AW29" s="14"/>
      <c r="AX29" s="14"/>
      <c r="AY29" s="16"/>
      <c r="AZ29" s="10"/>
      <c r="BA29" s="12"/>
      <c r="BB29" s="12"/>
      <c r="BC29" s="12"/>
      <c r="BD29" s="14"/>
      <c r="BE29" s="14"/>
      <c r="BF29" s="16"/>
      <c r="BG29" s="32"/>
      <c r="BH29" s="40"/>
      <c r="BI29" s="12"/>
      <c r="BJ29" s="12"/>
      <c r="BK29" s="14"/>
      <c r="BL29" s="14"/>
      <c r="BM29" s="39"/>
      <c r="BN29" s="32"/>
      <c r="BO29" s="40"/>
      <c r="BP29" s="40"/>
      <c r="BQ29" s="40"/>
      <c r="BR29" s="14"/>
      <c r="BS29" s="14"/>
      <c r="BT29" s="39"/>
      <c r="BU29" s="32"/>
      <c r="BV29" s="40"/>
      <c r="BW29" s="40"/>
      <c r="BX29" s="40"/>
      <c r="BY29" s="14"/>
      <c r="BZ29" s="14"/>
      <c r="CA29" s="39"/>
      <c r="CB29" s="32"/>
      <c r="CC29" s="40"/>
      <c r="CD29" s="40"/>
      <c r="CE29" s="79"/>
      <c r="CF29" s="14"/>
      <c r="CG29" s="14"/>
      <c r="CH29" s="39"/>
      <c r="CI29" s="40"/>
      <c r="CJ29" s="40"/>
      <c r="CK29" s="40"/>
      <c r="CL29" s="83"/>
      <c r="CM29" s="14"/>
      <c r="CN29" s="14"/>
      <c r="CO29" s="39"/>
      <c r="CP29" s="108"/>
      <c r="CQ29" s="40"/>
      <c r="CR29" s="40"/>
      <c r="CS29" s="40"/>
      <c r="CT29" s="14"/>
      <c r="CU29" s="14"/>
      <c r="CV29" s="39"/>
      <c r="CW29" s="32"/>
      <c r="CX29" s="40"/>
      <c r="CY29" s="40"/>
      <c r="CZ29" s="40"/>
      <c r="DA29" s="17"/>
      <c r="DB29" s="17"/>
      <c r="DC29" s="18"/>
      <c r="DD29" s="108"/>
      <c r="DE29" s="40"/>
      <c r="DF29" s="40"/>
      <c r="DG29" s="40"/>
      <c r="DH29" s="157"/>
      <c r="DI29" s="157"/>
      <c r="DJ29" s="18"/>
      <c r="DK29" s="108"/>
      <c r="DL29" s="40"/>
      <c r="DM29" s="40"/>
      <c r="DN29" s="40"/>
      <c r="DO29" s="157">
        <f>DK29*3+DM29</f>
        <v>0</v>
      </c>
      <c r="DP29" s="157">
        <f>DL29*3+DN29</f>
        <v>0</v>
      </c>
      <c r="DQ29" s="18">
        <f>DP29+DO29</f>
        <v>0</v>
      </c>
      <c r="DR29" s="108">
        <v>1</v>
      </c>
      <c r="DS29" s="40"/>
      <c r="DT29" s="40">
        <v>1</v>
      </c>
      <c r="DU29" s="40">
        <v>1</v>
      </c>
      <c r="DV29" s="157">
        <f>DR29*3+DT29</f>
        <v>4</v>
      </c>
      <c r="DW29" s="157">
        <f>DS29*3+DU29</f>
        <v>1</v>
      </c>
      <c r="DX29" s="18">
        <f>DW29+DV29</f>
        <v>5</v>
      </c>
      <c r="DY29" s="108"/>
      <c r="DZ29" s="40"/>
      <c r="EA29" s="40"/>
      <c r="EB29" s="40"/>
      <c r="EC29" s="157">
        <f>DY29*3+EA29</f>
        <v>0</v>
      </c>
      <c r="ED29" s="157">
        <f>DZ29*3+EB29</f>
        <v>0</v>
      </c>
      <c r="EE29" s="18">
        <f>ED29+EC29</f>
        <v>0</v>
      </c>
      <c r="EF29" s="74">
        <f>SUM(AP29,AI29,AB29,U29,N29,AW29,BD29,BK29,BR29,BY29,CF29,CM29,CT29,DA29,DH29,DO29,DV29,EC29)</f>
        <v>4</v>
      </c>
      <c r="EG29" s="75">
        <f ca="1">EF29/(10+TODAY()-G29)</f>
        <v>0.13793103448275862</v>
      </c>
      <c r="EH29" s="76">
        <f>SUM(AQ29,AJ29,AC29,V29,O29,AX29,BE29,BL29,BS29,BZ29,CG29,CN29,CU29,DB29,DI29,DP29,DW29,ED29)</f>
        <v>1</v>
      </c>
      <c r="EI29" s="75">
        <f ca="1">EH29/(10+TODAY()-G29)</f>
        <v>3.4482758620689655E-2</v>
      </c>
      <c r="EJ29" s="76">
        <f>EF29+EH29</f>
        <v>5</v>
      </c>
      <c r="EK29" s="75">
        <f ca="1">EI29+EG29</f>
        <v>0.17241379310344829</v>
      </c>
      <c r="EL29" s="76">
        <f>SUM(AS29,AL29,AE29,X29,Q29,Q29,J29,AZ29,BG29,BN29,BU29,CB29,CI29,CP29,CW29,DD29,DK29,DR29,DY29)</f>
        <v>1</v>
      </c>
      <c r="EM29" s="76">
        <f>SUM(AT29,AM29,AF29,Y29,R29,R29,K29,BA29,BH29,BO29,BV29,CC29,CJ29,CQ29,CX29,DE29,DL29,DS29,DZ29)</f>
        <v>0</v>
      </c>
      <c r="EN29" s="76">
        <f>EM29+EL29</f>
        <v>1</v>
      </c>
    </row>
    <row r="30" spans="1:144" ht="15.75" thickBot="1" x14ac:dyDescent="0.3">
      <c r="A30" s="220">
        <v>11</v>
      </c>
      <c r="B30" s="221" t="s">
        <v>259</v>
      </c>
      <c r="C30" s="77" t="str">
        <f>B30&amp;" "&amp;A30</f>
        <v>נעם 11</v>
      </c>
      <c r="D30" s="23" t="s">
        <v>6</v>
      </c>
      <c r="E30" s="23" t="s">
        <v>6</v>
      </c>
      <c r="F30" s="31" t="s">
        <v>260</v>
      </c>
      <c r="G30" s="30">
        <v>43344</v>
      </c>
      <c r="H30" s="114"/>
      <c r="I30" s="35"/>
      <c r="J30" s="48"/>
      <c r="K30" s="49"/>
      <c r="L30" s="49"/>
      <c r="M30" s="49"/>
      <c r="N30" s="50"/>
      <c r="O30" s="50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40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40"/>
      <c r="CE30" s="79"/>
      <c r="CF30" s="14"/>
      <c r="CG30" s="14"/>
      <c r="CH30" s="39"/>
      <c r="CI30" s="40"/>
      <c r="CJ30" s="40"/>
      <c r="CK30" s="40"/>
      <c r="CL30" s="83"/>
      <c r="CM30" s="14"/>
      <c r="CN30" s="14"/>
      <c r="CO30" s="39"/>
      <c r="CP30" s="108"/>
      <c r="CQ30" s="40"/>
      <c r="CR30" s="40"/>
      <c r="CS30" s="40"/>
      <c r="CT30" s="14"/>
      <c r="CU30" s="14"/>
      <c r="CV30" s="39"/>
      <c r="CW30" s="32"/>
      <c r="CX30" s="40"/>
      <c r="CY30" s="40"/>
      <c r="CZ30" s="40"/>
      <c r="DA30" s="17"/>
      <c r="DB30" s="17"/>
      <c r="DC30" s="18"/>
      <c r="DD30" s="108"/>
      <c r="DE30" s="40"/>
      <c r="DF30" s="40"/>
      <c r="DG30" s="40"/>
      <c r="DH30" s="157">
        <f>DD30*3+DF30</f>
        <v>0</v>
      </c>
      <c r="DI30" s="157">
        <f>DE30*3+DG30</f>
        <v>0</v>
      </c>
      <c r="DJ30" s="18">
        <f>DI30+DH30</f>
        <v>0</v>
      </c>
      <c r="DK30" s="108"/>
      <c r="DL30" s="40"/>
      <c r="DM30" s="40">
        <v>1</v>
      </c>
      <c r="DN30" s="40"/>
      <c r="DO30" s="157">
        <f>DK30*3+DM30</f>
        <v>1</v>
      </c>
      <c r="DP30" s="157">
        <f>DL30*3+DN30</f>
        <v>0</v>
      </c>
      <c r="DQ30" s="18">
        <f>DP30+DO30</f>
        <v>1</v>
      </c>
      <c r="DR30" s="108"/>
      <c r="DS30" s="40"/>
      <c r="DT30" s="40"/>
      <c r="DU30" s="40"/>
      <c r="DV30" s="157">
        <f>DR30*3+DT30</f>
        <v>0</v>
      </c>
      <c r="DW30" s="157">
        <f>DS30*3+DU30</f>
        <v>0</v>
      </c>
      <c r="DX30" s="18">
        <f>DW30+DV30</f>
        <v>0</v>
      </c>
      <c r="DY30" s="108"/>
      <c r="DZ30" s="40"/>
      <c r="EA30" s="40"/>
      <c r="EB30" s="40"/>
      <c r="EC30" s="157">
        <f>DY30*3+EA30</f>
        <v>0</v>
      </c>
      <c r="ED30" s="157">
        <f>DZ30*3+EB30</f>
        <v>0</v>
      </c>
      <c r="EE30" s="18">
        <f>ED30+EC30</f>
        <v>0</v>
      </c>
      <c r="EF30" s="74">
        <f>SUM(AP30,AI30,AB30,U30,N30,AW30,BD30,BK30,BR30,BY30,CF30,CM30,CT30,DA30,DH30,DO30,DV30,EC30)</f>
        <v>1</v>
      </c>
      <c r="EG30" s="75">
        <f ca="1">EF30/(10+TODAY()-G30)</f>
        <v>1.1111111111111112E-2</v>
      </c>
      <c r="EH30" s="76">
        <f>SUM(AQ30,AJ30,AC30,V30,O30,AX30,BE30,BL30,BS30,BZ30,CG30,CN30,CU30,DB30,DI30,DP30,DW30,ED30)</f>
        <v>0</v>
      </c>
      <c r="EI30" s="75">
        <f ca="1">EH30/(10+TODAY()-G30)</f>
        <v>0</v>
      </c>
      <c r="EJ30" s="76">
        <f>EF30+EH30</f>
        <v>1</v>
      </c>
      <c r="EK30" s="75">
        <f ca="1">EI30+EG30</f>
        <v>1.1111111111111112E-2</v>
      </c>
      <c r="EL30" s="76">
        <f>SUM(AS30,AL30,AE30,X30,Q30,Q30,J30,AZ30,BG30,BN30,BU30,CB30,CI30,CP30,CW30,DD30,DK30,DR30,DY30)</f>
        <v>0</v>
      </c>
      <c r="EM30" s="76">
        <f>SUM(AT30,AM30,AF30,Y30,R30,R30,K30,BA30,BH30,BO30,BV30,CC30,CJ30,CQ30,CX30,DE30,DL30,DS30,DZ30)</f>
        <v>0</v>
      </c>
      <c r="EN30" s="76">
        <f>EM30+EL30</f>
        <v>0</v>
      </c>
    </row>
    <row r="31" spans="1:144" ht="15.75" thickBot="1" x14ac:dyDescent="0.3">
      <c r="A31" s="178">
        <v>209</v>
      </c>
      <c r="B31" s="24" t="s">
        <v>274</v>
      </c>
      <c r="C31" s="26" t="str">
        <f>B31&amp;" "&amp;A31</f>
        <v>קרין 209</v>
      </c>
      <c r="D31" s="23" t="s">
        <v>6</v>
      </c>
      <c r="E31" s="23" t="s">
        <v>6</v>
      </c>
      <c r="F31" s="31" t="s">
        <v>276</v>
      </c>
      <c r="G31" s="30">
        <v>43383</v>
      </c>
      <c r="H31" s="114"/>
      <c r="I31" s="35"/>
      <c r="J31" s="48"/>
      <c r="K31" s="49"/>
      <c r="L31" s="49"/>
      <c r="M31" s="49"/>
      <c r="N31" s="50"/>
      <c r="O31" s="50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12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32"/>
      <c r="CC31" s="40"/>
      <c r="CD31" s="40"/>
      <c r="CE31" s="79"/>
      <c r="CF31" s="14"/>
      <c r="CG31" s="14"/>
      <c r="CH31" s="39"/>
      <c r="CI31" s="40"/>
      <c r="CJ31" s="40"/>
      <c r="CK31" s="40"/>
      <c r="CL31" s="83"/>
      <c r="CM31" s="14"/>
      <c r="CN31" s="14"/>
      <c r="CO31" s="39"/>
      <c r="CP31" s="108"/>
      <c r="CQ31" s="40"/>
      <c r="CR31" s="40"/>
      <c r="CS31" s="40"/>
      <c r="CT31" s="14"/>
      <c r="CU31" s="14"/>
      <c r="CV31" s="39"/>
      <c r="CW31" s="32"/>
      <c r="CX31" s="40"/>
      <c r="CY31" s="40"/>
      <c r="CZ31" s="40"/>
      <c r="DA31" s="17"/>
      <c r="DB31" s="17"/>
      <c r="DC31" s="18"/>
      <c r="DD31" s="108"/>
      <c r="DE31" s="40"/>
      <c r="DF31" s="40"/>
      <c r="DG31" s="40"/>
      <c r="DH31" s="157">
        <f>DD31*3+DF31</f>
        <v>0</v>
      </c>
      <c r="DI31" s="157">
        <f>DE31*3+DG31</f>
        <v>0</v>
      </c>
      <c r="DJ31" s="18">
        <f>DI31+DH31</f>
        <v>0</v>
      </c>
      <c r="DK31" s="108"/>
      <c r="DL31" s="40"/>
      <c r="DM31" s="40"/>
      <c r="DN31" s="40"/>
      <c r="DO31" s="157">
        <f>DK31*3+DM31</f>
        <v>0</v>
      </c>
      <c r="DP31" s="157">
        <f>DL31*3+DN31</f>
        <v>0</v>
      </c>
      <c r="DQ31" s="18">
        <f>DP31+DO31</f>
        <v>0</v>
      </c>
      <c r="DR31" s="108"/>
      <c r="DS31" s="40"/>
      <c r="DT31" s="40">
        <v>3</v>
      </c>
      <c r="DU31" s="40"/>
      <c r="DV31" s="157">
        <f>DR31*3+DT31</f>
        <v>3</v>
      </c>
      <c r="DW31" s="157">
        <f>DS31*3+DU31</f>
        <v>0</v>
      </c>
      <c r="DX31" s="18">
        <f>DW31+DV31</f>
        <v>3</v>
      </c>
      <c r="DY31" s="108"/>
      <c r="DZ31" s="40"/>
      <c r="EA31" s="40"/>
      <c r="EB31" s="40"/>
      <c r="EC31" s="157">
        <f>DY31*3+EA31</f>
        <v>0</v>
      </c>
      <c r="ED31" s="157">
        <f>DZ31*3+EB31</f>
        <v>0</v>
      </c>
      <c r="EE31" s="18">
        <f>ED31+EC31</f>
        <v>0</v>
      </c>
      <c r="EF31" s="74">
        <f>SUM(AP31,AI31,AB31,U31,N31,AW31,BD31,BK31,BR31,BY31,CF31,CM31,CT31,DA31,DH31,DO31,DV31,EC31)</f>
        <v>3</v>
      </c>
      <c r="EG31" s="75">
        <f ca="1">EF31/(10+TODAY()-G31)</f>
        <v>5.8823529411764705E-2</v>
      </c>
      <c r="EH31" s="76">
        <f>SUM(AQ31,AJ31,AC31,V31,O31,AX31,BE31,BL31,BS31,BZ31,CG31,CN31,CU31,DB31,DI31,DP31,DW31,ED31)</f>
        <v>0</v>
      </c>
      <c r="EI31" s="75">
        <f ca="1">EH31/(10+TODAY()-G31)</f>
        <v>0</v>
      </c>
      <c r="EJ31" s="76">
        <f>EF31+EH31</f>
        <v>3</v>
      </c>
      <c r="EK31" s="75">
        <f ca="1">EI31+EG31</f>
        <v>5.8823529411764705E-2</v>
      </c>
      <c r="EL31" s="76">
        <f>SUM(AS31,AL31,AE31,X31,Q31,Q31,J31,AZ31,BG31,BN31,BU31,CB31,CI31,CP31,CW31,DD31,DK31,DR31,DY31)</f>
        <v>0</v>
      </c>
      <c r="EM31" s="76">
        <f>SUM(AT31,AM31,AF31,Y31,R31,R31,K31,BA31,BH31,BO31,BV31,CC31,CJ31,CQ31,CX31,DE31,DL31,DS31,DZ31)</f>
        <v>0</v>
      </c>
      <c r="EN31" s="76">
        <f>EM31+EL31</f>
        <v>0</v>
      </c>
    </row>
    <row r="32" spans="1:144" ht="15.75" thickBot="1" x14ac:dyDescent="0.3">
      <c r="A32" s="10">
        <v>474</v>
      </c>
      <c r="B32" s="24" t="s">
        <v>68</v>
      </c>
      <c r="C32" s="26" t="str">
        <f>B32&amp;" "&amp;A32</f>
        <v>יהל אור 474</v>
      </c>
      <c r="D32" s="12" t="s">
        <v>6</v>
      </c>
      <c r="E32" s="12" t="s">
        <v>7</v>
      </c>
      <c r="F32" s="31" t="s">
        <v>143</v>
      </c>
      <c r="G32" s="30">
        <v>42917</v>
      </c>
      <c r="H32" s="210"/>
      <c r="I32" s="13"/>
      <c r="J32" s="48"/>
      <c r="K32" s="49"/>
      <c r="L32" s="49"/>
      <c r="M32" s="49"/>
      <c r="N32" s="50">
        <f>J32*3+L32</f>
        <v>0</v>
      </c>
      <c r="O32" s="50">
        <f>K32*3+M32</f>
        <v>0</v>
      </c>
      <c r="P32" s="15">
        <f>O32+N32</f>
        <v>0</v>
      </c>
      <c r="Q32" s="10"/>
      <c r="R32" s="12"/>
      <c r="S32" s="12">
        <v>4</v>
      </c>
      <c r="T32" s="12"/>
      <c r="U32" s="14">
        <f>Q32*3+S32</f>
        <v>4</v>
      </c>
      <c r="V32" s="14">
        <f>R32*3+T32</f>
        <v>0</v>
      </c>
      <c r="W32" s="16">
        <f>V32+U32</f>
        <v>4</v>
      </c>
      <c r="X32" s="10">
        <v>1</v>
      </c>
      <c r="Y32" s="12"/>
      <c r="Z32" s="12">
        <v>1</v>
      </c>
      <c r="AA32" s="12"/>
      <c r="AB32" s="17">
        <f>X32*3+Z32</f>
        <v>4</v>
      </c>
      <c r="AC32" s="17">
        <f>Y32*3+AA32</f>
        <v>0</v>
      </c>
      <c r="AD32" s="18">
        <f>AC32+AB32</f>
        <v>4</v>
      </c>
      <c r="AE32" s="10"/>
      <c r="AF32" s="12"/>
      <c r="AG32" s="12">
        <v>2</v>
      </c>
      <c r="AH32" s="12">
        <v>2</v>
      </c>
      <c r="AI32" s="14">
        <f>AE32*3+AG32</f>
        <v>2</v>
      </c>
      <c r="AJ32" s="14">
        <f>AF32*3+AH32</f>
        <v>2</v>
      </c>
      <c r="AK32" s="16">
        <f>AJ32+AI32</f>
        <v>4</v>
      </c>
      <c r="AL32" s="10"/>
      <c r="AM32" s="12"/>
      <c r="AN32" s="12">
        <v>2</v>
      </c>
      <c r="AO32" s="12">
        <v>1</v>
      </c>
      <c r="AP32" s="14">
        <f>AL32*3+AN32</f>
        <v>2</v>
      </c>
      <c r="AQ32" s="14">
        <f>AM32*3+AO32</f>
        <v>1</v>
      </c>
      <c r="AR32" s="16">
        <f>AQ32+AP32</f>
        <v>3</v>
      </c>
      <c r="AS32" s="10">
        <v>1</v>
      </c>
      <c r="AT32" s="12"/>
      <c r="AU32" s="12"/>
      <c r="AV32" s="12"/>
      <c r="AW32" s="14">
        <f>AS32*3+AU32</f>
        <v>3</v>
      </c>
      <c r="AX32" s="14">
        <f>AT32*3+AV32</f>
        <v>0</v>
      </c>
      <c r="AY32" s="16">
        <f>AX32+AW32</f>
        <v>3</v>
      </c>
      <c r="AZ32" s="10"/>
      <c r="BA32" s="12"/>
      <c r="BB32" s="12">
        <v>3</v>
      </c>
      <c r="BC32" s="12"/>
      <c r="BD32" s="14">
        <f>AZ32*3+BB32</f>
        <v>3</v>
      </c>
      <c r="BE32" s="14">
        <f>BA32*3+BC32</f>
        <v>0</v>
      </c>
      <c r="BF32" s="16">
        <f>BE32+BD32</f>
        <v>3</v>
      </c>
      <c r="BG32" s="32">
        <v>1</v>
      </c>
      <c r="BH32" s="40"/>
      <c r="BI32" s="12"/>
      <c r="BJ32" s="12">
        <v>1</v>
      </c>
      <c r="BK32" s="14">
        <f>BG32*3+BI32</f>
        <v>3</v>
      </c>
      <c r="BL32" s="14">
        <f>BH32*3+BJ32</f>
        <v>1</v>
      </c>
      <c r="BM32" s="39">
        <f>BL32+BK32</f>
        <v>4</v>
      </c>
      <c r="BN32" s="32">
        <v>1</v>
      </c>
      <c r="BO32" s="40"/>
      <c r="BP32" s="40">
        <v>3</v>
      </c>
      <c r="BQ32" s="40"/>
      <c r="BR32" s="14">
        <f>BN32*3+BP32</f>
        <v>6</v>
      </c>
      <c r="BS32" s="14">
        <f>BO32*3+BQ32</f>
        <v>0</v>
      </c>
      <c r="BT32" s="39">
        <f>BS32+BR32</f>
        <v>6</v>
      </c>
      <c r="BU32" s="32"/>
      <c r="BV32" s="40"/>
      <c r="BW32" s="40">
        <v>1</v>
      </c>
      <c r="BX32" s="40">
        <v>1</v>
      </c>
      <c r="BY32" s="14">
        <f>BU32*3+BW32</f>
        <v>1</v>
      </c>
      <c r="BZ32" s="14">
        <f>BV32*3+BX32</f>
        <v>1</v>
      </c>
      <c r="CA32" s="39">
        <f>BZ32+BY32</f>
        <v>2</v>
      </c>
      <c r="CB32" s="32"/>
      <c r="CC32" s="40"/>
      <c r="CD32" s="40">
        <v>2</v>
      </c>
      <c r="CE32" s="79"/>
      <c r="CF32" s="14">
        <f>CB32*3+CD32</f>
        <v>2</v>
      </c>
      <c r="CG32" s="14">
        <f>CC32*3+CE32</f>
        <v>0</v>
      </c>
      <c r="CH32" s="39">
        <f>CG32+CF32</f>
        <v>2</v>
      </c>
      <c r="CI32" s="40">
        <v>1</v>
      </c>
      <c r="CJ32" s="40"/>
      <c r="CK32" s="40"/>
      <c r="CL32" s="83"/>
      <c r="CM32" s="14">
        <f>CI32*3+CK32</f>
        <v>3</v>
      </c>
      <c r="CN32" s="14">
        <f>CJ32*3+CL32</f>
        <v>0</v>
      </c>
      <c r="CO32" s="39">
        <f>CN32+CM32</f>
        <v>3</v>
      </c>
      <c r="CP32" s="108"/>
      <c r="CQ32" s="40"/>
      <c r="CR32" s="40">
        <v>1</v>
      </c>
      <c r="CS32" s="40"/>
      <c r="CT32" s="14">
        <f>CP32*3+CR32</f>
        <v>1</v>
      </c>
      <c r="CU32" s="14">
        <f>CQ32*3+CS32</f>
        <v>0</v>
      </c>
      <c r="CV32" s="39">
        <f>CU32+CT32</f>
        <v>1</v>
      </c>
      <c r="CW32" s="32"/>
      <c r="CX32" s="40"/>
      <c r="CY32" s="40">
        <v>2</v>
      </c>
      <c r="CZ32" s="40"/>
      <c r="DA32" s="17">
        <f>CW32*3+CY32</f>
        <v>2</v>
      </c>
      <c r="DB32" s="17">
        <f>CX32*3+CZ32</f>
        <v>0</v>
      </c>
      <c r="DC32" s="18">
        <f>DB32+DA32</f>
        <v>2</v>
      </c>
      <c r="DD32" s="108">
        <v>1</v>
      </c>
      <c r="DE32" s="40"/>
      <c r="DF32" s="40">
        <v>1</v>
      </c>
      <c r="DG32" s="40"/>
      <c r="DH32" s="157">
        <f>DD32*3+DF32</f>
        <v>4</v>
      </c>
      <c r="DI32" s="157">
        <f>DE32*3+DG32</f>
        <v>0</v>
      </c>
      <c r="DJ32" s="18">
        <f>DI32+DH32</f>
        <v>4</v>
      </c>
      <c r="DK32" s="108">
        <v>1</v>
      </c>
      <c r="DL32" s="40"/>
      <c r="DM32" s="40">
        <v>1</v>
      </c>
      <c r="DN32" s="40"/>
      <c r="DO32" s="157">
        <f>DK32*3+DM32</f>
        <v>4</v>
      </c>
      <c r="DP32" s="157">
        <f>DL32*3+DN32</f>
        <v>0</v>
      </c>
      <c r="DQ32" s="18">
        <f>DP32+DO32</f>
        <v>4</v>
      </c>
      <c r="DR32" s="108"/>
      <c r="DS32" s="40"/>
      <c r="DT32" s="40">
        <v>1</v>
      </c>
      <c r="DU32" s="40">
        <v>1</v>
      </c>
      <c r="DV32" s="157">
        <f>DR32*3+DT32</f>
        <v>1</v>
      </c>
      <c r="DW32" s="157">
        <f>DS32*3+DU32</f>
        <v>1</v>
      </c>
      <c r="DX32" s="18">
        <f>DW32+DV32</f>
        <v>2</v>
      </c>
      <c r="DY32" s="108"/>
      <c r="DZ32" s="40"/>
      <c r="EA32" s="40"/>
      <c r="EB32" s="40"/>
      <c r="EC32" s="157">
        <f>DY32*3+EA32</f>
        <v>0</v>
      </c>
      <c r="ED32" s="157">
        <f>DZ32*3+EB32</f>
        <v>0</v>
      </c>
      <c r="EE32" s="18">
        <f>ED32+EC32</f>
        <v>0</v>
      </c>
      <c r="EF32" s="74">
        <f>SUM(AP32,AI32,AB32,U32,N32,AW32,BD32,BK32,BR32,BY32,CF32,CM32,CT32,DA32,DH32,DO32,DV32,EC32)</f>
        <v>45</v>
      </c>
      <c r="EG32" s="75">
        <f ca="1">EF32/(10+TODAY()-G32)</f>
        <v>8.7040618955512572E-2</v>
      </c>
      <c r="EH32" s="76">
        <f>SUM(AQ32,AJ32,AC32,V32,O32,AX32,BE32,BL32,BS32,BZ32,CG32,CN32,CU32,DB32,DI32,DP32,DW32,ED32)</f>
        <v>6</v>
      </c>
      <c r="EI32" s="75">
        <f ca="1">EH32/(10+TODAY()-G32)</f>
        <v>1.160541586073501E-2</v>
      </c>
      <c r="EJ32" s="76">
        <f>EF32+EH32</f>
        <v>51</v>
      </c>
      <c r="EK32" s="75">
        <f ca="1">EI32+EG32</f>
        <v>9.8646034816247577E-2</v>
      </c>
      <c r="EL32" s="76">
        <f>SUM(AS32,AL32,AE32,X32,Q32,Q32,J32,AZ32,BG32,BN32,BU32,CB32,CI32,CP32,CW32,DD32,DK32,DR32,DY32)</f>
        <v>7</v>
      </c>
      <c r="EM32" s="76">
        <f>SUM(AT32,AM32,AF32,Y32,R32,R32,K32,BA32,BH32,BO32,BV32,CC32,CJ32,CQ32,CX32,DE32,DL32,DS32,DZ32)</f>
        <v>0</v>
      </c>
      <c r="EN32" s="76">
        <f>EM32+EL32</f>
        <v>7</v>
      </c>
    </row>
    <row r="33" spans="1:144" ht="15.75" thickBot="1" x14ac:dyDescent="0.3">
      <c r="A33" s="32">
        <v>679</v>
      </c>
      <c r="B33" s="33" t="s">
        <v>11</v>
      </c>
      <c r="C33" s="85" t="str">
        <f>B33&amp;" "&amp;A33</f>
        <v>שיר 679</v>
      </c>
      <c r="D33" s="23" t="s">
        <v>6</v>
      </c>
      <c r="E33" s="12" t="s">
        <v>7</v>
      </c>
      <c r="F33" s="31" t="s">
        <v>143</v>
      </c>
      <c r="G33" s="30">
        <v>42917</v>
      </c>
      <c r="H33" s="19">
        <v>43558</v>
      </c>
      <c r="I33" s="13"/>
      <c r="J33" s="48"/>
      <c r="K33" s="49"/>
      <c r="L33" s="49"/>
      <c r="M33" s="49"/>
      <c r="N33" s="50">
        <f>J33*3+L33</f>
        <v>0</v>
      </c>
      <c r="O33" s="50">
        <f>K33*3+M33</f>
        <v>0</v>
      </c>
      <c r="P33" s="15">
        <f>O33+N33</f>
        <v>0</v>
      </c>
      <c r="Q33" s="10">
        <v>1</v>
      </c>
      <c r="R33" s="12"/>
      <c r="S33" s="12"/>
      <c r="T33" s="12"/>
      <c r="U33" s="14">
        <f>Q33*3+S33</f>
        <v>3</v>
      </c>
      <c r="V33" s="14">
        <f>R33*3+T33</f>
        <v>0</v>
      </c>
      <c r="W33" s="16">
        <f>V33+U33</f>
        <v>3</v>
      </c>
      <c r="X33" s="10">
        <v>1</v>
      </c>
      <c r="Y33" s="12"/>
      <c r="Z33" s="12">
        <v>1</v>
      </c>
      <c r="AA33" s="12"/>
      <c r="AB33" s="17">
        <f>X33*3+Z33</f>
        <v>4</v>
      </c>
      <c r="AC33" s="17">
        <f>Y33*3+AA33</f>
        <v>0</v>
      </c>
      <c r="AD33" s="18">
        <f>AC33+AB33</f>
        <v>4</v>
      </c>
      <c r="AE33" s="10"/>
      <c r="AF33" s="12"/>
      <c r="AG33" s="12">
        <v>1</v>
      </c>
      <c r="AH33" s="12">
        <v>2</v>
      </c>
      <c r="AI33" s="14">
        <f>AE33*3+AG33</f>
        <v>1</v>
      </c>
      <c r="AJ33" s="14">
        <f>AF33*3+AH33</f>
        <v>2</v>
      </c>
      <c r="AK33" s="16">
        <f>AJ33+AI33</f>
        <v>3</v>
      </c>
      <c r="AL33" s="10"/>
      <c r="AM33" s="12"/>
      <c r="AN33" s="12">
        <v>2</v>
      </c>
      <c r="AO33" s="12"/>
      <c r="AP33" s="14">
        <f>AL33*3+AN33</f>
        <v>2</v>
      </c>
      <c r="AQ33" s="14">
        <f>AM33*3+AO33</f>
        <v>0</v>
      </c>
      <c r="AR33" s="16">
        <f>AQ33+AP33</f>
        <v>2</v>
      </c>
      <c r="AS33" s="10"/>
      <c r="AT33" s="12"/>
      <c r="AU33" s="12">
        <v>3</v>
      </c>
      <c r="AV33" s="12"/>
      <c r="AW33" s="14">
        <f>AS33*3+AU33</f>
        <v>3</v>
      </c>
      <c r="AX33" s="14">
        <f>AT33*3+AV33</f>
        <v>0</v>
      </c>
      <c r="AY33" s="16">
        <f>AX33+AW33</f>
        <v>3</v>
      </c>
      <c r="AZ33" s="10">
        <v>1</v>
      </c>
      <c r="BA33" s="12"/>
      <c r="BB33" s="12">
        <v>1</v>
      </c>
      <c r="BC33" s="12">
        <v>1</v>
      </c>
      <c r="BD33" s="14">
        <f>AZ33*3+BB33</f>
        <v>4</v>
      </c>
      <c r="BE33" s="14">
        <f>BA33*3+BC33</f>
        <v>1</v>
      </c>
      <c r="BF33" s="16">
        <f>BE33+BD33</f>
        <v>5</v>
      </c>
      <c r="BG33" s="32">
        <v>1</v>
      </c>
      <c r="BH33" s="40"/>
      <c r="BI33" s="40">
        <v>1</v>
      </c>
      <c r="BJ33" s="12">
        <v>1</v>
      </c>
      <c r="BK33" s="14">
        <f>BG33*3+BI33</f>
        <v>4</v>
      </c>
      <c r="BL33" s="14">
        <f>BH33*3+BJ33</f>
        <v>1</v>
      </c>
      <c r="BM33" s="39">
        <f>BL33+BK33</f>
        <v>5</v>
      </c>
      <c r="BN33" s="32"/>
      <c r="BO33" s="40"/>
      <c r="BP33" s="40"/>
      <c r="BQ33" s="40">
        <v>2</v>
      </c>
      <c r="BR33" s="14">
        <f>BN33*3+BP33</f>
        <v>0</v>
      </c>
      <c r="BS33" s="14">
        <f>BO33*3+BQ33</f>
        <v>2</v>
      </c>
      <c r="BT33" s="39">
        <f>BS33+BR33</f>
        <v>2</v>
      </c>
      <c r="BU33" s="32"/>
      <c r="BV33" s="40">
        <v>1</v>
      </c>
      <c r="BW33" s="40"/>
      <c r="BX33" s="40">
        <v>2</v>
      </c>
      <c r="BY33" s="14">
        <f>BU33*3+BW33</f>
        <v>0</v>
      </c>
      <c r="BZ33" s="14">
        <f>BV33*3+BX33</f>
        <v>5</v>
      </c>
      <c r="CA33" s="39">
        <f>BZ33+BY33</f>
        <v>5</v>
      </c>
      <c r="CB33" s="32"/>
      <c r="CC33" s="40">
        <v>1</v>
      </c>
      <c r="CD33" s="40"/>
      <c r="CE33" s="79"/>
      <c r="CF33" s="14">
        <f>CB33*3+CD33</f>
        <v>0</v>
      </c>
      <c r="CG33" s="14">
        <f>CC33*3+CE33</f>
        <v>3</v>
      </c>
      <c r="CH33" s="39">
        <f>CG33+CF33</f>
        <v>3</v>
      </c>
      <c r="CI33" s="40"/>
      <c r="CJ33" s="40"/>
      <c r="CK33" s="40">
        <v>1</v>
      </c>
      <c r="CL33" s="83"/>
      <c r="CM33" s="14">
        <f>CI33*3+CK33</f>
        <v>1</v>
      </c>
      <c r="CN33" s="14">
        <f>CJ33*3+CL33</f>
        <v>0</v>
      </c>
      <c r="CO33" s="39">
        <f>CN33+CM33</f>
        <v>1</v>
      </c>
      <c r="CP33" s="108"/>
      <c r="CQ33" s="40">
        <v>1</v>
      </c>
      <c r="CR33" s="40"/>
      <c r="CS33" s="40">
        <v>1</v>
      </c>
      <c r="CT33" s="14">
        <f>CP33*3+CR33</f>
        <v>0</v>
      </c>
      <c r="CU33" s="14">
        <f>CQ33*3+CS33</f>
        <v>4</v>
      </c>
      <c r="CV33" s="39">
        <f>CU33+CT33</f>
        <v>4</v>
      </c>
      <c r="CW33" s="32"/>
      <c r="CX33" s="40"/>
      <c r="CY33" s="40"/>
      <c r="CZ33" s="40">
        <v>1</v>
      </c>
      <c r="DA33" s="17">
        <f>CW33*3+CY33</f>
        <v>0</v>
      </c>
      <c r="DB33" s="17">
        <f>CX33*3+CZ33</f>
        <v>1</v>
      </c>
      <c r="DC33" s="18">
        <f>DB33+DA33</f>
        <v>1</v>
      </c>
      <c r="DD33" s="108"/>
      <c r="DE33" s="40"/>
      <c r="DF33" s="40">
        <v>1</v>
      </c>
      <c r="DG33" s="40">
        <v>3</v>
      </c>
      <c r="DH33" s="157">
        <f>DD33*3+DF33</f>
        <v>1</v>
      </c>
      <c r="DI33" s="157">
        <f>DE33*3+DG33</f>
        <v>3</v>
      </c>
      <c r="DJ33" s="18">
        <f>DI33+DH33</f>
        <v>4</v>
      </c>
      <c r="DK33" s="108"/>
      <c r="DL33" s="40"/>
      <c r="DM33" s="40">
        <v>2</v>
      </c>
      <c r="DN33" s="40">
        <v>1</v>
      </c>
      <c r="DO33" s="157">
        <f>DK33*3+DM33</f>
        <v>2</v>
      </c>
      <c r="DP33" s="157">
        <f>DL33*3+DN33</f>
        <v>1</v>
      </c>
      <c r="DQ33" s="18">
        <f>DP33+DO33</f>
        <v>3</v>
      </c>
      <c r="DR33" s="108">
        <v>1</v>
      </c>
      <c r="DS33" s="40"/>
      <c r="DT33" s="40"/>
      <c r="DU33" s="40"/>
      <c r="DV33" s="157">
        <f>DR33*3+DT33</f>
        <v>3</v>
      </c>
      <c r="DW33" s="157">
        <f>DS33*3+DU33</f>
        <v>0</v>
      </c>
      <c r="DX33" s="18">
        <f>DW33+DV33</f>
        <v>3</v>
      </c>
      <c r="DY33" s="108"/>
      <c r="DZ33" s="40"/>
      <c r="EA33" s="40"/>
      <c r="EB33" s="40"/>
      <c r="EC33" s="157">
        <f>DY33*3+EA33</f>
        <v>0</v>
      </c>
      <c r="ED33" s="157">
        <f>DZ33*3+EB33</f>
        <v>0</v>
      </c>
      <c r="EE33" s="18">
        <f>ED33+EC33</f>
        <v>0</v>
      </c>
      <c r="EF33" s="74">
        <f>SUM(AP33,AI33,AB33,U33,N33,AW33,BD33,BK33,BR33,BY33,CF33,CM33,CT33,DA33,DH33,DO33,DV33,EC33)</f>
        <v>28</v>
      </c>
      <c r="EG33" s="75">
        <f ca="1">EF33/(10+TODAY()-G33)</f>
        <v>5.4158607350096713E-2</v>
      </c>
      <c r="EH33" s="76">
        <f>SUM(AQ33,AJ33,AC33,V33,O33,AX33,BE33,BL33,BS33,BZ33,CG33,CN33,CU33,DB33,DI33,DP33,DW33,ED33)</f>
        <v>23</v>
      </c>
      <c r="EI33" s="75">
        <f ca="1">EH33/(10+TODAY()-G33)</f>
        <v>4.4487427466150871E-2</v>
      </c>
      <c r="EJ33" s="76">
        <f>EF33+EH33</f>
        <v>51</v>
      </c>
      <c r="EK33" s="75">
        <f ca="1">EI33+EG33</f>
        <v>9.8646034816247591E-2</v>
      </c>
      <c r="EL33" s="76">
        <f>SUM(AS33,AL33,AE33,X33,Q33,Q33,J33,AZ33,BG33,BN33,BU33,CB33,CI33,CP33,CW33,DD33,DK33,DR33,DY33)</f>
        <v>6</v>
      </c>
      <c r="EM33" s="76">
        <f>SUM(AT33,AM33,AF33,Y33,R33,R33,K33,BA33,BH33,BO33,BV33,CC33,CJ33,CQ33,CX33,DE33,DL33,DS33,DZ33)</f>
        <v>3</v>
      </c>
      <c r="EN33" s="76">
        <f>EM33+EL33</f>
        <v>9</v>
      </c>
    </row>
    <row r="34" spans="1:144" ht="15.75" thickBot="1" x14ac:dyDescent="0.3">
      <c r="A34" s="218" t="s">
        <v>63</v>
      </c>
      <c r="B34" s="221" t="s">
        <v>273</v>
      </c>
      <c r="C34" s="77" t="str">
        <f>B34&amp;" "&amp;A34</f>
        <v>אסי אחודה</v>
      </c>
      <c r="D34" s="23" t="s">
        <v>7</v>
      </c>
      <c r="E34" s="23" t="s">
        <v>6</v>
      </c>
      <c r="F34" s="31" t="s">
        <v>276</v>
      </c>
      <c r="G34" s="30">
        <v>43374</v>
      </c>
      <c r="H34" s="31"/>
      <c r="I34" s="35"/>
      <c r="J34" s="48"/>
      <c r="K34" s="49"/>
      <c r="L34" s="49"/>
      <c r="M34" s="49"/>
      <c r="N34" s="50"/>
      <c r="O34" s="50"/>
      <c r="P34" s="15"/>
      <c r="Q34" s="10"/>
      <c r="R34" s="12"/>
      <c r="S34" s="12"/>
      <c r="T34" s="12"/>
      <c r="U34" s="14"/>
      <c r="V34" s="14"/>
      <c r="W34" s="16"/>
      <c r="X34" s="10"/>
      <c r="Y34" s="12"/>
      <c r="Z34" s="12"/>
      <c r="AA34" s="12"/>
      <c r="AB34" s="17"/>
      <c r="AC34" s="17"/>
      <c r="AD34" s="18"/>
      <c r="AE34" s="10"/>
      <c r="AF34" s="12"/>
      <c r="AG34" s="12"/>
      <c r="AH34" s="12"/>
      <c r="AI34" s="14"/>
      <c r="AJ34" s="14"/>
      <c r="AK34" s="16"/>
      <c r="AL34" s="10"/>
      <c r="AM34" s="12"/>
      <c r="AN34" s="12"/>
      <c r="AO34" s="12"/>
      <c r="AP34" s="14"/>
      <c r="AQ34" s="14"/>
      <c r="AR34" s="16"/>
      <c r="AS34" s="10"/>
      <c r="AT34" s="12"/>
      <c r="AU34" s="12"/>
      <c r="AV34" s="12"/>
      <c r="AW34" s="14"/>
      <c r="AX34" s="14"/>
      <c r="AY34" s="16"/>
      <c r="AZ34" s="10"/>
      <c r="BA34" s="12"/>
      <c r="BB34" s="12"/>
      <c r="BC34" s="12"/>
      <c r="BD34" s="14"/>
      <c r="BE34" s="14"/>
      <c r="BF34" s="16"/>
      <c r="BG34" s="32"/>
      <c r="BH34" s="40"/>
      <c r="BI34" s="12"/>
      <c r="BJ34" s="12"/>
      <c r="BK34" s="14"/>
      <c r="BL34" s="14"/>
      <c r="BM34" s="39"/>
      <c r="BN34" s="32"/>
      <c r="BO34" s="40"/>
      <c r="BP34" s="40"/>
      <c r="BQ34" s="40"/>
      <c r="BR34" s="14"/>
      <c r="BS34" s="14"/>
      <c r="BT34" s="39"/>
      <c r="BU34" s="32"/>
      <c r="BV34" s="40"/>
      <c r="BW34" s="40"/>
      <c r="BX34" s="40"/>
      <c r="BY34" s="14"/>
      <c r="BZ34" s="14"/>
      <c r="CA34" s="39"/>
      <c r="CB34" s="32"/>
      <c r="CC34" s="40"/>
      <c r="CD34" s="40"/>
      <c r="CE34" s="79"/>
      <c r="CF34" s="14"/>
      <c r="CG34" s="14"/>
      <c r="CH34" s="39"/>
      <c r="CI34" s="40"/>
      <c r="CJ34" s="40"/>
      <c r="CK34" s="40"/>
      <c r="CL34" s="83"/>
      <c r="CM34" s="14"/>
      <c r="CN34" s="14"/>
      <c r="CO34" s="39"/>
      <c r="CP34" s="108"/>
      <c r="CQ34" s="40"/>
      <c r="CR34" s="40"/>
      <c r="CS34" s="40"/>
      <c r="CT34" s="14"/>
      <c r="CU34" s="14"/>
      <c r="CV34" s="39"/>
      <c r="CW34" s="32"/>
      <c r="CX34" s="40"/>
      <c r="CY34" s="40"/>
      <c r="CZ34" s="40"/>
      <c r="DA34" s="17"/>
      <c r="DB34" s="17"/>
      <c r="DC34" s="18"/>
      <c r="DD34" s="108"/>
      <c r="DE34" s="40"/>
      <c r="DF34" s="40"/>
      <c r="DG34" s="40"/>
      <c r="DH34" s="157">
        <f>DD34*3+DF34</f>
        <v>0</v>
      </c>
      <c r="DI34" s="157">
        <f>DE34*3+DG34</f>
        <v>0</v>
      </c>
      <c r="DJ34" s="18">
        <f>DI34+DH34</f>
        <v>0</v>
      </c>
      <c r="DK34" s="108"/>
      <c r="DL34" s="40"/>
      <c r="DM34" s="40"/>
      <c r="DN34" s="40"/>
      <c r="DO34" s="157">
        <f>DK34*3+DM34</f>
        <v>0</v>
      </c>
      <c r="DP34" s="157">
        <f>DL34*3+DN34</f>
        <v>0</v>
      </c>
      <c r="DQ34" s="18">
        <f>DP34+DO34</f>
        <v>0</v>
      </c>
      <c r="DR34" s="108"/>
      <c r="DS34" s="40"/>
      <c r="DT34" s="40"/>
      <c r="DU34" s="40"/>
      <c r="DV34" s="157">
        <f>DR34*3+DT34</f>
        <v>0</v>
      </c>
      <c r="DW34" s="157">
        <f>DS34*3+DU34</f>
        <v>0</v>
      </c>
      <c r="DX34" s="18">
        <f>DW34+DV34</f>
        <v>0</v>
      </c>
      <c r="DY34" s="108"/>
      <c r="DZ34" s="40"/>
      <c r="EA34" s="40"/>
      <c r="EB34" s="40"/>
      <c r="EC34" s="157">
        <f>DY34*3+EA34</f>
        <v>0</v>
      </c>
      <c r="ED34" s="157">
        <f>DZ34*3+EB34</f>
        <v>0</v>
      </c>
      <c r="EE34" s="18">
        <f>ED34+EC34</f>
        <v>0</v>
      </c>
      <c r="EF34" s="74">
        <f>SUM(AP34,AI34,AB34,U34,N34,AW34,BD34,BK34,BR34,BY34,CF34,CM34,CT34,DA34,DH34,DO34,DV34,EC34)</f>
        <v>0</v>
      </c>
      <c r="EG34" s="75">
        <f ca="1">EF34/(10+TODAY()-G34)</f>
        <v>0</v>
      </c>
      <c r="EH34" s="76">
        <f>SUM(AQ34,AJ34,AC34,V34,O34,AX34,BE34,BL34,BS34,BZ34,CG34,CN34,CU34,DB34,DI34,DP34,DW34,ED34)</f>
        <v>0</v>
      </c>
      <c r="EI34" s="75">
        <f ca="1">EH34/(10+TODAY()-G34)</f>
        <v>0</v>
      </c>
      <c r="EJ34" s="76">
        <f>EF34+EH34</f>
        <v>0</v>
      </c>
      <c r="EK34" s="75">
        <f ca="1">EI34+EG34</f>
        <v>0</v>
      </c>
      <c r="EL34" s="76">
        <f>SUM(AS34,AL34,AE34,X34,Q34,Q34,J34,AZ34,BG34,BN34,BU34,CB34,CI34,CP34,CW34,DD34,DK34,DR34,DY34)</f>
        <v>0</v>
      </c>
      <c r="EM34" s="76">
        <f>SUM(AT34,AM34,AF34,Y34,R34,R34,K34,BA34,BH34,BO34,BV34,CC34,CJ34,CQ34,CX34,DE34,DL34,DS34,DZ34)</f>
        <v>0</v>
      </c>
      <c r="EN34" s="76">
        <f>EM34+EL34</f>
        <v>0</v>
      </c>
    </row>
    <row r="35" spans="1:144" ht="15.75" thickBot="1" x14ac:dyDescent="0.3">
      <c r="A35" s="32" t="s">
        <v>63</v>
      </c>
      <c r="B35" s="24" t="s">
        <v>285</v>
      </c>
      <c r="C35" s="26" t="str">
        <f>B35&amp;" "&amp;A35</f>
        <v>נעה אחודה</v>
      </c>
      <c r="D35" s="12" t="s">
        <v>6</v>
      </c>
      <c r="E35" s="23" t="s">
        <v>7</v>
      </c>
      <c r="F35" s="31" t="s">
        <v>147</v>
      </c>
      <c r="G35" s="30">
        <v>43101</v>
      </c>
      <c r="H35" s="31"/>
      <c r="I35" s="13"/>
      <c r="J35" s="48"/>
      <c r="K35" s="49"/>
      <c r="L35" s="49"/>
      <c r="M35" s="49"/>
      <c r="N35" s="50">
        <f>J35*3+L35</f>
        <v>0</v>
      </c>
      <c r="O35" s="50">
        <f>K35*3+M35</f>
        <v>0</v>
      </c>
      <c r="P35" s="15">
        <f>O35+N35</f>
        <v>0</v>
      </c>
      <c r="Q35" s="10"/>
      <c r="R35" s="12"/>
      <c r="S35" s="12"/>
      <c r="T35" s="12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10"/>
      <c r="AF35" s="12"/>
      <c r="AG35" s="12"/>
      <c r="AH35" s="12"/>
      <c r="AI35" s="14">
        <f>AE35*3+AG35</f>
        <v>0</v>
      </c>
      <c r="AJ35" s="14">
        <f>AF35*3+AH35</f>
        <v>0</v>
      </c>
      <c r="AK35" s="16">
        <f>AJ35+AI35</f>
        <v>0</v>
      </c>
      <c r="AL35" s="10"/>
      <c r="AM35" s="12"/>
      <c r="AN35" s="12"/>
      <c r="AO35" s="12"/>
      <c r="AP35" s="14">
        <f>AL35*3+AN35</f>
        <v>0</v>
      </c>
      <c r="AQ35" s="14">
        <f>AM35*3+AO35</f>
        <v>0</v>
      </c>
      <c r="AR35" s="16">
        <f>AQ35+AP35</f>
        <v>0</v>
      </c>
      <c r="AS35" s="10"/>
      <c r="AT35" s="12"/>
      <c r="AU35" s="12"/>
      <c r="AV35" s="12"/>
      <c r="AW35" s="14">
        <f>AS35*3+AU35</f>
        <v>0</v>
      </c>
      <c r="AX35" s="14">
        <f>AT35*3+AV35</f>
        <v>0</v>
      </c>
      <c r="AY35" s="16">
        <f>AX35+AW35</f>
        <v>0</v>
      </c>
      <c r="AZ35" s="10"/>
      <c r="BA35" s="12"/>
      <c r="BB35" s="12"/>
      <c r="BC35" s="12"/>
      <c r="BD35" s="14">
        <f>AZ35*3+BB35</f>
        <v>0</v>
      </c>
      <c r="BE35" s="14">
        <f>BA35*3+BC35</f>
        <v>0</v>
      </c>
      <c r="BF35" s="16">
        <f>BE35+BD35</f>
        <v>0</v>
      </c>
      <c r="BG35" s="32">
        <v>1</v>
      </c>
      <c r="BH35" s="40"/>
      <c r="BI35" s="12"/>
      <c r="BJ35" s="12"/>
      <c r="BK35" s="14">
        <f>BG35*3+BI35</f>
        <v>3</v>
      </c>
      <c r="BL35" s="14">
        <f>BH35*3+BJ35</f>
        <v>0</v>
      </c>
      <c r="BM35" s="39">
        <f>BL35+BK35</f>
        <v>3</v>
      </c>
      <c r="BN35" s="32">
        <v>1</v>
      </c>
      <c r="BO35" s="40"/>
      <c r="BP35" s="40">
        <v>1</v>
      </c>
      <c r="BQ35" s="40"/>
      <c r="BR35" s="14">
        <f>BN35*3+BP35</f>
        <v>4</v>
      </c>
      <c r="BS35" s="14">
        <f>BO35*3+BQ35</f>
        <v>0</v>
      </c>
      <c r="BT35" s="39">
        <f>BS35+BR35</f>
        <v>4</v>
      </c>
      <c r="BU35" s="32"/>
      <c r="BV35" s="40"/>
      <c r="BW35" s="40">
        <v>4</v>
      </c>
      <c r="BX35" s="40"/>
      <c r="BY35" s="14">
        <f>BU35*3+BW35</f>
        <v>4</v>
      </c>
      <c r="BZ35" s="14">
        <f>BV35*3+BX35</f>
        <v>0</v>
      </c>
      <c r="CA35" s="39">
        <f>BZ35+BY35</f>
        <v>4</v>
      </c>
      <c r="CB35" s="32"/>
      <c r="CC35" s="40">
        <v>1</v>
      </c>
      <c r="CD35" s="40">
        <v>1</v>
      </c>
      <c r="CE35" s="79"/>
      <c r="CF35" s="14">
        <f>CB35*3+CD35</f>
        <v>1</v>
      </c>
      <c r="CG35" s="14">
        <f>CC35*3+CE35</f>
        <v>3</v>
      </c>
      <c r="CH35" s="39">
        <f>CG35+CF35</f>
        <v>4</v>
      </c>
      <c r="CI35" s="40"/>
      <c r="CJ35" s="40"/>
      <c r="CK35" s="40"/>
      <c r="CL35" s="83">
        <v>1</v>
      </c>
      <c r="CM35" s="14">
        <f>CI35*3+CK35</f>
        <v>0</v>
      </c>
      <c r="CN35" s="14">
        <f>CJ35*3+CL35</f>
        <v>1</v>
      </c>
      <c r="CO35" s="39">
        <f>CN35+CM35</f>
        <v>1</v>
      </c>
      <c r="CP35" s="108">
        <v>1</v>
      </c>
      <c r="CQ35" s="40"/>
      <c r="CR35" s="40">
        <v>1</v>
      </c>
      <c r="CS35" s="40"/>
      <c r="CT35" s="14">
        <f>CP35*3+CR35</f>
        <v>4</v>
      </c>
      <c r="CU35" s="14">
        <f>CQ35*3+CS35</f>
        <v>0</v>
      </c>
      <c r="CV35" s="39">
        <f>CU35+CT35</f>
        <v>4</v>
      </c>
      <c r="CW35" s="32"/>
      <c r="CX35" s="40"/>
      <c r="CY35" s="40">
        <v>3</v>
      </c>
      <c r="CZ35" s="40"/>
      <c r="DA35" s="17">
        <f>CW35*3+CY35</f>
        <v>3</v>
      </c>
      <c r="DB35" s="17">
        <f>CX35*3+CZ35</f>
        <v>0</v>
      </c>
      <c r="DC35" s="18">
        <f>DB35+DA35</f>
        <v>3</v>
      </c>
      <c r="DD35" s="108">
        <v>1</v>
      </c>
      <c r="DE35" s="40"/>
      <c r="DF35" s="40"/>
      <c r="DG35" s="40">
        <v>1</v>
      </c>
      <c r="DH35" s="157">
        <f>DD35*3+DF35</f>
        <v>3</v>
      </c>
      <c r="DI35" s="157">
        <f>DE35*3+DG35</f>
        <v>1</v>
      </c>
      <c r="DJ35" s="18">
        <f>DI35+DH35</f>
        <v>4</v>
      </c>
      <c r="DK35" s="108"/>
      <c r="DL35" s="40"/>
      <c r="DM35" s="40">
        <v>2</v>
      </c>
      <c r="DN35" s="40"/>
      <c r="DO35" s="157">
        <f>DK35*3+DM35</f>
        <v>2</v>
      </c>
      <c r="DP35" s="157">
        <f>DL35*3+DN35</f>
        <v>0</v>
      </c>
      <c r="DQ35" s="18">
        <f>DP35+DO35</f>
        <v>2</v>
      </c>
      <c r="DR35" s="108"/>
      <c r="DS35" s="40">
        <v>1</v>
      </c>
      <c r="DT35" s="40">
        <v>1</v>
      </c>
      <c r="DU35" s="40"/>
      <c r="DV35" s="157">
        <f>DR35*3+DT35</f>
        <v>1</v>
      </c>
      <c r="DW35" s="157">
        <f>DS35*3+DU35</f>
        <v>3</v>
      </c>
      <c r="DX35" s="18">
        <f>DW35+DV35</f>
        <v>4</v>
      </c>
      <c r="DY35" s="108"/>
      <c r="DZ35" s="40"/>
      <c r="EA35" s="40"/>
      <c r="EB35" s="40"/>
      <c r="EC35" s="157">
        <f>DY35*3+EA35</f>
        <v>0</v>
      </c>
      <c r="ED35" s="157">
        <f>DZ35*3+EB35</f>
        <v>0</v>
      </c>
      <c r="EE35" s="18">
        <f>ED35+EC35</f>
        <v>0</v>
      </c>
      <c r="EF35" s="74">
        <f>SUM(AP35,AI35,AB35,U35,N35,AW35,BD35,BK35,BR35,BY35,CF35,CM35,CT35,DA35,DH35,DO35,DV35,EC35)</f>
        <v>25</v>
      </c>
      <c r="EG35" s="75">
        <f ca="1">EF35/(10+TODAY()-G35)</f>
        <v>7.5075075075075076E-2</v>
      </c>
      <c r="EH35" s="76">
        <f>SUM(AQ35,AJ35,AC35,V35,O35,AX35,BE35,BL35,BS35,BZ35,CG35,CN35,CU35,DB35,DI35,DP35,DW35,ED35)</f>
        <v>8</v>
      </c>
      <c r="EI35" s="75">
        <f ca="1">EH35/(10+TODAY()-G35)</f>
        <v>2.4024024024024024E-2</v>
      </c>
      <c r="EJ35" s="76">
        <f>EF35+EH35</f>
        <v>33</v>
      </c>
      <c r="EK35" s="75">
        <f ca="1">EI35+EG35</f>
        <v>9.90990990990991E-2</v>
      </c>
      <c r="EL35" s="76">
        <f>SUM(AS35,AL35,AE35,X35,Q35,Q35,J35,AZ35,BG35,BN35,BU35,CB35,CI35,CP35,CW35,DD35,DK35,DR35,DY35)</f>
        <v>4</v>
      </c>
      <c r="EM35" s="76">
        <f>SUM(AT35,AM35,AF35,Y35,R35,R35,K35,BA35,BH35,BO35,BV35,CC35,CJ35,CQ35,CX35,DE35,DL35,DS35,DZ35)</f>
        <v>2</v>
      </c>
      <c r="EN35" s="76">
        <f>EM35+EL35</f>
        <v>6</v>
      </c>
    </row>
    <row r="36" spans="1:144" ht="15.75" thickBot="1" x14ac:dyDescent="0.3">
      <c r="A36" s="32" t="s">
        <v>63</v>
      </c>
      <c r="B36" s="230" t="s">
        <v>8</v>
      </c>
      <c r="C36" s="85" t="str">
        <f>B36&amp;" "&amp;A36</f>
        <v>עדן אחודה</v>
      </c>
      <c r="D36" s="23" t="s">
        <v>7</v>
      </c>
      <c r="E36" s="23" t="s">
        <v>7</v>
      </c>
      <c r="F36" s="31" t="s">
        <v>158</v>
      </c>
      <c r="G36" s="30">
        <v>43160</v>
      </c>
      <c r="H36" s="31"/>
      <c r="I36" s="13"/>
      <c r="J36" s="48"/>
      <c r="K36" s="49"/>
      <c r="L36" s="49"/>
      <c r="M36" s="49"/>
      <c r="N36" s="50">
        <f>J36*3+L36</f>
        <v>0</v>
      </c>
      <c r="O36" s="50">
        <f>K36*3+M36</f>
        <v>0</v>
      </c>
      <c r="P36" s="15">
        <f>O36+N36</f>
        <v>0</v>
      </c>
      <c r="Q36" s="10"/>
      <c r="R36" s="12"/>
      <c r="S36" s="12"/>
      <c r="T36" s="12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10"/>
      <c r="AF36" s="12"/>
      <c r="AG36" s="12"/>
      <c r="AH36" s="12"/>
      <c r="AI36" s="14">
        <f>AE36*3+AG36</f>
        <v>0</v>
      </c>
      <c r="AJ36" s="14">
        <f>AF36*3+AH36</f>
        <v>0</v>
      </c>
      <c r="AK36" s="16">
        <f>AJ36+AI36</f>
        <v>0</v>
      </c>
      <c r="AL36" s="10"/>
      <c r="AM36" s="12"/>
      <c r="AN36" s="12"/>
      <c r="AO36" s="12"/>
      <c r="AP36" s="14">
        <f>AL36*3+AN36</f>
        <v>0</v>
      </c>
      <c r="AQ36" s="14">
        <f>AM36*3+AO36</f>
        <v>0</v>
      </c>
      <c r="AR36" s="16">
        <f>AQ36+AP36</f>
        <v>0</v>
      </c>
      <c r="AS36" s="10"/>
      <c r="AT36" s="12"/>
      <c r="AU36" s="12"/>
      <c r="AV36" s="12"/>
      <c r="AW36" s="14">
        <f>AS36*3+AU36</f>
        <v>0</v>
      </c>
      <c r="AX36" s="14">
        <f>AT36*3+AV36</f>
        <v>0</v>
      </c>
      <c r="AY36" s="16">
        <f>AX36+AW36</f>
        <v>0</v>
      </c>
      <c r="AZ36" s="10"/>
      <c r="BA36" s="12"/>
      <c r="BB36" s="12"/>
      <c r="BC36" s="12"/>
      <c r="BD36" s="14">
        <f>AZ36*3+BB36</f>
        <v>0</v>
      </c>
      <c r="BE36" s="14">
        <f>BA36*3+BC36</f>
        <v>0</v>
      </c>
      <c r="BF36" s="16">
        <f>BE36+BD36</f>
        <v>0</v>
      </c>
      <c r="BG36" s="32"/>
      <c r="BH36" s="40"/>
      <c r="BI36" s="12"/>
      <c r="BJ36" s="12"/>
      <c r="BK36" s="14">
        <f>BG36*3+BI36</f>
        <v>0</v>
      </c>
      <c r="BL36" s="14">
        <f>BH36*3+BJ36</f>
        <v>0</v>
      </c>
      <c r="BM36" s="39">
        <f>BL36+BK36</f>
        <v>0</v>
      </c>
      <c r="BN36" s="32"/>
      <c r="BO36" s="40"/>
      <c r="BP36" s="40"/>
      <c r="BQ36" s="40"/>
      <c r="BR36" s="14">
        <f>BN36*3+BP36</f>
        <v>0</v>
      </c>
      <c r="BS36" s="14">
        <f>BO36*3+BQ36</f>
        <v>0</v>
      </c>
      <c r="BT36" s="39">
        <f>BS36+BR36</f>
        <v>0</v>
      </c>
      <c r="BU36" s="32"/>
      <c r="BV36" s="40"/>
      <c r="BW36" s="40"/>
      <c r="BX36" s="40">
        <v>1</v>
      </c>
      <c r="BY36" s="14">
        <f>BU36*3+BW36</f>
        <v>0</v>
      </c>
      <c r="BZ36" s="14">
        <f>BV36*3+BX36</f>
        <v>1</v>
      </c>
      <c r="CA36" s="39">
        <f>BZ36+BY36</f>
        <v>1</v>
      </c>
      <c r="CB36" s="32"/>
      <c r="CC36" s="40"/>
      <c r="CD36" s="40">
        <v>1</v>
      </c>
      <c r="CE36" s="79"/>
      <c r="CF36" s="14">
        <f>CB36*3+CD36</f>
        <v>1</v>
      </c>
      <c r="CG36" s="14">
        <f>CC36*3+CE36</f>
        <v>0</v>
      </c>
      <c r="CH36" s="39">
        <f>CG36+CF36</f>
        <v>1</v>
      </c>
      <c r="CI36" s="40"/>
      <c r="CJ36" s="40"/>
      <c r="CK36" s="40">
        <v>2</v>
      </c>
      <c r="CL36" s="83"/>
      <c r="CM36" s="14">
        <f>CI36*3+CK36</f>
        <v>2</v>
      </c>
      <c r="CN36" s="14">
        <f>CJ36*3+CL36</f>
        <v>0</v>
      </c>
      <c r="CO36" s="39">
        <f>CN36+CM36</f>
        <v>2</v>
      </c>
      <c r="CP36" s="108"/>
      <c r="CQ36" s="40"/>
      <c r="CR36" s="40">
        <v>1</v>
      </c>
      <c r="CS36" s="40">
        <v>1</v>
      </c>
      <c r="CT36" s="14">
        <f>CP36*3+CR36</f>
        <v>1</v>
      </c>
      <c r="CU36" s="14">
        <f>CQ36*3+CS36</f>
        <v>1</v>
      </c>
      <c r="CV36" s="39">
        <f>CU36+CT36</f>
        <v>2</v>
      </c>
      <c r="CW36" s="32"/>
      <c r="CX36" s="40"/>
      <c r="CY36" s="40"/>
      <c r="CZ36" s="40">
        <v>2</v>
      </c>
      <c r="DA36" s="17">
        <f>CW36*3+CY36</f>
        <v>0</v>
      </c>
      <c r="DB36" s="17">
        <f>CX36*3+CZ36</f>
        <v>2</v>
      </c>
      <c r="DC36" s="18">
        <f>DB36+DA36</f>
        <v>2</v>
      </c>
      <c r="DD36" s="108"/>
      <c r="DE36" s="40"/>
      <c r="DF36" s="40"/>
      <c r="DG36" s="40"/>
      <c r="DH36" s="157">
        <f>DD36*3+DF36</f>
        <v>0</v>
      </c>
      <c r="DI36" s="157">
        <f>DE36*3+DG36</f>
        <v>0</v>
      </c>
      <c r="DJ36" s="18">
        <f>DI36+DH36</f>
        <v>0</v>
      </c>
      <c r="DK36" s="108"/>
      <c r="DL36" s="40"/>
      <c r="DM36" s="40"/>
      <c r="DN36" s="40">
        <v>2</v>
      </c>
      <c r="DO36" s="157">
        <f>DK36*3+DM36</f>
        <v>0</v>
      </c>
      <c r="DP36" s="157">
        <f>DL36*3+DN36</f>
        <v>2</v>
      </c>
      <c r="DQ36" s="18">
        <f>DP36+DO36</f>
        <v>2</v>
      </c>
      <c r="DR36" s="108"/>
      <c r="DS36" s="40">
        <v>1</v>
      </c>
      <c r="DT36" s="40">
        <v>1</v>
      </c>
      <c r="DU36" s="40"/>
      <c r="DV36" s="157">
        <f>DR36*3+DT36</f>
        <v>1</v>
      </c>
      <c r="DW36" s="157">
        <f>DS36*3+DU36</f>
        <v>3</v>
      </c>
      <c r="DX36" s="18">
        <f>DW36+DV36</f>
        <v>4</v>
      </c>
      <c r="DY36" s="108"/>
      <c r="DZ36" s="40"/>
      <c r="EA36" s="40"/>
      <c r="EB36" s="40"/>
      <c r="EC36" s="157">
        <f>DY36*3+EA36</f>
        <v>0</v>
      </c>
      <c r="ED36" s="157">
        <f>DZ36*3+EB36</f>
        <v>0</v>
      </c>
      <c r="EE36" s="18">
        <f>ED36+EC36</f>
        <v>0</v>
      </c>
      <c r="EF36" s="74">
        <f>SUM(AP36,AI36,AB36,U36,N36,AW36,BD36,BK36,BR36,BY36,CF36,CM36,CT36,DA36,DH36,DO36,DV36,EC36)</f>
        <v>5</v>
      </c>
      <c r="EG36" s="75">
        <f ca="1">EF36/(10+TODAY()-G36)</f>
        <v>1.824817518248175E-2</v>
      </c>
      <c r="EH36" s="76">
        <f>SUM(AQ36,AJ36,AC36,V36,O36,AX36,BE36,BL36,BS36,BZ36,CG36,CN36,CU36,DB36,DI36,DP36,DW36,ED36)</f>
        <v>9</v>
      </c>
      <c r="EI36" s="75">
        <f ca="1">EH36/(10+TODAY()-G36)</f>
        <v>3.2846715328467155E-2</v>
      </c>
      <c r="EJ36" s="76">
        <f>EF36+EH36</f>
        <v>14</v>
      </c>
      <c r="EK36" s="75">
        <f ca="1">EI36+EG36</f>
        <v>5.1094890510948905E-2</v>
      </c>
      <c r="EL36" s="76">
        <f>SUM(AS36,AL36,AE36,X36,Q36,Q36,J36,AZ36,BG36,BN36,BU36,CB36,CI36,CP36,CW36,DD36,DK36,DR36,DY36)</f>
        <v>0</v>
      </c>
      <c r="EM36" s="76">
        <f>SUM(AT36,AM36,AF36,Y36,R36,R36,K36,BA36,BH36,BO36,BV36,CC36,CJ36,CQ36,CX36,DE36,DL36,DS36,DZ36)</f>
        <v>1</v>
      </c>
      <c r="EN36" s="76">
        <f>EM36+EL36</f>
        <v>1</v>
      </c>
    </row>
    <row r="37" spans="1:144" ht="15.75" thickBot="1" x14ac:dyDescent="0.3">
      <c r="A37" s="47" t="s">
        <v>63</v>
      </c>
      <c r="B37" s="45" t="s">
        <v>125</v>
      </c>
      <c r="C37" s="26" t="str">
        <f>B37&amp;" "&amp;A37</f>
        <v>עמית אחודה</v>
      </c>
      <c r="D37" s="27" t="s">
        <v>6</v>
      </c>
      <c r="E37" s="36" t="s">
        <v>7</v>
      </c>
      <c r="F37" s="31" t="s">
        <v>147</v>
      </c>
      <c r="G37" s="30">
        <v>43101</v>
      </c>
      <c r="H37" s="31"/>
      <c r="I37" s="73"/>
      <c r="J37" s="51"/>
      <c r="K37" s="52"/>
      <c r="L37" s="52"/>
      <c r="M37" s="52"/>
      <c r="N37" s="50">
        <f>J37*3+L37</f>
        <v>0</v>
      </c>
      <c r="O37" s="50">
        <f>K37*3+M37</f>
        <v>0</v>
      </c>
      <c r="P37" s="15">
        <f>O37+N37</f>
        <v>0</v>
      </c>
      <c r="Q37" s="25"/>
      <c r="R37" s="27"/>
      <c r="S37" s="27"/>
      <c r="T37" s="27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25"/>
      <c r="AF37" s="27"/>
      <c r="AG37" s="27"/>
      <c r="AH37" s="27"/>
      <c r="AI37" s="14">
        <f>AE37*3+AG37</f>
        <v>0</v>
      </c>
      <c r="AJ37" s="14">
        <f>AF37*3+AH37</f>
        <v>0</v>
      </c>
      <c r="AK37" s="16">
        <f>AJ37+AI37</f>
        <v>0</v>
      </c>
      <c r="AL37" s="25"/>
      <c r="AM37" s="27"/>
      <c r="AN37" s="27"/>
      <c r="AO37" s="27"/>
      <c r="AP37" s="14">
        <f>AL37*3+AN37</f>
        <v>0</v>
      </c>
      <c r="AQ37" s="14">
        <f>AM37*3+AO37</f>
        <v>0</v>
      </c>
      <c r="AR37" s="16">
        <f>AQ37+AP37</f>
        <v>0</v>
      </c>
      <c r="AS37" s="25"/>
      <c r="AT37" s="27"/>
      <c r="AU37" s="27"/>
      <c r="AV37" s="27"/>
      <c r="AW37" s="14">
        <f>AS37*3+AU37</f>
        <v>0</v>
      </c>
      <c r="AX37" s="14">
        <f>AT37*3+AV37</f>
        <v>0</v>
      </c>
      <c r="AY37" s="16">
        <f>AX37+AW37</f>
        <v>0</v>
      </c>
      <c r="AZ37" s="25"/>
      <c r="BA37" s="27"/>
      <c r="BB37" s="27"/>
      <c r="BC37" s="27"/>
      <c r="BD37" s="14">
        <f>AZ37*3+BB37</f>
        <v>0</v>
      </c>
      <c r="BE37" s="14">
        <f>BA37*3+BC37</f>
        <v>0</v>
      </c>
      <c r="BF37" s="16">
        <f>BE37+BD37</f>
        <v>0</v>
      </c>
      <c r="BG37" s="47">
        <v>1</v>
      </c>
      <c r="BH37" s="53"/>
      <c r="BI37" s="27"/>
      <c r="BJ37" s="27"/>
      <c r="BK37" s="14">
        <f>BG37*3+BI37</f>
        <v>3</v>
      </c>
      <c r="BL37" s="14">
        <f>BH37*3+BJ37</f>
        <v>0</v>
      </c>
      <c r="BM37" s="39">
        <f>BL37+BK37</f>
        <v>3</v>
      </c>
      <c r="BN37" s="32"/>
      <c r="BO37" s="40">
        <v>1</v>
      </c>
      <c r="BP37" s="40">
        <v>2</v>
      </c>
      <c r="BQ37" s="40"/>
      <c r="BR37" s="14">
        <f>BN37*3+BP37</f>
        <v>2</v>
      </c>
      <c r="BS37" s="14">
        <f>BO37*3+BQ37</f>
        <v>3</v>
      </c>
      <c r="BT37" s="39">
        <f>BS37+BR37</f>
        <v>5</v>
      </c>
      <c r="BU37" s="32"/>
      <c r="BV37" s="40"/>
      <c r="BW37" s="40">
        <v>3</v>
      </c>
      <c r="BX37" s="40"/>
      <c r="BY37" s="14">
        <f>BU37*3+BW37</f>
        <v>3</v>
      </c>
      <c r="BZ37" s="14">
        <f>BV37*3+BX37</f>
        <v>0</v>
      </c>
      <c r="CA37" s="39">
        <f>BZ37+BY37</f>
        <v>3</v>
      </c>
      <c r="CB37" s="32">
        <v>1</v>
      </c>
      <c r="CC37" s="40"/>
      <c r="CD37" s="40"/>
      <c r="CE37" s="79"/>
      <c r="CF37" s="14">
        <f>CB37*3+CD37</f>
        <v>3</v>
      </c>
      <c r="CG37" s="14">
        <f>CC37*3+CE37</f>
        <v>0</v>
      </c>
      <c r="CH37" s="39">
        <f>CG37+CF37</f>
        <v>3</v>
      </c>
      <c r="CI37" s="40"/>
      <c r="CJ37" s="40"/>
      <c r="CK37" s="40">
        <v>1</v>
      </c>
      <c r="CL37" s="83"/>
      <c r="CM37" s="14">
        <f>CI37*3+CK37</f>
        <v>1</v>
      </c>
      <c r="CN37" s="14">
        <f>CJ37*3+CL37</f>
        <v>0</v>
      </c>
      <c r="CO37" s="39">
        <f>CN37+CM37</f>
        <v>1</v>
      </c>
      <c r="CP37" s="108">
        <v>1</v>
      </c>
      <c r="CQ37" s="40">
        <v>1</v>
      </c>
      <c r="CR37" s="40"/>
      <c r="CS37" s="40"/>
      <c r="CT37" s="14">
        <f>CP37*3+CR37</f>
        <v>3</v>
      </c>
      <c r="CU37" s="14">
        <f>CQ37*3+CS37</f>
        <v>3</v>
      </c>
      <c r="CV37" s="39">
        <f>CU37+CT37</f>
        <v>6</v>
      </c>
      <c r="CW37" s="32"/>
      <c r="CX37" s="40"/>
      <c r="CY37" s="40">
        <v>2</v>
      </c>
      <c r="CZ37" s="40"/>
      <c r="DA37" s="17">
        <f>CW37*3+CY37</f>
        <v>2</v>
      </c>
      <c r="DB37" s="17">
        <f>CX37*3+CZ37</f>
        <v>0</v>
      </c>
      <c r="DC37" s="18">
        <f>DB37+DA37</f>
        <v>2</v>
      </c>
      <c r="DD37" s="108">
        <v>1</v>
      </c>
      <c r="DE37" s="40"/>
      <c r="DF37" s="40"/>
      <c r="DG37" s="40"/>
      <c r="DH37" s="157">
        <f>DD37*3+DF37</f>
        <v>3</v>
      </c>
      <c r="DI37" s="157">
        <f>DE37*3+DG37</f>
        <v>0</v>
      </c>
      <c r="DJ37" s="18">
        <f>DI37+DH37</f>
        <v>3</v>
      </c>
      <c r="DK37" s="108"/>
      <c r="DL37" s="40"/>
      <c r="DM37" s="40">
        <v>3</v>
      </c>
      <c r="DN37" s="40"/>
      <c r="DO37" s="157">
        <f>DK37*3+DM37</f>
        <v>3</v>
      </c>
      <c r="DP37" s="157">
        <f>DL37*3+DN37</f>
        <v>0</v>
      </c>
      <c r="DQ37" s="18">
        <f>DP37+DO37</f>
        <v>3</v>
      </c>
      <c r="DR37" s="108">
        <v>1</v>
      </c>
      <c r="DS37" s="40"/>
      <c r="DT37" s="40"/>
      <c r="DU37" s="40"/>
      <c r="DV37" s="157">
        <f>DR37*3+DT37</f>
        <v>3</v>
      </c>
      <c r="DW37" s="157">
        <f>DS37*3+DU37</f>
        <v>0</v>
      </c>
      <c r="DX37" s="18">
        <f>DW37+DV37</f>
        <v>3</v>
      </c>
      <c r="DY37" s="108"/>
      <c r="DZ37" s="40"/>
      <c r="EA37" s="40"/>
      <c r="EB37" s="40"/>
      <c r="EC37" s="157">
        <f>DY37*3+EA37</f>
        <v>0</v>
      </c>
      <c r="ED37" s="157">
        <f>DZ37*3+EB37</f>
        <v>0</v>
      </c>
      <c r="EE37" s="18">
        <f>ED37+EC37</f>
        <v>0</v>
      </c>
      <c r="EF37" s="74">
        <f>SUM(AP37,AI37,AB37,U37,N37,AW37,BD37,BK37,BR37,BY37,CF37,CM37,CT37,DA37,DH37,DO37,DV37,EC37)</f>
        <v>26</v>
      </c>
      <c r="EG37" s="75">
        <f ca="1">EF37/(10+TODAY()-G37)</f>
        <v>7.8078078078078081E-2</v>
      </c>
      <c r="EH37" s="76">
        <f>SUM(AQ37,AJ37,AC37,V37,O37,AX37,BE37,BL37,BS37,BZ37,CG37,CN37,CU37,DB37,DI37,DP37,DW37,ED37)</f>
        <v>6</v>
      </c>
      <c r="EI37" s="75">
        <f ca="1">EH37/(10+TODAY()-G37)</f>
        <v>1.8018018018018018E-2</v>
      </c>
      <c r="EJ37" s="76">
        <f>EF37+EH37</f>
        <v>32</v>
      </c>
      <c r="EK37" s="75">
        <f ca="1">EI37+EG37</f>
        <v>9.6096096096096095E-2</v>
      </c>
      <c r="EL37" s="76">
        <f>SUM(AS37,AL37,AE37,X37,Q37,Q37,J37,AZ37,BG37,BN37,BU37,CB37,CI37,CP37,CW37,DD37,DK37,DR37,DY37)</f>
        <v>5</v>
      </c>
      <c r="EM37" s="76">
        <f>SUM(AT37,AM37,AF37,Y37,R37,R37,K37,BA37,BH37,BO37,BV37,CC37,CJ37,CQ37,CX37,DE37,DL37,DS37,DZ37)</f>
        <v>2</v>
      </c>
      <c r="EN37" s="76">
        <f>EM37+EL37</f>
        <v>7</v>
      </c>
    </row>
    <row r="38" spans="1:144" ht="15.75" thickBot="1" x14ac:dyDescent="0.3">
      <c r="A38" s="110" t="s">
        <v>63</v>
      </c>
      <c r="B38" s="231" t="s">
        <v>165</v>
      </c>
      <c r="C38" s="85" t="str">
        <f>B38&amp;" "&amp;A38</f>
        <v>רוני אחודה</v>
      </c>
      <c r="D38" s="36" t="s">
        <v>6</v>
      </c>
      <c r="E38" s="23" t="s">
        <v>6</v>
      </c>
      <c r="F38" s="31" t="s">
        <v>196</v>
      </c>
      <c r="G38" s="30">
        <v>43282</v>
      </c>
      <c r="H38" s="42"/>
      <c r="I38" s="73"/>
      <c r="J38" s="51"/>
      <c r="K38" s="52"/>
      <c r="L38" s="52"/>
      <c r="M38" s="52"/>
      <c r="N38" s="50"/>
      <c r="O38" s="50"/>
      <c r="P38" s="15"/>
      <c r="Q38" s="25"/>
      <c r="R38" s="27"/>
      <c r="S38" s="27"/>
      <c r="T38" s="27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25"/>
      <c r="AF38" s="27"/>
      <c r="AG38" s="27"/>
      <c r="AH38" s="27"/>
      <c r="AI38" s="14"/>
      <c r="AJ38" s="14"/>
      <c r="AK38" s="16"/>
      <c r="AL38" s="25"/>
      <c r="AM38" s="27"/>
      <c r="AN38" s="27"/>
      <c r="AO38" s="27"/>
      <c r="AP38" s="14"/>
      <c r="AQ38" s="14"/>
      <c r="AR38" s="16"/>
      <c r="AS38" s="25"/>
      <c r="AT38" s="27"/>
      <c r="AU38" s="27"/>
      <c r="AV38" s="27"/>
      <c r="AW38" s="14"/>
      <c r="AX38" s="14"/>
      <c r="AY38" s="16"/>
      <c r="AZ38" s="25"/>
      <c r="BA38" s="27"/>
      <c r="BB38" s="27"/>
      <c r="BC38" s="27"/>
      <c r="BD38" s="14"/>
      <c r="BE38" s="14"/>
      <c r="BF38" s="16"/>
      <c r="BG38" s="47"/>
      <c r="BH38" s="53"/>
      <c r="BI38" s="27"/>
      <c r="BJ38" s="27"/>
      <c r="BK38" s="14"/>
      <c r="BL38" s="14"/>
      <c r="BM38" s="39"/>
      <c r="BN38" s="32"/>
      <c r="BO38" s="40"/>
      <c r="BP38" s="40"/>
      <c r="BQ38" s="40"/>
      <c r="BR38" s="14"/>
      <c r="BS38" s="14"/>
      <c r="BT38" s="39"/>
      <c r="BU38" s="32"/>
      <c r="BV38" s="40"/>
      <c r="BW38" s="40"/>
      <c r="BX38" s="40"/>
      <c r="BY38" s="14"/>
      <c r="BZ38" s="14"/>
      <c r="CA38" s="39"/>
      <c r="CB38" s="32"/>
      <c r="CC38" s="40"/>
      <c r="CD38" s="40"/>
      <c r="CE38" s="79"/>
      <c r="CF38" s="14"/>
      <c r="CG38" s="14"/>
      <c r="CH38" s="39"/>
      <c r="CI38" s="40"/>
      <c r="CJ38" s="40"/>
      <c r="CK38" s="40"/>
      <c r="CL38" s="83"/>
      <c r="CM38" s="14">
        <f>CI38*3+CK38</f>
        <v>0</v>
      </c>
      <c r="CN38" s="14">
        <f>CJ38*3+CL38</f>
        <v>0</v>
      </c>
      <c r="CO38" s="39">
        <f>CN38+CM38</f>
        <v>0</v>
      </c>
      <c r="CP38" s="108"/>
      <c r="CQ38" s="40"/>
      <c r="CR38" s="40"/>
      <c r="CS38" s="40"/>
      <c r="CT38" s="14">
        <f>CP38*3+CR38</f>
        <v>0</v>
      </c>
      <c r="CU38" s="14">
        <f>CQ38*3+CS38</f>
        <v>0</v>
      </c>
      <c r="CV38" s="39">
        <f>CU38+CT38</f>
        <v>0</v>
      </c>
      <c r="CW38" s="32">
        <v>1</v>
      </c>
      <c r="CX38" s="40"/>
      <c r="CY38" s="40">
        <v>1</v>
      </c>
      <c r="CZ38" s="40"/>
      <c r="DA38" s="17">
        <f>CW38*3+CY38</f>
        <v>4</v>
      </c>
      <c r="DB38" s="17">
        <f>CX38*3+CZ38</f>
        <v>0</v>
      </c>
      <c r="DC38" s="18">
        <f>DB38+DA38</f>
        <v>4</v>
      </c>
      <c r="DD38" s="108">
        <v>1</v>
      </c>
      <c r="DE38" s="40">
        <v>1</v>
      </c>
      <c r="DF38" s="40">
        <v>1</v>
      </c>
      <c r="DG38" s="40"/>
      <c r="DH38" s="157">
        <f>DD38*3+DF38</f>
        <v>4</v>
      </c>
      <c r="DI38" s="157">
        <f>DE38*3+DG38</f>
        <v>3</v>
      </c>
      <c r="DJ38" s="18">
        <f>DI38+DH38</f>
        <v>7</v>
      </c>
      <c r="DK38" s="108"/>
      <c r="DL38" s="40"/>
      <c r="DM38" s="40">
        <v>2</v>
      </c>
      <c r="DN38" s="40"/>
      <c r="DO38" s="157">
        <f>DK38*3+DM38</f>
        <v>2</v>
      </c>
      <c r="DP38" s="157">
        <f>DL38*3+DN38</f>
        <v>0</v>
      </c>
      <c r="DQ38" s="18">
        <f>DP38+DO38</f>
        <v>2</v>
      </c>
      <c r="DR38" s="108"/>
      <c r="DS38" s="40"/>
      <c r="DT38" s="40">
        <v>1</v>
      </c>
      <c r="DU38" s="40"/>
      <c r="DV38" s="157">
        <f>DR38*3+DT38</f>
        <v>1</v>
      </c>
      <c r="DW38" s="157">
        <f>DS38*3+DU38</f>
        <v>0</v>
      </c>
      <c r="DX38" s="18">
        <f>DW38+DV38</f>
        <v>1</v>
      </c>
      <c r="DY38" s="108"/>
      <c r="DZ38" s="40"/>
      <c r="EA38" s="40"/>
      <c r="EB38" s="40"/>
      <c r="EC38" s="157">
        <f>DY38*3+EA38</f>
        <v>0</v>
      </c>
      <c r="ED38" s="157">
        <f>DZ38*3+EB38</f>
        <v>0</v>
      </c>
      <c r="EE38" s="18">
        <f>ED38+EC38</f>
        <v>0</v>
      </c>
      <c r="EF38" s="74">
        <f>SUM(AP38,AI38,AB38,U38,N38,AW38,BD38,BK38,BR38,BY38,CF38,CM38,CT38,DA38,DH38,DO38,DV38,EC38)</f>
        <v>11</v>
      </c>
      <c r="EG38" s="75">
        <f ca="1">EF38/(10+TODAY()-G38)</f>
        <v>7.2368421052631582E-2</v>
      </c>
      <c r="EH38" s="76">
        <f>SUM(AQ38,AJ38,AC38,V38,O38,AX38,BE38,BL38,BS38,BZ38,CG38,CN38,CU38,DB38,DI38,DP38,DW38,ED38)</f>
        <v>3</v>
      </c>
      <c r="EI38" s="75">
        <f ca="1">EH38/(10+TODAY()-G38)</f>
        <v>1.9736842105263157E-2</v>
      </c>
      <c r="EJ38" s="76">
        <f>EF38+EH38</f>
        <v>14</v>
      </c>
      <c r="EK38" s="75">
        <f ca="1">EI38+EG38</f>
        <v>9.2105263157894746E-2</v>
      </c>
      <c r="EL38" s="76">
        <f>SUM(AS38,AL38,AE38,X38,Q38,Q38,J38,AZ38,BG38,BN38,BU38,CB38,CI38,CP38,CW38,DD38,DK38,DR38,DY38)</f>
        <v>2</v>
      </c>
      <c r="EM38" s="76">
        <f>SUM(AT38,AM38,AF38,Y38,R38,R38,K38,BA38,BH38,BO38,BV38,CC38,CJ38,CQ38,CX38,DE38,DL38,DS38,DZ38)</f>
        <v>1</v>
      </c>
      <c r="EN38" s="76">
        <f>EM38+EL38</f>
        <v>3</v>
      </c>
    </row>
    <row r="39" spans="1:144" ht="15.75" thickBot="1" x14ac:dyDescent="0.3">
      <c r="A39" s="269" t="s">
        <v>63</v>
      </c>
      <c r="B39" s="270" t="s">
        <v>11</v>
      </c>
      <c r="C39" s="77" t="str">
        <f>B39&amp;" "&amp;A39</f>
        <v>שיר אחודה</v>
      </c>
      <c r="D39" s="36" t="s">
        <v>6</v>
      </c>
      <c r="E39" s="36" t="s">
        <v>7</v>
      </c>
      <c r="F39" s="31" t="s">
        <v>193</v>
      </c>
      <c r="G39" s="30">
        <v>43252</v>
      </c>
      <c r="H39" s="42"/>
      <c r="I39" s="73"/>
      <c r="J39" s="51"/>
      <c r="K39" s="52"/>
      <c r="L39" s="52"/>
      <c r="M39" s="52"/>
      <c r="N39" s="50">
        <f>J39*3+L39</f>
        <v>0</v>
      </c>
      <c r="O39" s="50">
        <f>K39*3+M39</f>
        <v>0</v>
      </c>
      <c r="P39" s="15">
        <f>O39+N39</f>
        <v>0</v>
      </c>
      <c r="Q39" s="25"/>
      <c r="R39" s="27"/>
      <c r="S39" s="27"/>
      <c r="T39" s="27"/>
      <c r="U39" s="14">
        <f>Q39*3+S39</f>
        <v>0</v>
      </c>
      <c r="V39" s="14">
        <f>R39*3+T39</f>
        <v>0</v>
      </c>
      <c r="W39" s="16">
        <f>V39+U39</f>
        <v>0</v>
      </c>
      <c r="X39" s="10"/>
      <c r="Y39" s="12"/>
      <c r="Z39" s="12"/>
      <c r="AA39" s="12"/>
      <c r="AB39" s="17">
        <f>X39*3+Z39</f>
        <v>0</v>
      </c>
      <c r="AC39" s="17">
        <f>Y39*3+AA39</f>
        <v>0</v>
      </c>
      <c r="AD39" s="18">
        <f>AC39+AB39</f>
        <v>0</v>
      </c>
      <c r="AE39" s="25"/>
      <c r="AF39" s="27"/>
      <c r="AG39" s="27"/>
      <c r="AH39" s="27"/>
      <c r="AI39" s="14">
        <f>AE39*3+AG39</f>
        <v>0</v>
      </c>
      <c r="AJ39" s="14">
        <f>AF39*3+AH39</f>
        <v>0</v>
      </c>
      <c r="AK39" s="16">
        <f>AJ39+AI39</f>
        <v>0</v>
      </c>
      <c r="AL39" s="25"/>
      <c r="AM39" s="27"/>
      <c r="AN39" s="27"/>
      <c r="AO39" s="27"/>
      <c r="AP39" s="14">
        <f>AL39*3+AN39</f>
        <v>0</v>
      </c>
      <c r="AQ39" s="14">
        <f>AM39*3+AO39</f>
        <v>0</v>
      </c>
      <c r="AR39" s="16">
        <f>AQ39+AP39</f>
        <v>0</v>
      </c>
      <c r="AS39" s="25"/>
      <c r="AT39" s="27"/>
      <c r="AU39" s="27"/>
      <c r="AV39" s="27"/>
      <c r="AW39" s="14">
        <f>AS39*3+AU39</f>
        <v>0</v>
      </c>
      <c r="AX39" s="14">
        <f>AT39*3+AV39</f>
        <v>0</v>
      </c>
      <c r="AY39" s="16">
        <f>AX39+AW39</f>
        <v>0</v>
      </c>
      <c r="AZ39" s="25"/>
      <c r="BA39" s="27"/>
      <c r="BB39" s="27"/>
      <c r="BC39" s="27"/>
      <c r="BD39" s="14">
        <f>AZ39*3+BB39</f>
        <v>0</v>
      </c>
      <c r="BE39" s="14">
        <f>BA39*3+BC39</f>
        <v>0</v>
      </c>
      <c r="BF39" s="16">
        <f>BE39+BD39</f>
        <v>0</v>
      </c>
      <c r="BG39" s="47"/>
      <c r="BH39" s="53"/>
      <c r="BI39" s="27"/>
      <c r="BJ39" s="27"/>
      <c r="BK39" s="14">
        <f>BG39*3+BI39</f>
        <v>0</v>
      </c>
      <c r="BL39" s="14">
        <f>BH39*3+BJ39</f>
        <v>0</v>
      </c>
      <c r="BM39" s="39">
        <f>BL39+BK39</f>
        <v>0</v>
      </c>
      <c r="BN39" s="32"/>
      <c r="BO39" s="40"/>
      <c r="BP39" s="40"/>
      <c r="BQ39" s="40"/>
      <c r="BR39" s="14">
        <f>BN39*3+BP39</f>
        <v>0</v>
      </c>
      <c r="BS39" s="14">
        <f>BO39*3+BQ39</f>
        <v>0</v>
      </c>
      <c r="BT39" s="39">
        <f>BS39+BR39</f>
        <v>0</v>
      </c>
      <c r="BU39" s="32"/>
      <c r="BV39" s="40"/>
      <c r="BW39" s="40"/>
      <c r="BX39" s="40"/>
      <c r="BY39" s="14">
        <f>BU39*3+BW39</f>
        <v>0</v>
      </c>
      <c r="BZ39" s="14">
        <f>BV39*3+BX39</f>
        <v>0</v>
      </c>
      <c r="CA39" s="39">
        <f>BZ39+BY39</f>
        <v>0</v>
      </c>
      <c r="CB39" s="32"/>
      <c r="CC39" s="40"/>
      <c r="CD39" s="40"/>
      <c r="CE39" s="79"/>
      <c r="CF39" s="14">
        <f>CB39*3+CD39</f>
        <v>0</v>
      </c>
      <c r="CG39" s="14">
        <f>CC39*3+CE39</f>
        <v>0</v>
      </c>
      <c r="CH39" s="39">
        <f>CG39+CF39</f>
        <v>0</v>
      </c>
      <c r="CI39" s="40"/>
      <c r="CJ39" s="40"/>
      <c r="CK39" s="40"/>
      <c r="CL39" s="83"/>
      <c r="CM39" s="14">
        <f>CI39*3+CK39</f>
        <v>0</v>
      </c>
      <c r="CN39" s="14">
        <f>CJ39*3+CL39</f>
        <v>0</v>
      </c>
      <c r="CO39" s="39">
        <f>CN39+CM39</f>
        <v>0</v>
      </c>
      <c r="CP39" s="108">
        <v>1</v>
      </c>
      <c r="CQ39" s="40"/>
      <c r="CR39" s="40">
        <v>1</v>
      </c>
      <c r="CS39" s="40"/>
      <c r="CT39" s="14">
        <f>CP39*3+CR39</f>
        <v>4</v>
      </c>
      <c r="CU39" s="14">
        <f>CQ39*3+CS39</f>
        <v>0</v>
      </c>
      <c r="CV39" s="39">
        <f>CU39+CT39</f>
        <v>4</v>
      </c>
      <c r="CW39" s="32"/>
      <c r="CX39" s="40"/>
      <c r="CY39" s="40">
        <v>3</v>
      </c>
      <c r="CZ39" s="40"/>
      <c r="DA39" s="17">
        <f>CW39*3+CY39</f>
        <v>3</v>
      </c>
      <c r="DB39" s="17">
        <f>CX39*3+CZ39</f>
        <v>0</v>
      </c>
      <c r="DC39" s="18">
        <f>DB39+DA39</f>
        <v>3</v>
      </c>
      <c r="DD39" s="108"/>
      <c r="DE39" s="40"/>
      <c r="DF39" s="40">
        <v>3</v>
      </c>
      <c r="DG39" s="40"/>
      <c r="DH39" s="157">
        <f>DD39*3+DF39</f>
        <v>3</v>
      </c>
      <c r="DI39" s="157">
        <f>DE39*3+DG39</f>
        <v>0</v>
      </c>
      <c r="DJ39" s="18">
        <f>DI39+DH39</f>
        <v>3</v>
      </c>
      <c r="DK39" s="108">
        <v>1</v>
      </c>
      <c r="DL39" s="40"/>
      <c r="DM39" s="40"/>
      <c r="DN39" s="40"/>
      <c r="DO39" s="157">
        <f>DK39*3+DM39</f>
        <v>3</v>
      </c>
      <c r="DP39" s="157">
        <f>DL39*3+DN39</f>
        <v>0</v>
      </c>
      <c r="DQ39" s="18">
        <f>DP39+DO39</f>
        <v>3</v>
      </c>
      <c r="DR39" s="108"/>
      <c r="DS39" s="40"/>
      <c r="DT39" s="40">
        <v>3</v>
      </c>
      <c r="DU39" s="40"/>
      <c r="DV39" s="157">
        <f>DR39*3+DT39</f>
        <v>3</v>
      </c>
      <c r="DW39" s="157">
        <f>DS39*3+DU39</f>
        <v>0</v>
      </c>
      <c r="DX39" s="18">
        <f>DW39+DV39</f>
        <v>3</v>
      </c>
      <c r="DY39" s="108"/>
      <c r="DZ39" s="40"/>
      <c r="EA39" s="40"/>
      <c r="EB39" s="40"/>
      <c r="EC39" s="157">
        <f>DY39*3+EA39</f>
        <v>0</v>
      </c>
      <c r="ED39" s="157">
        <f>DZ39*3+EB39</f>
        <v>0</v>
      </c>
      <c r="EE39" s="18">
        <f>ED39+EC39</f>
        <v>0</v>
      </c>
      <c r="EF39" s="74">
        <f>SUM(AP39,AI39,AB39,U39,N39,AW39,BD39,BK39,BR39,BY39,CF39,CM39,CT39,DA39,DH39,DO39,DV39,EC39)</f>
        <v>16</v>
      </c>
      <c r="EG39" s="75">
        <f ca="1">EF39/(10+TODAY()-G39)</f>
        <v>8.7912087912087919E-2</v>
      </c>
      <c r="EH39" s="76">
        <f>SUM(AQ39,AJ39,AC39,V39,O39,AX39,BE39,BL39,BS39,BZ39,CG39,CN39,CU39,DB39,DI39,DP39,DW39,ED39)</f>
        <v>0</v>
      </c>
      <c r="EI39" s="75">
        <f ca="1">EH39/(10+TODAY()-G39)</f>
        <v>0</v>
      </c>
      <c r="EJ39" s="76">
        <f>EF39+EH39</f>
        <v>16</v>
      </c>
      <c r="EK39" s="75">
        <f ca="1">EI39+EG39</f>
        <v>8.7912087912087919E-2</v>
      </c>
      <c r="EL39" s="76">
        <f>SUM(AS39,AL39,AE39,X39,Q39,Q39,J39,AZ39,BG39,BN39,BU39,CB39,CI39,CP39,CW39,DD39,DK39,DR39,DY39)</f>
        <v>2</v>
      </c>
      <c r="EM39" s="76">
        <f>SUM(AT39,AM39,AF39,Y39,R39,R39,K39,BA39,BH39,BO39,BV39,CC39,CJ39,CQ39,CX39,DE39,DL39,DS39,DZ39)</f>
        <v>0</v>
      </c>
      <c r="EN39" s="76">
        <f>EM39+EL39</f>
        <v>2</v>
      </c>
    </row>
    <row r="40" spans="1:144" ht="15.75" thickBot="1" x14ac:dyDescent="0.3">
      <c r="A40" s="47" t="s">
        <v>63</v>
      </c>
      <c r="B40" s="45" t="s">
        <v>132</v>
      </c>
      <c r="C40" s="26" t="str">
        <f>B40&amp;" "&amp;A40</f>
        <v>תאיר אחודה</v>
      </c>
      <c r="D40" s="36" t="s">
        <v>6</v>
      </c>
      <c r="E40" s="36" t="s">
        <v>7</v>
      </c>
      <c r="F40" s="31" t="s">
        <v>148</v>
      </c>
      <c r="G40" s="30">
        <v>43132</v>
      </c>
      <c r="H40" s="31"/>
      <c r="I40" s="54" t="s">
        <v>157</v>
      </c>
      <c r="J40" s="51"/>
      <c r="K40" s="52"/>
      <c r="L40" s="52"/>
      <c r="M40" s="52"/>
      <c r="N40" s="50">
        <f>J40*3+L40</f>
        <v>0</v>
      </c>
      <c r="O40" s="50">
        <f>K40*3+M40</f>
        <v>0</v>
      </c>
      <c r="P40" s="15">
        <f>O40+N40</f>
        <v>0</v>
      </c>
      <c r="Q40" s="25"/>
      <c r="R40" s="27"/>
      <c r="S40" s="27"/>
      <c r="T40" s="27"/>
      <c r="U40" s="14">
        <f>Q40*3+S40</f>
        <v>0</v>
      </c>
      <c r="V40" s="14">
        <f>R40*3+T40</f>
        <v>0</v>
      </c>
      <c r="W40" s="16">
        <f>V40+U40</f>
        <v>0</v>
      </c>
      <c r="X40" s="10"/>
      <c r="Y40" s="12"/>
      <c r="Z40" s="12"/>
      <c r="AA40" s="12"/>
      <c r="AB40" s="17">
        <f>X40*3+Z40</f>
        <v>0</v>
      </c>
      <c r="AC40" s="17">
        <f>Y40*3+AA40</f>
        <v>0</v>
      </c>
      <c r="AD40" s="18">
        <f>AC40+AB40</f>
        <v>0</v>
      </c>
      <c r="AE40" s="25"/>
      <c r="AF40" s="27"/>
      <c r="AG40" s="27"/>
      <c r="AH40" s="27"/>
      <c r="AI40" s="14">
        <f>AE40*3+AG40</f>
        <v>0</v>
      </c>
      <c r="AJ40" s="14">
        <f>AF40*3+AH40</f>
        <v>0</v>
      </c>
      <c r="AK40" s="16">
        <f>AJ40+AI40</f>
        <v>0</v>
      </c>
      <c r="AL40" s="25"/>
      <c r="AM40" s="27"/>
      <c r="AN40" s="27"/>
      <c r="AO40" s="27"/>
      <c r="AP40" s="14">
        <f>AL40*3+AN40</f>
        <v>0</v>
      </c>
      <c r="AQ40" s="14">
        <f>AM40*3+AO40</f>
        <v>0</v>
      </c>
      <c r="AR40" s="16">
        <f>AQ40+AP40</f>
        <v>0</v>
      </c>
      <c r="AS40" s="25"/>
      <c r="AT40" s="27"/>
      <c r="AU40" s="27"/>
      <c r="AV40" s="27"/>
      <c r="AW40" s="14">
        <f>AS40*3+AU40</f>
        <v>0</v>
      </c>
      <c r="AX40" s="14">
        <f>AT40*3+AV40</f>
        <v>0</v>
      </c>
      <c r="AY40" s="16">
        <f>AX40+AW40</f>
        <v>0</v>
      </c>
      <c r="AZ40" s="25"/>
      <c r="BA40" s="27"/>
      <c r="BB40" s="27"/>
      <c r="BC40" s="27"/>
      <c r="BD40" s="14">
        <f>AZ40*3+BB40</f>
        <v>0</v>
      </c>
      <c r="BE40" s="14">
        <f>BA40*3+BC40</f>
        <v>0</v>
      </c>
      <c r="BF40" s="16">
        <f>BE40+BD40</f>
        <v>0</v>
      </c>
      <c r="BG40" s="47"/>
      <c r="BH40" s="53"/>
      <c r="BI40" s="27"/>
      <c r="BJ40" s="27"/>
      <c r="BK40" s="14">
        <f>BG40*3+BI40</f>
        <v>0</v>
      </c>
      <c r="BL40" s="14">
        <f>BH40*3+BJ40</f>
        <v>0</v>
      </c>
      <c r="BM40" s="39">
        <f>BL40+BK40</f>
        <v>0</v>
      </c>
      <c r="BN40" s="32">
        <v>1</v>
      </c>
      <c r="BO40" s="40"/>
      <c r="BP40" s="40">
        <v>2</v>
      </c>
      <c r="BQ40" s="40"/>
      <c r="BR40" s="14">
        <f>BN40*3+BP40</f>
        <v>5</v>
      </c>
      <c r="BS40" s="14">
        <f>BO40*3+BQ40</f>
        <v>0</v>
      </c>
      <c r="BT40" s="39">
        <f>BS40+BR40</f>
        <v>5</v>
      </c>
      <c r="BU40" s="32"/>
      <c r="BV40" s="40"/>
      <c r="BW40" s="40">
        <v>3</v>
      </c>
      <c r="BX40" s="40"/>
      <c r="BY40" s="14">
        <f>BU40*3+BW40</f>
        <v>3</v>
      </c>
      <c r="BZ40" s="14">
        <f>BV40*3+BX40</f>
        <v>0</v>
      </c>
      <c r="CA40" s="39">
        <f>BZ40+BY40</f>
        <v>3</v>
      </c>
      <c r="CB40" s="32"/>
      <c r="CC40" s="40"/>
      <c r="CD40" s="40">
        <v>3</v>
      </c>
      <c r="CE40" s="79"/>
      <c r="CF40" s="14">
        <f>CB40*3+CD40</f>
        <v>3</v>
      </c>
      <c r="CG40" s="14">
        <f>CC40*3+CE40</f>
        <v>0</v>
      </c>
      <c r="CH40" s="39">
        <f>CG40+CF40</f>
        <v>3</v>
      </c>
      <c r="CI40" s="40"/>
      <c r="CJ40" s="40"/>
      <c r="CK40" s="40">
        <v>1</v>
      </c>
      <c r="CL40" s="83">
        <v>1</v>
      </c>
      <c r="CM40" s="14">
        <f>CI40*3+CK40</f>
        <v>1</v>
      </c>
      <c r="CN40" s="14">
        <f>CJ40*3+CL40</f>
        <v>1</v>
      </c>
      <c r="CO40" s="39">
        <f>CN40+CM40</f>
        <v>2</v>
      </c>
      <c r="CP40" s="108"/>
      <c r="CQ40" s="40"/>
      <c r="CR40" s="40">
        <v>3</v>
      </c>
      <c r="CS40" s="40"/>
      <c r="CT40" s="14">
        <f>CP40*3+CR40</f>
        <v>3</v>
      </c>
      <c r="CU40" s="14">
        <f>CQ40*3+CS40</f>
        <v>0</v>
      </c>
      <c r="CV40" s="39">
        <f>CU40+CT40</f>
        <v>3</v>
      </c>
      <c r="CW40" s="32"/>
      <c r="CX40" s="40"/>
      <c r="CY40" s="40">
        <v>3</v>
      </c>
      <c r="CZ40" s="40"/>
      <c r="DA40" s="17">
        <f>CW40*3+CY40</f>
        <v>3</v>
      </c>
      <c r="DB40" s="17">
        <f>CX40*3+CZ40</f>
        <v>0</v>
      </c>
      <c r="DC40" s="18">
        <f>DB40+DA40</f>
        <v>3</v>
      </c>
      <c r="DD40" s="108"/>
      <c r="DE40" s="40"/>
      <c r="DF40" s="40">
        <v>4</v>
      </c>
      <c r="DG40" s="40"/>
      <c r="DH40" s="157">
        <f>DD40*3+DF40</f>
        <v>4</v>
      </c>
      <c r="DI40" s="157">
        <f>DE40*3+DG40</f>
        <v>0</v>
      </c>
      <c r="DJ40" s="18">
        <f>DI40+DH40</f>
        <v>4</v>
      </c>
      <c r="DK40" s="108"/>
      <c r="DL40" s="40"/>
      <c r="DM40" s="40">
        <v>3</v>
      </c>
      <c r="DN40" s="40"/>
      <c r="DO40" s="157">
        <f>DK40*3+DM40</f>
        <v>3</v>
      </c>
      <c r="DP40" s="157">
        <f>DL40*3+DN40</f>
        <v>0</v>
      </c>
      <c r="DQ40" s="18">
        <f>DP40+DO40</f>
        <v>3</v>
      </c>
      <c r="DR40" s="108"/>
      <c r="DS40" s="40"/>
      <c r="DT40" s="40">
        <v>1</v>
      </c>
      <c r="DU40" s="40">
        <v>1</v>
      </c>
      <c r="DV40" s="157">
        <f>DR40*3+DT40</f>
        <v>1</v>
      </c>
      <c r="DW40" s="157">
        <f>DS40*3+DU40</f>
        <v>1</v>
      </c>
      <c r="DX40" s="18">
        <f>DW40+DV40</f>
        <v>2</v>
      </c>
      <c r="DY40" s="108"/>
      <c r="DZ40" s="40"/>
      <c r="EA40" s="40"/>
      <c r="EB40" s="40"/>
      <c r="EC40" s="157">
        <f>DY40*3+EA40</f>
        <v>0</v>
      </c>
      <c r="ED40" s="157">
        <f>DZ40*3+EB40</f>
        <v>0</v>
      </c>
      <c r="EE40" s="18">
        <f>ED40+EC40</f>
        <v>0</v>
      </c>
      <c r="EF40" s="74">
        <f>SUM(AP40,AI40,AB40,U40,N40,AW40,BD40,BK40,BR40,BY40,CF40,CM40,CT40,DA40,DH40,DO40,DV40,EC40)</f>
        <v>26</v>
      </c>
      <c r="EG40" s="75">
        <f ca="1">EF40/(10+TODAY()-G40)</f>
        <v>8.6092715231788075E-2</v>
      </c>
      <c r="EH40" s="76">
        <f>SUM(AQ40,AJ40,AC40,V40,O40,AX40,BE40,BL40,BS40,BZ40,CG40,CN40,CU40,DB40,DI40,DP40,DW40,ED40)</f>
        <v>2</v>
      </c>
      <c r="EI40" s="75">
        <f ca="1">EH40/(10+TODAY()-G40)</f>
        <v>6.6225165562913907E-3</v>
      </c>
      <c r="EJ40" s="76">
        <f>EF40+EH40</f>
        <v>28</v>
      </c>
      <c r="EK40" s="75">
        <f ca="1">EI40+EG40</f>
        <v>9.2715231788079472E-2</v>
      </c>
      <c r="EL40" s="76">
        <f>SUM(AS40,AL40,AE40,X40,Q40,Q40,J40,AZ40,BG40,BN40,BU40,CB40,CI40,CP40,CW40,DD40,DK40,DR40,DY40)</f>
        <v>1</v>
      </c>
      <c r="EM40" s="76">
        <f>SUM(AT40,AM40,AF40,Y40,R40,R40,K40,BA40,BH40,BO40,BV40,CC40,CJ40,CQ40,CX40,DE40,DL40,DS40,DZ40)</f>
        <v>0</v>
      </c>
      <c r="EN40" s="76">
        <f>EM40+EL40</f>
        <v>1</v>
      </c>
    </row>
    <row r="41" spans="1:144" ht="15.75" thickBot="1" x14ac:dyDescent="0.3">
      <c r="A41" s="110" t="s">
        <v>12</v>
      </c>
      <c r="B41" s="231" t="s">
        <v>223</v>
      </c>
      <c r="C41" s="85" t="str">
        <f>B41&amp;" "&amp;A41</f>
        <v>טופז מפאוג</v>
      </c>
      <c r="D41" s="36" t="s">
        <v>6</v>
      </c>
      <c r="E41" s="36" t="s">
        <v>6</v>
      </c>
      <c r="F41" s="31" t="s">
        <v>224</v>
      </c>
      <c r="G41" s="30">
        <v>43313</v>
      </c>
      <c r="H41" s="31"/>
      <c r="I41" s="73"/>
      <c r="J41" s="51"/>
      <c r="K41" s="52"/>
      <c r="L41" s="52"/>
      <c r="M41" s="52"/>
      <c r="N41" s="50"/>
      <c r="O41" s="50"/>
      <c r="P41" s="15"/>
      <c r="Q41" s="25"/>
      <c r="R41" s="27"/>
      <c r="S41" s="27"/>
      <c r="T41" s="27"/>
      <c r="U41" s="14"/>
      <c r="V41" s="14"/>
      <c r="W41" s="16"/>
      <c r="X41" s="10"/>
      <c r="Y41" s="12"/>
      <c r="Z41" s="12"/>
      <c r="AA41" s="12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47"/>
      <c r="BH41" s="53"/>
      <c r="BI41" s="53"/>
      <c r="BJ41" s="27"/>
      <c r="BK41" s="14"/>
      <c r="BL41" s="14"/>
      <c r="BM41" s="39"/>
      <c r="BN41" s="32"/>
      <c r="BO41" s="40"/>
      <c r="BP41" s="40"/>
      <c r="BQ41" s="40"/>
      <c r="BR41" s="14"/>
      <c r="BS41" s="14"/>
      <c r="BT41" s="39"/>
      <c r="BU41" s="32"/>
      <c r="BV41" s="40"/>
      <c r="BW41" s="40"/>
      <c r="BX41" s="40"/>
      <c r="BY41" s="14"/>
      <c r="BZ41" s="14"/>
      <c r="CA41" s="39"/>
      <c r="CB41" s="78"/>
      <c r="CC41" s="40"/>
      <c r="CD41" s="40"/>
      <c r="CE41" s="79"/>
      <c r="CF41" s="14"/>
      <c r="CG41" s="14"/>
      <c r="CH41" s="39"/>
      <c r="CI41" s="40"/>
      <c r="CJ41" s="40"/>
      <c r="CK41" s="40"/>
      <c r="CL41" s="83"/>
      <c r="CM41" s="14"/>
      <c r="CN41" s="14"/>
      <c r="CO41" s="39"/>
      <c r="CP41" s="108"/>
      <c r="CQ41" s="40"/>
      <c r="CR41" s="40"/>
      <c r="CS41" s="40"/>
      <c r="CT41" s="14">
        <f>CP41*3+CR41</f>
        <v>0</v>
      </c>
      <c r="CU41" s="14">
        <f>CQ41*3+CS41</f>
        <v>0</v>
      </c>
      <c r="CV41" s="39">
        <f>CU41+CT41</f>
        <v>0</v>
      </c>
      <c r="CW41" s="32"/>
      <c r="CX41" s="40"/>
      <c r="CY41" s="40"/>
      <c r="CZ41" s="40"/>
      <c r="DA41" s="17">
        <f>CW41*3+CY41</f>
        <v>0</v>
      </c>
      <c r="DB41" s="17">
        <f>CX41*3+CZ41</f>
        <v>0</v>
      </c>
      <c r="DC41" s="18">
        <f>DB41+DA41</f>
        <v>0</v>
      </c>
      <c r="DD41" s="108">
        <v>1</v>
      </c>
      <c r="DE41" s="40"/>
      <c r="DF41" s="40">
        <v>1</v>
      </c>
      <c r="DG41" s="40"/>
      <c r="DH41" s="157">
        <f>DD41*3+DF41</f>
        <v>4</v>
      </c>
      <c r="DI41" s="157">
        <f>DE41*3+DG41</f>
        <v>0</v>
      </c>
      <c r="DJ41" s="18">
        <f>DI41+DH41</f>
        <v>4</v>
      </c>
      <c r="DK41" s="108"/>
      <c r="DL41" s="40"/>
      <c r="DM41" s="40">
        <v>2</v>
      </c>
      <c r="DN41" s="40"/>
      <c r="DO41" s="157">
        <f>DK41*3+DM41</f>
        <v>2</v>
      </c>
      <c r="DP41" s="157">
        <f>DL41*3+DN41</f>
        <v>0</v>
      </c>
      <c r="DQ41" s="18">
        <f>DP41+DO41</f>
        <v>2</v>
      </c>
      <c r="DR41" s="108">
        <v>1</v>
      </c>
      <c r="DS41" s="40"/>
      <c r="DT41" s="40">
        <v>1</v>
      </c>
      <c r="DU41" s="40"/>
      <c r="DV41" s="157">
        <f>DR41*3+DT41</f>
        <v>4</v>
      </c>
      <c r="DW41" s="157">
        <f>DS41*3+DU41</f>
        <v>0</v>
      </c>
      <c r="DX41" s="18">
        <f>DW41+DV41</f>
        <v>4</v>
      </c>
      <c r="DY41" s="108"/>
      <c r="DZ41" s="40"/>
      <c r="EA41" s="40"/>
      <c r="EB41" s="40"/>
      <c r="EC41" s="157">
        <f>DY41*3+EA41</f>
        <v>0</v>
      </c>
      <c r="ED41" s="157">
        <f>DZ41*3+EB41</f>
        <v>0</v>
      </c>
      <c r="EE41" s="18">
        <f>ED41+EC41</f>
        <v>0</v>
      </c>
      <c r="EF41" s="74">
        <f>SUM(AP41,AI41,AB41,U41,N41,AW41,BD41,BK41,BR41,BY41,CF41,CM41,CT41,DA41,DH41,DO41,DV41,EC41)</f>
        <v>10</v>
      </c>
      <c r="EG41" s="75">
        <f ca="1">EF41/(10+TODAY()-G41)</f>
        <v>8.2644628099173556E-2</v>
      </c>
      <c r="EH41" s="76">
        <f>SUM(AQ41,AJ41,AC41,V41,O41,AX41,BE41,BL41,BS41,BZ41,CG41,CN41,CU41,DB41,DI41,DP41,DW41,ED41)</f>
        <v>0</v>
      </c>
      <c r="EI41" s="75">
        <f ca="1">EH41/(10+TODAY()-G41)</f>
        <v>0</v>
      </c>
      <c r="EJ41" s="76">
        <f>EF41+EH41</f>
        <v>10</v>
      </c>
      <c r="EK41" s="75">
        <f ca="1">EI41+EG41</f>
        <v>8.2644628099173556E-2</v>
      </c>
      <c r="EL41" s="76">
        <f>SUM(AS41,AL41,AE41,X41,Q41,Q41,J41,AZ41,BG41,BN41,BU41,CB41,CI41,CP41,CW41,DD41,DK41,DR41,DY41)</f>
        <v>2</v>
      </c>
      <c r="EM41" s="76">
        <f>SUM(AT41,AM41,AF41,Y41,R41,R41,K41,BA41,BH41,BO41,BV41,CC41,CJ41,CQ41,CX41,DE41,DL41,DS41,DZ41)</f>
        <v>0</v>
      </c>
      <c r="EN41" s="76">
        <f>EM41+EL41</f>
        <v>2</v>
      </c>
    </row>
    <row r="42" spans="1:144" ht="15.75" thickBot="1" x14ac:dyDescent="0.3">
      <c r="A42" s="110" t="s">
        <v>12</v>
      </c>
      <c r="B42" s="231" t="s">
        <v>279</v>
      </c>
      <c r="C42" s="85" t="str">
        <f>B42&amp;" "&amp;A42</f>
        <v>נילי מפאוג</v>
      </c>
      <c r="D42" s="36" t="s">
        <v>6</v>
      </c>
      <c r="E42" s="36" t="s">
        <v>7</v>
      </c>
      <c r="F42" s="31" t="s">
        <v>276</v>
      </c>
      <c r="G42" s="30">
        <v>43393</v>
      </c>
      <c r="H42" s="31"/>
      <c r="I42" s="73"/>
      <c r="J42" s="51"/>
      <c r="K42" s="52"/>
      <c r="L42" s="52"/>
      <c r="M42" s="52"/>
      <c r="N42" s="50"/>
      <c r="O42" s="50"/>
      <c r="P42" s="15"/>
      <c r="Q42" s="25"/>
      <c r="R42" s="27"/>
      <c r="S42" s="27"/>
      <c r="T42" s="27"/>
      <c r="U42" s="14"/>
      <c r="V42" s="14"/>
      <c r="W42" s="16"/>
      <c r="X42" s="10"/>
      <c r="Y42" s="12"/>
      <c r="Z42" s="12"/>
      <c r="AA42" s="12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7"/>
      <c r="BH42" s="53"/>
      <c r="BI42" s="27"/>
      <c r="BJ42" s="27"/>
      <c r="BK42" s="14"/>
      <c r="BL42" s="14"/>
      <c r="BM42" s="39"/>
      <c r="BN42" s="32"/>
      <c r="BO42" s="40"/>
      <c r="BP42" s="40"/>
      <c r="BQ42" s="40"/>
      <c r="BR42" s="14"/>
      <c r="BS42" s="14"/>
      <c r="BT42" s="39"/>
      <c r="BU42" s="32"/>
      <c r="BV42" s="40"/>
      <c r="BW42" s="40"/>
      <c r="BX42" s="40"/>
      <c r="BY42" s="14"/>
      <c r="BZ42" s="14"/>
      <c r="CA42" s="39"/>
      <c r="CB42" s="32"/>
      <c r="CC42" s="40"/>
      <c r="CD42" s="40"/>
      <c r="CE42" s="79"/>
      <c r="CF42" s="14"/>
      <c r="CG42" s="14"/>
      <c r="CH42" s="39"/>
      <c r="CI42" s="40"/>
      <c r="CJ42" s="40"/>
      <c r="CK42" s="40"/>
      <c r="CL42" s="83"/>
      <c r="CM42" s="14"/>
      <c r="CN42" s="14"/>
      <c r="CO42" s="39"/>
      <c r="CP42" s="108"/>
      <c r="CQ42" s="40"/>
      <c r="CR42" s="40"/>
      <c r="CS42" s="40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08"/>
      <c r="DE42" s="40"/>
      <c r="DF42" s="40"/>
      <c r="DG42" s="40"/>
      <c r="DH42" s="157">
        <f>DD42*3+DF42</f>
        <v>0</v>
      </c>
      <c r="DI42" s="157">
        <f>DE42*3+DG42</f>
        <v>0</v>
      </c>
      <c r="DJ42" s="18">
        <f>DI42+DH42</f>
        <v>0</v>
      </c>
      <c r="DK42" s="108"/>
      <c r="DL42" s="40"/>
      <c r="DM42" s="40"/>
      <c r="DN42" s="40"/>
      <c r="DO42" s="157">
        <f>DK42*3+DM42</f>
        <v>0</v>
      </c>
      <c r="DP42" s="157">
        <f>DL42*3+DN42</f>
        <v>0</v>
      </c>
      <c r="DQ42" s="18">
        <f>DP42+DO42</f>
        <v>0</v>
      </c>
      <c r="DR42" s="108">
        <v>1</v>
      </c>
      <c r="DS42" s="40"/>
      <c r="DT42" s="40"/>
      <c r="DU42" s="40"/>
      <c r="DV42" s="157">
        <f>DR42*3+DT42</f>
        <v>3</v>
      </c>
      <c r="DW42" s="157">
        <f>DS42*3+DU42</f>
        <v>0</v>
      </c>
      <c r="DX42" s="18">
        <f>DW42+DV42</f>
        <v>3</v>
      </c>
      <c r="DY42" s="108"/>
      <c r="DZ42" s="40"/>
      <c r="EA42" s="40"/>
      <c r="EB42" s="40"/>
      <c r="EC42" s="157">
        <f>DY42*3+EA42</f>
        <v>0</v>
      </c>
      <c r="ED42" s="157">
        <f>DZ42*3+EB42</f>
        <v>0</v>
      </c>
      <c r="EE42" s="18">
        <f>ED42+EC42</f>
        <v>0</v>
      </c>
      <c r="EF42" s="74">
        <f>SUM(AP42,AI42,AB42,U42,N42,AW42,BD42,BK42,BR42,BY42,CF42,CM42,CT42,DA42,DH42,DO42,DV42,EC42)</f>
        <v>3</v>
      </c>
      <c r="EG42" s="75">
        <f ca="1">EF42/(10+TODAY()-G42)</f>
        <v>7.3170731707317069E-2</v>
      </c>
      <c r="EH42" s="76">
        <f>SUM(AQ42,AJ42,AC42,V42,O42,AX42,BE42,BL42,BS42,BZ42,CG42,CN42,CU42,DB42,DI42,DP42,DW42,ED42)</f>
        <v>0</v>
      </c>
      <c r="EI42" s="75">
        <f ca="1">EH42/(10+TODAY()-G42)</f>
        <v>0</v>
      </c>
      <c r="EJ42" s="76">
        <f>EF42+EH42</f>
        <v>3</v>
      </c>
      <c r="EK42" s="75">
        <f ca="1">EI42+EG42</f>
        <v>7.3170731707317069E-2</v>
      </c>
      <c r="EL42" s="76">
        <f>SUM(AS42,AL42,AE42,X42,Q42,Q42,J42,AZ42,BG42,BN42,BU42,CB42,CI42,CP42,CW42,DD42,DK42,DR42,DY42)</f>
        <v>1</v>
      </c>
      <c r="EM42" s="76">
        <f>SUM(AT42,AM42,AF42,Y42,R42,R42,K42,BA42,BH42,BO42,BV42,CC42,CJ42,CQ42,CX42,DE42,DL42,DS42,DZ42)</f>
        <v>0</v>
      </c>
      <c r="EN42" s="76">
        <f>EM42+EL42</f>
        <v>1</v>
      </c>
    </row>
    <row r="43" spans="1:144" ht="15.75" thickBot="1" x14ac:dyDescent="0.3">
      <c r="A43" s="219" t="s">
        <v>12</v>
      </c>
      <c r="B43" s="45" t="s">
        <v>98</v>
      </c>
      <c r="C43" s="26" t="str">
        <f>B43&amp;" "&amp;A43</f>
        <v>רבקה מפאוג</v>
      </c>
      <c r="D43" s="36" t="s">
        <v>6</v>
      </c>
      <c r="E43" s="36" t="s">
        <v>7</v>
      </c>
      <c r="F43" s="31" t="s">
        <v>146</v>
      </c>
      <c r="G43" s="30">
        <v>43040</v>
      </c>
      <c r="H43" s="31"/>
      <c r="I43" s="73"/>
      <c r="J43" s="51"/>
      <c r="K43" s="52"/>
      <c r="L43" s="52"/>
      <c r="M43" s="52"/>
      <c r="N43" s="50">
        <f>J43*3+L43</f>
        <v>0</v>
      </c>
      <c r="O43" s="50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/>
      <c r="AF43" s="27"/>
      <c r="AG43" s="27"/>
      <c r="AH43" s="27"/>
      <c r="AI43" s="14">
        <f>AE43*3+AG43</f>
        <v>0</v>
      </c>
      <c r="AJ43" s="14">
        <f>AF43*3+AH43</f>
        <v>0</v>
      </c>
      <c r="AK43" s="16">
        <f>AJ43+AI43</f>
        <v>0</v>
      </c>
      <c r="AL43" s="25"/>
      <c r="AM43" s="27"/>
      <c r="AN43" s="27"/>
      <c r="AO43" s="27"/>
      <c r="AP43" s="14">
        <f>AL43*3+AN43</f>
        <v>0</v>
      </c>
      <c r="AQ43" s="14">
        <f>AM43*3+AO43</f>
        <v>0</v>
      </c>
      <c r="AR43" s="16">
        <f>AQ43+AP43</f>
        <v>0</v>
      </c>
      <c r="AS43" s="25"/>
      <c r="AT43" s="27"/>
      <c r="AU43" s="27">
        <v>1</v>
      </c>
      <c r="AV43" s="27"/>
      <c r="AW43" s="14">
        <f>AS43*3+AU43</f>
        <v>1</v>
      </c>
      <c r="AX43" s="14">
        <f>AT43*3+AV43</f>
        <v>0</v>
      </c>
      <c r="AY43" s="16">
        <f>AX43+AW43</f>
        <v>1</v>
      </c>
      <c r="AZ43" s="25">
        <v>1</v>
      </c>
      <c r="BA43" s="27"/>
      <c r="BB43" s="27">
        <v>2</v>
      </c>
      <c r="BC43" s="27"/>
      <c r="BD43" s="14">
        <f>AZ43*3+BB43</f>
        <v>5</v>
      </c>
      <c r="BE43" s="14">
        <f>BA43*3+BC43</f>
        <v>0</v>
      </c>
      <c r="BF43" s="16">
        <f>BE43+BD43</f>
        <v>5</v>
      </c>
      <c r="BG43" s="47"/>
      <c r="BH43" s="53"/>
      <c r="BI43" s="27">
        <v>3</v>
      </c>
      <c r="BJ43" s="27"/>
      <c r="BK43" s="14">
        <f>BG43*3+BI43</f>
        <v>3</v>
      </c>
      <c r="BL43" s="14">
        <f>BH43*3+BJ43</f>
        <v>0</v>
      </c>
      <c r="BM43" s="39">
        <f>BL43+BK43</f>
        <v>3</v>
      </c>
      <c r="BN43" s="32"/>
      <c r="BO43" s="40"/>
      <c r="BP43" s="40">
        <v>4</v>
      </c>
      <c r="BQ43" s="40"/>
      <c r="BR43" s="14">
        <f>BN43*3+BP43</f>
        <v>4</v>
      </c>
      <c r="BS43" s="14">
        <f>BO43*3+BQ43</f>
        <v>0</v>
      </c>
      <c r="BT43" s="39">
        <f>BS43+BR43</f>
        <v>4</v>
      </c>
      <c r="BU43" s="32">
        <v>1</v>
      </c>
      <c r="BV43" s="40"/>
      <c r="BW43" s="40">
        <v>1</v>
      </c>
      <c r="BX43" s="40">
        <v>1</v>
      </c>
      <c r="BY43" s="14">
        <f>BU43*3+BW43</f>
        <v>4</v>
      </c>
      <c r="BZ43" s="14">
        <f>BV43*3+BX43</f>
        <v>1</v>
      </c>
      <c r="CA43" s="39">
        <f>BZ43+BY43</f>
        <v>5</v>
      </c>
      <c r="CB43" s="32">
        <v>1</v>
      </c>
      <c r="CC43" s="40"/>
      <c r="CD43" s="40"/>
      <c r="CE43" s="79"/>
      <c r="CF43" s="14">
        <f>CB43*3+CD43</f>
        <v>3</v>
      </c>
      <c r="CG43" s="14">
        <f>CC43*3+CE43</f>
        <v>0</v>
      </c>
      <c r="CH43" s="39">
        <f>CG43+CF43</f>
        <v>3</v>
      </c>
      <c r="CI43" s="40"/>
      <c r="CJ43" s="40"/>
      <c r="CK43" s="40"/>
      <c r="CL43" s="83"/>
      <c r="CM43" s="14">
        <f>CI43*3+CK43</f>
        <v>0</v>
      </c>
      <c r="CN43" s="14">
        <f>CJ43*3+CL43</f>
        <v>0</v>
      </c>
      <c r="CO43" s="39">
        <f>CN43+CM43</f>
        <v>0</v>
      </c>
      <c r="CP43" s="108"/>
      <c r="CQ43" s="40"/>
      <c r="CR43" s="40">
        <v>2</v>
      </c>
      <c r="CS43" s="40">
        <v>1</v>
      </c>
      <c r="CT43" s="14">
        <f>CP43*3+CR43</f>
        <v>2</v>
      </c>
      <c r="CU43" s="14">
        <f>CQ43*3+CS43</f>
        <v>1</v>
      </c>
      <c r="CV43" s="39">
        <f>CU43+CT43</f>
        <v>3</v>
      </c>
      <c r="CW43" s="32">
        <v>1</v>
      </c>
      <c r="CX43" s="40"/>
      <c r="CY43" s="40">
        <v>1</v>
      </c>
      <c r="CZ43" s="40"/>
      <c r="DA43" s="17">
        <f>CW43*3+CY43</f>
        <v>4</v>
      </c>
      <c r="DB43" s="17">
        <f>CX43*3+CZ43</f>
        <v>0</v>
      </c>
      <c r="DC43" s="18">
        <f>DB43+DA43</f>
        <v>4</v>
      </c>
      <c r="DD43" s="108"/>
      <c r="DE43" s="40">
        <v>1</v>
      </c>
      <c r="DF43" s="40">
        <v>1</v>
      </c>
      <c r="DG43" s="40"/>
      <c r="DH43" s="157">
        <f>DD43*3+DF43</f>
        <v>1</v>
      </c>
      <c r="DI43" s="157">
        <f>DE43*3+DG43</f>
        <v>3</v>
      </c>
      <c r="DJ43" s="18">
        <f>DI43+DH43</f>
        <v>4</v>
      </c>
      <c r="DK43" s="108">
        <v>1</v>
      </c>
      <c r="DL43" s="40"/>
      <c r="DM43" s="40"/>
      <c r="DN43" s="40"/>
      <c r="DO43" s="157">
        <f>DK43*3+DM43</f>
        <v>3</v>
      </c>
      <c r="DP43" s="157">
        <f>DL43*3+DN43</f>
        <v>0</v>
      </c>
      <c r="DQ43" s="18">
        <f>DP43+DO43</f>
        <v>3</v>
      </c>
      <c r="DR43" s="108"/>
      <c r="DS43" s="40"/>
      <c r="DT43" s="40">
        <v>2</v>
      </c>
      <c r="DU43" s="40"/>
      <c r="DV43" s="157">
        <f>DR43*3+DT43</f>
        <v>2</v>
      </c>
      <c r="DW43" s="157">
        <f>DS43*3+DU43</f>
        <v>0</v>
      </c>
      <c r="DX43" s="18">
        <f>DW43+DV43</f>
        <v>2</v>
      </c>
      <c r="DY43" s="108"/>
      <c r="DZ43" s="40"/>
      <c r="EA43" s="40"/>
      <c r="EB43" s="40"/>
      <c r="EC43" s="157">
        <f>DY43*3+EA43</f>
        <v>0</v>
      </c>
      <c r="ED43" s="157">
        <f>DZ43*3+EB43</f>
        <v>0</v>
      </c>
      <c r="EE43" s="18">
        <f>ED43+EC43</f>
        <v>0</v>
      </c>
      <c r="EF43" s="74">
        <f>SUM(AP43,AI43,AB43,U43,N43,AW43,BD43,BK43,BR43,BY43,CF43,CM43,CT43,DA43,DH43,DO43,DV43,EC43)</f>
        <v>32</v>
      </c>
      <c r="EG43" s="75">
        <f ca="1">EF43/(10+TODAY()-G43)</f>
        <v>8.1218274111675121E-2</v>
      </c>
      <c r="EH43" s="76">
        <f>SUM(AQ43,AJ43,AC43,V43,O43,AX43,BE43,BL43,BS43,BZ43,CG43,CN43,CU43,DB43,DI43,DP43,DW43,ED43)</f>
        <v>5</v>
      </c>
      <c r="EI43" s="75">
        <f ca="1">EH43/(10+TODAY()-G43)</f>
        <v>1.2690355329949238E-2</v>
      </c>
      <c r="EJ43" s="76">
        <f>EF43+EH43</f>
        <v>37</v>
      </c>
      <c r="EK43" s="75">
        <f ca="1">EI43+EG43</f>
        <v>9.3908629441624356E-2</v>
      </c>
      <c r="EL43" s="76">
        <f>SUM(AS43,AL43,AE43,X43,Q43,Q43,J43,AZ43,BG43,BN43,BU43,CB43,CI43,CP43,CW43,DD43,DK43,DR43,DY43)</f>
        <v>5</v>
      </c>
      <c r="EM43" s="76">
        <f>SUM(AT43,AM43,AF43,Y43,R43,R43,K43,BA43,BH43,BO43,BV43,CC43,CJ43,CQ43,CX43,DE43,DL43,DS43,DZ43)</f>
        <v>1</v>
      </c>
      <c r="EN43" s="76">
        <f>EM43+EL43</f>
        <v>6</v>
      </c>
    </row>
    <row r="44" spans="1:144" ht="15.75" thickBot="1" x14ac:dyDescent="0.3">
      <c r="A44" s="219" t="s">
        <v>12</v>
      </c>
      <c r="B44" s="45" t="s">
        <v>11</v>
      </c>
      <c r="C44" s="26" t="str">
        <f>B44&amp;" "&amp;A44</f>
        <v>שיר מפאוג</v>
      </c>
      <c r="D44" s="36" t="s">
        <v>6</v>
      </c>
      <c r="E44" s="36" t="s">
        <v>6</v>
      </c>
      <c r="F44" s="31" t="s">
        <v>303</v>
      </c>
      <c r="G44" s="30">
        <v>43405</v>
      </c>
      <c r="H44" s="42"/>
      <c r="I44" s="13"/>
      <c r="J44" s="51"/>
      <c r="K44" s="52"/>
      <c r="L44" s="52"/>
      <c r="M44" s="52"/>
      <c r="N44" s="50"/>
      <c r="O44" s="50"/>
      <c r="P44" s="15"/>
      <c r="Q44" s="25"/>
      <c r="R44" s="27"/>
      <c r="S44" s="27"/>
      <c r="T44" s="27"/>
      <c r="U44" s="14"/>
      <c r="V44" s="14"/>
      <c r="W44" s="16"/>
      <c r="X44" s="25"/>
      <c r="Y44" s="27"/>
      <c r="Z44" s="27"/>
      <c r="AA44" s="27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7"/>
      <c r="BH44" s="53"/>
      <c r="BI44" s="27"/>
      <c r="BJ44" s="27"/>
      <c r="BK44" s="14"/>
      <c r="BL44" s="14"/>
      <c r="BM44" s="39"/>
      <c r="BN44" s="47"/>
      <c r="BO44" s="53"/>
      <c r="BP44" s="53"/>
      <c r="BQ44" s="53"/>
      <c r="BR44" s="14"/>
      <c r="BS44" s="14"/>
      <c r="BT44" s="39"/>
      <c r="BU44" s="47"/>
      <c r="BV44" s="53"/>
      <c r="BW44" s="53"/>
      <c r="BX44" s="53"/>
      <c r="BY44" s="14"/>
      <c r="BZ44" s="14"/>
      <c r="CA44" s="39"/>
      <c r="CB44" s="47"/>
      <c r="CC44" s="53"/>
      <c r="CD44" s="53"/>
      <c r="CE44" s="81"/>
      <c r="CF44" s="14"/>
      <c r="CG44" s="14"/>
      <c r="CH44" s="39"/>
      <c r="CI44" s="40"/>
      <c r="CJ44" s="40"/>
      <c r="CK44" s="40"/>
      <c r="CL44" s="83"/>
      <c r="CM44" s="14"/>
      <c r="CN44" s="14"/>
      <c r="CO44" s="39"/>
      <c r="CP44" s="109"/>
      <c r="CQ44" s="53"/>
      <c r="CR44" s="53"/>
      <c r="CS44" s="53"/>
      <c r="CT44" s="14"/>
      <c r="CU44" s="14"/>
      <c r="CV44" s="39"/>
      <c r="CW44" s="32"/>
      <c r="CX44" s="40"/>
      <c r="CY44" s="40"/>
      <c r="CZ44" s="40"/>
      <c r="DA44" s="17"/>
      <c r="DB44" s="17"/>
      <c r="DC44" s="18"/>
      <c r="DD44" s="108"/>
      <c r="DE44" s="40"/>
      <c r="DF44" s="40"/>
      <c r="DG44" s="40"/>
      <c r="DH44" s="157"/>
      <c r="DI44" s="157"/>
      <c r="DJ44" s="18"/>
      <c r="DK44" s="108"/>
      <c r="DL44" s="40"/>
      <c r="DM44" s="40"/>
      <c r="DN44" s="40"/>
      <c r="DO44" s="157">
        <f>DK44*3+DM44</f>
        <v>0</v>
      </c>
      <c r="DP44" s="157">
        <f>DL44*3+DN44</f>
        <v>0</v>
      </c>
      <c r="DQ44" s="18">
        <f>DP44+DO44</f>
        <v>0</v>
      </c>
      <c r="DR44" s="108"/>
      <c r="DS44" s="40"/>
      <c r="DT44" s="40"/>
      <c r="DU44" s="40"/>
      <c r="DV44" s="157">
        <f>DR44*3+DT44</f>
        <v>0</v>
      </c>
      <c r="DW44" s="157">
        <f>DS44*3+DU44</f>
        <v>0</v>
      </c>
      <c r="DX44" s="18">
        <f>DW44+DV44</f>
        <v>0</v>
      </c>
      <c r="DY44" s="108"/>
      <c r="DZ44" s="40"/>
      <c r="EA44" s="40"/>
      <c r="EB44" s="40"/>
      <c r="EC44" s="157">
        <f>DY44*3+EA44</f>
        <v>0</v>
      </c>
      <c r="ED44" s="157">
        <f>DZ44*3+EB44</f>
        <v>0</v>
      </c>
      <c r="EE44" s="18">
        <f>ED44+EC44</f>
        <v>0</v>
      </c>
      <c r="EF44" s="74">
        <f>SUM(AP44,AI44,AB44,U44,N44,AW44,BD44,BK44,BR44,BY44,CF44,CM44,CT44,DA44,DH44,DO44,DV44,EC44)</f>
        <v>0</v>
      </c>
      <c r="EG44" s="75">
        <f ca="1">EF44/(10+TODAY()-G44)</f>
        <v>0</v>
      </c>
      <c r="EH44" s="76">
        <f>SUM(AQ44,AJ44,AC44,V44,O44,AX44,BE44,BL44,BS44,BZ44,CG44,CN44,CU44,DB44,DI44,DP44,DW44,ED44)</f>
        <v>0</v>
      </c>
      <c r="EI44" s="75">
        <f ca="1">EH44/(10+TODAY()-G44)</f>
        <v>0</v>
      </c>
      <c r="EJ44" s="76">
        <f>EF44+EH44</f>
        <v>0</v>
      </c>
      <c r="EK44" s="75">
        <f ca="1">EI44+EG44</f>
        <v>0</v>
      </c>
      <c r="EL44" s="76">
        <f>SUM(AS44,AL44,AE44,X44,Q44,Q44,J44,AZ44,BG44,BN44,BU44,CB44,CI44,CP44,CW44,DD44,DK44,DR44,DY44)</f>
        <v>0</v>
      </c>
      <c r="EM44" s="76">
        <f>SUM(AT44,AM44,AF44,Y44,R44,R44,K44,BA44,BH44,BO44,BV44,CC44,CJ44,CQ44,CX44,DE44,DL44,DS44,DZ44)</f>
        <v>0</v>
      </c>
      <c r="EN44" s="76">
        <f>EM44+EL44</f>
        <v>0</v>
      </c>
    </row>
    <row r="45" spans="1:144" x14ac:dyDescent="0.25">
      <c r="A45" s="178" t="s">
        <v>14</v>
      </c>
      <c r="B45" s="24" t="s">
        <v>11</v>
      </c>
      <c r="C45" s="11" t="str">
        <f>B45&amp;" "&amp;A45</f>
        <v>שיר מרחבים</v>
      </c>
      <c r="D45" s="23" t="s">
        <v>6</v>
      </c>
      <c r="E45" s="23" t="s">
        <v>7</v>
      </c>
      <c r="F45" s="31" t="s">
        <v>276</v>
      </c>
      <c r="G45" s="30">
        <v>43383</v>
      </c>
      <c r="H45" s="31"/>
      <c r="I45" s="233"/>
      <c r="J45" s="51"/>
      <c r="K45" s="52"/>
      <c r="L45" s="52"/>
      <c r="M45" s="52"/>
      <c r="N45" s="50"/>
      <c r="O45" s="50"/>
      <c r="P45" s="15"/>
      <c r="Q45" s="25"/>
      <c r="R45" s="27"/>
      <c r="S45" s="27"/>
      <c r="T45" s="27"/>
      <c r="U45" s="14"/>
      <c r="V45" s="14"/>
      <c r="W45" s="16"/>
      <c r="X45" s="25"/>
      <c r="Y45" s="27"/>
      <c r="Z45" s="27"/>
      <c r="AA45" s="27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7"/>
      <c r="BH45" s="53"/>
      <c r="BI45" s="27"/>
      <c r="BJ45" s="27"/>
      <c r="BK45" s="14"/>
      <c r="BL45" s="14"/>
      <c r="BM45" s="39"/>
      <c r="BN45" s="47"/>
      <c r="BO45" s="53"/>
      <c r="BP45" s="53"/>
      <c r="BQ45" s="53"/>
      <c r="BR45" s="14"/>
      <c r="BS45" s="14"/>
      <c r="BT45" s="39"/>
      <c r="BU45" s="47"/>
      <c r="BV45" s="53"/>
      <c r="BW45" s="53"/>
      <c r="BX45" s="53"/>
      <c r="BY45" s="14"/>
      <c r="BZ45" s="14"/>
      <c r="CA45" s="39"/>
      <c r="CB45" s="47"/>
      <c r="CC45" s="53"/>
      <c r="CD45" s="53"/>
      <c r="CE45" s="81"/>
      <c r="CF45" s="14"/>
      <c r="CG45" s="14"/>
      <c r="CH45" s="39"/>
      <c r="CI45" s="40"/>
      <c r="CJ45" s="40"/>
      <c r="CK45" s="40"/>
      <c r="CL45" s="83"/>
      <c r="CM45" s="14"/>
      <c r="CN45" s="14"/>
      <c r="CO45" s="39"/>
      <c r="CP45" s="109"/>
      <c r="CQ45" s="53"/>
      <c r="CR45" s="53"/>
      <c r="CS45" s="53"/>
      <c r="CT45" s="14"/>
      <c r="CU45" s="14"/>
      <c r="CV45" s="39"/>
      <c r="CW45" s="32"/>
      <c r="CX45" s="40"/>
      <c r="CY45" s="40"/>
      <c r="CZ45" s="40"/>
      <c r="DA45" s="17"/>
      <c r="DB45" s="17"/>
      <c r="DC45" s="18"/>
      <c r="DD45" s="108"/>
      <c r="DE45" s="40"/>
      <c r="DF45" s="40"/>
      <c r="DG45" s="40"/>
      <c r="DH45" s="157">
        <f>DD45*3+DF45</f>
        <v>0</v>
      </c>
      <c r="DI45" s="157">
        <f>DE45*3+DG45</f>
        <v>0</v>
      </c>
      <c r="DJ45" s="18">
        <f>DI45+DH45</f>
        <v>0</v>
      </c>
      <c r="DK45" s="108"/>
      <c r="DL45" s="40"/>
      <c r="DM45" s="40"/>
      <c r="DN45" s="40"/>
      <c r="DO45" s="157">
        <f>DK45*3+DM45</f>
        <v>0</v>
      </c>
      <c r="DP45" s="157">
        <f>DL45*3+DN45</f>
        <v>0</v>
      </c>
      <c r="DQ45" s="18">
        <f>DP45+DO45</f>
        <v>0</v>
      </c>
      <c r="DR45" s="108">
        <v>1</v>
      </c>
      <c r="DS45" s="40"/>
      <c r="DT45" s="40"/>
      <c r="DU45" s="40"/>
      <c r="DV45" s="157">
        <f>DR45*3+DT45</f>
        <v>3</v>
      </c>
      <c r="DW45" s="157">
        <f>DS45*3+DU45</f>
        <v>0</v>
      </c>
      <c r="DX45" s="18">
        <f>DW45+DV45</f>
        <v>3</v>
      </c>
      <c r="DY45" s="108"/>
      <c r="DZ45" s="40"/>
      <c r="EA45" s="40"/>
      <c r="EB45" s="40"/>
      <c r="EC45" s="157">
        <f>DY45*3+EA45</f>
        <v>0</v>
      </c>
      <c r="ED45" s="157">
        <f>DZ45*3+EB45</f>
        <v>0</v>
      </c>
      <c r="EE45" s="18">
        <f>ED45+EC45</f>
        <v>0</v>
      </c>
      <c r="EF45" s="74">
        <f>SUM(AP45,AI45,AB45,U45,N45,AW45,BD45,BK45,BR45,BY45,CF45,CM45,CT45,DA45,DH45,DO45,DV45,EC45)</f>
        <v>3</v>
      </c>
      <c r="EG45" s="75">
        <f ca="1">EF45/(10+TODAY()-G45)</f>
        <v>5.8823529411764705E-2</v>
      </c>
      <c r="EH45" s="76">
        <f>SUM(AQ45,AJ45,AC45,V45,O45,AX45,BE45,BL45,BS45,BZ45,CG45,CN45,CU45,DB45,DI45,DP45,DW45,ED45)</f>
        <v>0</v>
      </c>
      <c r="EI45" s="75">
        <f ca="1">EH45/(10+TODAY()-G45)</f>
        <v>0</v>
      </c>
      <c r="EJ45" s="76">
        <f>EF45+EH45</f>
        <v>3</v>
      </c>
      <c r="EK45" s="75">
        <f ca="1">EI45+EG45</f>
        <v>5.8823529411764705E-2</v>
      </c>
      <c r="EL45" s="76">
        <f>SUM(AS45,AL45,AE45,X45,Q45,Q45,J45,AZ45,BG45,BN45,BU45,CB45,CI45,CP45,CW45,DD45,DK45,DR45,DY45)</f>
        <v>1</v>
      </c>
      <c r="EM45" s="76">
        <f>SUM(AT45,AM45,AF45,Y45,R45,R45,K45,BA45,BH45,BO45,BV45,CC45,CJ45,CQ45,CX45,DE45,DL45,DS45,DZ45)</f>
        <v>0</v>
      </c>
      <c r="EN45" s="76">
        <f>EM45+EL45</f>
        <v>1</v>
      </c>
    </row>
    <row r="46" spans="1:144" x14ac:dyDescent="0.25">
      <c r="A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37"/>
      <c r="BO46" s="37"/>
      <c r="BP46" s="37"/>
      <c r="BQ46" s="37"/>
      <c r="BR46" s="37"/>
      <c r="BS46" s="9"/>
      <c r="BT46" s="9"/>
      <c r="BU46" s="37"/>
      <c r="BV46" s="37"/>
      <c r="BW46" s="37"/>
      <c r="BY46" s="37"/>
      <c r="BZ46" s="9"/>
      <c r="CA46" s="9"/>
      <c r="CB46" s="37"/>
      <c r="CC46" s="37"/>
      <c r="CD46" s="37"/>
      <c r="CE46" s="37"/>
      <c r="CF46" s="37"/>
      <c r="CG46" s="9"/>
      <c r="CH46" s="9"/>
      <c r="CI46" s="37"/>
      <c r="CJ46" s="37"/>
      <c r="CK46" s="37"/>
      <c r="CM46" s="37"/>
      <c r="CN46" s="9"/>
      <c r="CO46" s="9"/>
      <c r="CP46" s="37"/>
      <c r="CQ46" s="37"/>
      <c r="CR46" s="37"/>
      <c r="CS46" s="37"/>
      <c r="CT46" s="37"/>
      <c r="CU46" s="9"/>
      <c r="CV46" s="9"/>
      <c r="CW46" s="37"/>
      <c r="CX46" s="37"/>
      <c r="CY46" s="37"/>
      <c r="CZ46" s="37"/>
      <c r="DA46" s="37"/>
      <c r="DB46" s="9"/>
      <c r="DC46" s="9"/>
      <c r="DD46" s="37"/>
      <c r="DE46" s="37"/>
      <c r="DF46" s="37"/>
      <c r="DG46" s="37"/>
      <c r="DH46" s="154"/>
      <c r="DI46" s="155"/>
      <c r="DJ46" s="155"/>
      <c r="DK46" s="154"/>
      <c r="DL46" s="154"/>
      <c r="DM46" s="154"/>
      <c r="DN46" s="154"/>
      <c r="DO46" s="154"/>
      <c r="DP46" s="155"/>
      <c r="DQ46" s="155"/>
      <c r="DR46" s="154"/>
      <c r="DS46" s="154"/>
      <c r="DT46" s="154"/>
      <c r="DU46" s="154"/>
      <c r="DV46" s="154"/>
      <c r="DW46" s="155"/>
      <c r="DX46" s="155"/>
      <c r="DY46" s="154"/>
      <c r="DZ46" s="154"/>
      <c r="EA46" s="154"/>
      <c r="EB46" s="154"/>
      <c r="EC46" s="154"/>
      <c r="ED46" s="155"/>
      <c r="EE46" s="155"/>
    </row>
    <row r="47" spans="1:144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37"/>
      <c r="BO47" s="37"/>
      <c r="BP47" s="37"/>
      <c r="BQ47" s="37"/>
      <c r="BR47" s="37"/>
      <c r="BS47" s="9"/>
      <c r="BT47" s="9"/>
      <c r="BU47" s="37"/>
      <c r="BV47" s="37"/>
      <c r="BW47" s="37"/>
      <c r="BY47" s="37"/>
      <c r="BZ47" s="9"/>
      <c r="CA47" s="9"/>
      <c r="CB47" s="37"/>
      <c r="CC47" s="37"/>
      <c r="CD47" s="37"/>
      <c r="CE47" s="37"/>
      <c r="CF47" s="37"/>
      <c r="CG47" s="9"/>
      <c r="CH47" s="9"/>
      <c r="CI47" s="37"/>
      <c r="CJ47" s="37"/>
      <c r="CK47" s="37"/>
      <c r="CM47" s="37"/>
      <c r="CN47" s="9"/>
      <c r="CO47" s="9"/>
      <c r="CP47" s="37"/>
      <c r="CQ47" s="37"/>
      <c r="CR47" s="37"/>
      <c r="CS47" s="37"/>
      <c r="CT47" s="37"/>
      <c r="CU47" s="9"/>
      <c r="CV47" s="9"/>
      <c r="CW47" s="37"/>
      <c r="CX47" s="37"/>
      <c r="CY47" s="37"/>
      <c r="CZ47" s="37"/>
      <c r="DA47" s="37"/>
      <c r="DB47" s="9"/>
      <c r="DC47" s="9"/>
      <c r="DD47" s="37"/>
      <c r="DE47" s="37"/>
      <c r="DF47" s="37"/>
      <c r="DG47" s="37"/>
      <c r="DH47" s="154"/>
      <c r="DI47" s="155"/>
      <c r="DJ47" s="155"/>
      <c r="DK47" s="154"/>
      <c r="DL47" s="154"/>
      <c r="DM47" s="154"/>
      <c r="DN47" s="154"/>
      <c r="DO47" s="154"/>
      <c r="DP47" s="155"/>
      <c r="DQ47" s="155"/>
      <c r="DR47" s="154"/>
      <c r="DS47" s="154"/>
      <c r="DT47" s="154"/>
      <c r="DU47" s="154"/>
      <c r="DV47" s="154"/>
      <c r="DW47" s="155"/>
      <c r="DX47" s="155"/>
      <c r="DY47" s="154"/>
      <c r="DZ47" s="154"/>
      <c r="EA47" s="154"/>
      <c r="EB47" s="154"/>
      <c r="EC47" s="154"/>
      <c r="ED47" s="155"/>
      <c r="EE47" s="155"/>
    </row>
    <row r="48" spans="1:144" ht="21" x14ac:dyDescent="0.35">
      <c r="A48" s="9"/>
      <c r="F48" s="115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135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135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35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4"/>
      <c r="DI51" s="155"/>
      <c r="DJ51" s="155"/>
      <c r="DK51" s="154"/>
      <c r="DL51" s="154"/>
      <c r="DM51" s="154"/>
      <c r="DN51" s="154"/>
      <c r="DO51" s="154"/>
      <c r="DP51" s="155"/>
      <c r="DQ51" s="155"/>
      <c r="DR51" s="154"/>
      <c r="DS51" s="154"/>
      <c r="DT51" s="154"/>
      <c r="DU51" s="154"/>
      <c r="DV51" s="154"/>
      <c r="DW51" s="155"/>
      <c r="DX51" s="155"/>
      <c r="DY51" s="154"/>
      <c r="DZ51" s="154"/>
      <c r="EA51" s="154"/>
      <c r="EB51" s="154"/>
      <c r="EC51" s="154"/>
      <c r="ED51" s="155"/>
      <c r="EE51" s="155"/>
    </row>
    <row r="52" spans="1:135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4"/>
      <c r="DI52" s="155"/>
      <c r="DJ52" s="155"/>
      <c r="DK52" s="154"/>
      <c r="DL52" s="154"/>
      <c r="DM52" s="154"/>
      <c r="DN52" s="154"/>
      <c r="DO52" s="154"/>
      <c r="DP52" s="155"/>
      <c r="DQ52" s="155"/>
      <c r="DR52" s="154"/>
      <c r="DS52" s="154"/>
      <c r="DT52" s="154"/>
      <c r="DU52" s="154"/>
      <c r="DV52" s="154"/>
      <c r="DW52" s="155"/>
      <c r="DX52" s="155"/>
      <c r="DY52" s="154"/>
      <c r="DZ52" s="154"/>
      <c r="EA52" s="154"/>
      <c r="EB52" s="154"/>
      <c r="EC52" s="154"/>
      <c r="ED52" s="155"/>
      <c r="EE52" s="155"/>
    </row>
    <row r="53" spans="1:135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4"/>
      <c r="DI53" s="155"/>
      <c r="DJ53" s="155"/>
      <c r="DK53" s="154"/>
      <c r="DL53" s="154"/>
      <c r="DM53" s="154"/>
      <c r="DN53" s="154"/>
      <c r="DO53" s="154"/>
      <c r="DP53" s="155"/>
      <c r="DQ53" s="155"/>
      <c r="DR53" s="154"/>
      <c r="DS53" s="154"/>
      <c r="DT53" s="154"/>
      <c r="DU53" s="154"/>
      <c r="DV53" s="154"/>
      <c r="DW53" s="155"/>
      <c r="DX53" s="155"/>
      <c r="DY53" s="154"/>
      <c r="DZ53" s="154"/>
      <c r="EA53" s="154"/>
      <c r="EB53" s="154"/>
      <c r="EC53" s="154"/>
      <c r="ED53" s="155"/>
      <c r="EE53" s="155"/>
    </row>
    <row r="54" spans="1:135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4"/>
      <c r="DI54" s="155"/>
      <c r="DJ54" s="155"/>
      <c r="DK54" s="154"/>
      <c r="DL54" s="154"/>
      <c r="DM54" s="154"/>
      <c r="DN54" s="154"/>
      <c r="DO54" s="154"/>
      <c r="DP54" s="155"/>
      <c r="DQ54" s="155"/>
      <c r="DR54" s="154"/>
      <c r="DS54" s="154"/>
      <c r="DT54" s="154"/>
      <c r="DU54" s="154"/>
      <c r="DV54" s="154"/>
      <c r="DW54" s="155"/>
      <c r="DX54" s="155"/>
      <c r="DY54" s="154"/>
      <c r="DZ54" s="154"/>
      <c r="EA54" s="154"/>
      <c r="EB54" s="154"/>
      <c r="EC54" s="154"/>
      <c r="ED54" s="155"/>
      <c r="EE54" s="155"/>
    </row>
    <row r="55" spans="1:135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4"/>
      <c r="DI55" s="155"/>
      <c r="DJ55" s="155"/>
      <c r="DK55" s="154"/>
      <c r="DL55" s="154"/>
      <c r="DM55" s="154"/>
      <c r="DN55" s="154"/>
      <c r="DO55" s="154"/>
      <c r="DP55" s="155"/>
      <c r="DQ55" s="155"/>
      <c r="DR55" s="154"/>
      <c r="DS55" s="154"/>
      <c r="DT55" s="154"/>
      <c r="DU55" s="154"/>
      <c r="DV55" s="154"/>
      <c r="DW55" s="155"/>
      <c r="DX55" s="155"/>
      <c r="DY55" s="154"/>
      <c r="DZ55" s="154"/>
      <c r="EA55" s="154"/>
      <c r="EB55" s="154"/>
      <c r="EC55" s="154"/>
      <c r="ED55" s="155"/>
      <c r="EE55" s="155"/>
    </row>
    <row r="56" spans="1:135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4"/>
      <c r="DI56" s="155"/>
      <c r="DJ56" s="155"/>
      <c r="DK56" s="154"/>
      <c r="DL56" s="154"/>
      <c r="DM56" s="154"/>
      <c r="DN56" s="154"/>
      <c r="DO56" s="154"/>
      <c r="DP56" s="155"/>
      <c r="DQ56" s="155"/>
      <c r="DR56" s="154"/>
      <c r="DS56" s="154"/>
      <c r="DT56" s="154"/>
      <c r="DU56" s="154"/>
      <c r="DV56" s="154"/>
      <c r="DW56" s="155"/>
      <c r="DX56" s="155"/>
      <c r="DY56" s="154"/>
      <c r="DZ56" s="154"/>
      <c r="EA56" s="154"/>
      <c r="EB56" s="154"/>
      <c r="EC56" s="154"/>
      <c r="ED56" s="155"/>
      <c r="EE56" s="155"/>
    </row>
    <row r="57" spans="1:135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4"/>
      <c r="DI57" s="155"/>
      <c r="DJ57" s="155"/>
      <c r="DK57" s="154"/>
      <c r="DL57" s="154"/>
      <c r="DM57" s="154"/>
      <c r="DN57" s="154"/>
      <c r="DO57" s="154"/>
      <c r="DP57" s="155"/>
      <c r="DQ57" s="155"/>
      <c r="DR57" s="154"/>
      <c r="DS57" s="154"/>
      <c r="DT57" s="154"/>
      <c r="DU57" s="154"/>
      <c r="DV57" s="154"/>
      <c r="DW57" s="155"/>
      <c r="DX57" s="155"/>
      <c r="DY57" s="154"/>
      <c r="DZ57" s="154"/>
      <c r="EA57" s="154"/>
      <c r="EB57" s="154"/>
      <c r="EC57" s="154"/>
      <c r="ED57" s="155"/>
      <c r="EE57" s="155"/>
    </row>
    <row r="58" spans="1:135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4"/>
      <c r="DI58" s="155"/>
      <c r="DJ58" s="155"/>
      <c r="DK58" s="154"/>
      <c r="DL58" s="154"/>
      <c r="DM58" s="154"/>
      <c r="DN58" s="154"/>
      <c r="DO58" s="154"/>
      <c r="DP58" s="155"/>
      <c r="DQ58" s="155"/>
      <c r="DR58" s="154"/>
      <c r="DS58" s="154"/>
      <c r="DT58" s="154"/>
      <c r="DU58" s="154"/>
      <c r="DV58" s="154"/>
      <c r="DW58" s="155"/>
      <c r="DX58" s="155"/>
      <c r="DY58" s="154"/>
      <c r="DZ58" s="154"/>
      <c r="EA58" s="154"/>
      <c r="EB58" s="154"/>
      <c r="EC58" s="154"/>
      <c r="ED58" s="155"/>
      <c r="EE58" s="155"/>
    </row>
    <row r="59" spans="1:135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4"/>
      <c r="DI59" s="155"/>
      <c r="DJ59" s="155"/>
      <c r="DK59" s="154"/>
      <c r="DL59" s="154"/>
      <c r="DM59" s="154"/>
      <c r="DN59" s="154"/>
      <c r="DO59" s="154"/>
      <c r="DP59" s="155"/>
      <c r="DQ59" s="155"/>
      <c r="DR59" s="154"/>
      <c r="DS59" s="154"/>
      <c r="DT59" s="154"/>
      <c r="DU59" s="154"/>
      <c r="DV59" s="154"/>
      <c r="DW59" s="155"/>
      <c r="DX59" s="155"/>
      <c r="DY59" s="154"/>
      <c r="DZ59" s="154"/>
      <c r="EA59" s="154"/>
      <c r="EB59" s="154"/>
      <c r="EC59" s="154"/>
      <c r="ED59" s="155"/>
      <c r="EE59" s="155"/>
    </row>
    <row r="60" spans="1:135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4"/>
      <c r="DI60" s="155"/>
      <c r="DJ60" s="155"/>
      <c r="DK60" s="154"/>
      <c r="DL60" s="154"/>
      <c r="DM60" s="154"/>
      <c r="DN60" s="154"/>
      <c r="DO60" s="154"/>
      <c r="DP60" s="155"/>
      <c r="DQ60" s="155"/>
      <c r="DR60" s="154"/>
      <c r="DS60" s="154"/>
      <c r="DT60" s="154"/>
      <c r="DU60" s="154"/>
      <c r="DV60" s="154"/>
      <c r="DW60" s="155"/>
      <c r="DX60" s="155"/>
      <c r="DY60" s="154"/>
      <c r="DZ60" s="154"/>
      <c r="EA60" s="154"/>
      <c r="EB60" s="154"/>
      <c r="EC60" s="154"/>
      <c r="ED60" s="155"/>
      <c r="EE60" s="155"/>
    </row>
    <row r="61" spans="1:135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4"/>
      <c r="DI61" s="155"/>
      <c r="DJ61" s="155"/>
      <c r="DK61" s="154"/>
      <c r="DL61" s="154"/>
      <c r="DM61" s="154"/>
      <c r="DN61" s="154"/>
      <c r="DO61" s="154"/>
      <c r="DP61" s="155"/>
      <c r="DQ61" s="155"/>
      <c r="DR61" s="154"/>
      <c r="DS61" s="154"/>
      <c r="DT61" s="154"/>
      <c r="DU61" s="154"/>
      <c r="DV61" s="154"/>
      <c r="DW61" s="155"/>
      <c r="DX61" s="155"/>
      <c r="DY61" s="154"/>
      <c r="DZ61" s="154"/>
      <c r="EA61" s="154"/>
      <c r="EB61" s="154"/>
      <c r="EC61" s="154"/>
      <c r="ED61" s="155"/>
      <c r="EE61" s="155"/>
    </row>
    <row r="62" spans="1:135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4"/>
      <c r="DI62" s="155"/>
      <c r="DJ62" s="155"/>
      <c r="DK62" s="154"/>
      <c r="DL62" s="154"/>
      <c r="DM62" s="154"/>
      <c r="DN62" s="154"/>
      <c r="DO62" s="154"/>
      <c r="DP62" s="155"/>
      <c r="DQ62" s="155"/>
      <c r="DR62" s="154"/>
      <c r="DS62" s="154"/>
      <c r="DT62" s="154"/>
      <c r="DU62" s="154"/>
      <c r="DV62" s="154"/>
      <c r="DW62" s="155"/>
      <c r="DX62" s="155"/>
      <c r="DY62" s="154"/>
      <c r="DZ62" s="154"/>
      <c r="EA62" s="154"/>
      <c r="EB62" s="154"/>
      <c r="EC62" s="154"/>
      <c r="ED62" s="155"/>
      <c r="EE62" s="155"/>
    </row>
    <row r="63" spans="1:135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4"/>
      <c r="DI63" s="155"/>
      <c r="DJ63" s="155"/>
      <c r="DK63" s="154"/>
      <c r="DL63" s="154"/>
      <c r="DM63" s="154"/>
      <c r="DN63" s="154"/>
      <c r="DO63" s="154"/>
      <c r="DP63" s="155"/>
      <c r="DQ63" s="155"/>
      <c r="DR63" s="154"/>
      <c r="DS63" s="154"/>
      <c r="DT63" s="154"/>
      <c r="DU63" s="154"/>
      <c r="DV63" s="154"/>
      <c r="DW63" s="155"/>
      <c r="DX63" s="155"/>
      <c r="DY63" s="154"/>
      <c r="DZ63" s="154"/>
      <c r="EA63" s="154"/>
      <c r="EB63" s="154"/>
      <c r="EC63" s="154"/>
      <c r="ED63" s="155"/>
      <c r="EE63" s="155"/>
    </row>
    <row r="64" spans="1:135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4"/>
      <c r="DI64" s="155"/>
      <c r="DJ64" s="155"/>
      <c r="DK64" s="154"/>
      <c r="DL64" s="154"/>
      <c r="DM64" s="154"/>
      <c r="DN64" s="154"/>
      <c r="DO64" s="154"/>
      <c r="DP64" s="155"/>
      <c r="DQ64" s="155"/>
      <c r="DR64" s="154"/>
      <c r="DS64" s="154"/>
      <c r="DT64" s="154"/>
      <c r="DU64" s="154"/>
      <c r="DV64" s="154"/>
      <c r="DW64" s="155"/>
      <c r="DX64" s="155"/>
      <c r="DY64" s="154"/>
      <c r="DZ64" s="154"/>
      <c r="EA64" s="154"/>
      <c r="EB64" s="154"/>
      <c r="EC64" s="154"/>
      <c r="ED64" s="155"/>
      <c r="EE64" s="155"/>
    </row>
    <row r="65" spans="1:135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4"/>
      <c r="DI65" s="155"/>
      <c r="DJ65" s="155"/>
      <c r="DK65" s="154"/>
      <c r="DL65" s="154"/>
      <c r="DM65" s="154"/>
      <c r="DN65" s="154"/>
      <c r="DO65" s="154"/>
      <c r="DP65" s="155"/>
      <c r="DQ65" s="155"/>
      <c r="DR65" s="154"/>
      <c r="DS65" s="154"/>
      <c r="DT65" s="154"/>
      <c r="DU65" s="154"/>
      <c r="DV65" s="154"/>
      <c r="DW65" s="155"/>
      <c r="DX65" s="155"/>
      <c r="DY65" s="154"/>
      <c r="DZ65" s="154"/>
      <c r="EA65" s="154"/>
      <c r="EB65" s="154"/>
      <c r="EC65" s="154"/>
      <c r="ED65" s="155"/>
      <c r="EE65" s="155"/>
    </row>
    <row r="66" spans="1:135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4"/>
      <c r="DI66" s="155"/>
      <c r="DJ66" s="155"/>
      <c r="DK66" s="154"/>
      <c r="DL66" s="154"/>
      <c r="DM66" s="154"/>
      <c r="DN66" s="154"/>
      <c r="DO66" s="154"/>
      <c r="DP66" s="155"/>
      <c r="DQ66" s="155"/>
      <c r="DR66" s="154"/>
      <c r="DS66" s="154"/>
      <c r="DT66" s="154"/>
      <c r="DU66" s="154"/>
      <c r="DV66" s="154"/>
      <c r="DW66" s="155"/>
      <c r="DX66" s="155"/>
      <c r="DY66" s="154"/>
      <c r="DZ66" s="154"/>
      <c r="EA66" s="154"/>
      <c r="EB66" s="154"/>
      <c r="EC66" s="154"/>
      <c r="ED66" s="155"/>
      <c r="EE66" s="155"/>
    </row>
    <row r="67" spans="1:135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4"/>
      <c r="DI67" s="155"/>
      <c r="DJ67" s="155"/>
      <c r="DK67" s="154"/>
      <c r="DL67" s="154"/>
      <c r="DM67" s="154"/>
      <c r="DN67" s="154"/>
      <c r="DO67" s="154"/>
      <c r="DP67" s="155"/>
      <c r="DQ67" s="155"/>
      <c r="DR67" s="154"/>
      <c r="DS67" s="154"/>
      <c r="DT67" s="154"/>
      <c r="DU67" s="154"/>
      <c r="DV67" s="154"/>
      <c r="DW67" s="155"/>
      <c r="DX67" s="155"/>
      <c r="DY67" s="154"/>
      <c r="DZ67" s="154"/>
      <c r="EA67" s="154"/>
      <c r="EB67" s="154"/>
      <c r="EC67" s="154"/>
      <c r="ED67" s="155"/>
      <c r="EE67" s="155"/>
    </row>
    <row r="68" spans="1:135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4"/>
      <c r="DI68" s="155"/>
      <c r="DJ68" s="155"/>
      <c r="DK68" s="154"/>
      <c r="DL68" s="154"/>
      <c r="DM68" s="154"/>
      <c r="DN68" s="154"/>
      <c r="DO68" s="154"/>
      <c r="DP68" s="155"/>
      <c r="DQ68" s="155"/>
      <c r="DR68" s="154"/>
      <c r="DS68" s="154"/>
      <c r="DT68" s="154"/>
      <c r="DU68" s="154"/>
      <c r="DV68" s="154"/>
      <c r="DW68" s="155"/>
      <c r="DX68" s="155"/>
      <c r="DY68" s="154"/>
      <c r="DZ68" s="154"/>
      <c r="EA68" s="154"/>
      <c r="EB68" s="154"/>
      <c r="EC68" s="154"/>
      <c r="ED68" s="155"/>
      <c r="EE68" s="155"/>
    </row>
    <row r="69" spans="1:135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4"/>
      <c r="DI69" s="155"/>
      <c r="DJ69" s="155"/>
      <c r="DK69" s="154"/>
      <c r="DL69" s="154"/>
      <c r="DM69" s="154"/>
      <c r="DN69" s="154"/>
      <c r="DO69" s="154"/>
      <c r="DP69" s="155"/>
      <c r="DQ69" s="155"/>
      <c r="DR69" s="154"/>
      <c r="DS69" s="154"/>
      <c r="DT69" s="154"/>
      <c r="DU69" s="154"/>
      <c r="DV69" s="154"/>
      <c r="DW69" s="155"/>
      <c r="DX69" s="155"/>
      <c r="DY69" s="154"/>
      <c r="DZ69" s="154"/>
      <c r="EA69" s="154"/>
      <c r="EB69" s="154"/>
      <c r="EC69" s="154"/>
      <c r="ED69" s="155"/>
      <c r="EE69" s="155"/>
    </row>
    <row r="70" spans="1:135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4"/>
      <c r="DI70" s="155"/>
      <c r="DJ70" s="155"/>
      <c r="DK70" s="154"/>
      <c r="DL70" s="154"/>
      <c r="DM70" s="154"/>
      <c r="DN70" s="154"/>
      <c r="DO70" s="154"/>
      <c r="DP70" s="155"/>
      <c r="DQ70" s="155"/>
      <c r="DR70" s="154"/>
      <c r="DS70" s="154"/>
      <c r="DT70" s="154"/>
      <c r="DU70" s="154"/>
      <c r="DV70" s="154"/>
      <c r="DW70" s="155"/>
      <c r="DX70" s="155"/>
      <c r="DY70" s="154"/>
      <c r="DZ70" s="154"/>
      <c r="EA70" s="154"/>
      <c r="EB70" s="154"/>
      <c r="EC70" s="154"/>
      <c r="ED70" s="155"/>
      <c r="EE70" s="155"/>
    </row>
    <row r="71" spans="1:135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4"/>
      <c r="DI71" s="155"/>
      <c r="DJ71" s="155"/>
      <c r="DK71" s="154"/>
      <c r="DL71" s="154"/>
      <c r="DM71" s="154"/>
      <c r="DN71" s="154"/>
      <c r="DO71" s="154"/>
      <c r="DP71" s="155"/>
      <c r="DQ71" s="155"/>
      <c r="DR71" s="154"/>
      <c r="DS71" s="154"/>
      <c r="DT71" s="154"/>
      <c r="DU71" s="154"/>
      <c r="DV71" s="154"/>
      <c r="DW71" s="155"/>
      <c r="DX71" s="155"/>
      <c r="DY71" s="154"/>
      <c r="DZ71" s="154"/>
      <c r="EA71" s="154"/>
      <c r="EB71" s="154"/>
      <c r="EC71" s="154"/>
      <c r="ED71" s="155"/>
      <c r="EE71" s="155"/>
    </row>
    <row r="72" spans="1:135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4"/>
      <c r="DI72" s="155"/>
      <c r="DJ72" s="155"/>
      <c r="DK72" s="154"/>
      <c r="DL72" s="154"/>
      <c r="DM72" s="154"/>
      <c r="DN72" s="154"/>
      <c r="DO72" s="154"/>
      <c r="DP72" s="155"/>
      <c r="DQ72" s="155"/>
      <c r="DR72" s="154"/>
      <c r="DS72" s="154"/>
      <c r="DT72" s="154"/>
      <c r="DU72" s="154"/>
      <c r="DV72" s="154"/>
      <c r="DW72" s="155"/>
      <c r="DX72" s="155"/>
      <c r="DY72" s="154"/>
      <c r="DZ72" s="154"/>
      <c r="EA72" s="154"/>
      <c r="EB72" s="154"/>
      <c r="EC72" s="154"/>
      <c r="ED72" s="155"/>
      <c r="EE72" s="155"/>
    </row>
    <row r="73" spans="1:135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4"/>
      <c r="DI73" s="155"/>
      <c r="DJ73" s="155"/>
      <c r="DK73" s="154"/>
      <c r="DL73" s="154"/>
      <c r="DM73" s="154"/>
      <c r="DN73" s="154"/>
      <c r="DO73" s="154"/>
      <c r="DP73" s="155"/>
      <c r="DQ73" s="155"/>
      <c r="DR73" s="154"/>
      <c r="DS73" s="154"/>
      <c r="DT73" s="154"/>
      <c r="DU73" s="154"/>
      <c r="DV73" s="154"/>
      <c r="DW73" s="155"/>
      <c r="DX73" s="155"/>
      <c r="DY73" s="154"/>
      <c r="DZ73" s="154"/>
      <c r="EA73" s="154"/>
      <c r="EB73" s="154"/>
      <c r="EC73" s="154"/>
      <c r="ED73" s="155"/>
      <c r="EE73" s="155"/>
    </row>
    <row r="74" spans="1:135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4"/>
      <c r="DI74" s="155"/>
      <c r="DJ74" s="155"/>
      <c r="DK74" s="154"/>
      <c r="DL74" s="154"/>
      <c r="DM74" s="154"/>
      <c r="DN74" s="154"/>
      <c r="DO74" s="154"/>
      <c r="DP74" s="155"/>
      <c r="DQ74" s="155"/>
      <c r="DR74" s="154"/>
      <c r="DS74" s="154"/>
      <c r="DT74" s="154"/>
      <c r="DU74" s="154"/>
      <c r="DV74" s="154"/>
      <c r="DW74" s="155"/>
      <c r="DX74" s="155"/>
      <c r="DY74" s="154"/>
      <c r="DZ74" s="154"/>
      <c r="EA74" s="154"/>
      <c r="EB74" s="154"/>
      <c r="EC74" s="154"/>
      <c r="ED74" s="155"/>
      <c r="EE74" s="155"/>
    </row>
    <row r="75" spans="1:135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4"/>
      <c r="DI75" s="155"/>
      <c r="DJ75" s="155"/>
      <c r="DK75" s="154"/>
      <c r="DL75" s="154"/>
      <c r="DM75" s="154"/>
      <c r="DN75" s="154"/>
      <c r="DO75" s="154"/>
      <c r="DP75" s="155"/>
      <c r="DQ75" s="155"/>
      <c r="DR75" s="154"/>
      <c r="DS75" s="154"/>
      <c r="DT75" s="154"/>
      <c r="DU75" s="154"/>
      <c r="DV75" s="154"/>
      <c r="DW75" s="155"/>
      <c r="DX75" s="155"/>
      <c r="DY75" s="154"/>
      <c r="DZ75" s="154"/>
      <c r="EA75" s="154"/>
      <c r="EB75" s="154"/>
      <c r="EC75" s="154"/>
      <c r="ED75" s="155"/>
      <c r="EE75" s="155"/>
    </row>
    <row r="76" spans="1:135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4"/>
      <c r="DI76" s="155"/>
      <c r="DJ76" s="155"/>
      <c r="DK76" s="154"/>
      <c r="DL76" s="154"/>
      <c r="DM76" s="154"/>
      <c r="DN76" s="154"/>
      <c r="DO76" s="154"/>
      <c r="DP76" s="155"/>
      <c r="DQ76" s="155"/>
      <c r="DR76" s="154"/>
      <c r="DS76" s="154"/>
      <c r="DT76" s="154"/>
      <c r="DU76" s="154"/>
      <c r="DV76" s="154"/>
      <c r="DW76" s="155"/>
      <c r="DX76" s="155"/>
      <c r="DY76" s="154"/>
      <c r="DZ76" s="154"/>
      <c r="EA76" s="154"/>
      <c r="EB76" s="154"/>
      <c r="EC76" s="154"/>
      <c r="ED76" s="155"/>
      <c r="EE76" s="155"/>
    </row>
    <row r="77" spans="1:135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4"/>
      <c r="DI77" s="155"/>
      <c r="DJ77" s="155"/>
      <c r="DK77" s="154"/>
      <c r="DL77" s="154"/>
      <c r="DM77" s="154"/>
      <c r="DN77" s="154"/>
      <c r="DO77" s="154"/>
      <c r="DP77" s="155"/>
      <c r="DQ77" s="155"/>
      <c r="DR77" s="154"/>
      <c r="DS77" s="154"/>
      <c r="DT77" s="154"/>
      <c r="DU77" s="154"/>
      <c r="DV77" s="154"/>
      <c r="DW77" s="155"/>
      <c r="DX77" s="155"/>
      <c r="DY77" s="154"/>
      <c r="DZ77" s="154"/>
      <c r="EA77" s="154"/>
      <c r="EB77" s="154"/>
      <c r="EC77" s="154"/>
      <c r="ED77" s="155"/>
      <c r="EE77" s="155"/>
    </row>
    <row r="78" spans="1:135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4"/>
      <c r="DI78" s="155"/>
      <c r="DJ78" s="155"/>
      <c r="DK78" s="154"/>
      <c r="DL78" s="154"/>
      <c r="DM78" s="154"/>
      <c r="DN78" s="154"/>
      <c r="DO78" s="154"/>
      <c r="DP78" s="155"/>
      <c r="DQ78" s="155"/>
      <c r="DR78" s="154"/>
      <c r="DS78" s="154"/>
      <c r="DT78" s="154"/>
      <c r="DU78" s="154"/>
      <c r="DV78" s="154"/>
      <c r="DW78" s="155"/>
      <c r="DX78" s="155"/>
      <c r="DY78" s="154"/>
      <c r="DZ78" s="154"/>
      <c r="EA78" s="154"/>
      <c r="EB78" s="154"/>
      <c r="EC78" s="154"/>
      <c r="ED78" s="155"/>
      <c r="EE78" s="155"/>
    </row>
    <row r="79" spans="1:135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4"/>
      <c r="DI79" s="155"/>
      <c r="DJ79" s="155"/>
      <c r="DK79" s="154"/>
      <c r="DL79" s="154"/>
      <c r="DM79" s="154"/>
      <c r="DN79" s="154"/>
      <c r="DO79" s="154"/>
      <c r="DP79" s="155"/>
      <c r="DQ79" s="155"/>
      <c r="DR79" s="154"/>
      <c r="DS79" s="154"/>
      <c r="DT79" s="154"/>
      <c r="DU79" s="154"/>
      <c r="DV79" s="154"/>
      <c r="DW79" s="155"/>
      <c r="DX79" s="155"/>
      <c r="DY79" s="154"/>
      <c r="DZ79" s="154"/>
      <c r="EA79" s="154"/>
      <c r="EB79" s="154"/>
      <c r="EC79" s="154"/>
      <c r="ED79" s="155"/>
      <c r="EE79" s="155"/>
    </row>
    <row r="80" spans="1:135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4"/>
      <c r="DI80" s="155"/>
      <c r="DJ80" s="155"/>
      <c r="DK80" s="154"/>
      <c r="DL80" s="154"/>
      <c r="DM80" s="154"/>
      <c r="DN80" s="154"/>
      <c r="DO80" s="154"/>
      <c r="DP80" s="155"/>
      <c r="DQ80" s="155"/>
      <c r="DR80" s="154"/>
      <c r="DS80" s="154"/>
      <c r="DT80" s="154"/>
      <c r="DU80" s="154"/>
      <c r="DV80" s="154"/>
      <c r="DW80" s="155"/>
      <c r="DX80" s="155"/>
      <c r="DY80" s="154"/>
      <c r="DZ80" s="154"/>
      <c r="EA80" s="154"/>
      <c r="EB80" s="154"/>
      <c r="EC80" s="154"/>
      <c r="ED80" s="155"/>
      <c r="EE80" s="155"/>
    </row>
  </sheetData>
  <autoFilter ref="A1:EN45" xr:uid="{239303CE-5776-4388-B7C7-4F9744A4BD90}">
    <sortState xmlns:xlrd2="http://schemas.microsoft.com/office/spreadsheetml/2017/richdata2" ref="A2:EN45">
      <sortCondition descending="1" ref="DZ1:DZ45"/>
    </sortState>
  </autoFilter>
  <conditionalFormatting sqref="E109:H1048576 H28 E45:G45 H23 G24:H25 E19:F28 G19:G23 E42:G43 F41:G41 E16:E18 H12:H21 E29:H32 H37:H45 E2:H8 E33:G40 E10:H11 F9:H9">
    <cfRule type="cellIs" dxfId="26" priority="87" operator="equal">
      <formula>"לא"</formula>
    </cfRule>
  </conditionalFormatting>
  <conditionalFormatting sqref="D109:D1048576 D42:D43 D16:D33 D36:D40 D2:D8 D10:D11">
    <cfRule type="cellIs" dxfId="25" priority="86" operator="equal">
      <formula>"כן"</formula>
    </cfRule>
  </conditionalFormatting>
  <conditionalFormatting sqref="Q46:W66">
    <cfRule type="cellIs" dxfId="24" priority="80" operator="notEqual">
      <formula>0</formula>
    </cfRule>
  </conditionalFormatting>
  <conditionalFormatting sqref="E12:E15">
    <cfRule type="cellIs" dxfId="23" priority="72" operator="equal">
      <formula>"לא"</formula>
    </cfRule>
  </conditionalFormatting>
  <conditionalFormatting sqref="D12:D15">
    <cfRule type="cellIs" dxfId="22" priority="71" operator="equal">
      <formula>"כן"</formula>
    </cfRule>
  </conditionalFormatting>
  <conditionalFormatting sqref="H22 H27">
    <cfRule type="cellIs" dxfId="21" priority="68" operator="equal">
      <formula>"לא"</formula>
    </cfRule>
  </conditionalFormatting>
  <conditionalFormatting sqref="H26">
    <cfRule type="cellIs" dxfId="20" priority="66" operator="equal">
      <formula>"לא"</formula>
    </cfRule>
  </conditionalFormatting>
  <conditionalFormatting sqref="G26">
    <cfRule type="cellIs" dxfId="19" priority="55" operator="equal">
      <formula>"לא"</formula>
    </cfRule>
  </conditionalFormatting>
  <conditionalFormatting sqref="D34:D35">
    <cfRule type="cellIs" dxfId="18" priority="49" operator="equal">
      <formula>"כן"</formula>
    </cfRule>
  </conditionalFormatting>
  <conditionalFormatting sqref="G12:G15">
    <cfRule type="cellIs" dxfId="17" priority="40" operator="equal">
      <formula>"לא"</formula>
    </cfRule>
  </conditionalFormatting>
  <conditionalFormatting sqref="G16:G18">
    <cfRule type="cellIs" dxfId="16" priority="37" operator="equal">
      <formula>"לא"</formula>
    </cfRule>
  </conditionalFormatting>
  <conditionalFormatting sqref="G27">
    <cfRule type="cellIs" dxfId="15" priority="30" operator="equal">
      <formula>"לא"</formula>
    </cfRule>
  </conditionalFormatting>
  <conditionalFormatting sqref="G28">
    <cfRule type="cellIs" dxfId="14" priority="29" operator="equal">
      <formula>"לא"</formula>
    </cfRule>
  </conditionalFormatting>
  <conditionalFormatting sqref="H33">
    <cfRule type="cellIs" dxfId="13" priority="27" operator="equal">
      <formula>"לא"</formula>
    </cfRule>
  </conditionalFormatting>
  <conditionalFormatting sqref="H34:H35">
    <cfRule type="cellIs" dxfId="12" priority="26" operator="equal">
      <formula>"לא"</formula>
    </cfRule>
  </conditionalFormatting>
  <conditionalFormatting sqref="H36">
    <cfRule type="cellIs" dxfId="11" priority="25" operator="equal">
      <formula>"לא"</formula>
    </cfRule>
  </conditionalFormatting>
  <conditionalFormatting sqref="F12:F15">
    <cfRule type="cellIs" dxfId="10" priority="19" operator="equal">
      <formula>"לא"</formula>
    </cfRule>
  </conditionalFormatting>
  <conditionalFormatting sqref="F16:F18">
    <cfRule type="cellIs" dxfId="9" priority="17" operator="equal">
      <formula>"לא"</formula>
    </cfRule>
  </conditionalFormatting>
  <conditionalFormatting sqref="E44">
    <cfRule type="cellIs" dxfId="8" priority="10" operator="equal">
      <formula>"לא"</formula>
    </cfRule>
  </conditionalFormatting>
  <conditionalFormatting sqref="D44">
    <cfRule type="cellIs" dxfId="7" priority="9" operator="equal">
      <formula>"כן"</formula>
    </cfRule>
  </conditionalFormatting>
  <conditionalFormatting sqref="F44">
    <cfRule type="cellIs" dxfId="6" priority="7" operator="equal">
      <formula>"לא"</formula>
    </cfRule>
  </conditionalFormatting>
  <conditionalFormatting sqref="E41">
    <cfRule type="cellIs" dxfId="5" priority="6" operator="equal">
      <formula>"לא"</formula>
    </cfRule>
  </conditionalFormatting>
  <conditionalFormatting sqref="D41">
    <cfRule type="cellIs" dxfId="4" priority="5" operator="equal">
      <formula>"כן"</formula>
    </cfRule>
  </conditionalFormatting>
  <conditionalFormatting sqref="D45">
    <cfRule type="cellIs" dxfId="3" priority="4" operator="equal">
      <formula>"כן"</formula>
    </cfRule>
  </conditionalFormatting>
  <conditionalFormatting sqref="E9">
    <cfRule type="cellIs" dxfId="2" priority="3" operator="equal">
      <formula>"לא"</formula>
    </cfRule>
  </conditionalFormatting>
  <conditionalFormatting sqref="D9">
    <cfRule type="cellIs" dxfId="1" priority="2" operator="equal">
      <formula>"כן"</formula>
    </cfRule>
  </conditionalFormatting>
  <conditionalFormatting sqref="G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M80"/>
  <sheetViews>
    <sheetView rightToLeft="1" zoomScale="178" zoomScaleNormal="178" workbookViewId="0">
      <selection activeCell="C2" sqref="C2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11" width="7.7109375" style="38" customWidth="1"/>
  </cols>
  <sheetData>
    <row r="1" spans="1:13" ht="60.75" thickBot="1" x14ac:dyDescent="0.3">
      <c r="A1" s="158" t="s">
        <v>0</v>
      </c>
      <c r="B1" s="159" t="s">
        <v>1</v>
      </c>
      <c r="C1" s="159" t="s">
        <v>62</v>
      </c>
      <c r="D1" s="173" t="s">
        <v>72</v>
      </c>
      <c r="E1" s="235" t="s">
        <v>72</v>
      </c>
      <c r="F1" s="169" t="s">
        <v>73</v>
      </c>
      <c r="G1" s="234" t="s">
        <v>73</v>
      </c>
      <c r="H1" s="169" t="s">
        <v>74</v>
      </c>
      <c r="I1" s="234" t="s">
        <v>74</v>
      </c>
      <c r="J1" s="169" t="s">
        <v>75</v>
      </c>
      <c r="K1" s="234" t="s">
        <v>75</v>
      </c>
    </row>
    <row r="2" spans="1:13" x14ac:dyDescent="0.25">
      <c r="A2" s="10">
        <v>9</v>
      </c>
      <c r="B2" s="11" t="s">
        <v>9</v>
      </c>
      <c r="C2" s="26" t="s">
        <v>58</v>
      </c>
      <c r="D2" s="108"/>
      <c r="E2" s="108"/>
      <c r="F2" s="40"/>
      <c r="G2" s="40"/>
      <c r="H2" s="40">
        <v>1</v>
      </c>
      <c r="I2" s="40">
        <v>1</v>
      </c>
      <c r="J2" s="40"/>
      <c r="K2" s="40">
        <v>1</v>
      </c>
    </row>
    <row r="3" spans="1:13" ht="33.75" x14ac:dyDescent="0.5">
      <c r="A3" s="32">
        <v>9</v>
      </c>
      <c r="B3" s="226" t="s">
        <v>226</v>
      </c>
      <c r="C3" s="85" t="s">
        <v>227</v>
      </c>
      <c r="D3" s="108">
        <v>1</v>
      </c>
      <c r="E3" s="108">
        <v>1</v>
      </c>
      <c r="F3" s="40"/>
      <c r="G3" s="40"/>
      <c r="H3" s="40"/>
      <c r="I3" s="40">
        <v>1</v>
      </c>
      <c r="J3" s="40"/>
      <c r="K3" s="40">
        <v>2</v>
      </c>
      <c r="M3" s="46"/>
    </row>
    <row r="4" spans="1:13" ht="33.75" x14ac:dyDescent="0.5">
      <c r="A4" s="32">
        <v>9</v>
      </c>
      <c r="B4" s="226" t="s">
        <v>258</v>
      </c>
      <c r="C4" s="85" t="s">
        <v>261</v>
      </c>
      <c r="D4" s="108">
        <v>1</v>
      </c>
      <c r="E4" s="108">
        <v>1</v>
      </c>
      <c r="F4" s="40"/>
      <c r="G4" s="40"/>
      <c r="H4" s="40"/>
      <c r="I4" s="40">
        <v>1</v>
      </c>
      <c r="J4" s="40"/>
      <c r="K4" s="40"/>
      <c r="M4" s="46"/>
    </row>
    <row r="5" spans="1:13" x14ac:dyDescent="0.25">
      <c r="A5" s="10">
        <v>9</v>
      </c>
      <c r="B5" s="24" t="s">
        <v>96</v>
      </c>
      <c r="C5" s="26" t="s">
        <v>114</v>
      </c>
      <c r="D5" s="108"/>
      <c r="E5" s="108"/>
      <c r="F5" s="40"/>
      <c r="G5" s="40"/>
      <c r="H5" s="40">
        <v>2</v>
      </c>
      <c r="I5" s="40"/>
      <c r="J5" s="40"/>
      <c r="K5" s="40"/>
    </row>
    <row r="6" spans="1:13" x14ac:dyDescent="0.25">
      <c r="A6" s="32">
        <v>9</v>
      </c>
      <c r="B6" s="33" t="s">
        <v>48</v>
      </c>
      <c r="C6" s="85" t="s">
        <v>61</v>
      </c>
      <c r="D6" s="108"/>
      <c r="E6" s="108"/>
      <c r="F6" s="40"/>
      <c r="G6" s="40"/>
      <c r="H6" s="40">
        <v>2</v>
      </c>
      <c r="I6" s="40">
        <v>2</v>
      </c>
      <c r="J6" s="40"/>
      <c r="K6" s="40"/>
    </row>
    <row r="7" spans="1:13" x14ac:dyDescent="0.25">
      <c r="A7" s="220">
        <v>9</v>
      </c>
      <c r="B7" s="221" t="s">
        <v>5</v>
      </c>
      <c r="C7" s="77" t="s">
        <v>269</v>
      </c>
      <c r="D7" s="108"/>
      <c r="E7" s="108"/>
      <c r="F7" s="40"/>
      <c r="G7" s="40"/>
      <c r="H7" s="40"/>
      <c r="I7" s="40"/>
      <c r="J7" s="40"/>
      <c r="K7" s="40"/>
    </row>
    <row r="8" spans="1:13" x14ac:dyDescent="0.25">
      <c r="A8" s="32">
        <v>9</v>
      </c>
      <c r="B8" s="226" t="s">
        <v>263</v>
      </c>
      <c r="C8" s="85" t="s">
        <v>268</v>
      </c>
      <c r="D8" s="108">
        <v>1</v>
      </c>
      <c r="E8" s="108">
        <v>1</v>
      </c>
      <c r="F8" s="40"/>
      <c r="G8" s="40"/>
      <c r="H8" s="40">
        <v>1</v>
      </c>
      <c r="I8" s="40">
        <v>1</v>
      </c>
      <c r="J8" s="40"/>
      <c r="K8" s="40"/>
    </row>
    <row r="9" spans="1:13" x14ac:dyDescent="0.25">
      <c r="A9" s="32">
        <v>9</v>
      </c>
      <c r="B9" s="226" t="s">
        <v>304</v>
      </c>
      <c r="C9" s="85" t="s">
        <v>305</v>
      </c>
      <c r="D9" s="108"/>
      <c r="E9" s="108"/>
      <c r="F9" s="40"/>
      <c r="G9" s="40"/>
      <c r="H9" s="40"/>
      <c r="I9" s="40"/>
      <c r="J9" s="40"/>
      <c r="K9" s="40"/>
    </row>
    <row r="10" spans="1:13" x14ac:dyDescent="0.25">
      <c r="A10" s="32">
        <v>9</v>
      </c>
      <c r="B10" s="33" t="s">
        <v>10</v>
      </c>
      <c r="C10" s="85" t="s">
        <v>71</v>
      </c>
      <c r="D10" s="108"/>
      <c r="E10" s="108"/>
      <c r="F10" s="40"/>
      <c r="G10" s="40"/>
      <c r="H10" s="40">
        <v>2</v>
      </c>
      <c r="I10" s="40">
        <v>2</v>
      </c>
      <c r="J10" s="40"/>
      <c r="K10" s="40"/>
    </row>
    <row r="11" spans="1:13" x14ac:dyDescent="0.25">
      <c r="A11" s="10">
        <v>11</v>
      </c>
      <c r="B11" s="24" t="s">
        <v>123</v>
      </c>
      <c r="C11" s="26" t="s">
        <v>195</v>
      </c>
      <c r="D11" s="108">
        <v>1</v>
      </c>
      <c r="E11" s="108">
        <v>1</v>
      </c>
      <c r="F11" s="40"/>
      <c r="G11" s="40"/>
      <c r="H11" s="40"/>
      <c r="I11" s="40"/>
      <c r="J11" s="40"/>
      <c r="K11" s="40"/>
    </row>
    <row r="12" spans="1:13" x14ac:dyDescent="0.25">
      <c r="A12" s="10">
        <v>11</v>
      </c>
      <c r="B12" s="24" t="s">
        <v>164</v>
      </c>
      <c r="C12" s="26" t="s">
        <v>174</v>
      </c>
      <c r="D12" s="108"/>
      <c r="E12" s="108"/>
      <c r="F12" s="40">
        <v>1</v>
      </c>
      <c r="G12" s="40">
        <v>1</v>
      </c>
      <c r="H12" s="40">
        <v>1</v>
      </c>
      <c r="I12" s="40"/>
      <c r="J12" s="40"/>
      <c r="K12" s="40"/>
    </row>
    <row r="13" spans="1:13" x14ac:dyDescent="0.25">
      <c r="A13" s="10">
        <v>11</v>
      </c>
      <c r="B13" s="24" t="s">
        <v>301</v>
      </c>
      <c r="C13" s="26" t="s">
        <v>221</v>
      </c>
      <c r="D13" s="108"/>
      <c r="E13" s="108">
        <v>1</v>
      </c>
      <c r="F13" s="40"/>
      <c r="G13" s="40"/>
      <c r="H13" s="40"/>
      <c r="I13" s="40">
        <v>1</v>
      </c>
      <c r="J13" s="40"/>
      <c r="K13" s="40">
        <v>1</v>
      </c>
    </row>
    <row r="14" spans="1:13" x14ac:dyDescent="0.25">
      <c r="A14" s="32">
        <v>11</v>
      </c>
      <c r="B14" s="226" t="s">
        <v>133</v>
      </c>
      <c r="C14" s="85" t="s">
        <v>141</v>
      </c>
      <c r="D14" s="108"/>
      <c r="E14" s="108"/>
      <c r="F14" s="40"/>
      <c r="G14" s="40"/>
      <c r="H14" s="40">
        <v>3</v>
      </c>
      <c r="I14" s="40">
        <v>3</v>
      </c>
      <c r="J14" s="40"/>
      <c r="K14" s="40"/>
    </row>
    <row r="15" spans="1:13" x14ac:dyDescent="0.25">
      <c r="A15" s="220">
        <v>11</v>
      </c>
      <c r="B15" s="221" t="s">
        <v>259</v>
      </c>
      <c r="C15" s="77" t="s">
        <v>262</v>
      </c>
      <c r="D15" s="108">
        <v>1</v>
      </c>
      <c r="E15" s="108"/>
      <c r="F15" s="40"/>
      <c r="G15" s="40"/>
      <c r="H15" s="40">
        <v>1</v>
      </c>
      <c r="I15" s="40"/>
      <c r="J15" s="40"/>
      <c r="K15" s="40"/>
    </row>
    <row r="16" spans="1:13" x14ac:dyDescent="0.25">
      <c r="A16" s="10">
        <v>209</v>
      </c>
      <c r="B16" s="24" t="s">
        <v>116</v>
      </c>
      <c r="C16" s="26" t="s">
        <v>130</v>
      </c>
      <c r="D16" s="108"/>
      <c r="E16" s="108"/>
      <c r="F16" s="40"/>
      <c r="G16" s="40"/>
      <c r="H16" s="40">
        <v>1</v>
      </c>
      <c r="I16" s="40">
        <v>1</v>
      </c>
      <c r="J16" s="40"/>
      <c r="K16" s="40"/>
    </row>
    <row r="17" spans="1:11" x14ac:dyDescent="0.25">
      <c r="A17" s="10">
        <v>209</v>
      </c>
      <c r="B17" s="24" t="s">
        <v>97</v>
      </c>
      <c r="C17" s="26" t="s">
        <v>113</v>
      </c>
      <c r="D17" s="108"/>
      <c r="E17" s="108"/>
      <c r="F17" s="40"/>
      <c r="G17" s="40"/>
      <c r="H17" s="40">
        <v>1</v>
      </c>
      <c r="I17" s="40">
        <v>1</v>
      </c>
      <c r="J17" s="40"/>
      <c r="K17" s="40"/>
    </row>
    <row r="18" spans="1:11" x14ac:dyDescent="0.25">
      <c r="A18" s="222">
        <v>209</v>
      </c>
      <c r="B18" s="24" t="s">
        <v>302</v>
      </c>
      <c r="C18" s="26" t="s">
        <v>306</v>
      </c>
      <c r="D18" s="108"/>
      <c r="E18" s="108"/>
      <c r="F18" s="40"/>
      <c r="G18" s="40"/>
      <c r="H18" s="40"/>
      <c r="I18" s="40"/>
      <c r="J18" s="40"/>
      <c r="K18" s="40"/>
    </row>
    <row r="19" spans="1:11" x14ac:dyDescent="0.25">
      <c r="A19" s="178">
        <v>209</v>
      </c>
      <c r="B19" s="24" t="s">
        <v>274</v>
      </c>
      <c r="C19" s="26" t="s">
        <v>283</v>
      </c>
      <c r="D19" s="108"/>
      <c r="E19" s="108"/>
      <c r="F19" s="40"/>
      <c r="G19" s="40"/>
      <c r="H19" s="40">
        <v>3</v>
      </c>
      <c r="I19" s="40">
        <v>3</v>
      </c>
      <c r="J19" s="40"/>
      <c r="K19" s="40"/>
    </row>
    <row r="20" spans="1:11" x14ac:dyDescent="0.25">
      <c r="A20" s="32">
        <v>209</v>
      </c>
      <c r="B20" s="24" t="s">
        <v>275</v>
      </c>
      <c r="C20" s="26" t="s">
        <v>284</v>
      </c>
      <c r="D20" s="108"/>
      <c r="E20" s="108"/>
      <c r="F20" s="40"/>
      <c r="G20" s="40"/>
      <c r="H20" s="40">
        <v>3</v>
      </c>
      <c r="I20" s="40">
        <v>3</v>
      </c>
      <c r="J20" s="40"/>
      <c r="K20" s="40"/>
    </row>
    <row r="21" spans="1:11" x14ac:dyDescent="0.25">
      <c r="A21" s="10">
        <v>474</v>
      </c>
      <c r="B21" s="24" t="s">
        <v>123</v>
      </c>
      <c r="C21" s="26" t="s">
        <v>126</v>
      </c>
      <c r="D21" s="108"/>
      <c r="E21" s="108"/>
      <c r="F21" s="40"/>
      <c r="G21" s="40"/>
      <c r="H21" s="40">
        <v>1</v>
      </c>
      <c r="I21" s="40">
        <v>1</v>
      </c>
      <c r="J21" s="40">
        <v>1</v>
      </c>
      <c r="K21" s="40">
        <v>1</v>
      </c>
    </row>
    <row r="22" spans="1:11" x14ac:dyDescent="0.25">
      <c r="A22" s="10">
        <v>474</v>
      </c>
      <c r="B22" s="24" t="s">
        <v>68</v>
      </c>
      <c r="C22" s="11" t="s">
        <v>115</v>
      </c>
      <c r="D22" s="108"/>
      <c r="E22" s="108"/>
      <c r="F22" s="40"/>
      <c r="G22" s="40"/>
      <c r="H22" s="40"/>
      <c r="I22" s="40">
        <v>1</v>
      </c>
      <c r="J22" s="40">
        <v>2</v>
      </c>
      <c r="K22" s="40">
        <v>1</v>
      </c>
    </row>
    <row r="23" spans="1:11" x14ac:dyDescent="0.25">
      <c r="A23" s="10">
        <v>474</v>
      </c>
      <c r="B23" s="24" t="s">
        <v>166</v>
      </c>
      <c r="C23" s="26" t="s">
        <v>176</v>
      </c>
      <c r="D23" s="108"/>
      <c r="E23" s="108"/>
      <c r="F23" s="40"/>
      <c r="G23" s="40"/>
      <c r="H23" s="40">
        <v>3</v>
      </c>
      <c r="I23" s="40">
        <v>3</v>
      </c>
      <c r="J23" s="40"/>
      <c r="K23" s="40"/>
    </row>
    <row r="24" spans="1:11" x14ac:dyDescent="0.25">
      <c r="A24" s="10">
        <v>474</v>
      </c>
      <c r="B24" s="11" t="s">
        <v>5</v>
      </c>
      <c r="C24" s="26" t="s">
        <v>59</v>
      </c>
      <c r="D24" s="108"/>
      <c r="E24" s="108"/>
      <c r="F24" s="40"/>
      <c r="G24" s="40"/>
      <c r="H24" s="40"/>
      <c r="I24" s="40"/>
      <c r="J24" s="40">
        <v>3</v>
      </c>
      <c r="K24" s="40">
        <v>4</v>
      </c>
    </row>
    <row r="25" spans="1:11" x14ac:dyDescent="0.25">
      <c r="A25" s="10">
        <v>474</v>
      </c>
      <c r="B25" s="24" t="s">
        <v>165</v>
      </c>
      <c r="C25" s="26" t="s">
        <v>175</v>
      </c>
      <c r="D25" s="108">
        <v>1</v>
      </c>
      <c r="E25" s="108">
        <v>1</v>
      </c>
      <c r="F25" s="40"/>
      <c r="G25" s="40"/>
      <c r="H25" s="40">
        <v>1</v>
      </c>
      <c r="I25" s="40">
        <v>1</v>
      </c>
      <c r="J25" s="40"/>
      <c r="K25" s="40"/>
    </row>
    <row r="26" spans="1:11" x14ac:dyDescent="0.25">
      <c r="A26" s="10">
        <v>474</v>
      </c>
      <c r="B26" s="24" t="s">
        <v>124</v>
      </c>
      <c r="C26" s="26" t="s">
        <v>127</v>
      </c>
      <c r="D26" s="108"/>
      <c r="E26" s="108"/>
      <c r="F26" s="40"/>
      <c r="G26" s="40"/>
      <c r="H26" s="40"/>
      <c r="I26" s="40"/>
      <c r="J26" s="40">
        <v>3</v>
      </c>
      <c r="K26" s="40">
        <v>3</v>
      </c>
    </row>
    <row r="27" spans="1:11" x14ac:dyDescent="0.25">
      <c r="A27" s="32">
        <v>679</v>
      </c>
      <c r="B27" s="33" t="s">
        <v>13</v>
      </c>
      <c r="C27" s="11" t="s">
        <v>69</v>
      </c>
      <c r="D27" s="108"/>
      <c r="E27" s="108"/>
      <c r="F27" s="40">
        <v>1</v>
      </c>
      <c r="G27" s="40">
        <v>1</v>
      </c>
      <c r="H27" s="40">
        <v>1</v>
      </c>
      <c r="I27" s="40">
        <v>1</v>
      </c>
      <c r="J27" s="40"/>
      <c r="K27" s="40"/>
    </row>
    <row r="28" spans="1:11" x14ac:dyDescent="0.25">
      <c r="A28" s="32">
        <v>679</v>
      </c>
      <c r="B28" s="226" t="s">
        <v>49</v>
      </c>
      <c r="C28" s="26" t="s">
        <v>60</v>
      </c>
      <c r="D28" s="108"/>
      <c r="E28" s="108"/>
      <c r="F28" s="40"/>
      <c r="G28" s="40"/>
      <c r="H28" s="40">
        <v>3</v>
      </c>
      <c r="I28" s="40">
        <v>3</v>
      </c>
      <c r="J28" s="40"/>
      <c r="K28" s="40"/>
    </row>
    <row r="29" spans="1:11" x14ac:dyDescent="0.25">
      <c r="A29" s="32">
        <v>679</v>
      </c>
      <c r="B29" s="226" t="s">
        <v>277</v>
      </c>
      <c r="C29" s="26" t="s">
        <v>282</v>
      </c>
      <c r="D29" s="108"/>
      <c r="E29" s="108"/>
      <c r="F29" s="40"/>
      <c r="G29" s="40"/>
      <c r="H29" s="40">
        <v>3</v>
      </c>
      <c r="I29" s="40">
        <v>3</v>
      </c>
      <c r="J29" s="40"/>
      <c r="K29" s="40"/>
    </row>
    <row r="30" spans="1:11" x14ac:dyDescent="0.25">
      <c r="A30" s="32">
        <v>679</v>
      </c>
      <c r="B30" s="33" t="s">
        <v>11</v>
      </c>
      <c r="C30" s="85" t="s">
        <v>64</v>
      </c>
      <c r="D30" s="108">
        <v>1</v>
      </c>
      <c r="E30" s="108">
        <v>1</v>
      </c>
      <c r="F30" s="40"/>
      <c r="G30" s="40"/>
      <c r="H30" s="40"/>
      <c r="I30" s="40"/>
      <c r="J30" s="40"/>
      <c r="K30" s="40"/>
    </row>
    <row r="31" spans="1:11" x14ac:dyDescent="0.25">
      <c r="A31" s="218" t="s">
        <v>63</v>
      </c>
      <c r="B31" s="221" t="s">
        <v>273</v>
      </c>
      <c r="C31" s="77" t="s">
        <v>264</v>
      </c>
      <c r="D31" s="108"/>
      <c r="E31" s="108"/>
      <c r="F31" s="40"/>
      <c r="G31" s="40"/>
      <c r="H31" s="40"/>
      <c r="I31" s="40"/>
      <c r="J31" s="40">
        <v>2</v>
      </c>
      <c r="K31" s="40"/>
    </row>
    <row r="32" spans="1:11" x14ac:dyDescent="0.25">
      <c r="A32" s="178" t="s">
        <v>63</v>
      </c>
      <c r="B32" s="226" t="s">
        <v>280</v>
      </c>
      <c r="C32" s="85" t="s">
        <v>92</v>
      </c>
      <c r="D32" s="108"/>
      <c r="E32" s="108"/>
      <c r="F32" s="40"/>
      <c r="G32" s="40"/>
      <c r="H32" s="40">
        <v>1</v>
      </c>
      <c r="I32" s="40">
        <v>1</v>
      </c>
      <c r="J32" s="40">
        <v>2</v>
      </c>
      <c r="K32" s="40">
        <v>2</v>
      </c>
    </row>
    <row r="33" spans="1:11" x14ac:dyDescent="0.25">
      <c r="A33" s="32" t="s">
        <v>63</v>
      </c>
      <c r="B33" s="24" t="s">
        <v>285</v>
      </c>
      <c r="C33" s="26" t="s">
        <v>270</v>
      </c>
      <c r="D33" s="108"/>
      <c r="E33" s="108"/>
      <c r="F33" s="40">
        <v>1</v>
      </c>
      <c r="G33" s="40">
        <v>1</v>
      </c>
      <c r="H33" s="40">
        <v>1</v>
      </c>
      <c r="I33" s="40">
        <v>1</v>
      </c>
      <c r="J33" s="40"/>
      <c r="K33" s="40"/>
    </row>
    <row r="34" spans="1:11" x14ac:dyDescent="0.25">
      <c r="A34" s="32" t="s">
        <v>63</v>
      </c>
      <c r="B34" s="226" t="s">
        <v>8</v>
      </c>
      <c r="C34" s="85" t="s">
        <v>162</v>
      </c>
      <c r="D34" s="108"/>
      <c r="E34" s="108"/>
      <c r="F34" s="40">
        <v>1</v>
      </c>
      <c r="G34" s="40">
        <v>1</v>
      </c>
      <c r="H34" s="40">
        <v>1</v>
      </c>
      <c r="I34" s="40">
        <v>1</v>
      </c>
      <c r="J34" s="40"/>
      <c r="K34" s="40"/>
    </row>
    <row r="35" spans="1:11" x14ac:dyDescent="0.25">
      <c r="A35" s="32" t="s">
        <v>63</v>
      </c>
      <c r="B35" s="24" t="s">
        <v>125</v>
      </c>
      <c r="C35" s="26" t="s">
        <v>129</v>
      </c>
      <c r="D35" s="108">
        <v>1</v>
      </c>
      <c r="E35" s="108">
        <v>1</v>
      </c>
      <c r="F35" s="40"/>
      <c r="G35" s="40"/>
      <c r="H35" s="40"/>
      <c r="I35" s="40"/>
      <c r="J35" s="40"/>
      <c r="K35" s="40"/>
    </row>
    <row r="36" spans="1:11" x14ac:dyDescent="0.25">
      <c r="A36" s="178" t="s">
        <v>63</v>
      </c>
      <c r="B36" s="226" t="s">
        <v>165</v>
      </c>
      <c r="C36" s="85" t="s">
        <v>222</v>
      </c>
      <c r="D36" s="108"/>
      <c r="E36" s="108"/>
      <c r="F36" s="40"/>
      <c r="G36" s="40"/>
      <c r="H36" s="40">
        <v>1</v>
      </c>
      <c r="I36" s="40">
        <v>1</v>
      </c>
      <c r="J36" s="40"/>
      <c r="K36" s="40"/>
    </row>
    <row r="37" spans="1:11" x14ac:dyDescent="0.25">
      <c r="A37" s="219" t="s">
        <v>63</v>
      </c>
      <c r="B37" s="45" t="s">
        <v>11</v>
      </c>
      <c r="C37" s="26" t="s">
        <v>194</v>
      </c>
      <c r="D37" s="108"/>
      <c r="E37" s="108"/>
      <c r="F37" s="40"/>
      <c r="G37" s="40"/>
      <c r="H37" s="40">
        <v>3</v>
      </c>
      <c r="I37" s="40">
        <v>3</v>
      </c>
      <c r="J37" s="40"/>
      <c r="K37" s="40"/>
    </row>
    <row r="38" spans="1:11" x14ac:dyDescent="0.25">
      <c r="A38" s="47" t="s">
        <v>63</v>
      </c>
      <c r="B38" s="45" t="s">
        <v>132</v>
      </c>
      <c r="C38" s="26" t="s">
        <v>142</v>
      </c>
      <c r="D38" s="108"/>
      <c r="E38" s="108"/>
      <c r="F38" s="40"/>
      <c r="G38" s="40"/>
      <c r="H38" s="40">
        <v>1</v>
      </c>
      <c r="I38" s="40">
        <v>1</v>
      </c>
      <c r="J38" s="40">
        <v>1</v>
      </c>
      <c r="K38" s="40">
        <v>1</v>
      </c>
    </row>
    <row r="39" spans="1:11" x14ac:dyDescent="0.25">
      <c r="A39" s="110" t="s">
        <v>12</v>
      </c>
      <c r="B39" s="227" t="s">
        <v>254</v>
      </c>
      <c r="C39" s="227" t="s">
        <v>267</v>
      </c>
      <c r="D39" s="108"/>
      <c r="E39" s="108"/>
      <c r="F39" s="40"/>
      <c r="G39" s="40"/>
      <c r="H39" s="40">
        <v>2</v>
      </c>
      <c r="I39" s="40">
        <v>2</v>
      </c>
      <c r="J39" s="40"/>
      <c r="K39" s="40"/>
    </row>
    <row r="40" spans="1:11" x14ac:dyDescent="0.25">
      <c r="A40" s="110" t="s">
        <v>12</v>
      </c>
      <c r="B40" s="227" t="s">
        <v>223</v>
      </c>
      <c r="C40" s="85" t="s">
        <v>225</v>
      </c>
      <c r="D40" s="108">
        <v>1</v>
      </c>
      <c r="E40" s="108">
        <v>1</v>
      </c>
      <c r="F40" s="40"/>
      <c r="G40" s="40"/>
      <c r="H40" s="40">
        <v>1</v>
      </c>
      <c r="I40" s="40">
        <v>1</v>
      </c>
      <c r="J40" s="40"/>
      <c r="K40" s="40"/>
    </row>
    <row r="41" spans="1:11" x14ac:dyDescent="0.25">
      <c r="A41" s="110" t="s">
        <v>12</v>
      </c>
      <c r="B41" s="227" t="s">
        <v>279</v>
      </c>
      <c r="C41" s="85" t="s">
        <v>281</v>
      </c>
      <c r="D41" s="108">
        <v>1</v>
      </c>
      <c r="E41" s="108">
        <v>1</v>
      </c>
      <c r="F41" s="40"/>
      <c r="G41" s="40"/>
      <c r="H41" s="40"/>
      <c r="I41" s="40"/>
      <c r="J41" s="40"/>
      <c r="K41" s="40"/>
    </row>
    <row r="42" spans="1:11" x14ac:dyDescent="0.25">
      <c r="A42" s="219" t="s">
        <v>12</v>
      </c>
      <c r="B42" s="45" t="s">
        <v>98</v>
      </c>
      <c r="C42" s="26" t="s">
        <v>112</v>
      </c>
      <c r="D42" s="108"/>
      <c r="E42" s="108"/>
      <c r="F42" s="40"/>
      <c r="G42" s="40"/>
      <c r="H42" s="40">
        <v>2</v>
      </c>
      <c r="I42" s="40">
        <v>2</v>
      </c>
      <c r="J42" s="40"/>
      <c r="K42" s="40"/>
    </row>
    <row r="43" spans="1:11" x14ac:dyDescent="0.25">
      <c r="A43" s="219" t="s">
        <v>12</v>
      </c>
      <c r="B43" s="45" t="s">
        <v>11</v>
      </c>
      <c r="C43" s="26" t="s">
        <v>307</v>
      </c>
      <c r="D43" s="108"/>
      <c r="E43" s="108"/>
      <c r="F43" s="40"/>
      <c r="G43" s="40"/>
      <c r="H43" s="40"/>
      <c r="I43" s="40"/>
      <c r="J43" s="40"/>
      <c r="K43" s="40"/>
    </row>
    <row r="44" spans="1:11" x14ac:dyDescent="0.25">
      <c r="A44" s="110" t="s">
        <v>14</v>
      </c>
      <c r="B44" s="227" t="s">
        <v>189</v>
      </c>
      <c r="C44" s="85" t="s">
        <v>191</v>
      </c>
      <c r="D44" s="108">
        <v>1</v>
      </c>
      <c r="E44" s="108">
        <v>1</v>
      </c>
      <c r="F44" s="40"/>
      <c r="G44" s="40"/>
      <c r="H44" s="40">
        <v>2</v>
      </c>
      <c r="I44" s="40">
        <v>2</v>
      </c>
      <c r="J44" s="40"/>
      <c r="K44" s="40"/>
    </row>
    <row r="45" spans="1:11" x14ac:dyDescent="0.25">
      <c r="A45" s="178" t="s">
        <v>14</v>
      </c>
      <c r="B45" s="24" t="s">
        <v>11</v>
      </c>
      <c r="C45" s="11" t="s">
        <v>278</v>
      </c>
      <c r="D45" s="108">
        <v>1</v>
      </c>
      <c r="E45" s="108">
        <v>1</v>
      </c>
      <c r="F45" s="40"/>
      <c r="G45" s="40"/>
      <c r="H45" s="40"/>
      <c r="I45" s="40"/>
      <c r="J45" s="40"/>
      <c r="K45" s="40"/>
    </row>
    <row r="46" spans="1:11" x14ac:dyDescent="0.25">
      <c r="A46" s="9"/>
      <c r="D46" s="154"/>
      <c r="E46" s="154"/>
      <c r="F46" s="154"/>
      <c r="G46" s="154"/>
      <c r="H46" s="154"/>
      <c r="I46" s="154"/>
      <c r="J46" s="154"/>
      <c r="K46" s="154"/>
    </row>
    <row r="47" spans="1:11" x14ac:dyDescent="0.25">
      <c r="A47" s="9"/>
      <c r="D47" s="154"/>
      <c r="E47" s="154"/>
      <c r="F47" s="154"/>
      <c r="G47" s="154"/>
      <c r="H47" s="154"/>
      <c r="I47" s="154"/>
      <c r="J47" s="154"/>
      <c r="K47" s="154"/>
    </row>
    <row r="48" spans="1:11" x14ac:dyDescent="0.25">
      <c r="A48" s="9"/>
    </row>
    <row r="49" spans="1:11" x14ac:dyDescent="0.25">
      <c r="A49" s="9"/>
    </row>
    <row r="50" spans="1:11" x14ac:dyDescent="0.25">
      <c r="A50" s="9"/>
    </row>
    <row r="51" spans="1:11" x14ac:dyDescent="0.25">
      <c r="A51" s="9"/>
      <c r="D51" s="154"/>
      <c r="E51" s="154"/>
      <c r="F51" s="154"/>
      <c r="G51" s="154"/>
      <c r="H51" s="154"/>
      <c r="I51" s="154"/>
      <c r="J51" s="154"/>
      <c r="K51" s="154"/>
    </row>
    <row r="52" spans="1:11" x14ac:dyDescent="0.25">
      <c r="A52" s="9"/>
      <c r="D52" s="154"/>
      <c r="E52" s="154"/>
      <c r="F52" s="154"/>
      <c r="G52" s="154"/>
      <c r="H52" s="154"/>
      <c r="I52" s="154"/>
      <c r="J52" s="154"/>
      <c r="K52" s="154"/>
    </row>
    <row r="53" spans="1:11" x14ac:dyDescent="0.25">
      <c r="A53" s="9"/>
      <c r="D53" s="154"/>
      <c r="E53" s="154"/>
      <c r="F53" s="154"/>
      <c r="G53" s="154"/>
      <c r="H53" s="154"/>
      <c r="I53" s="154"/>
      <c r="J53" s="154"/>
      <c r="K53" s="154"/>
    </row>
    <row r="54" spans="1:11" x14ac:dyDescent="0.25">
      <c r="A54" s="9"/>
      <c r="D54" s="154"/>
      <c r="E54" s="154"/>
      <c r="F54" s="154"/>
      <c r="G54" s="154"/>
      <c r="H54" s="154"/>
      <c r="I54" s="154"/>
      <c r="J54" s="154"/>
      <c r="K54" s="154"/>
    </row>
    <row r="55" spans="1:11" x14ac:dyDescent="0.25">
      <c r="A55" s="9"/>
      <c r="D55" s="154"/>
      <c r="E55" s="154"/>
      <c r="F55" s="154"/>
      <c r="G55" s="154"/>
      <c r="H55" s="154"/>
      <c r="I55" s="154"/>
      <c r="J55" s="154"/>
      <c r="K55" s="154"/>
    </row>
    <row r="56" spans="1:11" x14ac:dyDescent="0.25">
      <c r="A56" s="9"/>
      <c r="D56" s="154"/>
      <c r="E56" s="154"/>
      <c r="F56" s="154"/>
      <c r="G56" s="154"/>
      <c r="H56" s="154"/>
      <c r="I56" s="154"/>
      <c r="J56" s="154"/>
      <c r="K56" s="154"/>
    </row>
    <row r="57" spans="1:11" x14ac:dyDescent="0.25">
      <c r="A57" s="9"/>
      <c r="D57" s="154"/>
      <c r="E57" s="154"/>
      <c r="F57" s="154"/>
      <c r="G57" s="154"/>
      <c r="H57" s="154"/>
      <c r="I57" s="154"/>
      <c r="J57" s="154"/>
      <c r="K57" s="154"/>
    </row>
    <row r="58" spans="1:11" x14ac:dyDescent="0.25">
      <c r="A58" s="9"/>
      <c r="D58" s="154"/>
      <c r="E58" s="154"/>
      <c r="F58" s="154"/>
      <c r="G58" s="154"/>
      <c r="H58" s="154"/>
      <c r="I58" s="154"/>
      <c r="J58" s="154"/>
      <c r="K58" s="154"/>
    </row>
    <row r="59" spans="1:11" x14ac:dyDescent="0.25">
      <c r="A59" s="9"/>
      <c r="D59" s="154"/>
      <c r="E59" s="154"/>
      <c r="F59" s="154"/>
      <c r="G59" s="154"/>
      <c r="H59" s="154"/>
      <c r="I59" s="154"/>
      <c r="J59" s="154"/>
      <c r="K59" s="154"/>
    </row>
    <row r="60" spans="1:11" x14ac:dyDescent="0.25">
      <c r="A60" s="9"/>
      <c r="D60" s="154"/>
      <c r="E60" s="154"/>
      <c r="F60" s="154"/>
      <c r="G60" s="154"/>
      <c r="H60" s="154"/>
      <c r="I60" s="154"/>
      <c r="J60" s="154"/>
      <c r="K60" s="154"/>
    </row>
    <row r="61" spans="1:11" x14ac:dyDescent="0.25">
      <c r="A61" s="9"/>
      <c r="D61" s="154"/>
      <c r="E61" s="154"/>
      <c r="F61" s="154"/>
      <c r="G61" s="154"/>
      <c r="H61" s="154"/>
      <c r="I61" s="154"/>
      <c r="J61" s="154"/>
      <c r="K61" s="154"/>
    </row>
    <row r="62" spans="1:11" x14ac:dyDescent="0.25">
      <c r="A62" s="9"/>
      <c r="D62" s="154"/>
      <c r="E62" s="154"/>
      <c r="F62" s="154"/>
      <c r="G62" s="154"/>
      <c r="H62" s="154"/>
      <c r="I62" s="154"/>
      <c r="J62" s="154"/>
      <c r="K62" s="154"/>
    </row>
    <row r="63" spans="1:11" x14ac:dyDescent="0.25">
      <c r="A63" s="9"/>
      <c r="D63" s="154"/>
      <c r="E63" s="154"/>
      <c r="F63" s="154"/>
      <c r="G63" s="154"/>
      <c r="H63" s="154"/>
      <c r="I63" s="154"/>
      <c r="J63" s="154"/>
      <c r="K63" s="154"/>
    </row>
    <row r="64" spans="1:11" x14ac:dyDescent="0.25">
      <c r="A64" s="9"/>
      <c r="D64" s="154"/>
      <c r="E64" s="154"/>
      <c r="F64" s="154"/>
      <c r="G64" s="154"/>
      <c r="H64" s="154"/>
      <c r="I64" s="154"/>
      <c r="J64" s="154"/>
      <c r="K64" s="154"/>
    </row>
    <row r="65" spans="1:11" x14ac:dyDescent="0.25">
      <c r="A65" s="9"/>
      <c r="D65" s="154"/>
      <c r="E65" s="154"/>
      <c r="F65" s="154"/>
      <c r="G65" s="154"/>
      <c r="H65" s="154"/>
      <c r="I65" s="154"/>
      <c r="J65" s="154"/>
      <c r="K65" s="154"/>
    </row>
    <row r="66" spans="1:11" x14ac:dyDescent="0.25">
      <c r="A66" s="9"/>
      <c r="D66" s="154"/>
      <c r="E66" s="154"/>
      <c r="F66" s="154"/>
      <c r="G66" s="154"/>
      <c r="H66" s="154"/>
      <c r="I66" s="154"/>
      <c r="J66" s="154"/>
      <c r="K66" s="154"/>
    </row>
    <row r="67" spans="1:11" x14ac:dyDescent="0.25">
      <c r="A67" s="9"/>
      <c r="D67" s="154"/>
      <c r="E67" s="154"/>
      <c r="F67" s="154"/>
      <c r="G67" s="154"/>
      <c r="H67" s="154"/>
      <c r="I67" s="154"/>
      <c r="J67" s="154"/>
      <c r="K67" s="154"/>
    </row>
    <row r="68" spans="1:11" x14ac:dyDescent="0.25">
      <c r="A68" s="9"/>
      <c r="D68" s="154"/>
      <c r="E68" s="154"/>
      <c r="F68" s="154"/>
      <c r="G68" s="154"/>
      <c r="H68" s="154"/>
      <c r="I68" s="154"/>
      <c r="J68" s="154"/>
      <c r="K68" s="154"/>
    </row>
    <row r="69" spans="1:11" x14ac:dyDescent="0.25">
      <c r="A69" s="9"/>
      <c r="D69" s="154"/>
      <c r="E69" s="154"/>
      <c r="F69" s="154"/>
      <c r="G69" s="154"/>
      <c r="H69" s="154"/>
      <c r="I69" s="154"/>
      <c r="J69" s="154"/>
      <c r="K69" s="154"/>
    </row>
    <row r="70" spans="1:11" x14ac:dyDescent="0.25">
      <c r="A70" s="9"/>
      <c r="D70" s="154"/>
      <c r="E70" s="154"/>
      <c r="F70" s="154"/>
      <c r="G70" s="154"/>
      <c r="H70" s="154"/>
      <c r="I70" s="154"/>
      <c r="J70" s="154"/>
      <c r="K70" s="154"/>
    </row>
    <row r="71" spans="1:11" x14ac:dyDescent="0.25">
      <c r="A71" s="9"/>
      <c r="D71" s="154"/>
      <c r="E71" s="154"/>
      <c r="F71" s="154"/>
      <c r="G71" s="154"/>
      <c r="H71" s="154"/>
      <c r="I71" s="154"/>
      <c r="J71" s="154"/>
      <c r="K71" s="154"/>
    </row>
    <row r="72" spans="1:11" x14ac:dyDescent="0.25">
      <c r="A72" s="9"/>
      <c r="D72" s="154"/>
      <c r="E72" s="154"/>
      <c r="F72" s="154"/>
      <c r="G72" s="154"/>
      <c r="H72" s="154"/>
      <c r="I72" s="154"/>
      <c r="J72" s="154"/>
      <c r="K72" s="154"/>
    </row>
    <row r="73" spans="1:11" x14ac:dyDescent="0.25">
      <c r="A73" s="9"/>
      <c r="D73" s="154"/>
      <c r="E73" s="154"/>
      <c r="F73" s="154"/>
      <c r="G73" s="154"/>
      <c r="H73" s="154"/>
      <c r="I73" s="154"/>
      <c r="J73" s="154"/>
      <c r="K73" s="154"/>
    </row>
    <row r="74" spans="1:11" x14ac:dyDescent="0.25">
      <c r="A74" s="9"/>
      <c r="D74" s="154"/>
      <c r="E74" s="154"/>
      <c r="F74" s="154"/>
      <c r="G74" s="154"/>
      <c r="H74" s="154"/>
      <c r="I74" s="154"/>
      <c r="J74" s="154"/>
      <c r="K74" s="154"/>
    </row>
    <row r="75" spans="1:11" x14ac:dyDescent="0.25">
      <c r="A75" s="9"/>
      <c r="D75" s="154"/>
      <c r="E75" s="154"/>
      <c r="F75" s="154"/>
      <c r="G75" s="154"/>
      <c r="H75" s="154"/>
      <c r="I75" s="154"/>
      <c r="J75" s="154"/>
      <c r="K75" s="154"/>
    </row>
    <row r="76" spans="1:11" x14ac:dyDescent="0.25">
      <c r="A76" s="9"/>
      <c r="D76" s="154"/>
      <c r="E76" s="154"/>
      <c r="F76" s="154"/>
      <c r="G76" s="154"/>
      <c r="H76" s="154"/>
      <c r="I76" s="154"/>
      <c r="J76" s="154"/>
      <c r="K76" s="154"/>
    </row>
    <row r="77" spans="1:11" x14ac:dyDescent="0.25">
      <c r="A77" s="9"/>
      <c r="D77" s="154"/>
      <c r="E77" s="154"/>
      <c r="F77" s="154"/>
      <c r="G77" s="154"/>
      <c r="H77" s="154"/>
      <c r="I77" s="154"/>
      <c r="J77" s="154"/>
      <c r="K77" s="154"/>
    </row>
    <row r="78" spans="1:11" x14ac:dyDescent="0.25">
      <c r="A78" s="9"/>
      <c r="D78" s="154"/>
      <c r="E78" s="154"/>
      <c r="F78" s="154"/>
      <c r="G78" s="154"/>
      <c r="H78" s="154"/>
      <c r="I78" s="154"/>
      <c r="J78" s="154"/>
      <c r="K78" s="154"/>
    </row>
    <row r="79" spans="1:11" x14ac:dyDescent="0.25">
      <c r="A79" s="9"/>
      <c r="D79" s="154"/>
      <c r="E79" s="154"/>
      <c r="F79" s="154"/>
      <c r="G79" s="154"/>
      <c r="H79" s="154"/>
      <c r="I79" s="154"/>
      <c r="J79" s="154"/>
      <c r="K79" s="154"/>
    </row>
    <row r="80" spans="1:11" x14ac:dyDescent="0.25">
      <c r="A80" s="9"/>
      <c r="D80" s="154"/>
      <c r="E80" s="154"/>
      <c r="F80" s="154"/>
      <c r="G80" s="154"/>
      <c r="H80" s="154"/>
      <c r="I80" s="154"/>
      <c r="J80" s="154"/>
      <c r="K80" s="154"/>
    </row>
  </sheetData>
  <autoFilter ref="A1:K45" xr:uid="{F91DEE1A-DE21-4B5B-B221-2F2B0D55D038}">
    <sortState xmlns:xlrd2="http://schemas.microsoft.com/office/spreadsheetml/2017/richdata2" ref="A2:K45">
      <sortCondition ref="A1:A45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G6" sqref="G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300</v>
      </c>
      <c r="C2" s="3">
        <f>COUNTIF(חיילים!D:D,"=כן")</f>
        <v>6</v>
      </c>
    </row>
    <row r="3" spans="2:10" ht="17.25" customHeight="1" thickBot="1" x14ac:dyDescent="0.3">
      <c r="B3" s="1" t="s">
        <v>16</v>
      </c>
      <c r="C3" s="1">
        <f>COUNTIF(חיילים!$D:D,"=לא")</f>
        <v>38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44</v>
      </c>
      <c r="F4" s="86" t="s">
        <v>29</v>
      </c>
      <c r="G4" s="59">
        <f>SUM(חיילים!DY:DY)</f>
        <v>13</v>
      </c>
      <c r="H4" s="60">
        <f>SUM(חיילים!DZ:DZ)</f>
        <v>7</v>
      </c>
      <c r="I4" s="60">
        <f>SUM(חיילים!EA:EA)</f>
        <v>0</v>
      </c>
      <c r="J4" s="61">
        <f>SUM(חיילים!EB:EB)</f>
        <v>2</v>
      </c>
    </row>
    <row r="5" spans="2:10" x14ac:dyDescent="0.25">
      <c r="F5" s="87" t="s">
        <v>30</v>
      </c>
      <c r="G5" s="62">
        <f>G6-G4</f>
        <v>0</v>
      </c>
      <c r="H5" s="63">
        <f t="shared" ref="H5:I5" si="0">H6-H4</f>
        <v>0</v>
      </c>
      <c r="I5" s="63">
        <f t="shared" si="0"/>
        <v>60</v>
      </c>
      <c r="J5" s="64">
        <f>J6-J4</f>
        <v>18</v>
      </c>
    </row>
    <row r="6" spans="2:10" ht="15.75" thickBot="1" x14ac:dyDescent="0.3">
      <c r="F6" s="88" t="s">
        <v>31</v>
      </c>
      <c r="G6" s="65">
        <v>13</v>
      </c>
      <c r="H6" s="66">
        <v>7</v>
      </c>
      <c r="I6" s="66">
        <f>5*4*3</f>
        <v>60</v>
      </c>
      <c r="J6" s="67">
        <f>5*4*1</f>
        <v>20</v>
      </c>
    </row>
    <row r="7" spans="2:10" x14ac:dyDescent="0.25">
      <c r="B7" s="1" t="s">
        <v>17</v>
      </c>
      <c r="C7" s="1">
        <f>COUNTIF(חיילים!E:E,"=כן")</f>
        <v>32</v>
      </c>
    </row>
    <row r="8" spans="2:10" x14ac:dyDescent="0.25">
      <c r="B8" s="3" t="s">
        <v>18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36">
        <v>3</v>
      </c>
      <c r="G2" s="236"/>
      <c r="H2" s="237"/>
    </row>
    <row r="3" spans="1:8" x14ac:dyDescent="0.25">
      <c r="A3" s="7" t="s">
        <v>19</v>
      </c>
      <c r="B3" s="55"/>
      <c r="C3" s="55"/>
      <c r="D3" s="56"/>
      <c r="E3" s="56"/>
      <c r="F3" s="236" t="s">
        <v>92</v>
      </c>
      <c r="G3" s="236"/>
      <c r="H3" s="237"/>
    </row>
    <row r="4" spans="1:8" x14ac:dyDescent="0.25">
      <c r="A4" s="7" t="s">
        <v>20</v>
      </c>
      <c r="B4" s="55"/>
      <c r="C4" s="56"/>
      <c r="D4" s="56"/>
      <c r="E4" s="55"/>
      <c r="F4" s="241" t="s">
        <v>129</v>
      </c>
      <c r="G4" s="241"/>
      <c r="H4" s="242"/>
    </row>
    <row r="5" spans="1:8" x14ac:dyDescent="0.25">
      <c r="A5" s="7" t="s">
        <v>21</v>
      </c>
      <c r="B5" s="56"/>
      <c r="C5" s="55"/>
      <c r="D5" s="55"/>
      <c r="E5" s="56"/>
      <c r="F5" s="236" t="s">
        <v>128</v>
      </c>
      <c r="G5" s="236"/>
      <c r="H5" s="237"/>
    </row>
    <row r="6" spans="1:8" ht="15.75" thickBot="1" x14ac:dyDescent="0.3">
      <c r="A6" s="7" t="s">
        <v>79</v>
      </c>
      <c r="B6" s="57"/>
      <c r="C6" s="57"/>
      <c r="D6" s="57"/>
      <c r="E6" s="58"/>
      <c r="F6" s="236" t="s">
        <v>141</v>
      </c>
      <c r="G6" s="236"/>
      <c r="H6" s="237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36">
        <v>3</v>
      </c>
      <c r="G8" s="236"/>
      <c r="H8" s="237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38" t="s">
        <v>130</v>
      </c>
      <c r="G9" s="239"/>
      <c r="H9" s="240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41" t="s">
        <v>57</v>
      </c>
      <c r="G10" s="241"/>
      <c r="H10" s="242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36" t="s">
        <v>60</v>
      </c>
      <c r="G11" s="236"/>
      <c r="H11" s="237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36" t="s">
        <v>222</v>
      </c>
      <c r="G12" s="236"/>
      <c r="H12" s="237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36">
        <v>3</v>
      </c>
      <c r="G14" s="236"/>
      <c r="H14" s="237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36" t="s">
        <v>112</v>
      </c>
      <c r="G15" s="236"/>
      <c r="H15" s="237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41" t="s">
        <v>59</v>
      </c>
      <c r="G16" s="241"/>
      <c r="H16" s="242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36" t="s">
        <v>174</v>
      </c>
      <c r="G17" s="236"/>
      <c r="H17" s="237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36" t="s">
        <v>195</v>
      </c>
      <c r="G18" s="236"/>
      <c r="H18" s="237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36" t="str">
        <f>"-"</f>
        <v>-</v>
      </c>
      <c r="G19" s="236"/>
      <c r="H19" s="237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36">
        <v>3</v>
      </c>
      <c r="G21" s="236"/>
      <c r="H21" s="237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38" t="s">
        <v>175</v>
      </c>
      <c r="G22" s="239"/>
      <c r="H22" s="240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43" t="s">
        <v>127</v>
      </c>
      <c r="G23" s="244"/>
      <c r="H23" s="245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36" t="s">
        <v>81</v>
      </c>
      <c r="G24" s="236"/>
      <c r="H24" s="237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52" t="s">
        <v>221</v>
      </c>
      <c r="G25" s="252"/>
      <c r="H25" s="253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36">
        <v>3</v>
      </c>
      <c r="G27" s="236"/>
      <c r="H27" s="237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38" t="s">
        <v>176</v>
      </c>
      <c r="G28" s="239"/>
      <c r="H28" s="240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36" t="s">
        <v>114</v>
      </c>
      <c r="G29" s="236"/>
      <c r="H29" s="237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43" t="s">
        <v>58</v>
      </c>
      <c r="G30" s="244"/>
      <c r="H30" s="245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52" t="s">
        <v>131</v>
      </c>
      <c r="G31" s="252"/>
      <c r="H31" s="253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6" t="s">
        <v>228</v>
      </c>
      <c r="B1" s="156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256</v>
      </c>
      <c r="B17" s="1" t="s">
        <v>257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6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36">
        <v>2</v>
      </c>
      <c r="G2" s="236"/>
      <c r="H2" s="237"/>
    </row>
    <row r="3" spans="1:10" x14ac:dyDescent="0.25">
      <c r="A3" s="7" t="s">
        <v>19</v>
      </c>
      <c r="B3" s="55"/>
      <c r="C3" s="55"/>
      <c r="D3" s="56"/>
      <c r="E3" s="56"/>
      <c r="F3" s="241" t="s">
        <v>81</v>
      </c>
      <c r="G3" s="241"/>
      <c r="H3" s="242"/>
    </row>
    <row r="4" spans="1:10" x14ac:dyDescent="0.25">
      <c r="A4" s="7" t="s">
        <v>20</v>
      </c>
      <c r="B4" s="55"/>
      <c r="C4" s="56"/>
      <c r="D4" s="56"/>
      <c r="E4" s="55"/>
      <c r="F4" s="241" t="s">
        <v>59</v>
      </c>
      <c r="G4" s="241"/>
      <c r="H4" s="242"/>
    </row>
    <row r="5" spans="1:10" x14ac:dyDescent="0.25">
      <c r="A5" s="7" t="s">
        <v>21</v>
      </c>
      <c r="B5" s="56"/>
      <c r="C5" s="55"/>
      <c r="D5" s="55"/>
      <c r="E5" s="56"/>
      <c r="F5" s="258" t="s">
        <v>112</v>
      </c>
      <c r="G5" s="258"/>
      <c r="H5" s="259"/>
    </row>
    <row r="6" spans="1:10" ht="15.75" thickBot="1" x14ac:dyDescent="0.3">
      <c r="A6" s="7" t="s">
        <v>79</v>
      </c>
      <c r="B6" s="57"/>
      <c r="C6" s="57"/>
      <c r="D6" s="57"/>
      <c r="E6" s="58"/>
      <c r="F6" s="236" t="s">
        <v>262</v>
      </c>
      <c r="G6" s="236"/>
      <c r="H6" s="237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36">
        <v>3</v>
      </c>
      <c r="G8" s="236"/>
      <c r="H8" s="237"/>
    </row>
    <row r="9" spans="1:10" x14ac:dyDescent="0.25">
      <c r="A9" s="7" t="s">
        <v>19</v>
      </c>
      <c r="B9" s="205" t="s">
        <v>176</v>
      </c>
      <c r="C9" s="208" t="s">
        <v>92</v>
      </c>
      <c r="D9" s="206" t="s">
        <v>142</v>
      </c>
      <c r="E9" s="205" t="s">
        <v>176</v>
      </c>
      <c r="F9" s="241" t="s">
        <v>162</v>
      </c>
      <c r="G9" s="241"/>
      <c r="H9" s="242"/>
    </row>
    <row r="10" spans="1:10" x14ac:dyDescent="0.25">
      <c r="A10" s="7" t="s">
        <v>20</v>
      </c>
      <c r="B10" s="206" t="s">
        <v>264</v>
      </c>
      <c r="C10" s="207" t="s">
        <v>126</v>
      </c>
      <c r="D10" s="152" t="s">
        <v>114</v>
      </c>
      <c r="E10" s="207" t="s">
        <v>59</v>
      </c>
      <c r="F10" s="236" t="s">
        <v>268</v>
      </c>
      <c r="G10" s="236"/>
      <c r="H10" s="237"/>
      <c r="J10" s="216" t="s">
        <v>291</v>
      </c>
    </row>
    <row r="11" spans="1:10" x14ac:dyDescent="0.25">
      <c r="A11" s="7" t="s">
        <v>21</v>
      </c>
      <c r="B11" s="152" t="s">
        <v>194</v>
      </c>
      <c r="C11" s="208" t="s">
        <v>174</v>
      </c>
      <c r="D11" s="205" t="s">
        <v>270</v>
      </c>
      <c r="E11" s="204" t="s">
        <v>113</v>
      </c>
      <c r="F11" s="236" t="s">
        <v>191</v>
      </c>
      <c r="G11" s="236"/>
      <c r="H11" s="237"/>
      <c r="J11" s="216" t="s">
        <v>294</v>
      </c>
    </row>
    <row r="12" spans="1:10" x14ac:dyDescent="0.25">
      <c r="A12" s="7" t="s">
        <v>79</v>
      </c>
      <c r="B12" s="152" t="s">
        <v>283</v>
      </c>
      <c r="C12" s="152" t="s">
        <v>141</v>
      </c>
      <c r="D12" s="28" t="s">
        <v>71</v>
      </c>
      <c r="E12" s="152" t="s">
        <v>282</v>
      </c>
      <c r="F12" s="236" t="s">
        <v>225</v>
      </c>
      <c r="G12" s="236"/>
      <c r="H12" s="237"/>
      <c r="J12" s="216" t="s">
        <v>299</v>
      </c>
    </row>
    <row r="13" spans="1:10" ht="15.75" thickBot="1" x14ac:dyDescent="0.3">
      <c r="A13" s="190" t="s">
        <v>265</v>
      </c>
      <c r="B13" s="191" t="s">
        <v>271</v>
      </c>
      <c r="C13" s="191"/>
      <c r="D13" s="191" t="s">
        <v>227</v>
      </c>
      <c r="E13" s="191"/>
      <c r="F13" s="256"/>
      <c r="G13" s="256"/>
      <c r="H13" s="257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36">
        <v>3</v>
      </c>
      <c r="G15" s="236"/>
      <c r="H15" s="237"/>
    </row>
    <row r="16" spans="1:10" x14ac:dyDescent="0.25">
      <c r="A16" s="7" t="s">
        <v>19</v>
      </c>
      <c r="B16" s="150" t="s">
        <v>222</v>
      </c>
      <c r="C16" s="205" t="s">
        <v>114</v>
      </c>
      <c r="D16" s="207" t="s">
        <v>59</v>
      </c>
      <c r="E16" s="209" t="s">
        <v>112</v>
      </c>
      <c r="F16" s="236" t="s">
        <v>175</v>
      </c>
      <c r="G16" s="236"/>
      <c r="H16" s="237"/>
    </row>
    <row r="17" spans="1:11" x14ac:dyDescent="0.25">
      <c r="A17" s="7" t="s">
        <v>20</v>
      </c>
      <c r="B17" s="205" t="s">
        <v>112</v>
      </c>
      <c r="C17" s="207" t="s">
        <v>115</v>
      </c>
      <c r="D17" s="152" t="s">
        <v>194</v>
      </c>
      <c r="E17" s="151" t="s">
        <v>271</v>
      </c>
      <c r="F17" s="236" t="s">
        <v>195</v>
      </c>
      <c r="G17" s="236"/>
      <c r="H17" s="237"/>
      <c r="J17" s="216" t="s">
        <v>286</v>
      </c>
      <c r="K17" t="s">
        <v>289</v>
      </c>
    </row>
    <row r="18" spans="1:11" x14ac:dyDescent="0.25">
      <c r="A18" s="7" t="s">
        <v>21</v>
      </c>
      <c r="B18" s="206" t="s">
        <v>127</v>
      </c>
      <c r="C18" s="205" t="s">
        <v>284</v>
      </c>
      <c r="D18" s="204" t="s">
        <v>141</v>
      </c>
      <c r="E18" s="204" t="s">
        <v>58</v>
      </c>
      <c r="F18" s="241" t="s">
        <v>174</v>
      </c>
      <c r="G18" s="241"/>
      <c r="H18" s="242"/>
      <c r="K18" t="s">
        <v>296</v>
      </c>
    </row>
    <row r="19" spans="1:11" x14ac:dyDescent="0.25">
      <c r="A19" s="7" t="s">
        <v>79</v>
      </c>
      <c r="B19" s="152" t="s">
        <v>262</v>
      </c>
      <c r="C19" s="152" t="s">
        <v>282</v>
      </c>
      <c r="D19" s="152" t="s">
        <v>267</v>
      </c>
      <c r="E19" s="203" t="s">
        <v>71</v>
      </c>
      <c r="F19" s="236" t="s">
        <v>227</v>
      </c>
      <c r="G19" s="236"/>
      <c r="H19" s="237"/>
    </row>
    <row r="20" spans="1:11" ht="15.75" thickBot="1" x14ac:dyDescent="0.3">
      <c r="A20" s="190" t="s">
        <v>265</v>
      </c>
      <c r="B20" s="191"/>
      <c r="C20" s="191"/>
      <c r="D20" s="191"/>
      <c r="E20" s="191" t="s">
        <v>264</v>
      </c>
      <c r="F20" s="256"/>
      <c r="G20" s="256"/>
      <c r="H20" s="257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36">
        <v>3</v>
      </c>
      <c r="G22" s="236"/>
      <c r="H22" s="237"/>
    </row>
    <row r="23" spans="1:11" x14ac:dyDescent="0.25">
      <c r="A23" s="7" t="s">
        <v>19</v>
      </c>
      <c r="B23" s="205" t="s">
        <v>191</v>
      </c>
      <c r="C23" s="150" t="s">
        <v>141</v>
      </c>
      <c r="D23" s="214" t="s">
        <v>142</v>
      </c>
      <c r="E23" s="207" t="s">
        <v>59</v>
      </c>
      <c r="F23" s="238" t="s">
        <v>64</v>
      </c>
      <c r="G23" s="239"/>
      <c r="H23" s="240"/>
    </row>
    <row r="24" spans="1:11" x14ac:dyDescent="0.25">
      <c r="A24" s="7" t="s">
        <v>20</v>
      </c>
      <c r="B24" s="206" t="s">
        <v>264</v>
      </c>
      <c r="C24" s="152" t="s">
        <v>268</v>
      </c>
      <c r="D24" s="205" t="s">
        <v>284</v>
      </c>
      <c r="E24" s="204" t="s">
        <v>60</v>
      </c>
      <c r="F24" s="243" t="s">
        <v>69</v>
      </c>
      <c r="G24" s="244"/>
      <c r="H24" s="245"/>
      <c r="J24" s="217" t="s">
        <v>287</v>
      </c>
      <c r="K24" t="s">
        <v>292</v>
      </c>
    </row>
    <row r="25" spans="1:11" x14ac:dyDescent="0.25">
      <c r="A25" s="7" t="s">
        <v>21</v>
      </c>
      <c r="B25" s="204" t="s">
        <v>60</v>
      </c>
      <c r="C25" s="206" t="s">
        <v>127</v>
      </c>
      <c r="D25" s="215" t="s">
        <v>92</v>
      </c>
      <c r="E25" s="205" t="s">
        <v>194</v>
      </c>
      <c r="F25" s="236" t="s">
        <v>278</v>
      </c>
      <c r="G25" s="236"/>
      <c r="H25" s="237"/>
      <c r="K25" t="s">
        <v>293</v>
      </c>
    </row>
    <row r="26" spans="1:11" x14ac:dyDescent="0.25">
      <c r="A26" s="7" t="s">
        <v>79</v>
      </c>
      <c r="B26" s="204" t="s">
        <v>267</v>
      </c>
      <c r="C26" s="204" t="s">
        <v>61</v>
      </c>
      <c r="D26" s="204" t="s">
        <v>282</v>
      </c>
      <c r="E26" s="204" t="s">
        <v>283</v>
      </c>
      <c r="F26" s="236" t="s">
        <v>261</v>
      </c>
      <c r="G26" s="236"/>
      <c r="H26" s="237"/>
      <c r="K26" t="s">
        <v>297</v>
      </c>
    </row>
    <row r="27" spans="1:11" ht="15.75" thickBot="1" x14ac:dyDescent="0.3">
      <c r="A27" s="212" t="s">
        <v>265</v>
      </c>
      <c r="B27" s="213" t="s">
        <v>271</v>
      </c>
      <c r="C27" s="213" t="s">
        <v>225</v>
      </c>
      <c r="D27" s="213"/>
      <c r="E27" s="213"/>
      <c r="F27" s="254"/>
      <c r="G27" s="254"/>
      <c r="H27" s="255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9">
        <v>3</v>
      </c>
      <c r="C29" s="200">
        <v>3</v>
      </c>
      <c r="D29" s="199">
        <v>3</v>
      </c>
      <c r="E29" s="200">
        <v>3</v>
      </c>
      <c r="F29" s="236">
        <v>3</v>
      </c>
      <c r="G29" s="236"/>
      <c r="H29" s="237"/>
    </row>
    <row r="30" spans="1:11" x14ac:dyDescent="0.25">
      <c r="A30" s="7" t="s">
        <v>19</v>
      </c>
      <c r="B30" s="204" t="s">
        <v>126</v>
      </c>
      <c r="C30" s="200" t="s">
        <v>176</v>
      </c>
      <c r="D30" s="204" t="s">
        <v>162</v>
      </c>
      <c r="E30" s="205" t="s">
        <v>175</v>
      </c>
      <c r="F30" s="238" t="s">
        <v>281</v>
      </c>
      <c r="G30" s="239"/>
      <c r="H30" s="240"/>
    </row>
    <row r="31" spans="1:11" x14ac:dyDescent="0.25">
      <c r="A31" s="7" t="s">
        <v>20</v>
      </c>
      <c r="B31" s="204" t="s">
        <v>61</v>
      </c>
      <c r="C31" s="211" t="s">
        <v>92</v>
      </c>
      <c r="D31" s="202" t="s">
        <v>271</v>
      </c>
      <c r="E31" s="206" t="s">
        <v>127</v>
      </c>
      <c r="F31" s="238" t="s">
        <v>129</v>
      </c>
      <c r="G31" s="239"/>
      <c r="H31" s="240"/>
      <c r="J31" s="217" t="s">
        <v>288</v>
      </c>
      <c r="K31" s="217" t="s">
        <v>290</v>
      </c>
    </row>
    <row r="32" spans="1:11" x14ac:dyDescent="0.25">
      <c r="A32" s="7" t="s">
        <v>21</v>
      </c>
      <c r="B32" s="201" t="s">
        <v>115</v>
      </c>
      <c r="C32" s="205" t="s">
        <v>191</v>
      </c>
      <c r="D32" s="204" t="s">
        <v>60</v>
      </c>
      <c r="E32" s="204" t="s">
        <v>69</v>
      </c>
      <c r="F32" s="243" t="s">
        <v>270</v>
      </c>
      <c r="G32" s="244"/>
      <c r="H32" s="245"/>
      <c r="K32" t="s">
        <v>295</v>
      </c>
    </row>
    <row r="33" spans="1:11" x14ac:dyDescent="0.25">
      <c r="A33" s="187" t="s">
        <v>79</v>
      </c>
      <c r="B33" s="204" t="s">
        <v>130</v>
      </c>
      <c r="C33" s="203" t="s">
        <v>225</v>
      </c>
      <c r="D33" s="204" t="s">
        <v>284</v>
      </c>
      <c r="E33" s="204" t="s">
        <v>283</v>
      </c>
      <c r="F33" s="250" t="s">
        <v>262</v>
      </c>
      <c r="G33" s="250"/>
      <c r="H33" s="251"/>
      <c r="K33" t="s">
        <v>298</v>
      </c>
    </row>
    <row r="34" spans="1:11" ht="15.75" thickBot="1" x14ac:dyDescent="0.3">
      <c r="A34" s="190" t="s">
        <v>265</v>
      </c>
      <c r="B34" s="191"/>
      <c r="C34" s="191" t="s">
        <v>267</v>
      </c>
      <c r="D34" s="191" t="s">
        <v>264</v>
      </c>
      <c r="E34" s="191"/>
      <c r="F34" s="256"/>
      <c r="G34" s="256"/>
      <c r="H34" s="257"/>
    </row>
  </sheetData>
  <mergeCells count="29"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  <mergeCell ref="F19:H19"/>
    <mergeCell ref="F22:H22"/>
    <mergeCell ref="F23:H23"/>
    <mergeCell ref="F13:H13"/>
    <mergeCell ref="F20:H20"/>
    <mergeCell ref="F33:H33"/>
    <mergeCell ref="F25:H25"/>
    <mergeCell ref="F26:H26"/>
    <mergeCell ref="F29:H29"/>
    <mergeCell ref="F30:H30"/>
    <mergeCell ref="F31:H31"/>
    <mergeCell ref="F32:H32"/>
    <mergeCell ref="F27:H27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36">
        <v>2</v>
      </c>
      <c r="G2" s="236"/>
      <c r="H2" s="237"/>
    </row>
    <row r="3" spans="1:10" x14ac:dyDescent="0.25">
      <c r="A3" s="7" t="s">
        <v>19</v>
      </c>
      <c r="B3" s="55"/>
      <c r="C3" s="55"/>
      <c r="D3" s="56"/>
      <c r="E3" s="56"/>
      <c r="F3" s="236" t="s">
        <v>141</v>
      </c>
      <c r="G3" s="236"/>
      <c r="H3" s="237"/>
    </row>
    <row r="4" spans="1:10" x14ac:dyDescent="0.25">
      <c r="A4" s="7" t="s">
        <v>20</v>
      </c>
      <c r="B4" s="55"/>
      <c r="C4" s="56"/>
      <c r="D4" s="56"/>
      <c r="E4" s="55"/>
      <c r="F4" s="241" t="s">
        <v>162</v>
      </c>
      <c r="G4" s="241"/>
      <c r="H4" s="242"/>
    </row>
    <row r="5" spans="1:10" x14ac:dyDescent="0.25">
      <c r="A5" s="7" t="s">
        <v>21</v>
      </c>
      <c r="B5" s="56"/>
      <c r="C5" s="55"/>
      <c r="D5" s="55"/>
      <c r="E5" s="56"/>
      <c r="F5" s="241" t="s">
        <v>80</v>
      </c>
      <c r="G5" s="241"/>
      <c r="H5" s="242"/>
    </row>
    <row r="6" spans="1:10" ht="15.75" thickBot="1" x14ac:dyDescent="0.3">
      <c r="A6" s="187" t="s">
        <v>79</v>
      </c>
      <c r="B6" s="194"/>
      <c r="C6" s="194"/>
      <c r="D6" s="194"/>
      <c r="E6" s="195"/>
      <c r="F6" s="250" t="s">
        <v>225</v>
      </c>
      <c r="G6" s="250"/>
      <c r="H6" s="251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3">
        <v>3</v>
      </c>
      <c r="C8" s="183">
        <v>3</v>
      </c>
      <c r="D8" s="183">
        <v>3</v>
      </c>
      <c r="E8" s="183">
        <v>3</v>
      </c>
      <c r="F8" s="236">
        <v>3</v>
      </c>
      <c r="G8" s="236"/>
      <c r="H8" s="237"/>
    </row>
    <row r="9" spans="1:10" x14ac:dyDescent="0.25">
      <c r="A9" s="7" t="s">
        <v>19</v>
      </c>
      <c r="B9" s="183" t="s">
        <v>130</v>
      </c>
      <c r="C9" s="183" t="s">
        <v>142</v>
      </c>
      <c r="D9" s="184" t="s">
        <v>113</v>
      </c>
      <c r="E9" s="197" t="s">
        <v>129</v>
      </c>
      <c r="F9" s="236" t="s">
        <v>126</v>
      </c>
      <c r="G9" s="236"/>
      <c r="H9" s="237"/>
      <c r="J9" s="177"/>
    </row>
    <row r="10" spans="1:10" x14ac:dyDescent="0.25">
      <c r="A10" s="7" t="s">
        <v>20</v>
      </c>
      <c r="B10" s="184" t="s">
        <v>175</v>
      </c>
      <c r="C10" s="184" t="s">
        <v>59</v>
      </c>
      <c r="D10" s="185" t="s">
        <v>269</v>
      </c>
      <c r="E10" s="197" t="s">
        <v>175</v>
      </c>
      <c r="F10" s="241" t="s">
        <v>127</v>
      </c>
      <c r="G10" s="241"/>
      <c r="H10" s="242"/>
    </row>
    <row r="11" spans="1:10" x14ac:dyDescent="0.25">
      <c r="A11" s="7" t="s">
        <v>21</v>
      </c>
      <c r="B11" s="183" t="s">
        <v>64</v>
      </c>
      <c r="C11" s="183" t="s">
        <v>270</v>
      </c>
      <c r="D11" s="183" t="s">
        <v>91</v>
      </c>
      <c r="E11" s="186" t="s">
        <v>60</v>
      </c>
      <c r="F11" s="236" t="s">
        <v>194</v>
      </c>
      <c r="G11" s="236"/>
      <c r="H11" s="237"/>
    </row>
    <row r="12" spans="1:10" x14ac:dyDescent="0.25">
      <c r="A12" s="7" t="s">
        <v>79</v>
      </c>
      <c r="B12" s="183" t="s">
        <v>222</v>
      </c>
      <c r="C12" s="183" t="s">
        <v>268</v>
      </c>
      <c r="D12" s="183" t="s">
        <v>227</v>
      </c>
      <c r="E12" s="183" t="s">
        <v>267</v>
      </c>
      <c r="F12" s="236" t="s">
        <v>69</v>
      </c>
      <c r="G12" s="236"/>
      <c r="H12" s="237"/>
    </row>
    <row r="13" spans="1:10" x14ac:dyDescent="0.25">
      <c r="A13" s="193" t="s">
        <v>265</v>
      </c>
      <c r="B13" s="192" t="s">
        <v>264</v>
      </c>
      <c r="C13" s="192" t="s">
        <v>114</v>
      </c>
      <c r="D13" s="192" t="s">
        <v>272</v>
      </c>
      <c r="E13" s="192" t="s">
        <v>271</v>
      </c>
      <c r="F13" s="236"/>
      <c r="G13" s="236"/>
      <c r="H13" s="237"/>
    </row>
    <row r="14" spans="1:10" ht="15.75" thickBot="1" x14ac:dyDescent="0.3">
      <c r="A14" s="190" t="s">
        <v>266</v>
      </c>
      <c r="B14" s="191"/>
      <c r="C14" s="191"/>
      <c r="D14" s="191" t="s">
        <v>176</v>
      </c>
      <c r="E14" s="191"/>
      <c r="F14" s="252"/>
      <c r="G14" s="252"/>
      <c r="H14" s="253"/>
    </row>
    <row r="15" spans="1:10" x14ac:dyDescent="0.25">
      <c r="A15" s="182"/>
      <c r="B15" s="179">
        <f>B7+7</f>
        <v>14</v>
      </c>
      <c r="C15" s="179">
        <f>B15+1</f>
        <v>15</v>
      </c>
      <c r="D15" s="179">
        <f t="shared" ref="D15:H15" si="1">C15+1</f>
        <v>16</v>
      </c>
      <c r="E15" s="179">
        <f t="shared" si="1"/>
        <v>17</v>
      </c>
      <c r="F15" s="179">
        <f t="shared" si="1"/>
        <v>18</v>
      </c>
      <c r="G15" s="179">
        <f>F15+1</f>
        <v>19</v>
      </c>
      <c r="H15" s="196">
        <f t="shared" si="1"/>
        <v>20</v>
      </c>
    </row>
    <row r="16" spans="1:10" x14ac:dyDescent="0.25">
      <c r="A16" s="7" t="s">
        <v>22</v>
      </c>
      <c r="B16" s="181">
        <v>3</v>
      </c>
      <c r="C16" s="181">
        <v>3</v>
      </c>
      <c r="D16" s="181">
        <v>3</v>
      </c>
      <c r="E16" s="181">
        <v>3</v>
      </c>
      <c r="F16" s="236">
        <v>3</v>
      </c>
      <c r="G16" s="236"/>
      <c r="H16" s="237"/>
    </row>
    <row r="17" spans="1:10" x14ac:dyDescent="0.25">
      <c r="A17" s="7" t="s">
        <v>19</v>
      </c>
      <c r="B17" s="184" t="s">
        <v>162</v>
      </c>
      <c r="C17" s="184" t="s">
        <v>130</v>
      </c>
      <c r="D17" s="180" t="s">
        <v>91</v>
      </c>
      <c r="E17" s="183" t="s">
        <v>64</v>
      </c>
      <c r="F17" s="236" t="s">
        <v>112</v>
      </c>
      <c r="G17" s="236"/>
      <c r="H17" s="237"/>
      <c r="I17" s="177"/>
    </row>
    <row r="18" spans="1:10" x14ac:dyDescent="0.25">
      <c r="A18" s="7" t="s">
        <v>20</v>
      </c>
      <c r="B18" s="185" t="s">
        <v>141</v>
      </c>
      <c r="C18" s="185" t="s">
        <v>57</v>
      </c>
      <c r="D18" s="197" t="s">
        <v>175</v>
      </c>
      <c r="E18" s="184" t="s">
        <v>61</v>
      </c>
      <c r="F18" s="236" t="s">
        <v>58</v>
      </c>
      <c r="G18" s="236"/>
      <c r="H18" s="237"/>
      <c r="I18" s="177"/>
    </row>
    <row r="19" spans="1:10" x14ac:dyDescent="0.25">
      <c r="A19" s="7" t="s">
        <v>21</v>
      </c>
      <c r="B19" s="183" t="s">
        <v>113</v>
      </c>
      <c r="C19" s="183" t="s">
        <v>191</v>
      </c>
      <c r="D19" s="181" t="s">
        <v>174</v>
      </c>
      <c r="E19" s="197" t="s">
        <v>195</v>
      </c>
      <c r="F19" s="241" t="s">
        <v>71</v>
      </c>
      <c r="G19" s="241"/>
      <c r="H19" s="242"/>
      <c r="J19" s="177"/>
    </row>
    <row r="20" spans="1:10" x14ac:dyDescent="0.25">
      <c r="A20" s="7" t="s">
        <v>79</v>
      </c>
      <c r="B20" s="181" t="s">
        <v>225</v>
      </c>
      <c r="C20" s="197" t="s">
        <v>129</v>
      </c>
      <c r="D20" s="183" t="s">
        <v>222</v>
      </c>
      <c r="E20" s="183" t="s">
        <v>261</v>
      </c>
      <c r="F20" s="236" t="s">
        <v>176</v>
      </c>
      <c r="G20" s="236"/>
      <c r="H20" s="237"/>
      <c r="J20" s="177"/>
    </row>
    <row r="21" spans="1:10" x14ac:dyDescent="0.25">
      <c r="A21" s="188" t="s">
        <v>265</v>
      </c>
      <c r="B21" s="189" t="s">
        <v>267</v>
      </c>
      <c r="C21" s="189" t="s">
        <v>272</v>
      </c>
      <c r="D21" s="189" t="s">
        <v>269</v>
      </c>
      <c r="E21" s="189" t="s">
        <v>268</v>
      </c>
      <c r="F21" s="238"/>
      <c r="G21" s="239"/>
      <c r="H21" s="240"/>
    </row>
    <row r="22" spans="1:10" ht="15.75" thickBot="1" x14ac:dyDescent="0.3">
      <c r="A22" s="190" t="s">
        <v>266</v>
      </c>
      <c r="B22" s="191"/>
      <c r="C22" s="191"/>
      <c r="D22" s="191"/>
      <c r="E22" s="191"/>
      <c r="F22" s="263"/>
      <c r="G22" s="264"/>
      <c r="H22" s="265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7"/>
    </row>
    <row r="24" spans="1:10" x14ac:dyDescent="0.25">
      <c r="A24" s="7" t="s">
        <v>22</v>
      </c>
      <c r="B24" s="181">
        <v>3</v>
      </c>
      <c r="C24" s="181">
        <v>3</v>
      </c>
      <c r="D24" s="181">
        <v>3</v>
      </c>
      <c r="E24" s="181">
        <v>3</v>
      </c>
      <c r="F24" s="236">
        <v>3</v>
      </c>
      <c r="G24" s="236"/>
      <c r="H24" s="237"/>
    </row>
    <row r="25" spans="1:10" x14ac:dyDescent="0.25">
      <c r="A25" s="7" t="s">
        <v>19</v>
      </c>
      <c r="B25" s="181" t="s">
        <v>269</v>
      </c>
      <c r="C25" s="181" t="s">
        <v>130</v>
      </c>
      <c r="D25" s="184" t="s">
        <v>142</v>
      </c>
      <c r="E25" s="183" t="s">
        <v>67</v>
      </c>
      <c r="F25" s="236" t="s">
        <v>115</v>
      </c>
      <c r="G25" s="236"/>
      <c r="H25" s="237"/>
    </row>
    <row r="26" spans="1:10" x14ac:dyDescent="0.25">
      <c r="A26" s="7" t="s">
        <v>20</v>
      </c>
      <c r="B26" s="184" t="s">
        <v>64</v>
      </c>
      <c r="C26" s="184" t="s">
        <v>162</v>
      </c>
      <c r="D26" s="183" t="s">
        <v>114</v>
      </c>
      <c r="E26" s="181" t="s">
        <v>71</v>
      </c>
      <c r="F26" s="236" t="s">
        <v>61</v>
      </c>
      <c r="G26" s="236"/>
      <c r="H26" s="237"/>
    </row>
    <row r="27" spans="1:10" x14ac:dyDescent="0.25">
      <c r="A27" s="7" t="s">
        <v>21</v>
      </c>
      <c r="B27" s="183" t="s">
        <v>60</v>
      </c>
      <c r="C27" s="183" t="s">
        <v>174</v>
      </c>
      <c r="D27" s="183" t="s">
        <v>113</v>
      </c>
      <c r="E27" s="184" t="s">
        <v>161</v>
      </c>
      <c r="F27" s="241" t="s">
        <v>59</v>
      </c>
      <c r="G27" s="241"/>
      <c r="H27" s="242"/>
    </row>
    <row r="28" spans="1:10" x14ac:dyDescent="0.25">
      <c r="A28" s="7" t="s">
        <v>79</v>
      </c>
      <c r="B28" s="181" t="s">
        <v>262</v>
      </c>
      <c r="C28" s="181" t="s">
        <v>227</v>
      </c>
      <c r="D28" s="183" t="s">
        <v>267</v>
      </c>
      <c r="E28" s="183" t="s">
        <v>57</v>
      </c>
      <c r="F28" s="236" t="s">
        <v>261</v>
      </c>
      <c r="G28" s="236"/>
      <c r="H28" s="237"/>
    </row>
    <row r="29" spans="1:10" x14ac:dyDescent="0.25">
      <c r="A29" s="188" t="s">
        <v>265</v>
      </c>
      <c r="B29" s="189" t="s">
        <v>141</v>
      </c>
      <c r="C29" s="189" t="s">
        <v>222</v>
      </c>
      <c r="D29" s="189" t="s">
        <v>225</v>
      </c>
      <c r="E29" s="189" t="s">
        <v>271</v>
      </c>
      <c r="F29" s="260"/>
      <c r="G29" s="261"/>
      <c r="H29" s="262"/>
    </row>
    <row r="30" spans="1:10" ht="15.75" thickBot="1" x14ac:dyDescent="0.3">
      <c r="A30" s="188" t="s">
        <v>266</v>
      </c>
      <c r="B30" s="189"/>
      <c r="C30" s="189"/>
      <c r="D30" s="189"/>
      <c r="E30" s="189"/>
      <c r="F30" s="260"/>
      <c r="G30" s="261"/>
      <c r="H30" s="262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3">
        <v>3</v>
      </c>
      <c r="C32" s="183">
        <v>3</v>
      </c>
      <c r="D32" s="183">
        <v>3</v>
      </c>
      <c r="E32" s="183">
        <v>3</v>
      </c>
      <c r="F32" s="236">
        <v>2</v>
      </c>
      <c r="G32" s="236"/>
      <c r="H32" s="237"/>
    </row>
    <row r="33" spans="1:8" x14ac:dyDescent="0.25">
      <c r="A33" s="7" t="s">
        <v>19</v>
      </c>
      <c r="B33" s="185" t="s">
        <v>221</v>
      </c>
      <c r="C33" s="183" t="s">
        <v>142</v>
      </c>
      <c r="D33" s="183" t="s">
        <v>130</v>
      </c>
      <c r="E33" s="183" t="s">
        <v>161</v>
      </c>
      <c r="F33" s="241" t="s">
        <v>81</v>
      </c>
      <c r="G33" s="241"/>
      <c r="H33" s="242"/>
    </row>
    <row r="34" spans="1:8" x14ac:dyDescent="0.25">
      <c r="A34" s="7" t="s">
        <v>20</v>
      </c>
      <c r="B34" s="184" t="s">
        <v>114</v>
      </c>
      <c r="C34" s="184" t="s">
        <v>113</v>
      </c>
      <c r="D34" s="197" t="s">
        <v>129</v>
      </c>
      <c r="E34" s="184" t="s">
        <v>176</v>
      </c>
      <c r="F34" s="241" t="s">
        <v>141</v>
      </c>
      <c r="G34" s="241"/>
      <c r="H34" s="242"/>
    </row>
    <row r="35" spans="1:8" x14ac:dyDescent="0.25">
      <c r="A35" s="7" t="s">
        <v>21</v>
      </c>
      <c r="B35" s="197" t="s">
        <v>195</v>
      </c>
      <c r="C35" s="183" t="s">
        <v>270</v>
      </c>
      <c r="D35" s="184" t="s">
        <v>174</v>
      </c>
      <c r="E35" s="183" t="s">
        <v>67</v>
      </c>
      <c r="F35" s="236" t="s">
        <v>191</v>
      </c>
      <c r="G35" s="236"/>
      <c r="H35" s="237"/>
    </row>
    <row r="36" spans="1:8" x14ac:dyDescent="0.25">
      <c r="A36" s="7" t="s">
        <v>79</v>
      </c>
      <c r="B36" s="183" t="s">
        <v>225</v>
      </c>
      <c r="C36" s="183" t="s">
        <v>268</v>
      </c>
      <c r="D36" s="183" t="s">
        <v>91</v>
      </c>
      <c r="E36" s="183" t="s">
        <v>222</v>
      </c>
      <c r="F36" s="236" t="s">
        <v>262</v>
      </c>
      <c r="G36" s="236"/>
      <c r="H36" s="237"/>
    </row>
    <row r="37" spans="1:8" x14ac:dyDescent="0.25">
      <c r="A37" s="193" t="s">
        <v>265</v>
      </c>
      <c r="B37" s="192" t="s">
        <v>194</v>
      </c>
      <c r="C37" s="192" t="s">
        <v>227</v>
      </c>
      <c r="D37" s="192" t="s">
        <v>272</v>
      </c>
      <c r="E37" s="192" t="s">
        <v>69</v>
      </c>
      <c r="F37" s="236"/>
      <c r="G37" s="236"/>
      <c r="H37" s="237"/>
    </row>
    <row r="38" spans="1:8" ht="15.75" thickBot="1" x14ac:dyDescent="0.3">
      <c r="A38" s="190" t="s">
        <v>266</v>
      </c>
      <c r="B38" s="191"/>
      <c r="C38" s="191" t="s">
        <v>264</v>
      </c>
      <c r="D38" s="191"/>
      <c r="E38" s="191"/>
      <c r="F38" s="252"/>
      <c r="G38" s="252"/>
      <c r="H38" s="253"/>
    </row>
    <row r="64" spans="11:11" x14ac:dyDescent="0.25">
      <c r="K64" s="198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36">
        <v>3</v>
      </c>
      <c r="G2" s="236"/>
      <c r="H2" s="237"/>
    </row>
    <row r="3" spans="1:18" ht="15.75" thickBot="1" x14ac:dyDescent="0.3">
      <c r="A3" s="7" t="s">
        <v>19</v>
      </c>
      <c r="B3" s="55"/>
      <c r="C3" s="55"/>
      <c r="D3" s="56"/>
      <c r="E3" s="56"/>
      <c r="F3" s="238" t="s">
        <v>176</v>
      </c>
      <c r="G3" s="239"/>
      <c r="H3" s="240"/>
    </row>
    <row r="4" spans="1:18" ht="15.75" thickBot="1" x14ac:dyDescent="0.3">
      <c r="A4" s="7" t="s">
        <v>20</v>
      </c>
      <c r="B4" s="55"/>
      <c r="C4" s="56"/>
      <c r="D4" s="56"/>
      <c r="E4" s="55"/>
      <c r="F4" s="236" t="s">
        <v>114</v>
      </c>
      <c r="G4" s="236"/>
      <c r="H4" s="237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43" t="s">
        <v>58</v>
      </c>
      <c r="G5" s="244"/>
      <c r="H5" s="245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52" t="s">
        <v>71</v>
      </c>
      <c r="G6" s="252"/>
      <c r="H6" s="253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36">
        <v>3</v>
      </c>
      <c r="G8" s="236"/>
      <c r="H8" s="237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41" t="s">
        <v>57</v>
      </c>
      <c r="G9" s="241"/>
      <c r="H9" s="242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36" t="s">
        <v>126</v>
      </c>
      <c r="G10" s="236"/>
      <c r="H10" s="237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36" t="s">
        <v>128</v>
      </c>
      <c r="G11" s="236"/>
      <c r="H11" s="237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36" t="s">
        <v>129</v>
      </c>
      <c r="G12" s="236"/>
      <c r="H12" s="237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38" t="s">
        <v>210</v>
      </c>
      <c r="C14" s="239"/>
      <c r="D14" s="266"/>
      <c r="E14" s="94">
        <v>3</v>
      </c>
      <c r="F14" s="236">
        <v>3</v>
      </c>
      <c r="G14" s="236"/>
      <c r="H14" s="237"/>
    </row>
    <row r="15" spans="1:18" x14ac:dyDescent="0.25">
      <c r="A15" s="7" t="s">
        <v>19</v>
      </c>
      <c r="B15" s="238" t="s">
        <v>113</v>
      </c>
      <c r="C15" s="239"/>
      <c r="D15" s="266"/>
      <c r="E15" s="148" t="s">
        <v>195</v>
      </c>
      <c r="F15" s="236" t="s">
        <v>81</v>
      </c>
      <c r="G15" s="236"/>
      <c r="H15" s="237"/>
    </row>
    <row r="16" spans="1:18" x14ac:dyDescent="0.25">
      <c r="A16" s="7" t="s">
        <v>20</v>
      </c>
      <c r="B16" s="243" t="s">
        <v>112</v>
      </c>
      <c r="C16" s="244"/>
      <c r="D16" s="268"/>
      <c r="E16" s="145" t="s">
        <v>176</v>
      </c>
      <c r="F16" s="243" t="s">
        <v>92</v>
      </c>
      <c r="G16" s="244"/>
      <c r="H16" s="245"/>
    </row>
    <row r="17" spans="1:8" x14ac:dyDescent="0.25">
      <c r="A17" s="7" t="s">
        <v>21</v>
      </c>
      <c r="B17" s="238" t="s">
        <v>114</v>
      </c>
      <c r="C17" s="239"/>
      <c r="D17" s="266"/>
      <c r="E17" s="94" t="s">
        <v>67</v>
      </c>
      <c r="F17" s="236" t="s">
        <v>191</v>
      </c>
      <c r="G17" s="236"/>
      <c r="H17" s="237"/>
    </row>
    <row r="18" spans="1:8" ht="15.75" thickBot="1" x14ac:dyDescent="0.3">
      <c r="A18" s="7" t="s">
        <v>79</v>
      </c>
      <c r="B18" s="238" t="s">
        <v>222</v>
      </c>
      <c r="C18" s="239"/>
      <c r="D18" s="266"/>
      <c r="E18" s="94" t="s">
        <v>64</v>
      </c>
      <c r="F18" s="236" t="s">
        <v>221</v>
      </c>
      <c r="G18" s="236"/>
      <c r="H18" s="237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38" t="s">
        <v>211</v>
      </c>
      <c r="E20" s="266"/>
      <c r="F20" s="236">
        <v>2</v>
      </c>
      <c r="G20" s="236"/>
      <c r="H20" s="237"/>
    </row>
    <row r="21" spans="1:8" x14ac:dyDescent="0.25">
      <c r="A21" s="29" t="s">
        <v>19</v>
      </c>
      <c r="B21" s="145" t="s">
        <v>176</v>
      </c>
      <c r="C21" s="94" t="s">
        <v>71</v>
      </c>
      <c r="D21" s="238" t="s">
        <v>195</v>
      </c>
      <c r="E21" s="266"/>
      <c r="F21" s="236" t="s">
        <v>115</v>
      </c>
      <c r="G21" s="236"/>
      <c r="H21" s="237"/>
    </row>
    <row r="22" spans="1:8" x14ac:dyDescent="0.25">
      <c r="A22" s="7" t="s">
        <v>20</v>
      </c>
      <c r="B22" s="145" t="s">
        <v>58</v>
      </c>
      <c r="C22" s="148" t="s">
        <v>59</v>
      </c>
      <c r="D22" s="243" t="s">
        <v>80</v>
      </c>
      <c r="E22" s="268"/>
      <c r="F22" s="243" t="s">
        <v>60</v>
      </c>
      <c r="G22" s="244"/>
      <c r="H22" s="245"/>
    </row>
    <row r="23" spans="1:8" x14ac:dyDescent="0.25">
      <c r="A23" s="7" t="s">
        <v>21</v>
      </c>
      <c r="B23" s="146" t="s">
        <v>127</v>
      </c>
      <c r="C23" s="142" t="s">
        <v>67</v>
      </c>
      <c r="D23" s="238" t="s">
        <v>174</v>
      </c>
      <c r="E23" s="266"/>
      <c r="F23" s="236" t="s">
        <v>61</v>
      </c>
      <c r="G23" s="236"/>
      <c r="H23" s="237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38" t="s">
        <v>175</v>
      </c>
      <c r="E24" s="266"/>
      <c r="F24" s="236" t="s">
        <v>227</v>
      </c>
      <c r="G24" s="236"/>
      <c r="H24" s="237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38" t="s">
        <v>212</v>
      </c>
      <c r="C26" s="266"/>
      <c r="D26" s="92">
        <v>3</v>
      </c>
      <c r="E26" s="94">
        <v>3</v>
      </c>
      <c r="F26" s="236">
        <v>3</v>
      </c>
      <c r="G26" s="236"/>
      <c r="H26" s="237"/>
    </row>
    <row r="27" spans="1:8" x14ac:dyDescent="0.25">
      <c r="A27" s="7" t="s">
        <v>19</v>
      </c>
      <c r="B27" s="243" t="s">
        <v>126</v>
      </c>
      <c r="C27" s="268"/>
      <c r="D27" s="149" t="s">
        <v>71</v>
      </c>
      <c r="E27" s="145" t="s">
        <v>57</v>
      </c>
      <c r="F27" s="238" t="s">
        <v>67</v>
      </c>
      <c r="G27" s="239"/>
      <c r="H27" s="240"/>
    </row>
    <row r="28" spans="1:8" x14ac:dyDescent="0.25">
      <c r="A28" s="7" t="s">
        <v>20</v>
      </c>
      <c r="B28" s="238" t="s">
        <v>69</v>
      </c>
      <c r="C28" s="266"/>
      <c r="D28" s="93" t="s">
        <v>127</v>
      </c>
      <c r="E28" s="92" t="s">
        <v>175</v>
      </c>
      <c r="F28" s="243" t="s">
        <v>91</v>
      </c>
      <c r="G28" s="244"/>
      <c r="H28" s="245"/>
    </row>
    <row r="29" spans="1:8" x14ac:dyDescent="0.25">
      <c r="A29" s="7" t="s">
        <v>21</v>
      </c>
      <c r="B29" s="238" t="s">
        <v>81</v>
      </c>
      <c r="C29" s="266"/>
      <c r="D29" s="92" t="s">
        <v>163</v>
      </c>
      <c r="E29" s="146" t="s">
        <v>59</v>
      </c>
      <c r="F29" s="236" t="s">
        <v>161</v>
      </c>
      <c r="G29" s="236"/>
      <c r="H29" s="237"/>
    </row>
    <row r="30" spans="1:8" ht="15.75" thickBot="1" x14ac:dyDescent="0.3">
      <c r="A30" s="8" t="s">
        <v>79</v>
      </c>
      <c r="B30" s="238" t="s">
        <v>142</v>
      </c>
      <c r="C30" s="266"/>
      <c r="D30" s="96" t="s">
        <v>112</v>
      </c>
      <c r="E30" s="95" t="s">
        <v>195</v>
      </c>
      <c r="F30" s="252" t="s">
        <v>130</v>
      </c>
      <c r="G30" s="252"/>
      <c r="H30" s="253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38" t="s">
        <v>213</v>
      </c>
      <c r="C32" s="266"/>
      <c r="D32" s="92">
        <v>3</v>
      </c>
      <c r="E32" s="94">
        <v>3</v>
      </c>
      <c r="F32" s="236">
        <v>2</v>
      </c>
      <c r="G32" s="236"/>
      <c r="H32" s="237"/>
    </row>
    <row r="33" spans="1:8" x14ac:dyDescent="0.25">
      <c r="A33" s="7" t="s">
        <v>19</v>
      </c>
      <c r="B33" s="238" t="s">
        <v>221</v>
      </c>
      <c r="C33" s="266"/>
      <c r="D33" s="94" t="s">
        <v>61</v>
      </c>
      <c r="E33" s="145" t="s">
        <v>71</v>
      </c>
      <c r="F33" s="238" t="s">
        <v>141</v>
      </c>
      <c r="G33" s="239"/>
      <c r="H33" s="240"/>
    </row>
    <row r="34" spans="1:8" x14ac:dyDescent="0.25">
      <c r="A34" s="7" t="s">
        <v>20</v>
      </c>
      <c r="B34" s="243" t="s">
        <v>64</v>
      </c>
      <c r="C34" s="268"/>
      <c r="D34" s="147" t="s">
        <v>176</v>
      </c>
      <c r="E34" s="148" t="s">
        <v>92</v>
      </c>
      <c r="F34" s="243" t="s">
        <v>162</v>
      </c>
      <c r="G34" s="244"/>
      <c r="H34" s="245"/>
    </row>
    <row r="35" spans="1:8" x14ac:dyDescent="0.25">
      <c r="A35" s="7" t="s">
        <v>21</v>
      </c>
      <c r="B35" s="238" t="s">
        <v>163</v>
      </c>
      <c r="C35" s="266"/>
      <c r="D35" s="148" t="s">
        <v>127</v>
      </c>
      <c r="E35" s="94" t="s">
        <v>69</v>
      </c>
      <c r="F35" s="241" t="s">
        <v>80</v>
      </c>
      <c r="G35" s="241"/>
      <c r="H35" s="242"/>
    </row>
    <row r="36" spans="1:8" ht="15.75" thickBot="1" x14ac:dyDescent="0.3">
      <c r="A36" s="8" t="s">
        <v>79</v>
      </c>
      <c r="B36" s="263" t="s">
        <v>194</v>
      </c>
      <c r="C36" s="267"/>
      <c r="D36" s="96" t="s">
        <v>227</v>
      </c>
      <c r="E36" s="95" t="s">
        <v>222</v>
      </c>
      <c r="F36" s="252" t="s">
        <v>225</v>
      </c>
      <c r="G36" s="252"/>
      <c r="H36" s="253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לוח דצמבר</vt:lpstr>
      <vt:lpstr>חיילים</vt:lpstr>
      <vt:lpstr>הזנת לוח</vt:lpstr>
      <vt:lpstr>סטטיסטיקה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2018-11-20T15:41:38Z</dcterms:modified>
</cp:coreProperties>
</file>