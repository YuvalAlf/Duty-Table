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4B3A8CFE-1908-477E-8FED-F32E4E39BC68}" xr6:coauthVersionLast="40" xr6:coauthVersionMax="40" xr10:uidLastSave="{00000000-0000-0000-0000-000000000000}"/>
  <bookViews>
    <workbookView xWindow="0" yWindow="0" windowWidth="28800" windowHeight="12225" tabRatio="1000" xr2:uid="{00000000-000D-0000-FFFF-FFFF00000000}"/>
  </bookViews>
  <sheets>
    <sheet name="לוח ינואר" sheetId="33" r:id="rId1"/>
    <sheet name="חיילים" sheetId="1" r:id="rId2"/>
    <sheet name="סטטיסטיקה" sheetId="3" r:id="rId3"/>
    <sheet name="הזנת לוח" sheetId="32" r:id="rId4"/>
    <sheet name="תקנים עתידיים מושלם" sheetId="17" r:id="rId5"/>
    <sheet name="נושאים לטיפול" sheetId="31" r:id="rId6"/>
    <sheet name="חיילים שלא עברו מבחן" sheetId="25" r:id="rId7"/>
    <sheet name="לוח דצמבר" sheetId="30" r:id="rId8"/>
    <sheet name="לוח נובמבר" sheetId="29" r:id="rId9"/>
    <sheet name="לוח אוקטובר" sheetId="27" r:id="rId10"/>
    <sheet name="לוח ספטמבר" sheetId="26" r:id="rId11"/>
    <sheet name="לוח אוגוסט" sheetId="23" r:id="rId12"/>
  </sheets>
  <definedNames>
    <definedName name="_xlnm._FilterDatabase" localSheetId="3" hidden="1">'הזנת לוח'!$A$1:$J$45</definedName>
    <definedName name="_xlnm._FilterDatabase" localSheetId="1" hidden="1">חיילים!$A$1:$EU$50</definedName>
    <definedName name="_xlnm._FilterDatabase" localSheetId="6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3" l="1"/>
  <c r="EJ4" i="1" l="1"/>
  <c r="EK4" i="1"/>
  <c r="ES4" i="1"/>
  <c r="ET4" i="1"/>
  <c r="EC4" i="1"/>
  <c r="ED4" i="1"/>
  <c r="DV4" i="1"/>
  <c r="DW4" i="1"/>
  <c r="C4" i="1"/>
  <c r="EM4" i="1" l="1"/>
  <c r="EN4" i="1" s="1"/>
  <c r="EU4" i="1"/>
  <c r="EL4" i="1"/>
  <c r="DX4" i="1"/>
  <c r="EE4" i="1"/>
  <c r="EO4" i="1"/>
  <c r="EP4" i="1" s="1"/>
  <c r="EJ31" i="1"/>
  <c r="EK31" i="1"/>
  <c r="EJ12" i="1"/>
  <c r="EK12" i="1"/>
  <c r="EJ14" i="1"/>
  <c r="EK14" i="1"/>
  <c r="EJ37" i="1"/>
  <c r="EK37" i="1"/>
  <c r="EJ24" i="1"/>
  <c r="EK24" i="1"/>
  <c r="EJ5" i="1"/>
  <c r="EK5" i="1"/>
  <c r="EJ17" i="1"/>
  <c r="EK17" i="1"/>
  <c r="EJ34" i="1"/>
  <c r="EK34" i="1"/>
  <c r="EJ26" i="1"/>
  <c r="EK26" i="1"/>
  <c r="EJ29" i="1"/>
  <c r="EK29" i="1"/>
  <c r="EJ43" i="1"/>
  <c r="EK43" i="1"/>
  <c r="EJ36" i="1"/>
  <c r="EK36" i="1"/>
  <c r="EJ21" i="1"/>
  <c r="EK21" i="1"/>
  <c r="EJ49" i="1"/>
  <c r="EK49" i="1"/>
  <c r="EJ27" i="1"/>
  <c r="EK27" i="1"/>
  <c r="EJ50" i="1"/>
  <c r="EK50" i="1"/>
  <c r="EJ30" i="1"/>
  <c r="EK30" i="1"/>
  <c r="EJ32" i="1"/>
  <c r="EK32" i="1"/>
  <c r="EJ8" i="1"/>
  <c r="EK8" i="1"/>
  <c r="EJ11" i="1"/>
  <c r="EK11" i="1"/>
  <c r="EJ48" i="1"/>
  <c r="EK48" i="1"/>
  <c r="EJ25" i="1"/>
  <c r="EK25" i="1"/>
  <c r="EJ42" i="1"/>
  <c r="EK42" i="1"/>
  <c r="EJ2" i="1"/>
  <c r="EK2" i="1"/>
  <c r="EJ16" i="1"/>
  <c r="EK16" i="1"/>
  <c r="EJ38" i="1"/>
  <c r="EK38" i="1"/>
  <c r="EJ45" i="1"/>
  <c r="EK45" i="1"/>
  <c r="EJ40" i="1"/>
  <c r="EK40" i="1"/>
  <c r="EJ9" i="1"/>
  <c r="EK9" i="1"/>
  <c r="EJ46" i="1"/>
  <c r="EK46" i="1"/>
  <c r="EC31" i="1"/>
  <c r="ED31" i="1"/>
  <c r="EC12" i="1"/>
  <c r="ED12" i="1"/>
  <c r="EC14" i="1"/>
  <c r="ED14" i="1"/>
  <c r="EC37" i="1"/>
  <c r="ED37" i="1"/>
  <c r="EC24" i="1"/>
  <c r="ED24" i="1"/>
  <c r="EC5" i="1"/>
  <c r="ED5" i="1"/>
  <c r="EC17" i="1"/>
  <c r="ED17" i="1"/>
  <c r="EC34" i="1"/>
  <c r="ED34" i="1"/>
  <c r="EC26" i="1"/>
  <c r="ED26" i="1"/>
  <c r="EC29" i="1"/>
  <c r="ED29" i="1"/>
  <c r="EC43" i="1"/>
  <c r="ED43" i="1"/>
  <c r="EC36" i="1"/>
  <c r="ED36" i="1"/>
  <c r="EC21" i="1"/>
  <c r="ED21" i="1"/>
  <c r="EC49" i="1"/>
  <c r="ED49" i="1"/>
  <c r="EC27" i="1"/>
  <c r="ED27" i="1"/>
  <c r="EC50" i="1"/>
  <c r="ED50" i="1"/>
  <c r="EC30" i="1"/>
  <c r="ED30" i="1"/>
  <c r="EC32" i="1"/>
  <c r="ED32" i="1"/>
  <c r="EC8" i="1"/>
  <c r="ED8" i="1"/>
  <c r="EC11" i="1"/>
  <c r="ED11" i="1"/>
  <c r="EC48" i="1"/>
  <c r="ED48" i="1"/>
  <c r="EC25" i="1"/>
  <c r="ED25" i="1"/>
  <c r="EC42" i="1"/>
  <c r="ED42" i="1"/>
  <c r="EC2" i="1"/>
  <c r="ED2" i="1"/>
  <c r="EC16" i="1"/>
  <c r="ED16" i="1"/>
  <c r="EC38" i="1"/>
  <c r="ED38" i="1"/>
  <c r="EC45" i="1"/>
  <c r="ED45" i="1"/>
  <c r="EC40" i="1"/>
  <c r="ED40" i="1"/>
  <c r="EC9" i="1"/>
  <c r="ED9" i="1"/>
  <c r="EC46" i="1"/>
  <c r="ED46" i="1"/>
  <c r="EC28" i="1"/>
  <c r="ED28" i="1"/>
  <c r="DV33" i="1"/>
  <c r="DW33" i="1"/>
  <c r="DV35" i="1"/>
  <c r="DW35" i="1"/>
  <c r="DV19" i="1"/>
  <c r="DW19" i="1"/>
  <c r="DV20" i="1"/>
  <c r="DW20" i="1"/>
  <c r="DV22" i="1"/>
  <c r="DW22" i="1"/>
  <c r="DV44" i="1"/>
  <c r="DW44" i="1"/>
  <c r="DV39" i="1"/>
  <c r="DW39" i="1"/>
  <c r="DV31" i="1"/>
  <c r="DW31" i="1"/>
  <c r="DV12" i="1"/>
  <c r="DW12" i="1"/>
  <c r="DV14" i="1"/>
  <c r="DW14" i="1"/>
  <c r="DV37" i="1"/>
  <c r="DW37" i="1"/>
  <c r="DV24" i="1"/>
  <c r="DW24" i="1"/>
  <c r="DV5" i="1"/>
  <c r="DW5" i="1"/>
  <c r="DV17" i="1"/>
  <c r="DW17" i="1"/>
  <c r="DV34" i="1"/>
  <c r="DW34" i="1"/>
  <c r="DV26" i="1"/>
  <c r="DW26" i="1"/>
  <c r="DV29" i="1"/>
  <c r="DW29" i="1"/>
  <c r="DV43" i="1"/>
  <c r="DW43" i="1"/>
  <c r="DV36" i="1"/>
  <c r="DW36" i="1"/>
  <c r="DV21" i="1"/>
  <c r="DW21" i="1"/>
  <c r="DV49" i="1"/>
  <c r="DW49" i="1"/>
  <c r="DV27" i="1"/>
  <c r="DW27" i="1"/>
  <c r="DV50" i="1"/>
  <c r="DW50" i="1"/>
  <c r="DV30" i="1"/>
  <c r="DW30" i="1"/>
  <c r="DV32" i="1"/>
  <c r="DW32" i="1"/>
  <c r="DV8" i="1"/>
  <c r="DW8" i="1"/>
  <c r="DV11" i="1"/>
  <c r="DW11" i="1"/>
  <c r="DV48" i="1"/>
  <c r="DW48" i="1"/>
  <c r="DV25" i="1"/>
  <c r="DW25" i="1"/>
  <c r="DV42" i="1"/>
  <c r="DW42" i="1"/>
  <c r="DV2" i="1"/>
  <c r="DW2" i="1"/>
  <c r="DV16" i="1"/>
  <c r="DW16" i="1"/>
  <c r="DV38" i="1"/>
  <c r="DW38" i="1"/>
  <c r="DV45" i="1"/>
  <c r="DW45" i="1"/>
  <c r="DV40" i="1"/>
  <c r="DW40" i="1"/>
  <c r="DV9" i="1"/>
  <c r="DW9" i="1"/>
  <c r="DV46" i="1"/>
  <c r="DW46" i="1"/>
  <c r="ES38" i="1"/>
  <c r="ET38" i="1"/>
  <c r="ES45" i="1"/>
  <c r="ET45" i="1"/>
  <c r="ES40" i="1"/>
  <c r="ET40" i="1"/>
  <c r="ES9" i="1"/>
  <c r="ET9" i="1"/>
  <c r="ES46" i="1"/>
  <c r="ET46" i="1"/>
  <c r="ES28" i="1"/>
  <c r="ET28" i="1"/>
  <c r="ES6" i="1"/>
  <c r="ET6" i="1"/>
  <c r="C40" i="1"/>
  <c r="C9" i="1"/>
  <c r="ES33" i="1"/>
  <c r="ET33" i="1"/>
  <c r="ES35" i="1"/>
  <c r="ET35" i="1"/>
  <c r="ES19" i="1"/>
  <c r="ET19" i="1"/>
  <c r="ES20" i="1"/>
  <c r="ET20" i="1"/>
  <c r="ES22" i="1"/>
  <c r="ET22" i="1"/>
  <c r="ES44" i="1"/>
  <c r="ET44" i="1"/>
  <c r="ES39" i="1"/>
  <c r="ET39" i="1"/>
  <c r="ES31" i="1"/>
  <c r="ET31" i="1"/>
  <c r="ES12" i="1"/>
  <c r="ET12" i="1"/>
  <c r="ES14" i="1"/>
  <c r="ET14" i="1"/>
  <c r="ES37" i="1"/>
  <c r="ET37" i="1"/>
  <c r="ES24" i="1"/>
  <c r="ET24" i="1"/>
  <c r="ES5" i="1"/>
  <c r="ET5" i="1"/>
  <c r="ES17" i="1"/>
  <c r="ET17" i="1"/>
  <c r="ES34" i="1"/>
  <c r="ET34" i="1"/>
  <c r="ES26" i="1"/>
  <c r="ET26" i="1"/>
  <c r="ES29" i="1"/>
  <c r="ET29" i="1"/>
  <c r="ES43" i="1"/>
  <c r="ET43" i="1"/>
  <c r="ES36" i="1"/>
  <c r="ET36" i="1"/>
  <c r="ES21" i="1"/>
  <c r="ET21" i="1"/>
  <c r="ES49" i="1"/>
  <c r="ET49" i="1"/>
  <c r="ES27" i="1"/>
  <c r="ET27" i="1"/>
  <c r="ES50" i="1"/>
  <c r="ET50" i="1"/>
  <c r="ES30" i="1"/>
  <c r="ET30" i="1"/>
  <c r="ES32" i="1"/>
  <c r="ET32" i="1"/>
  <c r="ES8" i="1"/>
  <c r="ET8" i="1"/>
  <c r="ES11" i="1"/>
  <c r="ET11" i="1"/>
  <c r="ES48" i="1"/>
  <c r="ET48" i="1"/>
  <c r="ES25" i="1"/>
  <c r="ET25" i="1"/>
  <c r="ES42" i="1"/>
  <c r="ET42" i="1"/>
  <c r="ES2" i="1"/>
  <c r="ET2" i="1"/>
  <c r="ES16" i="1"/>
  <c r="ET16" i="1"/>
  <c r="ES10" i="1"/>
  <c r="ET10" i="1"/>
  <c r="ES15" i="1"/>
  <c r="ET15" i="1"/>
  <c r="ES3" i="1"/>
  <c r="ET3" i="1"/>
  <c r="ES23" i="1"/>
  <c r="ET23" i="1"/>
  <c r="ES41" i="1"/>
  <c r="ET41" i="1"/>
  <c r="ES7" i="1"/>
  <c r="ET7" i="1"/>
  <c r="ES18" i="1"/>
  <c r="ET18" i="1"/>
  <c r="ES47" i="1"/>
  <c r="ET47" i="1"/>
  <c r="EQ4" i="1" l="1"/>
  <c r="ER4" i="1"/>
  <c r="EU11" i="1"/>
  <c r="DX37" i="1"/>
  <c r="DX19" i="1"/>
  <c r="EU30" i="1"/>
  <c r="DX49" i="1"/>
  <c r="EU25" i="1"/>
  <c r="EU32" i="1"/>
  <c r="EU49" i="1"/>
  <c r="EU29" i="1"/>
  <c r="DX5" i="1"/>
  <c r="EL38" i="1"/>
  <c r="EL5" i="1"/>
  <c r="DX30" i="1"/>
  <c r="EE29" i="1"/>
  <c r="EE12" i="1"/>
  <c r="DX8" i="1"/>
  <c r="DX26" i="1"/>
  <c r="EU26" i="1"/>
  <c r="EL12" i="1"/>
  <c r="DX25" i="1"/>
  <c r="DX50" i="1"/>
  <c r="DX36" i="1"/>
  <c r="EU16" i="1"/>
  <c r="EU5" i="1"/>
  <c r="DX45" i="1"/>
  <c r="DX42" i="1"/>
  <c r="EU3" i="1"/>
  <c r="EU2" i="1"/>
  <c r="EU21" i="1"/>
  <c r="DX38" i="1"/>
  <c r="DX14" i="1"/>
  <c r="EE48" i="1"/>
  <c r="EU15" i="1"/>
  <c r="DX9" i="1"/>
  <c r="EM32" i="1"/>
  <c r="EN32" i="1" s="1"/>
  <c r="DX12" i="1"/>
  <c r="DX22" i="1"/>
  <c r="DX33" i="1"/>
  <c r="EE50" i="1"/>
  <c r="EL46" i="1"/>
  <c r="EM9" i="1"/>
  <c r="EN9" i="1" s="1"/>
  <c r="EU17" i="1"/>
  <c r="EU45" i="1"/>
  <c r="DX2" i="1"/>
  <c r="DX31" i="1"/>
  <c r="EE42" i="1"/>
  <c r="EL31" i="1"/>
  <c r="EU10" i="1"/>
  <c r="EU27" i="1"/>
  <c r="EU31" i="1"/>
  <c r="EM30" i="1"/>
  <c r="EN30" i="1" s="1"/>
  <c r="EU37" i="1"/>
  <c r="EU39" i="1"/>
  <c r="EU19" i="1"/>
  <c r="EU6" i="1"/>
  <c r="DX27" i="1"/>
  <c r="DX43" i="1"/>
  <c r="EE38" i="1"/>
  <c r="EE25" i="1"/>
  <c r="EE30" i="1"/>
  <c r="DX16" i="1"/>
  <c r="EU44" i="1"/>
  <c r="EL17" i="1"/>
  <c r="EU50" i="1"/>
  <c r="EU33" i="1"/>
  <c r="DX11" i="1"/>
  <c r="EE2" i="1"/>
  <c r="EL25" i="1"/>
  <c r="EL32" i="1"/>
  <c r="EL29" i="1"/>
  <c r="EE8" i="1"/>
  <c r="EU47" i="1"/>
  <c r="EU34" i="1"/>
  <c r="EU24" i="1"/>
  <c r="EU20" i="1"/>
  <c r="EE26" i="1"/>
  <c r="EL11" i="1"/>
  <c r="EL36" i="1"/>
  <c r="EL34" i="1"/>
  <c r="EL27" i="1"/>
  <c r="EL43" i="1"/>
  <c r="DX46" i="1"/>
  <c r="EE34" i="1"/>
  <c r="EE37" i="1"/>
  <c r="EU23" i="1"/>
  <c r="EU28" i="1"/>
  <c r="EE32" i="1"/>
  <c r="EE17" i="1"/>
  <c r="EE14" i="1"/>
  <c r="EL49" i="1"/>
  <c r="EL48" i="1"/>
  <c r="EL21" i="1"/>
  <c r="EL26" i="1"/>
  <c r="DX35" i="1"/>
  <c r="DX29" i="1"/>
  <c r="EU22" i="1"/>
  <c r="EU46" i="1"/>
  <c r="EE5" i="1"/>
  <c r="EL8" i="1"/>
  <c r="EU42" i="1"/>
  <c r="EL42" i="1"/>
  <c r="EU14" i="1"/>
  <c r="EU35" i="1"/>
  <c r="EU43" i="1"/>
  <c r="EO32" i="1"/>
  <c r="EP32" i="1" s="1"/>
  <c r="EU12" i="1"/>
  <c r="EU9" i="1"/>
  <c r="EU38" i="1"/>
  <c r="DX40" i="1"/>
  <c r="DX32" i="1"/>
  <c r="DX24" i="1"/>
  <c r="EE27" i="1"/>
  <c r="EE43" i="1"/>
  <c r="EL45" i="1"/>
  <c r="EL2" i="1"/>
  <c r="EL30" i="1"/>
  <c r="EL37" i="1"/>
  <c r="DX48" i="1"/>
  <c r="DX34" i="1"/>
  <c r="EE16" i="1"/>
  <c r="EL14" i="1"/>
  <c r="EU41" i="1"/>
  <c r="EE40" i="1"/>
  <c r="EE49" i="1"/>
  <c r="EL50" i="1"/>
  <c r="EU7" i="1"/>
  <c r="EO25" i="1"/>
  <c r="EP25" i="1" s="1"/>
  <c r="EU8" i="1"/>
  <c r="EU36" i="1"/>
  <c r="EU40" i="1"/>
  <c r="DX21" i="1"/>
  <c r="DX39" i="1"/>
  <c r="DX20" i="1"/>
  <c r="EE28" i="1"/>
  <c r="EE45" i="1"/>
  <c r="EL9" i="1"/>
  <c r="EL16" i="1"/>
  <c r="EL24" i="1"/>
  <c r="EU48" i="1"/>
  <c r="EU18" i="1"/>
  <c r="DX44" i="1"/>
  <c r="EE46" i="1"/>
  <c r="EL40" i="1"/>
  <c r="EM40" i="1"/>
  <c r="EN40" i="1" s="1"/>
  <c r="EO30" i="1"/>
  <c r="EP30" i="1" s="1"/>
  <c r="EO9" i="1"/>
  <c r="EP9" i="1" s="1"/>
  <c r="EE9" i="1"/>
  <c r="EE21" i="1"/>
  <c r="EE24" i="1"/>
  <c r="EE11" i="1"/>
  <c r="EE36" i="1"/>
  <c r="EM25" i="1"/>
  <c r="EN25" i="1" s="1"/>
  <c r="EE31" i="1"/>
  <c r="EO40" i="1"/>
  <c r="EP40" i="1" s="1"/>
  <c r="DX17" i="1"/>
  <c r="C30" i="1"/>
  <c r="C25" i="1"/>
  <c r="C32" i="1"/>
  <c r="C8" i="1"/>
  <c r="N8" i="1"/>
  <c r="O8" i="1"/>
  <c r="U8" i="1"/>
  <c r="V8" i="1"/>
  <c r="AB8" i="1"/>
  <c r="AC8" i="1"/>
  <c r="AI8" i="1"/>
  <c r="AJ8" i="1"/>
  <c r="AP8" i="1"/>
  <c r="AQ8" i="1"/>
  <c r="AW8" i="1"/>
  <c r="AX8" i="1"/>
  <c r="BD8" i="1"/>
  <c r="BE8" i="1"/>
  <c r="BK8" i="1"/>
  <c r="BL8" i="1"/>
  <c r="BR8" i="1"/>
  <c r="BS8" i="1"/>
  <c r="BY8" i="1"/>
  <c r="BZ8" i="1"/>
  <c r="CF8" i="1"/>
  <c r="CG8" i="1"/>
  <c r="CM8" i="1"/>
  <c r="CN8" i="1"/>
  <c r="CT8" i="1"/>
  <c r="CU8" i="1"/>
  <c r="DA8" i="1"/>
  <c r="DB8" i="1"/>
  <c r="DH8" i="1"/>
  <c r="DI8" i="1"/>
  <c r="DO8" i="1"/>
  <c r="DP8" i="1"/>
  <c r="ER30" i="1" l="1"/>
  <c r="ER9" i="1"/>
  <c r="AK8" i="1"/>
  <c r="ER25" i="1"/>
  <c r="ER32" i="1"/>
  <c r="EO8" i="1"/>
  <c r="EP8" i="1" s="1"/>
  <c r="P8" i="1"/>
  <c r="EQ32" i="1"/>
  <c r="AD8" i="1"/>
  <c r="AY8" i="1"/>
  <c r="BT8" i="1"/>
  <c r="AR8" i="1"/>
  <c r="EM8" i="1"/>
  <c r="EN8" i="1" s="1"/>
  <c r="CO8" i="1"/>
  <c r="BM8" i="1"/>
  <c r="EQ9" i="1"/>
  <c r="EQ30" i="1"/>
  <c r="ER40" i="1"/>
  <c r="EQ25" i="1"/>
  <c r="EQ40" i="1"/>
  <c r="DJ8" i="1"/>
  <c r="CH8" i="1"/>
  <c r="CV8" i="1"/>
  <c r="DQ8" i="1"/>
  <c r="DC8" i="1"/>
  <c r="BF8" i="1"/>
  <c r="CA8" i="1"/>
  <c r="W8" i="1"/>
  <c r="H4" i="3"/>
  <c r="I4" i="3"/>
  <c r="G4" i="3"/>
  <c r="ES13" i="1"/>
  <c r="ET13" i="1"/>
  <c r="EJ13" i="1"/>
  <c r="EK13" i="1"/>
  <c r="EJ33" i="1"/>
  <c r="EK33" i="1"/>
  <c r="EJ35" i="1"/>
  <c r="EK35" i="1"/>
  <c r="EJ19" i="1"/>
  <c r="EK19" i="1"/>
  <c r="EJ20" i="1"/>
  <c r="EK20" i="1"/>
  <c r="EJ22" i="1"/>
  <c r="EK22" i="1"/>
  <c r="EJ44" i="1"/>
  <c r="EK44" i="1"/>
  <c r="EJ39" i="1"/>
  <c r="EK39" i="1"/>
  <c r="EJ28" i="1"/>
  <c r="EK28" i="1"/>
  <c r="EJ6" i="1"/>
  <c r="EK6" i="1"/>
  <c r="EJ10" i="1"/>
  <c r="EK10" i="1"/>
  <c r="EJ15" i="1"/>
  <c r="EK15" i="1"/>
  <c r="EJ3" i="1"/>
  <c r="EK3" i="1"/>
  <c r="EJ23" i="1"/>
  <c r="EK23" i="1"/>
  <c r="EJ41" i="1"/>
  <c r="EK41" i="1"/>
  <c r="EJ7" i="1"/>
  <c r="EK7" i="1"/>
  <c r="EJ18" i="1"/>
  <c r="EK18" i="1"/>
  <c r="EJ47" i="1"/>
  <c r="EK47" i="1"/>
  <c r="J6" i="3"/>
  <c r="I6" i="3"/>
  <c r="H6" i="3"/>
  <c r="G6" i="3"/>
  <c r="G1" i="33"/>
  <c r="H1" i="33" s="1"/>
  <c r="B8" i="33" s="1"/>
  <c r="C8" i="33" s="1"/>
  <c r="D8" i="33" s="1"/>
  <c r="E8" i="33" s="1"/>
  <c r="F8" i="33" s="1"/>
  <c r="EL15" i="1" l="1"/>
  <c r="EL39" i="1"/>
  <c r="EL10" i="1"/>
  <c r="EL28" i="1"/>
  <c r="EL44" i="1"/>
  <c r="EL6" i="1"/>
  <c r="EL22" i="1"/>
  <c r="ER8" i="1"/>
  <c r="EQ8" i="1"/>
  <c r="EL33" i="1"/>
  <c r="EL23" i="1"/>
  <c r="EL18" i="1"/>
  <c r="EL13" i="1"/>
  <c r="EU13" i="1"/>
  <c r="EL3" i="1"/>
  <c r="EL41" i="1"/>
  <c r="EL35" i="1"/>
  <c r="EL47" i="1"/>
  <c r="EL20" i="1"/>
  <c r="EL19" i="1"/>
  <c r="EL7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5" i="1"/>
  <c r="I5" i="3" l="1"/>
  <c r="C22" i="33"/>
  <c r="D22" i="33" s="1"/>
  <c r="E22" i="33" s="1"/>
  <c r="F22" i="33" s="1"/>
  <c r="EC39" i="1"/>
  <c r="ED39" i="1"/>
  <c r="DO39" i="1"/>
  <c r="DP39" i="1"/>
  <c r="C39" i="1"/>
  <c r="EO39" i="1" l="1"/>
  <c r="EP39" i="1" s="1"/>
  <c r="EM39" i="1"/>
  <c r="EE39" i="1"/>
  <c r="G22" i="33"/>
  <c r="H22" i="33" s="1"/>
  <c r="B30" i="33" s="1"/>
  <c r="C30" i="33" s="1"/>
  <c r="D30" i="33" s="1"/>
  <c r="E30" i="33" s="1"/>
  <c r="F30" i="33" s="1"/>
  <c r="H30" i="33" s="1"/>
  <c r="DQ39" i="1"/>
  <c r="EC7" i="1"/>
  <c r="ED7" i="1"/>
  <c r="DV7" i="1"/>
  <c r="DW7" i="1"/>
  <c r="DO37" i="1"/>
  <c r="EM37" i="1" s="1"/>
  <c r="DP37" i="1"/>
  <c r="EO37" i="1" s="1"/>
  <c r="EP37" i="1" s="1"/>
  <c r="DO7" i="1"/>
  <c r="DP7" i="1"/>
  <c r="DO34" i="1"/>
  <c r="EM34" i="1" s="1"/>
  <c r="DP34" i="1"/>
  <c r="EO34" i="1" s="1"/>
  <c r="EP34" i="1" s="1"/>
  <c r="C34" i="1"/>
  <c r="C7" i="1"/>
  <c r="C37" i="1"/>
  <c r="EN37" i="1" l="1"/>
  <c r="ER37" i="1" s="1"/>
  <c r="EQ37" i="1"/>
  <c r="EN34" i="1"/>
  <c r="ER34" i="1" s="1"/>
  <c r="EQ34" i="1"/>
  <c r="EO7" i="1"/>
  <c r="EP7" i="1" s="1"/>
  <c r="EM7" i="1"/>
  <c r="EN39" i="1"/>
  <c r="ER39" i="1" s="1"/>
  <c r="EQ39" i="1"/>
  <c r="DQ37" i="1"/>
  <c r="EE7" i="1"/>
  <c r="DQ7" i="1"/>
  <c r="DQ34" i="1"/>
  <c r="DX7" i="1"/>
  <c r="EQ7" i="1" l="1"/>
  <c r="EN7" i="1"/>
  <c r="ER7" i="1" s="1"/>
  <c r="ED23" i="1"/>
  <c r="EC23" i="1"/>
  <c r="ED3" i="1"/>
  <c r="EC3" i="1"/>
  <c r="ED15" i="1"/>
  <c r="EC15" i="1"/>
  <c r="ED44" i="1"/>
  <c r="EC44" i="1"/>
  <c r="ED35" i="1"/>
  <c r="EC35" i="1"/>
  <c r="ED33" i="1"/>
  <c r="EC33" i="1"/>
  <c r="ED47" i="1"/>
  <c r="EC47" i="1"/>
  <c r="ED18" i="1"/>
  <c r="EC18" i="1"/>
  <c r="ED41" i="1"/>
  <c r="EC41" i="1"/>
  <c r="ED10" i="1"/>
  <c r="EC10" i="1"/>
  <c r="ED6" i="1"/>
  <c r="EC6" i="1"/>
  <c r="ED22" i="1"/>
  <c r="EC22" i="1"/>
  <c r="ED20" i="1"/>
  <c r="EC20" i="1"/>
  <c r="ED19" i="1"/>
  <c r="EC19" i="1"/>
  <c r="ED13" i="1"/>
  <c r="EC13" i="1"/>
  <c r="EE22" i="1" l="1"/>
  <c r="EE6" i="1"/>
  <c r="EE44" i="1"/>
  <c r="EE19" i="1"/>
  <c r="EE20" i="1"/>
  <c r="EE10" i="1"/>
  <c r="EE47" i="1"/>
  <c r="EE13" i="1"/>
  <c r="EE41" i="1"/>
  <c r="EE23" i="1"/>
  <c r="EE33" i="1"/>
  <c r="EE35" i="1"/>
  <c r="EE15" i="1"/>
  <c r="EE18" i="1"/>
  <c r="EE3" i="1"/>
  <c r="DV23" i="1"/>
  <c r="DW23" i="1"/>
  <c r="DO23" i="1"/>
  <c r="DP23" i="1"/>
  <c r="DO16" i="1"/>
  <c r="DP16" i="1"/>
  <c r="DH23" i="1"/>
  <c r="DI23" i="1"/>
  <c r="DH16" i="1"/>
  <c r="DI16" i="1"/>
  <c r="C16" i="1"/>
  <c r="C23" i="1"/>
  <c r="EO16" i="1" l="1"/>
  <c r="EP16" i="1" s="1"/>
  <c r="EM16" i="1"/>
  <c r="EO23" i="1"/>
  <c r="EP23" i="1" s="1"/>
  <c r="EM23" i="1"/>
  <c r="DJ16" i="1"/>
  <c r="DJ23" i="1"/>
  <c r="DQ23" i="1"/>
  <c r="DX23" i="1"/>
  <c r="DQ16" i="1"/>
  <c r="DO48" i="1"/>
  <c r="DP48" i="1"/>
  <c r="DH48" i="1"/>
  <c r="DI48" i="1"/>
  <c r="DH11" i="1"/>
  <c r="DI11" i="1"/>
  <c r="C48" i="1"/>
  <c r="EO48" i="1" l="1"/>
  <c r="EP48" i="1" s="1"/>
  <c r="EN16" i="1"/>
  <c r="ER16" i="1" s="1"/>
  <c r="EQ16" i="1"/>
  <c r="EM48" i="1"/>
  <c r="EN23" i="1"/>
  <c r="ER23" i="1" s="1"/>
  <c r="EQ23" i="1"/>
  <c r="DJ11" i="1"/>
  <c r="DQ48" i="1"/>
  <c r="DJ48" i="1"/>
  <c r="DW13" i="1"/>
  <c r="DV13" i="1"/>
  <c r="DW18" i="1"/>
  <c r="DV18" i="1"/>
  <c r="DW41" i="1"/>
  <c r="DV41" i="1"/>
  <c r="DW47" i="1"/>
  <c r="DV47" i="1"/>
  <c r="DW3" i="1"/>
  <c r="DV3" i="1"/>
  <c r="DW10" i="1"/>
  <c r="DV10" i="1"/>
  <c r="DW28" i="1"/>
  <c r="DV28" i="1"/>
  <c r="DW6" i="1"/>
  <c r="DV6" i="1"/>
  <c r="DW15" i="1"/>
  <c r="DV15" i="1"/>
  <c r="DO29" i="1"/>
  <c r="DP29" i="1"/>
  <c r="DO26" i="1"/>
  <c r="DP26" i="1"/>
  <c r="DO2" i="1"/>
  <c r="DP2" i="1"/>
  <c r="DO47" i="1"/>
  <c r="DP47" i="1"/>
  <c r="DH29" i="1"/>
  <c r="EM29" i="1" s="1"/>
  <c r="DI29" i="1"/>
  <c r="EO29" i="1" s="1"/>
  <c r="EP29" i="1" s="1"/>
  <c r="DH26" i="1"/>
  <c r="EM26" i="1" s="1"/>
  <c r="DI26" i="1"/>
  <c r="EO26" i="1" s="1"/>
  <c r="EP26" i="1" s="1"/>
  <c r="DH2" i="1"/>
  <c r="EM2" i="1" s="1"/>
  <c r="DI2" i="1"/>
  <c r="EO2" i="1" s="1"/>
  <c r="EP2" i="1" s="1"/>
  <c r="DH47" i="1"/>
  <c r="DI47" i="1"/>
  <c r="C47" i="1"/>
  <c r="C29" i="1"/>
  <c r="C26" i="1"/>
  <c r="C2" i="1"/>
  <c r="EM47" i="1" l="1"/>
  <c r="EO47" i="1"/>
  <c r="EP47" i="1" s="1"/>
  <c r="DX6" i="1"/>
  <c r="DX28" i="1"/>
  <c r="DX10" i="1"/>
  <c r="EN48" i="1"/>
  <c r="ER48" i="1" s="1"/>
  <c r="EQ48" i="1"/>
  <c r="DX15" i="1"/>
  <c r="EN26" i="1"/>
  <c r="ER26" i="1" s="1"/>
  <c r="EQ26" i="1"/>
  <c r="EN29" i="1"/>
  <c r="ER29" i="1" s="1"/>
  <c r="EQ29" i="1"/>
  <c r="EN2" i="1"/>
  <c r="ER2" i="1" s="1"/>
  <c r="EQ2" i="1"/>
  <c r="DQ47" i="1"/>
  <c r="DQ29" i="1"/>
  <c r="DJ26" i="1"/>
  <c r="DX13" i="1"/>
  <c r="DJ2" i="1"/>
  <c r="DJ47" i="1"/>
  <c r="DX18" i="1"/>
  <c r="DX47" i="1"/>
  <c r="DX3" i="1"/>
  <c r="DX41" i="1"/>
  <c r="DJ29" i="1"/>
  <c r="DQ2" i="1"/>
  <c r="DQ26" i="1"/>
  <c r="EQ47" i="1" l="1"/>
  <c r="EN47" i="1"/>
  <c r="ER47" i="1" s="1"/>
  <c r="DO44" i="1"/>
  <c r="DP44" i="1"/>
  <c r="DH44" i="1"/>
  <c r="DI44" i="1"/>
  <c r="EO44" i="1" s="1"/>
  <c r="EP44" i="1" s="1"/>
  <c r="C44" i="1"/>
  <c r="DO35" i="1"/>
  <c r="DP35" i="1"/>
  <c r="DO5" i="1"/>
  <c r="DP5" i="1"/>
  <c r="DH35" i="1"/>
  <c r="DI35" i="1"/>
  <c r="DH5" i="1"/>
  <c r="DI5" i="1"/>
  <c r="EO5" i="1" s="1"/>
  <c r="EP5" i="1" s="1"/>
  <c r="C35" i="1"/>
  <c r="EM44" i="1" l="1"/>
  <c r="EQ44" i="1" s="1"/>
  <c r="EM5" i="1"/>
  <c r="EO35" i="1"/>
  <c r="EP35" i="1" s="1"/>
  <c r="EM35" i="1"/>
  <c r="DJ5" i="1"/>
  <c r="DQ44" i="1"/>
  <c r="DJ44" i="1"/>
  <c r="DJ35" i="1"/>
  <c r="DQ5" i="1"/>
  <c r="DQ35" i="1"/>
  <c r="EN44" i="1" l="1"/>
  <c r="ER44" i="1" s="1"/>
  <c r="EN35" i="1"/>
  <c r="ER35" i="1" s="1"/>
  <c r="EQ35" i="1"/>
  <c r="EN5" i="1"/>
  <c r="ER5" i="1" s="1"/>
  <c r="EQ5" i="1"/>
  <c r="DO15" i="1"/>
  <c r="DP15" i="1"/>
  <c r="DH15" i="1"/>
  <c r="DI15" i="1"/>
  <c r="DA15" i="1"/>
  <c r="DB15" i="1"/>
  <c r="C15" i="1"/>
  <c r="EM15" i="1" l="1"/>
  <c r="EN15" i="1" s="1"/>
  <c r="EO15" i="1"/>
  <c r="DJ15" i="1"/>
  <c r="DQ15" i="1"/>
  <c r="DC15" i="1"/>
  <c r="EQ15" i="1" l="1"/>
  <c r="EP15" i="1"/>
  <c r="ER15" i="1" s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22" i="1"/>
  <c r="DO22" i="1"/>
  <c r="DP45" i="1"/>
  <c r="DO45" i="1"/>
  <c r="DP18" i="1"/>
  <c r="DO18" i="1"/>
  <c r="DP24" i="1"/>
  <c r="DO24" i="1"/>
  <c r="DP17" i="1"/>
  <c r="DO17" i="1"/>
  <c r="DP14" i="1"/>
  <c r="DO14" i="1"/>
  <c r="DP21" i="1"/>
  <c r="DO21" i="1"/>
  <c r="DP27" i="1"/>
  <c r="DO27" i="1"/>
  <c r="DP6" i="1"/>
  <c r="DO6" i="1"/>
  <c r="DP31" i="1"/>
  <c r="DO31" i="1"/>
  <c r="DP41" i="1"/>
  <c r="DO41" i="1"/>
  <c r="DP19" i="1"/>
  <c r="DO19" i="1"/>
  <c r="DP13" i="1"/>
  <c r="DO13" i="1"/>
  <c r="DP36" i="1"/>
  <c r="DO36" i="1"/>
  <c r="DP42" i="1"/>
  <c r="DO42" i="1"/>
  <c r="DP46" i="1"/>
  <c r="DO46" i="1"/>
  <c r="DP50" i="1"/>
  <c r="DO50" i="1"/>
  <c r="DP38" i="1"/>
  <c r="DO38" i="1"/>
  <c r="DP20" i="1"/>
  <c r="DO20" i="1"/>
  <c r="DP49" i="1"/>
  <c r="DO49" i="1"/>
  <c r="DP10" i="1"/>
  <c r="DO10" i="1"/>
  <c r="DP11" i="1"/>
  <c r="DO11" i="1"/>
  <c r="DP3" i="1"/>
  <c r="DO3" i="1"/>
  <c r="DP33" i="1"/>
  <c r="DO33" i="1"/>
  <c r="DP43" i="1"/>
  <c r="DO43" i="1"/>
  <c r="DP12" i="1"/>
  <c r="DO12" i="1"/>
  <c r="DP28" i="1"/>
  <c r="DO28" i="1"/>
  <c r="DQ13" i="1" l="1"/>
  <c r="DQ3" i="1"/>
  <c r="DQ46" i="1"/>
  <c r="DQ14" i="1"/>
  <c r="DQ38" i="1"/>
  <c r="DQ27" i="1"/>
  <c r="DQ11" i="1"/>
  <c r="C15" i="30"/>
  <c r="D15" i="30" s="1"/>
  <c r="E15" i="30" s="1"/>
  <c r="F15" i="30" s="1"/>
  <c r="G15" i="30" s="1"/>
  <c r="H15" i="30" s="1"/>
  <c r="B23" i="30"/>
  <c r="DQ50" i="1"/>
  <c r="DQ24" i="1"/>
  <c r="DQ28" i="1"/>
  <c r="DQ42" i="1"/>
  <c r="DQ10" i="1"/>
  <c r="DQ21" i="1"/>
  <c r="DQ22" i="1"/>
  <c r="DQ6" i="1"/>
  <c r="DQ19" i="1"/>
  <c r="DQ43" i="1"/>
  <c r="DQ18" i="1"/>
  <c r="DQ12" i="1"/>
  <c r="DQ33" i="1"/>
  <c r="DQ36" i="1"/>
  <c r="DQ41" i="1"/>
  <c r="DQ17" i="1"/>
  <c r="DQ31" i="1"/>
  <c r="DQ45" i="1"/>
  <c r="DQ49" i="1"/>
  <c r="DQ20" i="1"/>
  <c r="DA33" i="1"/>
  <c r="DB33" i="1"/>
  <c r="DH33" i="1"/>
  <c r="DI33" i="1"/>
  <c r="CT33" i="1"/>
  <c r="CU33" i="1"/>
  <c r="C33" i="1"/>
  <c r="EM33" i="1" l="1"/>
  <c r="EO33" i="1"/>
  <c r="EP33" i="1" s="1"/>
  <c r="C23" i="30"/>
  <c r="D23" i="30" s="1"/>
  <c r="E23" i="30" s="1"/>
  <c r="F23" i="30" s="1"/>
  <c r="G23" i="30" s="1"/>
  <c r="H23" i="30" s="1"/>
  <c r="B31" i="30"/>
  <c r="CV33" i="1"/>
  <c r="DJ33" i="1"/>
  <c r="DC33" i="1"/>
  <c r="DI18" i="1"/>
  <c r="DH18" i="1"/>
  <c r="DI41" i="1"/>
  <c r="DH41" i="1"/>
  <c r="DI3" i="1"/>
  <c r="DH3" i="1"/>
  <c r="DI10" i="1"/>
  <c r="DH10" i="1"/>
  <c r="DI6" i="1"/>
  <c r="DH6" i="1"/>
  <c r="DI28" i="1"/>
  <c r="DH28" i="1"/>
  <c r="DI46" i="1"/>
  <c r="DH46" i="1"/>
  <c r="DI45" i="1"/>
  <c r="DH45" i="1"/>
  <c r="DI38" i="1"/>
  <c r="DH38" i="1"/>
  <c r="DI42" i="1"/>
  <c r="DH42" i="1"/>
  <c r="DI50" i="1"/>
  <c r="DH50" i="1"/>
  <c r="DI27" i="1"/>
  <c r="DH27" i="1"/>
  <c r="DI49" i="1"/>
  <c r="DH49" i="1"/>
  <c r="DI21" i="1"/>
  <c r="DH21" i="1"/>
  <c r="DI36" i="1"/>
  <c r="DH36" i="1"/>
  <c r="DI43" i="1"/>
  <c r="DH43" i="1"/>
  <c r="DI17" i="1"/>
  <c r="DH17" i="1"/>
  <c r="DI24" i="1"/>
  <c r="DH24" i="1"/>
  <c r="DI14" i="1"/>
  <c r="DH14" i="1"/>
  <c r="DI12" i="1"/>
  <c r="DH12" i="1"/>
  <c r="DI31" i="1"/>
  <c r="DH31" i="1"/>
  <c r="DI22" i="1"/>
  <c r="DH22" i="1"/>
  <c r="DI20" i="1"/>
  <c r="DH20" i="1"/>
  <c r="DI19" i="1"/>
  <c r="DH19" i="1"/>
  <c r="DI13" i="1"/>
  <c r="DH13" i="1"/>
  <c r="DA3" i="1"/>
  <c r="DB3" i="1"/>
  <c r="CT3" i="1"/>
  <c r="CU3" i="1"/>
  <c r="C3" i="1"/>
  <c r="EO3" i="1" l="1"/>
  <c r="EP3" i="1" s="1"/>
  <c r="EM3" i="1"/>
  <c r="EN3" i="1" s="1"/>
  <c r="EQ33" i="1"/>
  <c r="EN33" i="1"/>
  <c r="ER33" i="1" s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3" i="1"/>
  <c r="DJ21" i="1"/>
  <c r="DJ43" i="1"/>
  <c r="DJ42" i="1"/>
  <c r="DJ36" i="1"/>
  <c r="DJ46" i="1"/>
  <c r="DJ18" i="1"/>
  <c r="DC3" i="1"/>
  <c r="DJ20" i="1"/>
  <c r="DJ24" i="1"/>
  <c r="DJ6" i="1"/>
  <c r="DJ22" i="1"/>
  <c r="DJ17" i="1"/>
  <c r="DJ50" i="1"/>
  <c r="DJ10" i="1"/>
  <c r="DJ31" i="1"/>
  <c r="DJ19" i="1"/>
  <c r="DJ3" i="1"/>
  <c r="DJ28" i="1"/>
  <c r="DJ12" i="1"/>
  <c r="DJ49" i="1"/>
  <c r="DJ38" i="1"/>
  <c r="DJ13" i="1"/>
  <c r="DJ14" i="1"/>
  <c r="DJ27" i="1"/>
  <c r="DJ45" i="1"/>
  <c r="DJ41" i="1"/>
  <c r="EQ3" i="1" l="1"/>
  <c r="ER3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28" i="1"/>
  <c r="DB28" i="1"/>
  <c r="CT28" i="1"/>
  <c r="CU28" i="1"/>
  <c r="CM28" i="1"/>
  <c r="EM28" i="1" s="1"/>
  <c r="CN28" i="1"/>
  <c r="C28" i="1"/>
  <c r="EN28" i="1" l="1"/>
  <c r="EO28" i="1"/>
  <c r="EP28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28" i="1"/>
  <c r="CV28" i="1"/>
  <c r="CO28" i="1"/>
  <c r="DB45" i="1"/>
  <c r="DA45" i="1"/>
  <c r="DB12" i="1"/>
  <c r="DA12" i="1"/>
  <c r="DB18" i="1"/>
  <c r="DA18" i="1"/>
  <c r="DB22" i="1"/>
  <c r="DA22" i="1"/>
  <c r="DB43" i="1"/>
  <c r="DA43" i="1"/>
  <c r="DB46" i="1"/>
  <c r="DA46" i="1"/>
  <c r="DB24" i="1"/>
  <c r="DA24" i="1"/>
  <c r="DB14" i="1"/>
  <c r="DA14" i="1"/>
  <c r="DB27" i="1"/>
  <c r="DA27" i="1"/>
  <c r="DB21" i="1"/>
  <c r="DA21" i="1"/>
  <c r="DB41" i="1"/>
  <c r="DA41" i="1"/>
  <c r="DB11" i="1"/>
  <c r="DA11" i="1"/>
  <c r="DB17" i="1"/>
  <c r="DA17" i="1"/>
  <c r="DB19" i="1"/>
  <c r="DA19" i="1"/>
  <c r="DB31" i="1"/>
  <c r="DA31" i="1"/>
  <c r="DB10" i="1"/>
  <c r="DA10" i="1"/>
  <c r="DB36" i="1"/>
  <c r="DA36" i="1"/>
  <c r="DB13" i="1"/>
  <c r="DA13" i="1"/>
  <c r="DB20" i="1"/>
  <c r="DA20" i="1"/>
  <c r="DB38" i="1"/>
  <c r="DA38" i="1"/>
  <c r="DB50" i="1"/>
  <c r="DA50" i="1"/>
  <c r="DB6" i="1"/>
  <c r="DA6" i="1"/>
  <c r="DB42" i="1"/>
  <c r="DA42" i="1"/>
  <c r="DB49" i="1"/>
  <c r="DA49" i="1"/>
  <c r="ER28" i="1" l="1"/>
  <c r="EQ28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50" i="1"/>
  <c r="DC21" i="1"/>
  <c r="DC14" i="1"/>
  <c r="DC18" i="1"/>
  <c r="DC42" i="1"/>
  <c r="DC45" i="1"/>
  <c r="DC38" i="1"/>
  <c r="DC20" i="1"/>
  <c r="DC19" i="1"/>
  <c r="DC49" i="1"/>
  <c r="DC10" i="1"/>
  <c r="DC41" i="1"/>
  <c r="DC27" i="1"/>
  <c r="DC43" i="1"/>
  <c r="DC31" i="1"/>
  <c r="DC12" i="1"/>
  <c r="DC17" i="1"/>
  <c r="DC6" i="1"/>
  <c r="DC13" i="1"/>
  <c r="DC24" i="1"/>
  <c r="DC22" i="1"/>
  <c r="DC36" i="1"/>
  <c r="DC11" i="1"/>
  <c r="DC46" i="1"/>
  <c r="CT12" i="1"/>
  <c r="CU12" i="1"/>
  <c r="CT6" i="1"/>
  <c r="CU6" i="1"/>
  <c r="CM12" i="1"/>
  <c r="CN12" i="1"/>
  <c r="CM6" i="1"/>
  <c r="CN6" i="1"/>
  <c r="CF12" i="1"/>
  <c r="CG12" i="1"/>
  <c r="CF6" i="1"/>
  <c r="CG6" i="1"/>
  <c r="BY12" i="1"/>
  <c r="BZ12" i="1"/>
  <c r="BY6" i="1"/>
  <c r="BZ6" i="1"/>
  <c r="BR12" i="1"/>
  <c r="BS12" i="1"/>
  <c r="BR6" i="1"/>
  <c r="BS6" i="1"/>
  <c r="BK12" i="1"/>
  <c r="BL12" i="1"/>
  <c r="BK6" i="1"/>
  <c r="BL6" i="1"/>
  <c r="BD12" i="1"/>
  <c r="BE12" i="1"/>
  <c r="BD6" i="1"/>
  <c r="BE6" i="1"/>
  <c r="AW12" i="1"/>
  <c r="AX12" i="1"/>
  <c r="AW6" i="1"/>
  <c r="AX6" i="1"/>
  <c r="AP12" i="1"/>
  <c r="AQ12" i="1"/>
  <c r="AP6" i="1"/>
  <c r="AQ6" i="1"/>
  <c r="AI12" i="1"/>
  <c r="AJ12" i="1"/>
  <c r="AI6" i="1"/>
  <c r="AJ6" i="1"/>
  <c r="AB12" i="1"/>
  <c r="AC12" i="1"/>
  <c r="AB6" i="1"/>
  <c r="AC6" i="1"/>
  <c r="U12" i="1"/>
  <c r="V12" i="1"/>
  <c r="U6" i="1"/>
  <c r="V6" i="1"/>
  <c r="N12" i="1"/>
  <c r="O12" i="1"/>
  <c r="N6" i="1"/>
  <c r="O6" i="1"/>
  <c r="C6" i="1"/>
  <c r="EO6" i="1" l="1"/>
  <c r="EP6" i="1" s="1"/>
  <c r="EO12" i="1"/>
  <c r="EP12" i="1" s="1"/>
  <c r="EM6" i="1"/>
  <c r="EM12" i="1"/>
  <c r="BT12" i="1"/>
  <c r="CH12" i="1"/>
  <c r="CV6" i="1"/>
  <c r="CV12" i="1"/>
  <c r="CA6" i="1"/>
  <c r="CA12" i="1"/>
  <c r="P12" i="1"/>
  <c r="W12" i="1"/>
  <c r="AK12" i="1"/>
  <c r="AY6" i="1"/>
  <c r="AY12" i="1"/>
  <c r="CO6" i="1"/>
  <c r="AR12" i="1"/>
  <c r="AK6" i="1"/>
  <c r="P6" i="1"/>
  <c r="AD6" i="1"/>
  <c r="AD12" i="1"/>
  <c r="AR6" i="1"/>
  <c r="CO12" i="1"/>
  <c r="BF6" i="1"/>
  <c r="BM6" i="1"/>
  <c r="BM12" i="1"/>
  <c r="CH6" i="1"/>
  <c r="W6" i="1"/>
  <c r="BF12" i="1"/>
  <c r="BT6" i="1"/>
  <c r="C19" i="1"/>
  <c r="C12" i="1"/>
  <c r="EQ6" i="1" l="1"/>
  <c r="EN6" i="1"/>
  <c r="ER6" i="1" s="1"/>
  <c r="EN12" i="1"/>
  <c r="ER12" i="1" s="1"/>
  <c r="EQ12" i="1"/>
  <c r="CT21" i="1"/>
  <c r="CU21" i="1"/>
  <c r="CT13" i="1"/>
  <c r="CU13" i="1"/>
  <c r="CT50" i="1"/>
  <c r="CU50" i="1"/>
  <c r="CT22" i="1"/>
  <c r="CU22" i="1"/>
  <c r="CT45" i="1"/>
  <c r="CU45" i="1"/>
  <c r="CT41" i="1"/>
  <c r="CU41" i="1"/>
  <c r="CT31" i="1"/>
  <c r="CU31" i="1"/>
  <c r="CT20" i="1"/>
  <c r="CU20" i="1"/>
  <c r="CT36" i="1"/>
  <c r="CU36" i="1"/>
  <c r="CT42" i="1"/>
  <c r="CU42" i="1"/>
  <c r="CT43" i="1"/>
  <c r="CU43" i="1"/>
  <c r="CT38" i="1"/>
  <c r="CU38" i="1"/>
  <c r="CT46" i="1"/>
  <c r="CU46" i="1"/>
  <c r="CT18" i="1"/>
  <c r="CU18" i="1"/>
  <c r="CT17" i="1"/>
  <c r="CU17" i="1"/>
  <c r="CT24" i="1"/>
  <c r="CU24" i="1"/>
  <c r="CT10" i="1"/>
  <c r="CU10" i="1"/>
  <c r="CM21" i="1"/>
  <c r="CN21" i="1"/>
  <c r="CM13" i="1"/>
  <c r="CN13" i="1"/>
  <c r="CM50" i="1"/>
  <c r="CN50" i="1"/>
  <c r="CM22" i="1"/>
  <c r="CN22" i="1"/>
  <c r="CM45" i="1"/>
  <c r="CN45" i="1"/>
  <c r="CM41" i="1"/>
  <c r="CN41" i="1"/>
  <c r="CM31" i="1"/>
  <c r="CN31" i="1"/>
  <c r="CM20" i="1"/>
  <c r="CN20" i="1"/>
  <c r="CM36" i="1"/>
  <c r="CN36" i="1"/>
  <c r="CM42" i="1"/>
  <c r="CN42" i="1"/>
  <c r="CM43" i="1"/>
  <c r="CN43" i="1"/>
  <c r="CM38" i="1"/>
  <c r="CN38" i="1"/>
  <c r="CM46" i="1"/>
  <c r="CN46" i="1"/>
  <c r="CM18" i="1"/>
  <c r="CN18" i="1"/>
  <c r="CM17" i="1"/>
  <c r="CN17" i="1"/>
  <c r="CM24" i="1"/>
  <c r="CN24" i="1"/>
  <c r="CM10" i="1"/>
  <c r="CN10" i="1"/>
  <c r="CM14" i="1"/>
  <c r="CN14" i="1"/>
  <c r="CM27" i="1"/>
  <c r="CN27" i="1"/>
  <c r="CM11" i="1"/>
  <c r="CN11" i="1"/>
  <c r="CU49" i="1"/>
  <c r="CT49" i="1"/>
  <c r="CU19" i="1"/>
  <c r="CT19" i="1"/>
  <c r="CU11" i="1"/>
  <c r="CT11" i="1"/>
  <c r="CU27" i="1"/>
  <c r="CT27" i="1"/>
  <c r="CU14" i="1"/>
  <c r="CT14" i="1"/>
  <c r="CO46" i="1" l="1"/>
  <c r="CO42" i="1"/>
  <c r="CO41" i="1"/>
  <c r="CO13" i="1"/>
  <c r="CV10" i="1"/>
  <c r="CV46" i="1"/>
  <c r="CO36" i="1"/>
  <c r="CO20" i="1"/>
  <c r="CO45" i="1"/>
  <c r="CO21" i="1"/>
  <c r="CV24" i="1"/>
  <c r="CV38" i="1"/>
  <c r="CO17" i="1"/>
  <c r="CV50" i="1"/>
  <c r="CV11" i="1"/>
  <c r="CO27" i="1"/>
  <c r="CO24" i="1"/>
  <c r="CO31" i="1"/>
  <c r="CV41" i="1"/>
  <c r="CV22" i="1"/>
  <c r="CV19" i="1"/>
  <c r="CO14" i="1"/>
  <c r="CO10" i="1"/>
  <c r="CV17" i="1"/>
  <c r="CV18" i="1"/>
  <c r="CV20" i="1"/>
  <c r="CV13" i="1"/>
  <c r="CV14" i="1"/>
  <c r="CV42" i="1"/>
  <c r="CO43" i="1"/>
  <c r="CV43" i="1"/>
  <c r="CV36" i="1"/>
  <c r="CV31" i="1"/>
  <c r="CV45" i="1"/>
  <c r="CV21" i="1"/>
  <c r="CO11" i="1"/>
  <c r="CO38" i="1"/>
  <c r="CO50" i="1"/>
  <c r="CO18" i="1"/>
  <c r="CO22" i="1"/>
  <c r="CV27" i="1"/>
  <c r="CV49" i="1"/>
  <c r="CF18" i="1" l="1"/>
  <c r="CG18" i="1"/>
  <c r="CF14" i="1"/>
  <c r="CG14" i="1"/>
  <c r="BY18" i="1"/>
  <c r="BZ18" i="1"/>
  <c r="BY14" i="1"/>
  <c r="BZ14" i="1"/>
  <c r="BR18" i="1"/>
  <c r="BS18" i="1"/>
  <c r="BR14" i="1"/>
  <c r="BS14" i="1"/>
  <c r="BK18" i="1"/>
  <c r="BL18" i="1"/>
  <c r="BD18" i="1"/>
  <c r="BE18" i="1"/>
  <c r="BD14" i="1"/>
  <c r="BE14" i="1"/>
  <c r="AW18" i="1"/>
  <c r="AX18" i="1"/>
  <c r="AP18" i="1"/>
  <c r="AQ18" i="1"/>
  <c r="AP14" i="1"/>
  <c r="AQ14" i="1"/>
  <c r="AI18" i="1"/>
  <c r="AJ18" i="1"/>
  <c r="AI14" i="1"/>
  <c r="AJ14" i="1"/>
  <c r="AB18" i="1"/>
  <c r="AC18" i="1"/>
  <c r="AB14" i="1"/>
  <c r="AC14" i="1"/>
  <c r="U18" i="1"/>
  <c r="V18" i="1"/>
  <c r="U14" i="1"/>
  <c r="V14" i="1"/>
  <c r="U27" i="1"/>
  <c r="V27" i="1"/>
  <c r="N21" i="1"/>
  <c r="O21" i="1"/>
  <c r="N18" i="1"/>
  <c r="O18" i="1"/>
  <c r="N14" i="1"/>
  <c r="O14" i="1"/>
  <c r="N27" i="1"/>
  <c r="O27" i="1"/>
  <c r="C18" i="1"/>
  <c r="EM18" i="1" l="1"/>
  <c r="EO18" i="1"/>
  <c r="EP18" i="1" s="1"/>
  <c r="P14" i="1"/>
  <c r="P21" i="1"/>
  <c r="AK18" i="1"/>
  <c r="BM18" i="1"/>
  <c r="BT14" i="1"/>
  <c r="CH14" i="1"/>
  <c r="P18" i="1"/>
  <c r="W14" i="1"/>
  <c r="AD14" i="1"/>
  <c r="AY18" i="1"/>
  <c r="W18" i="1"/>
  <c r="BF14" i="1"/>
  <c r="W27" i="1"/>
  <c r="AK14" i="1"/>
  <c r="AR14" i="1"/>
  <c r="CA18" i="1"/>
  <c r="AR18" i="1"/>
  <c r="BF18" i="1"/>
  <c r="BT18" i="1"/>
  <c r="CH18" i="1"/>
  <c r="P27" i="1"/>
  <c r="AD18" i="1"/>
  <c r="CA14" i="1"/>
  <c r="C7" i="23"/>
  <c r="D7" i="23" s="1"/>
  <c r="E7" i="23" s="1"/>
  <c r="F7" i="23" s="1"/>
  <c r="G7" i="23" s="1"/>
  <c r="H7" i="23" s="1"/>
  <c r="H1" i="23"/>
  <c r="EN18" i="1" l="1"/>
  <c r="ER18" i="1" s="1"/>
  <c r="EQ18" i="1"/>
  <c r="B13" i="23"/>
  <c r="B20" i="23" s="1"/>
  <c r="B26" i="23" s="1"/>
  <c r="C26" i="23" s="1"/>
  <c r="D26" i="23" s="1"/>
  <c r="E26" i="23" s="1"/>
  <c r="G5" i="3"/>
  <c r="CN49" i="1"/>
  <c r="CM49" i="1"/>
  <c r="CN19" i="1"/>
  <c r="CM19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9" i="1"/>
  <c r="CO49" i="1"/>
  <c r="C50" i="1" l="1"/>
  <c r="CF27" i="1" l="1"/>
  <c r="CG27" i="1"/>
  <c r="CF21" i="1"/>
  <c r="CG21" i="1"/>
  <c r="BY27" i="1"/>
  <c r="BZ27" i="1"/>
  <c r="BY21" i="1"/>
  <c r="BZ21" i="1"/>
  <c r="CG41" i="1"/>
  <c r="CF41" i="1"/>
  <c r="CG45" i="1"/>
  <c r="CF45" i="1"/>
  <c r="CG10" i="1"/>
  <c r="CF10" i="1"/>
  <c r="CG46" i="1"/>
  <c r="CF46" i="1"/>
  <c r="CG38" i="1"/>
  <c r="CF38" i="1"/>
  <c r="CG11" i="1"/>
  <c r="CF11" i="1"/>
  <c r="CG42" i="1"/>
  <c r="CF42" i="1"/>
  <c r="CG43" i="1"/>
  <c r="CF43" i="1"/>
  <c r="CG50" i="1"/>
  <c r="CF50" i="1"/>
  <c r="CG49" i="1"/>
  <c r="CF49" i="1"/>
  <c r="CG36" i="1"/>
  <c r="CF36" i="1"/>
  <c r="CG17" i="1"/>
  <c r="CF17" i="1"/>
  <c r="CG24" i="1"/>
  <c r="CF24" i="1"/>
  <c r="CG22" i="1"/>
  <c r="CF22" i="1"/>
  <c r="CG19" i="1"/>
  <c r="CF19" i="1"/>
  <c r="CG31" i="1"/>
  <c r="CF31" i="1"/>
  <c r="CG20" i="1"/>
  <c r="CF20" i="1"/>
  <c r="CG13" i="1"/>
  <c r="CF13" i="1"/>
  <c r="AW14" i="1"/>
  <c r="AX14" i="1"/>
  <c r="BK14" i="1"/>
  <c r="BL14" i="1"/>
  <c r="AB27" i="1"/>
  <c r="AC27" i="1"/>
  <c r="AI27" i="1"/>
  <c r="AJ27" i="1"/>
  <c r="AP27" i="1"/>
  <c r="AQ27" i="1"/>
  <c r="AW27" i="1"/>
  <c r="AX27" i="1"/>
  <c r="BD27" i="1"/>
  <c r="BE27" i="1"/>
  <c r="BK27" i="1"/>
  <c r="BL27" i="1"/>
  <c r="BR27" i="1"/>
  <c r="BS27" i="1"/>
  <c r="U21" i="1"/>
  <c r="V21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C21" i="1"/>
  <c r="C27" i="1"/>
  <c r="C14" i="1"/>
  <c r="EO14" i="1" l="1"/>
  <c r="EP14" i="1" s="1"/>
  <c r="EM21" i="1"/>
  <c r="EO27" i="1"/>
  <c r="EP27" i="1" s="1"/>
  <c r="EO21" i="1"/>
  <c r="EP21" i="1" s="1"/>
  <c r="EM27" i="1"/>
  <c r="EM14" i="1"/>
  <c r="CA27" i="1"/>
  <c r="CH27" i="1"/>
  <c r="CH31" i="1"/>
  <c r="CH19" i="1"/>
  <c r="CH22" i="1"/>
  <c r="CH24" i="1"/>
  <c r="CH50" i="1"/>
  <c r="CH45" i="1"/>
  <c r="BM27" i="1"/>
  <c r="CH41" i="1"/>
  <c r="BT21" i="1"/>
  <c r="AR21" i="1"/>
  <c r="BM14" i="1"/>
  <c r="AY14" i="1"/>
  <c r="CH17" i="1"/>
  <c r="CA21" i="1"/>
  <c r="CH21" i="1"/>
  <c r="AK27" i="1"/>
  <c r="CH20" i="1"/>
  <c r="CH49" i="1"/>
  <c r="CH43" i="1"/>
  <c r="CH42" i="1"/>
  <c r="CH11" i="1"/>
  <c r="CH38" i="1"/>
  <c r="AK21" i="1"/>
  <c r="W21" i="1"/>
  <c r="BF27" i="1"/>
  <c r="AR27" i="1"/>
  <c r="AD27" i="1"/>
  <c r="CH36" i="1"/>
  <c r="CH46" i="1"/>
  <c r="CH10" i="1"/>
  <c r="CH13" i="1"/>
  <c r="BF21" i="1"/>
  <c r="BM21" i="1"/>
  <c r="AY21" i="1"/>
  <c r="AD21" i="1"/>
  <c r="BT27" i="1"/>
  <c r="AY27" i="1"/>
  <c r="EN14" i="1" l="1"/>
  <c r="ER14" i="1" s="1"/>
  <c r="EQ14" i="1"/>
  <c r="EQ27" i="1"/>
  <c r="EN27" i="1"/>
  <c r="ER27" i="1" s="1"/>
  <c r="EN21" i="1"/>
  <c r="ER21" i="1" s="1"/>
  <c r="EQ21" i="1"/>
  <c r="BY22" i="1"/>
  <c r="BZ22" i="1"/>
  <c r="BY45" i="1"/>
  <c r="BZ45" i="1"/>
  <c r="BR22" i="1"/>
  <c r="BS22" i="1"/>
  <c r="BR45" i="1"/>
  <c r="BS45" i="1"/>
  <c r="BK22" i="1"/>
  <c r="BL22" i="1"/>
  <c r="BK45" i="1"/>
  <c r="BL45" i="1"/>
  <c r="BD22" i="1"/>
  <c r="BE22" i="1"/>
  <c r="BD45" i="1"/>
  <c r="BE45" i="1"/>
  <c r="AW22" i="1"/>
  <c r="AX22" i="1"/>
  <c r="AW45" i="1"/>
  <c r="AX45" i="1"/>
  <c r="AP10" i="1"/>
  <c r="AP22" i="1"/>
  <c r="AQ22" i="1"/>
  <c r="AP45" i="1"/>
  <c r="AQ45" i="1"/>
  <c r="AI22" i="1"/>
  <c r="AJ22" i="1"/>
  <c r="AI45" i="1"/>
  <c r="AJ45" i="1"/>
  <c r="AB22" i="1"/>
  <c r="AC22" i="1"/>
  <c r="AB45" i="1"/>
  <c r="AC45" i="1"/>
  <c r="U22" i="1"/>
  <c r="V22" i="1"/>
  <c r="U45" i="1"/>
  <c r="V45" i="1"/>
  <c r="N24" i="1"/>
  <c r="O24" i="1"/>
  <c r="N10" i="1"/>
  <c r="O10" i="1"/>
  <c r="N22" i="1"/>
  <c r="O22" i="1"/>
  <c r="N45" i="1"/>
  <c r="O45" i="1"/>
  <c r="C22" i="1"/>
  <c r="C45" i="1"/>
  <c r="EO22" i="1" l="1"/>
  <c r="EP22" i="1" s="1"/>
  <c r="EM45" i="1"/>
  <c r="EN45" i="1" s="1"/>
  <c r="EM22" i="1"/>
  <c r="EN22" i="1" s="1"/>
  <c r="EO45" i="1"/>
  <c r="EP45" i="1" s="1"/>
  <c r="BF22" i="1"/>
  <c r="BM22" i="1"/>
  <c r="AR45" i="1"/>
  <c r="P45" i="1"/>
  <c r="AD22" i="1"/>
  <c r="AD45" i="1"/>
  <c r="AK22" i="1"/>
  <c r="AY45" i="1"/>
  <c r="BM45" i="1"/>
  <c r="BT45" i="1"/>
  <c r="P22" i="1"/>
  <c r="P24" i="1"/>
  <c r="AR22" i="1"/>
  <c r="CA45" i="1"/>
  <c r="W22" i="1"/>
  <c r="AK45" i="1"/>
  <c r="BF45" i="1"/>
  <c r="BT22" i="1"/>
  <c r="CA22" i="1"/>
  <c r="P10" i="1"/>
  <c r="W45" i="1"/>
  <c r="AY22" i="1"/>
  <c r="BZ31" i="1"/>
  <c r="BY31" i="1"/>
  <c r="BZ49" i="1"/>
  <c r="BY49" i="1"/>
  <c r="BZ42" i="1"/>
  <c r="BY42" i="1"/>
  <c r="BZ38" i="1"/>
  <c r="BY38" i="1"/>
  <c r="BZ11" i="1"/>
  <c r="BY11" i="1"/>
  <c r="BZ10" i="1"/>
  <c r="BY10" i="1"/>
  <c r="BZ46" i="1"/>
  <c r="BY46" i="1"/>
  <c r="BZ24" i="1"/>
  <c r="BY24" i="1"/>
  <c r="BZ17" i="1"/>
  <c r="BY17" i="1"/>
  <c r="BZ20" i="1"/>
  <c r="BY20" i="1"/>
  <c r="BZ19" i="1"/>
  <c r="BY19" i="1"/>
  <c r="BZ13" i="1"/>
  <c r="BY13" i="1"/>
  <c r="BZ41" i="1"/>
  <c r="BY41" i="1"/>
  <c r="BZ50" i="1"/>
  <c r="BY50" i="1"/>
  <c r="BZ36" i="1"/>
  <c r="BY36" i="1"/>
  <c r="BZ43" i="1"/>
  <c r="BY43" i="1"/>
  <c r="ER22" i="1" l="1"/>
  <c r="EQ22" i="1"/>
  <c r="ER45" i="1"/>
  <c r="EQ45" i="1"/>
  <c r="CA13" i="1"/>
  <c r="CA20" i="1"/>
  <c r="CA24" i="1"/>
  <c r="CA11" i="1"/>
  <c r="CA31" i="1"/>
  <c r="CA36" i="1"/>
  <c r="CA17" i="1"/>
  <c r="CA46" i="1"/>
  <c r="CA50" i="1"/>
  <c r="CA42" i="1"/>
  <c r="CA49" i="1"/>
  <c r="CA43" i="1"/>
  <c r="CA41" i="1"/>
  <c r="CA19" i="1"/>
  <c r="CA10" i="1"/>
  <c r="CA38" i="1"/>
  <c r="BR31" i="1"/>
  <c r="BS31" i="1"/>
  <c r="BR13" i="1"/>
  <c r="BS13" i="1"/>
  <c r="BR42" i="1"/>
  <c r="BS42" i="1"/>
  <c r="BR20" i="1"/>
  <c r="BS20" i="1"/>
  <c r="BR19" i="1"/>
  <c r="BS19" i="1"/>
  <c r="BR24" i="1"/>
  <c r="BS24" i="1"/>
  <c r="BR17" i="1"/>
  <c r="BS17" i="1"/>
  <c r="BR49" i="1"/>
  <c r="BS49" i="1"/>
  <c r="BR43" i="1"/>
  <c r="BS43" i="1"/>
  <c r="BR50" i="1"/>
  <c r="BS50" i="1"/>
  <c r="BR36" i="1"/>
  <c r="BS36" i="1"/>
  <c r="BR11" i="1"/>
  <c r="BS11" i="1"/>
  <c r="BR38" i="1"/>
  <c r="BS38" i="1"/>
  <c r="BR46" i="1"/>
  <c r="BS46" i="1"/>
  <c r="BR10" i="1"/>
  <c r="BS10" i="1"/>
  <c r="BR41" i="1"/>
  <c r="BS41" i="1"/>
  <c r="BT13" i="1" l="1"/>
  <c r="BT36" i="1"/>
  <c r="BT43" i="1"/>
  <c r="BT42" i="1"/>
  <c r="BT24" i="1"/>
  <c r="BT10" i="1"/>
  <c r="BT38" i="1"/>
  <c r="BT20" i="1"/>
  <c r="BT31" i="1"/>
  <c r="BT49" i="1"/>
  <c r="BT19" i="1"/>
  <c r="BT46" i="1"/>
  <c r="BT50" i="1"/>
  <c r="BT41" i="1"/>
  <c r="BT11" i="1"/>
  <c r="BT17" i="1"/>
  <c r="BK24" i="1"/>
  <c r="BL24" i="1"/>
  <c r="U24" i="1"/>
  <c r="V24" i="1"/>
  <c r="AB24" i="1"/>
  <c r="AC24" i="1"/>
  <c r="AI24" i="1"/>
  <c r="AJ24" i="1"/>
  <c r="AP24" i="1"/>
  <c r="AQ24" i="1"/>
  <c r="AW24" i="1"/>
  <c r="AX24" i="1"/>
  <c r="BD24" i="1"/>
  <c r="BE24" i="1"/>
  <c r="C24" i="1"/>
  <c r="BK10" i="1"/>
  <c r="BL10" i="1"/>
  <c r="U10" i="1"/>
  <c r="V10" i="1"/>
  <c r="AB10" i="1"/>
  <c r="AC10" i="1"/>
  <c r="AI10" i="1"/>
  <c r="AJ10" i="1"/>
  <c r="AQ10" i="1"/>
  <c r="AW10" i="1"/>
  <c r="AX10" i="1"/>
  <c r="BD10" i="1"/>
  <c r="BE10" i="1"/>
  <c r="C10" i="1"/>
  <c r="EO10" i="1" l="1"/>
  <c r="EP10" i="1" s="1"/>
  <c r="EM10" i="1"/>
  <c r="EN10" i="1" s="1"/>
  <c r="EO24" i="1"/>
  <c r="EP24" i="1" s="1"/>
  <c r="EM24" i="1"/>
  <c r="AY10" i="1"/>
  <c r="W10" i="1"/>
  <c r="BF10" i="1"/>
  <c r="AR10" i="1"/>
  <c r="AD10" i="1"/>
  <c r="AY24" i="1"/>
  <c r="BM24" i="1"/>
  <c r="BF24" i="1"/>
  <c r="AK24" i="1"/>
  <c r="AK10" i="1"/>
  <c r="BM10" i="1"/>
  <c r="AR24" i="1"/>
  <c r="AD24" i="1"/>
  <c r="BK43" i="1"/>
  <c r="BL43" i="1"/>
  <c r="BK50" i="1"/>
  <c r="BL50" i="1"/>
  <c r="BK38" i="1"/>
  <c r="BL38" i="1"/>
  <c r="BK46" i="1"/>
  <c r="BL46" i="1"/>
  <c r="BD43" i="1"/>
  <c r="BE43" i="1"/>
  <c r="BD50" i="1"/>
  <c r="BE50" i="1"/>
  <c r="BD38" i="1"/>
  <c r="BE38" i="1"/>
  <c r="BD46" i="1"/>
  <c r="BE46" i="1"/>
  <c r="AW43" i="1"/>
  <c r="AX43" i="1"/>
  <c r="AW50" i="1"/>
  <c r="AX50" i="1"/>
  <c r="AW38" i="1"/>
  <c r="AX38" i="1"/>
  <c r="AW46" i="1"/>
  <c r="AX46" i="1"/>
  <c r="AP43" i="1"/>
  <c r="AQ43" i="1"/>
  <c r="AP50" i="1"/>
  <c r="AQ50" i="1"/>
  <c r="AP38" i="1"/>
  <c r="AQ38" i="1"/>
  <c r="AP46" i="1"/>
  <c r="AQ46" i="1"/>
  <c r="AI43" i="1"/>
  <c r="AJ43" i="1"/>
  <c r="AI50" i="1"/>
  <c r="AJ50" i="1"/>
  <c r="AI38" i="1"/>
  <c r="AJ38" i="1"/>
  <c r="AI46" i="1"/>
  <c r="AJ46" i="1"/>
  <c r="AB43" i="1"/>
  <c r="AC43" i="1"/>
  <c r="AB50" i="1"/>
  <c r="AC50" i="1"/>
  <c r="AB38" i="1"/>
  <c r="AC38" i="1"/>
  <c r="AB46" i="1"/>
  <c r="AC46" i="1"/>
  <c r="U43" i="1"/>
  <c r="V43" i="1"/>
  <c r="U50" i="1"/>
  <c r="V50" i="1"/>
  <c r="U38" i="1"/>
  <c r="V38" i="1"/>
  <c r="U46" i="1"/>
  <c r="V46" i="1"/>
  <c r="N43" i="1"/>
  <c r="O43" i="1"/>
  <c r="N50" i="1"/>
  <c r="O50" i="1"/>
  <c r="N38" i="1"/>
  <c r="O38" i="1"/>
  <c r="N46" i="1"/>
  <c r="O46" i="1"/>
  <c r="C13" i="1"/>
  <c r="C20" i="1"/>
  <c r="C31" i="1"/>
  <c r="C17" i="1"/>
  <c r="C36" i="1"/>
  <c r="C43" i="1"/>
  <c r="C49" i="1"/>
  <c r="C11" i="1"/>
  <c r="C42" i="1"/>
  <c r="C38" i="1"/>
  <c r="C46" i="1"/>
  <c r="C41" i="1"/>
  <c r="ER10" i="1" l="1"/>
  <c r="EQ10" i="1"/>
  <c r="EO38" i="1"/>
  <c r="EP38" i="1" s="1"/>
  <c r="EM38" i="1"/>
  <c r="EO50" i="1"/>
  <c r="EP50" i="1" s="1"/>
  <c r="EM50" i="1"/>
  <c r="EN24" i="1"/>
  <c r="ER24" i="1" s="1"/>
  <c r="EQ24" i="1"/>
  <c r="EO43" i="1"/>
  <c r="EP43" i="1" s="1"/>
  <c r="EM43" i="1"/>
  <c r="EO46" i="1"/>
  <c r="EP46" i="1" s="1"/>
  <c r="EM46" i="1"/>
  <c r="W38" i="1"/>
  <c r="AK38" i="1"/>
  <c r="AY38" i="1"/>
  <c r="AY43" i="1"/>
  <c r="AY50" i="1"/>
  <c r="BM38" i="1"/>
  <c r="AR43" i="1"/>
  <c r="BM43" i="1"/>
  <c r="P38" i="1"/>
  <c r="P43" i="1"/>
  <c r="AD38" i="1"/>
  <c r="AD43" i="1"/>
  <c r="AR38" i="1"/>
  <c r="BF50" i="1"/>
  <c r="P46" i="1"/>
  <c r="W46" i="1"/>
  <c r="BF38" i="1"/>
  <c r="AD50" i="1"/>
  <c r="AK46" i="1"/>
  <c r="AR50" i="1"/>
  <c r="P50" i="1"/>
  <c r="W43" i="1"/>
  <c r="AK50" i="1"/>
  <c r="AR46" i="1"/>
  <c r="BF46" i="1"/>
  <c r="BF43" i="1"/>
  <c r="BM46" i="1"/>
  <c r="W50" i="1"/>
  <c r="AD46" i="1"/>
  <c r="AK43" i="1"/>
  <c r="AY46" i="1"/>
  <c r="BM50" i="1"/>
  <c r="EN50" i="1" l="1"/>
  <c r="ER50" i="1" s="1"/>
  <c r="EQ50" i="1"/>
  <c r="EN46" i="1"/>
  <c r="ER46" i="1" s="1"/>
  <c r="EQ46" i="1"/>
  <c r="EN38" i="1"/>
  <c r="ER38" i="1" s="1"/>
  <c r="EQ38" i="1"/>
  <c r="EN43" i="1"/>
  <c r="ER43" i="1" s="1"/>
  <c r="EQ43" i="1"/>
  <c r="BL13" i="1"/>
  <c r="BK13" i="1"/>
  <c r="BE13" i="1"/>
  <c r="O13" i="1"/>
  <c r="BD19" i="1"/>
  <c r="BE19" i="1"/>
  <c r="BD20" i="1"/>
  <c r="BE20" i="1"/>
  <c r="BD31" i="1"/>
  <c r="BE31" i="1"/>
  <c r="BD17" i="1"/>
  <c r="BE17" i="1"/>
  <c r="BD36" i="1"/>
  <c r="BE36" i="1"/>
  <c r="AW19" i="1"/>
  <c r="AX19" i="1"/>
  <c r="AW20" i="1"/>
  <c r="AX20" i="1"/>
  <c r="AW31" i="1"/>
  <c r="AX31" i="1"/>
  <c r="AP19" i="1"/>
  <c r="AQ19" i="1"/>
  <c r="AP20" i="1"/>
  <c r="AQ20" i="1"/>
  <c r="AP31" i="1"/>
  <c r="AQ31" i="1"/>
  <c r="AP17" i="1"/>
  <c r="AQ17" i="1"/>
  <c r="AI19" i="1"/>
  <c r="AJ19" i="1"/>
  <c r="AI20" i="1"/>
  <c r="AJ20" i="1"/>
  <c r="AI31" i="1"/>
  <c r="AJ31" i="1"/>
  <c r="AI17" i="1"/>
  <c r="AJ17" i="1"/>
  <c r="AI36" i="1"/>
  <c r="AJ36" i="1"/>
  <c r="AI49" i="1"/>
  <c r="AJ49" i="1"/>
  <c r="AB19" i="1"/>
  <c r="AC19" i="1"/>
  <c r="AB20" i="1"/>
  <c r="AC20" i="1"/>
  <c r="AB31" i="1"/>
  <c r="AC31" i="1"/>
  <c r="AB17" i="1"/>
  <c r="AC17" i="1"/>
  <c r="U19" i="1"/>
  <c r="V19" i="1"/>
  <c r="U20" i="1"/>
  <c r="V20" i="1"/>
  <c r="U31" i="1"/>
  <c r="V31" i="1"/>
  <c r="U17" i="1"/>
  <c r="V17" i="1"/>
  <c r="N19" i="1"/>
  <c r="O19" i="1"/>
  <c r="N20" i="1"/>
  <c r="O20" i="1"/>
  <c r="N31" i="1"/>
  <c r="O31" i="1"/>
  <c r="N17" i="1"/>
  <c r="O17" i="1"/>
  <c r="N36" i="1"/>
  <c r="O36" i="1"/>
  <c r="BL41" i="1"/>
  <c r="BK41" i="1"/>
  <c r="BL42" i="1"/>
  <c r="BK42" i="1"/>
  <c r="BL11" i="1"/>
  <c r="BK11" i="1"/>
  <c r="BL49" i="1"/>
  <c r="BK49" i="1"/>
  <c r="BL36" i="1"/>
  <c r="BK36" i="1"/>
  <c r="BL17" i="1"/>
  <c r="BK17" i="1"/>
  <c r="BL31" i="1"/>
  <c r="BK31" i="1"/>
  <c r="BL20" i="1"/>
  <c r="BK20" i="1"/>
  <c r="BL19" i="1"/>
  <c r="BK19" i="1"/>
  <c r="EO31" i="1" l="1"/>
  <c r="EP31" i="1" s="1"/>
  <c r="EM31" i="1"/>
  <c r="EM20" i="1"/>
  <c r="EO20" i="1"/>
  <c r="EP20" i="1" s="1"/>
  <c r="EO19" i="1"/>
  <c r="EP19" i="1" s="1"/>
  <c r="EM19" i="1"/>
  <c r="W31" i="1"/>
  <c r="AY31" i="1"/>
  <c r="BF31" i="1"/>
  <c r="BM13" i="1"/>
  <c r="W17" i="1"/>
  <c r="AD20" i="1"/>
  <c r="AR31" i="1"/>
  <c r="AD19" i="1"/>
  <c r="AR17" i="1"/>
  <c r="BM20" i="1"/>
  <c r="BM31" i="1"/>
  <c r="BM36" i="1"/>
  <c r="BM42" i="1"/>
  <c r="P31" i="1"/>
  <c r="W20" i="1"/>
  <c r="AK31" i="1"/>
  <c r="AR20" i="1"/>
  <c r="BM19" i="1"/>
  <c r="BM11" i="1"/>
  <c r="W19" i="1"/>
  <c r="AD17" i="1"/>
  <c r="AR19" i="1"/>
  <c r="BF36" i="1"/>
  <c r="P36" i="1"/>
  <c r="P17" i="1"/>
  <c r="P20" i="1"/>
  <c r="AK49" i="1"/>
  <c r="AK19" i="1"/>
  <c r="AY19" i="1"/>
  <c r="BF17" i="1"/>
  <c r="BF19" i="1"/>
  <c r="BM17" i="1"/>
  <c r="BM49" i="1"/>
  <c r="BM41" i="1"/>
  <c r="P19" i="1"/>
  <c r="AD31" i="1"/>
  <c r="AK36" i="1"/>
  <c r="AK17" i="1"/>
  <c r="AK20" i="1"/>
  <c r="AY20" i="1"/>
  <c r="BF20" i="1"/>
  <c r="EQ20" i="1" l="1"/>
  <c r="EN20" i="1"/>
  <c r="ER20" i="1" s="1"/>
  <c r="EN31" i="1"/>
  <c r="ER31" i="1" s="1"/>
  <c r="EQ31" i="1"/>
  <c r="EN19" i="1"/>
  <c r="ER19" i="1" s="1"/>
  <c r="EQ19" i="1"/>
  <c r="BE41" i="1"/>
  <c r="BD41" i="1"/>
  <c r="BE42" i="1"/>
  <c r="BD42" i="1"/>
  <c r="BE11" i="1"/>
  <c r="BD11" i="1"/>
  <c r="BE49" i="1"/>
  <c r="BD49" i="1"/>
  <c r="BD13" i="1"/>
  <c r="AW17" i="1"/>
  <c r="EM17" i="1" s="1"/>
  <c r="AX17" i="1"/>
  <c r="EO17" i="1" s="1"/>
  <c r="EP17" i="1" s="1"/>
  <c r="AW41" i="1"/>
  <c r="AX41" i="1"/>
  <c r="AP41" i="1"/>
  <c r="AQ41" i="1"/>
  <c r="AI41" i="1"/>
  <c r="AJ41" i="1"/>
  <c r="U41" i="1"/>
  <c r="V41" i="1"/>
  <c r="AB41" i="1"/>
  <c r="AC41" i="1"/>
  <c r="N41" i="1"/>
  <c r="O41" i="1"/>
  <c r="EO41" i="1" l="1"/>
  <c r="EP41" i="1" s="1"/>
  <c r="EM41" i="1"/>
  <c r="EN41" i="1" s="1"/>
  <c r="EN17" i="1"/>
  <c r="ER17" i="1" s="1"/>
  <c r="EQ17" i="1"/>
  <c r="BF13" i="1"/>
  <c r="BF49" i="1"/>
  <c r="BF42" i="1"/>
  <c r="BF41" i="1"/>
  <c r="BF11" i="1"/>
  <c r="AD41" i="1"/>
  <c r="W41" i="1"/>
  <c r="AK41" i="1"/>
  <c r="AY41" i="1"/>
  <c r="P41" i="1"/>
  <c r="AR41" i="1"/>
  <c r="AY17" i="1"/>
  <c r="ER41" i="1" l="1"/>
  <c r="EQ41" i="1"/>
  <c r="AX11" i="1"/>
  <c r="AW11" i="1"/>
  <c r="AX49" i="1"/>
  <c r="AW49" i="1"/>
  <c r="AX42" i="1"/>
  <c r="AW42" i="1"/>
  <c r="AX36" i="1"/>
  <c r="AW36" i="1"/>
  <c r="AX13" i="1"/>
  <c r="AW13" i="1"/>
  <c r="AY13" i="1" l="1"/>
  <c r="AY36" i="1"/>
  <c r="AY42" i="1"/>
  <c r="AY49" i="1"/>
  <c r="AY11" i="1"/>
  <c r="AP13" i="1" l="1"/>
  <c r="AQ13" i="1"/>
  <c r="AP49" i="1"/>
  <c r="AQ49" i="1"/>
  <c r="AP36" i="1"/>
  <c r="AQ36" i="1"/>
  <c r="AP42" i="1"/>
  <c r="AQ42" i="1"/>
  <c r="AP11" i="1"/>
  <c r="AQ11" i="1"/>
  <c r="AR11" i="1" l="1"/>
  <c r="AR36" i="1"/>
  <c r="AR42" i="1"/>
  <c r="AR49" i="1"/>
  <c r="AR13" i="1"/>
  <c r="N49" i="1" l="1"/>
  <c r="O49" i="1"/>
  <c r="N11" i="1"/>
  <c r="O11" i="1"/>
  <c r="N42" i="1"/>
  <c r="O42" i="1"/>
  <c r="U36" i="1"/>
  <c r="V36" i="1"/>
  <c r="U49" i="1"/>
  <c r="V49" i="1"/>
  <c r="U11" i="1"/>
  <c r="V11" i="1"/>
  <c r="U42" i="1"/>
  <c r="V42" i="1"/>
  <c r="AB36" i="1"/>
  <c r="EM36" i="1" s="1"/>
  <c r="AC36" i="1"/>
  <c r="EO36" i="1" s="1"/>
  <c r="EP36" i="1" s="1"/>
  <c r="AB49" i="1"/>
  <c r="EM49" i="1" s="1"/>
  <c r="AC49" i="1"/>
  <c r="EO49" i="1" s="1"/>
  <c r="EP49" i="1" s="1"/>
  <c r="AB11" i="1"/>
  <c r="AC11" i="1"/>
  <c r="AB42" i="1"/>
  <c r="AC42" i="1"/>
  <c r="AI11" i="1"/>
  <c r="EM11" i="1" s="1"/>
  <c r="AJ11" i="1"/>
  <c r="EO11" i="1" s="1"/>
  <c r="EP11" i="1" s="1"/>
  <c r="AI42" i="1"/>
  <c r="AJ42" i="1"/>
  <c r="EN36" i="1" l="1"/>
  <c r="ER36" i="1" s="1"/>
  <c r="EQ36" i="1"/>
  <c r="EN11" i="1"/>
  <c r="ER11" i="1" s="1"/>
  <c r="EQ11" i="1"/>
  <c r="EO42" i="1"/>
  <c r="EP42" i="1" s="1"/>
  <c r="EM42" i="1"/>
  <c r="EQ49" i="1"/>
  <c r="EN49" i="1"/>
  <c r="ER49" i="1" s="1"/>
  <c r="P11" i="1"/>
  <c r="AD11" i="1"/>
  <c r="AD36" i="1"/>
  <c r="AD49" i="1"/>
  <c r="AK42" i="1"/>
  <c r="W42" i="1"/>
  <c r="W49" i="1"/>
  <c r="W11" i="1"/>
  <c r="P49" i="1"/>
  <c r="W36" i="1"/>
  <c r="AK11" i="1"/>
  <c r="AD42" i="1"/>
  <c r="P42" i="1"/>
  <c r="EQ42" i="1" l="1"/>
  <c r="EN42" i="1"/>
  <c r="ER42" i="1" s="1"/>
  <c r="C7" i="3"/>
  <c r="C3" i="3"/>
  <c r="AJ13" i="1" l="1"/>
  <c r="AI13" i="1"/>
  <c r="AK13" i="1" l="1"/>
  <c r="C8" i="3"/>
  <c r="C9" i="3" s="1"/>
  <c r="C2" i="3"/>
  <c r="C4" i="3" s="1"/>
  <c r="AC13" i="1" l="1"/>
  <c r="AB13" i="1"/>
  <c r="V13" i="1"/>
  <c r="U13" i="1"/>
  <c r="N13" i="1"/>
  <c r="EM13" i="1" l="1"/>
  <c r="EO13" i="1"/>
  <c r="EP13" i="1" s="1"/>
  <c r="H5" i="3"/>
  <c r="J5" i="3"/>
  <c r="P13" i="1"/>
  <c r="W13" i="1"/>
  <c r="AD13" i="1"/>
  <c r="EN13" i="1" l="1"/>
  <c r="ER13" i="1" s="1"/>
  <c r="EQ13" i="1"/>
</calcChain>
</file>

<file path=xl/sharedStrings.xml><?xml version="1.0" encoding="utf-8"?>
<sst xmlns="http://schemas.openxmlformats.org/spreadsheetml/2006/main" count="1356" uniqueCount="323">
  <si>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</si>
  <si>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</si>
  <si>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</si>
  <si>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</si>
  <si>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</si>
  <si>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</si>
  <si>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</si>
  <si>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</si>
  <si>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</si>
  <si>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</si>
  <si>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</si>
  <si>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</si>
  <si>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</si>
  <si>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</si>
  <si>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</si>
  <si>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</si>
  <si>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</si>
  <si>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</si>
  <si>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</si>
  <si>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</si>
  <si>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</si>
  <si>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</si>
  <si>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</si>
  <si>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</si>
  <si>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</si>
  <si>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</si>
  <si>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</si>
  <si>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</si>
  <si>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</si>
  <si>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</si>
  <si>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</si>
  <si>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</si>
  <si>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</si>
  <si>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</si>
  <si>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</si>
  <si>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</si>
  <si>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</si>
  <si>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</si>
  <si>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</si>
  <si>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</si>
  <si>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</si>
  <si>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</si>
  <si>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</si>
  <si>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</si>
  <si>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</si>
  <si>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</si>
  <si>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</si>
  <si>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</si>
  <si>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</si>
  <si>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</si>
  <si>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</si>
  <si>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</si>
  <si>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</si>
  <si>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</si>
  <si>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</si>
  <si>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</si>
  <si>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</si>
  <si>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</si>
  <si>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</si>
  <si>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</si>
  <si>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</si>
  <si>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</si>
  <si>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</si>
  <si>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</si>
  <si>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</si>
  <si>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</si>
  <si>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</si>
  <si>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</si>
  <si>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</si>
  <si>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</si>
  <si>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</si>
  <si>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</si>
  <si>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</si>
  <si>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</si>
  <si>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</si>
  <si>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</si>
  <si>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</si>
  <si>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</si>
  <si>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</si>
  <si>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</si>
  <si>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</si>
  <si>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</si>
  <si>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</si>
  <si>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</si>
  <si>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</si>
  <si>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</si>
  <si>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</si>
  <si>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</si>
  <si>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</si>
  <si>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</si>
  <si>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</si>
  <si>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</si>
  <si>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</si>
  <si>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</si>
  <si>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</si>
  <si>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</si>
  <si>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</si>
  <si>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</si>
  <si>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</si>
  <si>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</si>
  <si>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</si>
  <si>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</si>
  <si>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</si>
  <si>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</si>
  <si>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</si>
  <si>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</si>
  <si>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</si>
  <si>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</si>
  <si>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</si>
  <si>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</si>
  <si>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</si>
  <si>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</si>
  <si>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</si>
  <si>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</si>
  <si>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</si>
  <si>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</si>
  <si>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</si>
  <si>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</si>
  <si>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</si>
  <si>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</si>
  <si>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</si>
  <si>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</si>
  <si>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</si>
  <si>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</si>
  <si>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</si>
  <si>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</si>
  <si>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</si>
  <si>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</si>
  <si>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</si>
  <si>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</si>
  <si>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</si>
  <si>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</si>
  <si>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</si>
  <si>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</si>
  <si>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</si>
  <si>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</si>
  <si>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</si>
  <si>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</si>
  <si>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</si>
  <si>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</si>
  <si>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</si>
  <si>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</si>
  <si>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</si>
  <si>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</si>
  <si>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</si>
  <si>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</si>
  <si>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</si>
  <si>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</si>
  <si>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</si>
  <si>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</si>
  <si>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</si>
  <si>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</si>
  <si>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</si>
  <si>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</si>
  <si>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</si>
  <si>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</si>
  <si>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</si>
  <si>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</si>
  <si>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</si>
  <si>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</si>
  <si>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</si>
  <si>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</si>
  <si>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</si>
  <si>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</si>
  <si>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</si>
  <si>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</si>
  <si>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</si>
  <si>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</si>
  <si>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</si>
  <si>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</si>
  <si>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</si>
  <si>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</si>
  <si>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</si>
  <si>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</si>
  <si>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</si>
  <si>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</si>
  <si>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</si>
  <si>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</si>
  <si>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</si>
  <si>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</si>
  <si>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</si>
  <si>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</si>
  <si>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</si>
  <si>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</si>
  <si>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</si>
  <si>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</si>
  <si>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</si>
  <si>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</si>
  <si>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</si>
  <si>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</si>
  <si>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</si>
  <si>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</si>
  <si>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</si>
  <si>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</si>
  <si>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</si>
  <si>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</si>
  <si>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</si>
  <si>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</si>
  <si>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</si>
  <si>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</si>
  <si>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</si>
  <si>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</si>
  <si>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</si>
  <si>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</si>
  <si>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</si>
  <si>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</si>
  <si>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</si>
  <si>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</si>
  <si>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</si>
  <si>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</si>
  <si>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</si>
  <si>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</si>
  <si>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</si>
  <si>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</si>
  <si>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</si>
  <si>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</si>
  <si>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</si>
  <si>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</si>
  <si>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</si>
  <si>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</si>
  <si>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</si>
  <si>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</si>
  <si>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</si>
  <si>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</si>
  <si>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</si>
  <si>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</si>
  <si>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</si>
  <si>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</si>
  <si>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</si>
  <si>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</si>
  <si>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</si>
  <si>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</si>
  <si>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</si>
  <si>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</si>
  <si>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</si>
  <si>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</si>
  <si>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</si>
  <si>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</si>
  <si>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</si>
  <si>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</si>
  <si>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</si>
  <si>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</si>
  <si>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</si>
  <si>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</si>
  <si>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</si>
  <si>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</si>
  <si>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</si>
  <si>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</si>
  <si>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</si>
  <si>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</si>
  <si>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</si>
  <si>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</si>
  <si>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</si>
  <si>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</si>
  <si>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</si>
  <si>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</si>
  <si>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</si>
  <si>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</si>
  <si>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</si>
  <si>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</si>
  <si>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</si>
  <si>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</si>
  <si>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</si>
  <si>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</si>
  <si>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</si>
  <si>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</si>
  <si>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</si>
  <si>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</si>
  <si>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</si>
  <si>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</si>
  <si>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</si>
  <si>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</si>
  <si>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</si>
  <si>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</si>
  <si>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</si>
  <si>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</si>
  <si>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</si>
  <si>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</si>
  <si>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</si>
  <si>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</si>
  <si>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</si>
  <si>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</si>
  <si>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</si>
  <si>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</si>
  <si>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</si>
  <si>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</si>
  <si>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</si>
  <si>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</si>
  <si>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</si>
  <si>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</si>
  <si>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</si>
  <si>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</si>
  <si>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</si>
  <si>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</si>
  <si>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</si>
  <si>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</si>
  <si>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</si>
  <si>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</si>
  <si>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</si>
  <si>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</si>
  <si>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</si>
  <si>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</si>
  <si>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</si>
  <si>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</si>
  <si>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</si>
  <si>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</si>
  <si>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</si>
  <si>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</si>
  <si>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</si>
  <si>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</si>
  <si>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ינואר דצמבר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</si>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</sst>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12" xfId="0" applyFont="1" applyBorder="1"/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abSelected="1" zoomScale="115" zoomScaleNormal="115" workbookViewId="0">
      <selection activeCell="P19" sqref="P19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7">
        <v>3</v>
      </c>
      <c r="C2" s="238">
        <v>3</v>
      </c>
      <c r="D2" s="237">
        <v>3</v>
      </c>
      <c r="E2" s="238">
        <v>3</v>
      </c>
      <c r="F2" s="258">
        <v>2</v>
      </c>
      <c r="G2" s="258"/>
      <c r="H2" s="259"/>
    </row>
    <row r="3" spans="1:8" x14ac:dyDescent="0.25">
      <c r="A3" s="7" t="s">
        <v>19</v>
      </c>
      <c r="B3" s="237"/>
      <c r="C3" s="238"/>
      <c r="D3" s="238"/>
      <c r="E3" s="238"/>
      <c r="F3" s="269" t="s">
        <v>58</v>
      </c>
      <c r="G3" s="270"/>
      <c r="H3" s="271"/>
    </row>
    <row r="4" spans="1:8" x14ac:dyDescent="0.25">
      <c r="A4" s="7" t="s">
        <v>20</v>
      </c>
      <c r="B4" s="238"/>
      <c r="C4" s="237"/>
      <c r="D4" s="237"/>
      <c r="E4" s="237"/>
      <c r="F4" s="269" t="s">
        <v>61</v>
      </c>
      <c r="G4" s="270"/>
      <c r="H4" s="271"/>
    </row>
    <row r="5" spans="1:8" x14ac:dyDescent="0.25">
      <c r="A5" s="7" t="s">
        <v>21</v>
      </c>
      <c r="B5" s="237"/>
      <c r="C5" s="237"/>
      <c r="D5" s="238"/>
      <c r="E5" s="238"/>
      <c r="F5" s="258" t="s">
        <v>191</v>
      </c>
      <c r="G5" s="258"/>
      <c r="H5" s="259"/>
    </row>
    <row r="6" spans="1:8" x14ac:dyDescent="0.25">
      <c r="A6" s="7" t="s">
        <v>79</v>
      </c>
      <c r="B6" s="237"/>
      <c r="C6" s="237"/>
      <c r="D6" s="237"/>
      <c r="E6" s="237"/>
      <c r="F6" s="258" t="s">
        <v>114</v>
      </c>
      <c r="G6" s="258"/>
      <c r="H6" s="259"/>
    </row>
    <row r="7" spans="1:8" ht="15.75" thickBot="1" x14ac:dyDescent="0.3">
      <c r="A7" s="222" t="s">
        <v>308</v>
      </c>
      <c r="B7" s="239"/>
      <c r="C7" s="239"/>
      <c r="D7" s="239"/>
      <c r="E7" s="239"/>
      <c r="F7" s="262" t="s">
        <v>227</v>
      </c>
      <c r="G7" s="262"/>
      <c r="H7" s="263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37">
        <v>3</v>
      </c>
      <c r="C9" s="238">
        <v>3</v>
      </c>
      <c r="D9" s="237">
        <v>3</v>
      </c>
      <c r="E9" s="238">
        <v>3</v>
      </c>
      <c r="F9" s="258">
        <v>3</v>
      </c>
      <c r="G9" s="258"/>
      <c r="H9" s="259"/>
    </row>
    <row r="10" spans="1:8" x14ac:dyDescent="0.25">
      <c r="A10" s="7" t="s">
        <v>19</v>
      </c>
      <c r="B10" s="237" t="s">
        <v>92</v>
      </c>
      <c r="C10" s="252" t="s">
        <v>281</v>
      </c>
      <c r="D10" s="252" t="s">
        <v>127</v>
      </c>
      <c r="E10" s="238" t="s">
        <v>113</v>
      </c>
      <c r="F10" s="264" t="s">
        <v>227</v>
      </c>
      <c r="G10" s="265"/>
      <c r="H10" s="266"/>
    </row>
    <row r="11" spans="1:8" x14ac:dyDescent="0.25">
      <c r="A11" s="7" t="s">
        <v>20</v>
      </c>
      <c r="B11" s="252" t="s">
        <v>162</v>
      </c>
      <c r="C11" s="237" t="s">
        <v>142</v>
      </c>
      <c r="D11" s="253" t="s">
        <v>222</v>
      </c>
      <c r="E11" s="252" t="s">
        <v>318</v>
      </c>
      <c r="F11" s="269" t="s">
        <v>129</v>
      </c>
      <c r="G11" s="270"/>
      <c r="H11" s="271"/>
    </row>
    <row r="12" spans="1:8" x14ac:dyDescent="0.25">
      <c r="A12" s="7" t="s">
        <v>21</v>
      </c>
      <c r="B12" s="237" t="s">
        <v>280</v>
      </c>
      <c r="C12" s="237" t="s">
        <v>141</v>
      </c>
      <c r="D12" s="253" t="s">
        <v>176</v>
      </c>
      <c r="E12" s="253" t="s">
        <v>195</v>
      </c>
      <c r="F12" s="258" t="s">
        <v>269</v>
      </c>
      <c r="G12" s="258"/>
      <c r="H12" s="259"/>
    </row>
    <row r="13" spans="1:8" x14ac:dyDescent="0.25">
      <c r="A13" s="7" t="s">
        <v>79</v>
      </c>
      <c r="B13" s="237" t="s">
        <v>305</v>
      </c>
      <c r="C13" s="237" t="s">
        <v>60</v>
      </c>
      <c r="D13" s="251" t="s">
        <v>282</v>
      </c>
      <c r="E13" s="237" t="s">
        <v>283</v>
      </c>
      <c r="F13" s="258" t="s">
        <v>304</v>
      </c>
      <c r="G13" s="258"/>
      <c r="H13" s="259"/>
    </row>
    <row r="14" spans="1:8" ht="15.75" thickBot="1" x14ac:dyDescent="0.3">
      <c r="A14" s="222" t="s">
        <v>308</v>
      </c>
      <c r="B14" s="239" t="s">
        <v>174</v>
      </c>
      <c r="C14" s="239" t="s">
        <v>69</v>
      </c>
      <c r="D14" s="239" t="s">
        <v>225</v>
      </c>
      <c r="E14" s="239" t="s">
        <v>64</v>
      </c>
      <c r="F14" s="262" t="s">
        <v>260</v>
      </c>
      <c r="G14" s="262"/>
      <c r="H14" s="263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37">
        <v>3</v>
      </c>
      <c r="C16" s="238">
        <v>3</v>
      </c>
      <c r="D16" s="237">
        <v>3</v>
      </c>
      <c r="E16" s="238">
        <v>3</v>
      </c>
      <c r="F16" s="258">
        <v>3</v>
      </c>
      <c r="G16" s="258"/>
      <c r="H16" s="259"/>
    </row>
    <row r="17" spans="1:8" x14ac:dyDescent="0.25">
      <c r="A17" s="7" t="s">
        <v>19</v>
      </c>
      <c r="B17" s="253" t="s">
        <v>61</v>
      </c>
      <c r="C17" s="253" t="s">
        <v>176</v>
      </c>
      <c r="D17" s="238" t="s">
        <v>114</v>
      </c>
      <c r="E17" s="238" t="s">
        <v>191</v>
      </c>
      <c r="F17" s="264" t="s">
        <v>281</v>
      </c>
      <c r="G17" s="265"/>
      <c r="H17" s="266"/>
    </row>
    <row r="18" spans="1:8" x14ac:dyDescent="0.25">
      <c r="A18" s="7" t="s">
        <v>20</v>
      </c>
      <c r="B18" s="254" t="s">
        <v>267</v>
      </c>
      <c r="C18" s="252" t="s">
        <v>318</v>
      </c>
      <c r="D18" s="254" t="s">
        <v>268</v>
      </c>
      <c r="E18" s="252" t="s">
        <v>113</v>
      </c>
      <c r="F18" s="269" t="s">
        <v>59</v>
      </c>
      <c r="G18" s="270"/>
      <c r="H18" s="271"/>
    </row>
    <row r="19" spans="1:8" x14ac:dyDescent="0.25">
      <c r="A19" s="7" t="s">
        <v>21</v>
      </c>
      <c r="B19" s="253" t="s">
        <v>277</v>
      </c>
      <c r="C19" s="253" t="s">
        <v>195</v>
      </c>
      <c r="D19" s="251" t="s">
        <v>126</v>
      </c>
      <c r="E19" s="251" t="s">
        <v>58</v>
      </c>
      <c r="F19" s="258" t="s">
        <v>221</v>
      </c>
      <c r="G19" s="258"/>
      <c r="H19" s="259"/>
    </row>
    <row r="20" spans="1:8" x14ac:dyDescent="0.25">
      <c r="A20" s="7" t="s">
        <v>79</v>
      </c>
      <c r="B20" s="251" t="s">
        <v>305</v>
      </c>
      <c r="C20" s="251" t="s">
        <v>92</v>
      </c>
      <c r="D20" s="251" t="s">
        <v>174</v>
      </c>
      <c r="E20" s="237" t="s">
        <v>322</v>
      </c>
      <c r="F20" s="258" t="s">
        <v>260</v>
      </c>
      <c r="G20" s="258"/>
      <c r="H20" s="259"/>
    </row>
    <row r="21" spans="1:8" ht="15.75" thickBot="1" x14ac:dyDescent="0.3">
      <c r="A21" s="222" t="s">
        <v>308</v>
      </c>
      <c r="B21" s="239" t="s">
        <v>71</v>
      </c>
      <c r="C21" s="239" t="s">
        <v>142</v>
      </c>
      <c r="D21" s="239" t="s">
        <v>280</v>
      </c>
      <c r="E21" s="239" t="s">
        <v>61</v>
      </c>
      <c r="F21" s="262" t="s">
        <v>60</v>
      </c>
      <c r="G21" s="262"/>
      <c r="H21" s="263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37">
        <v>3</v>
      </c>
      <c r="C23" s="238">
        <v>3</v>
      </c>
      <c r="D23" s="237">
        <v>3</v>
      </c>
      <c r="E23" s="238">
        <v>3</v>
      </c>
      <c r="F23" s="258">
        <v>3</v>
      </c>
      <c r="G23" s="258"/>
      <c r="H23" s="259"/>
    </row>
    <row r="24" spans="1:8" x14ac:dyDescent="0.25">
      <c r="A24" s="7" t="s">
        <v>19</v>
      </c>
      <c r="B24" s="251" t="s">
        <v>69</v>
      </c>
      <c r="C24" s="238" t="s">
        <v>61</v>
      </c>
      <c r="D24" s="238" t="s">
        <v>266</v>
      </c>
      <c r="E24" s="253" t="s">
        <v>129</v>
      </c>
      <c r="F24" s="264" t="s">
        <v>112</v>
      </c>
      <c r="G24" s="265"/>
      <c r="H24" s="266"/>
    </row>
    <row r="25" spans="1:8" x14ac:dyDescent="0.25">
      <c r="A25" s="7" t="s">
        <v>20</v>
      </c>
      <c r="B25" s="253" t="s">
        <v>175</v>
      </c>
      <c r="C25" s="253" t="s">
        <v>191</v>
      </c>
      <c r="D25" s="252" t="s">
        <v>114</v>
      </c>
      <c r="E25" s="252" t="s">
        <v>59</v>
      </c>
      <c r="F25" s="269" t="s">
        <v>277</v>
      </c>
      <c r="G25" s="270"/>
      <c r="H25" s="271"/>
    </row>
    <row r="26" spans="1:8" x14ac:dyDescent="0.25">
      <c r="A26" s="7" t="s">
        <v>21</v>
      </c>
      <c r="B26" s="254" t="s">
        <v>280</v>
      </c>
      <c r="C26" s="252" t="s">
        <v>127</v>
      </c>
      <c r="D26" s="251" t="s">
        <v>71</v>
      </c>
      <c r="E26" s="251" t="s">
        <v>60</v>
      </c>
      <c r="F26" s="258" t="s">
        <v>64</v>
      </c>
      <c r="G26" s="258"/>
      <c r="H26" s="259"/>
    </row>
    <row r="27" spans="1:8" x14ac:dyDescent="0.25">
      <c r="A27" s="7" t="s">
        <v>79</v>
      </c>
      <c r="B27" s="237" t="s">
        <v>320</v>
      </c>
      <c r="C27" s="251" t="s">
        <v>321</v>
      </c>
      <c r="D27" s="251" t="s">
        <v>305</v>
      </c>
      <c r="E27" s="237" t="s">
        <v>319</v>
      </c>
      <c r="F27" s="264" t="s">
        <v>115</v>
      </c>
      <c r="G27" s="265"/>
      <c r="H27" s="266"/>
    </row>
    <row r="28" spans="1:8" x14ac:dyDescent="0.25">
      <c r="A28" s="221" t="s">
        <v>307</v>
      </c>
      <c r="B28" s="80"/>
      <c r="C28" s="80" t="s">
        <v>304</v>
      </c>
      <c r="D28" s="80" t="s">
        <v>282</v>
      </c>
      <c r="E28" s="80"/>
      <c r="F28" s="260"/>
      <c r="G28" s="260"/>
      <c r="H28" s="261"/>
    </row>
    <row r="29" spans="1:8" ht="15.75" thickBot="1" x14ac:dyDescent="0.3">
      <c r="A29" s="222" t="s">
        <v>308</v>
      </c>
      <c r="B29" s="239" t="s">
        <v>267</v>
      </c>
      <c r="C29" s="239" t="s">
        <v>304</v>
      </c>
      <c r="D29" s="239" t="s">
        <v>282</v>
      </c>
      <c r="E29" s="239" t="s">
        <v>269</v>
      </c>
      <c r="F29" s="262" t="s">
        <v>175</v>
      </c>
      <c r="G29" s="262"/>
      <c r="H29" s="263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37">
        <v>3</v>
      </c>
      <c r="C31" s="238">
        <v>3</v>
      </c>
      <c r="D31" s="237">
        <v>3</v>
      </c>
      <c r="E31" s="238">
        <v>3</v>
      </c>
      <c r="F31" s="258">
        <v>3</v>
      </c>
      <c r="G31" s="258"/>
      <c r="H31" s="259"/>
    </row>
    <row r="32" spans="1:8" x14ac:dyDescent="0.25">
      <c r="A32" s="7" t="s">
        <v>19</v>
      </c>
      <c r="B32" s="237" t="s">
        <v>281</v>
      </c>
      <c r="C32" s="254" t="s">
        <v>268</v>
      </c>
      <c r="D32" s="253" t="s">
        <v>266</v>
      </c>
      <c r="E32" s="253" t="s">
        <v>175</v>
      </c>
      <c r="F32" s="264" t="s">
        <v>162</v>
      </c>
      <c r="G32" s="265"/>
      <c r="H32" s="266"/>
    </row>
    <row r="33" spans="1:8" x14ac:dyDescent="0.25">
      <c r="A33" s="7" t="s">
        <v>20</v>
      </c>
      <c r="B33" s="252" t="s">
        <v>318</v>
      </c>
      <c r="C33" s="251" t="s">
        <v>58</v>
      </c>
      <c r="D33" s="251" t="s">
        <v>283</v>
      </c>
      <c r="E33" s="252" t="s">
        <v>222</v>
      </c>
      <c r="F33" s="264" t="s">
        <v>126</v>
      </c>
      <c r="G33" s="265"/>
      <c r="H33" s="266"/>
    </row>
    <row r="34" spans="1:8" x14ac:dyDescent="0.25">
      <c r="A34" s="7" t="s">
        <v>21</v>
      </c>
      <c r="B34" s="251" t="s">
        <v>174</v>
      </c>
      <c r="C34" s="251" t="s">
        <v>141</v>
      </c>
      <c r="D34" s="252" t="s">
        <v>59</v>
      </c>
      <c r="E34" s="238" t="s">
        <v>71</v>
      </c>
      <c r="F34" s="267" t="s">
        <v>127</v>
      </c>
      <c r="G34" s="267"/>
      <c r="H34" s="268"/>
    </row>
    <row r="35" spans="1:8" x14ac:dyDescent="0.25">
      <c r="A35" s="7" t="s">
        <v>79</v>
      </c>
      <c r="B35" s="251" t="s">
        <v>282</v>
      </c>
      <c r="C35" s="251" t="s">
        <v>322</v>
      </c>
      <c r="D35" s="251" t="s">
        <v>320</v>
      </c>
      <c r="E35" s="237" t="s">
        <v>321</v>
      </c>
      <c r="F35" s="258" t="s">
        <v>267</v>
      </c>
      <c r="G35" s="258"/>
      <c r="H35" s="259"/>
    </row>
    <row r="36" spans="1:8" x14ac:dyDescent="0.25">
      <c r="A36" s="221" t="s">
        <v>307</v>
      </c>
      <c r="B36" s="80"/>
      <c r="C36" s="252" t="s">
        <v>227</v>
      </c>
      <c r="D36" s="80" t="s">
        <v>225</v>
      </c>
      <c r="E36" s="80"/>
      <c r="F36" s="260"/>
      <c r="G36" s="260"/>
      <c r="H36" s="261"/>
    </row>
    <row r="37" spans="1:8" ht="15.75" thickBot="1" x14ac:dyDescent="0.3">
      <c r="A37" s="222" t="s">
        <v>308</v>
      </c>
      <c r="B37" s="239" t="s">
        <v>92</v>
      </c>
      <c r="C37" s="239" t="s">
        <v>227</v>
      </c>
      <c r="D37" s="239" t="s">
        <v>225</v>
      </c>
      <c r="E37" s="239" t="s">
        <v>115</v>
      </c>
      <c r="F37" s="262" t="s">
        <v>176</v>
      </c>
      <c r="G37" s="262"/>
      <c r="H37" s="263"/>
    </row>
  </sheetData>
  <mergeCells count="32">
    <mergeCell ref="F18:H18"/>
    <mergeCell ref="F19:H19"/>
    <mergeCell ref="F9:H9"/>
    <mergeCell ref="F10:H10"/>
    <mergeCell ref="F11:H11"/>
    <mergeCell ref="F12:H12"/>
    <mergeCell ref="F13:H13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EU85"/>
  <sheetViews>
    <sheetView rightToLeft="1" zoomScale="85" zoomScaleNormal="8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C61" sqref="EC61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51" width="7.7109375" style="9" customWidth="1"/>
    <col min="152" max="16384" width="9.140625" style="9"/>
  </cols>
  <sheetData>
    <row r="1" spans="1:151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2" t="s">
        <v>99</v>
      </c>
      <c r="EG1" s="168" t="s">
        <v>100</v>
      </c>
      <c r="EH1" s="168" t="s">
        <v>101</v>
      </c>
      <c r="EI1" s="168" t="s">
        <v>102</v>
      </c>
      <c r="EJ1" s="164" t="s">
        <v>103</v>
      </c>
      <c r="EK1" s="164" t="s">
        <v>104</v>
      </c>
      <c r="EL1" s="165" t="s">
        <v>310</v>
      </c>
      <c r="EM1" s="175" t="s">
        <v>108</v>
      </c>
      <c r="EN1" s="173" t="s">
        <v>110</v>
      </c>
      <c r="EO1" s="173" t="s">
        <v>109</v>
      </c>
      <c r="EP1" s="173" t="s">
        <v>111</v>
      </c>
      <c r="EQ1" s="174" t="s">
        <v>82</v>
      </c>
      <c r="ER1" s="173" t="s">
        <v>107</v>
      </c>
      <c r="ES1" s="174" t="s">
        <v>93</v>
      </c>
      <c r="ET1" s="174" t="s">
        <v>94</v>
      </c>
      <c r="EU1" s="173" t="s">
        <v>95</v>
      </c>
    </row>
    <row r="2" spans="1:151" ht="15.75" thickBot="1" x14ac:dyDescent="0.3">
      <c r="A2" s="216" t="s">
        <v>63</v>
      </c>
      <c r="B2" s="218" t="s">
        <v>272</v>
      </c>
      <c r="C2" s="77" t="str">
        <f t="shared" ref="C2:C33" si="0">B2&amp;" "&amp;A2</f>
        <v>אסי אחודה</v>
      </c>
      <c r="D2" s="23" t="s">
        <v>7</v>
      </c>
      <c r="E2" s="23" t="s">
        <v>6</v>
      </c>
      <c r="F2" s="31" t="s">
        <v>275</v>
      </c>
      <c r="G2" s="30">
        <v>43374</v>
      </c>
      <c r="H2" s="114"/>
      <c r="I2" s="35"/>
      <c r="J2" s="48"/>
      <c r="K2" s="49"/>
      <c r="L2" s="49"/>
      <c r="M2" s="49"/>
      <c r="N2" s="50"/>
      <c r="O2" s="50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9"/>
      <c r="CF2" s="14"/>
      <c r="CG2" s="14"/>
      <c r="CH2" s="39"/>
      <c r="CI2" s="40"/>
      <c r="CJ2" s="40"/>
      <c r="CK2" s="40"/>
      <c r="CL2" s="83"/>
      <c r="CM2" s="14"/>
      <c r="CN2" s="14"/>
      <c r="CO2" s="39"/>
      <c r="CP2" s="108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8"/>
      <c r="DE2" s="40"/>
      <c r="DF2" s="40"/>
      <c r="DG2" s="40"/>
      <c r="DH2" s="156">
        <f>DD2*3+DF2</f>
        <v>0</v>
      </c>
      <c r="DI2" s="156">
        <f>DE2*3+DG2</f>
        <v>0</v>
      </c>
      <c r="DJ2" s="18">
        <f>DI2+DH2</f>
        <v>0</v>
      </c>
      <c r="DK2" s="108"/>
      <c r="DL2" s="40"/>
      <c r="DM2" s="40"/>
      <c r="DN2" s="40"/>
      <c r="DO2" s="156">
        <f>DK2*3+DM2</f>
        <v>0</v>
      </c>
      <c r="DP2" s="156">
        <f>DL2*3+DN2</f>
        <v>0</v>
      </c>
      <c r="DQ2" s="18">
        <f>DP2+DO2</f>
        <v>0</v>
      </c>
      <c r="DR2" s="108"/>
      <c r="DS2" s="40"/>
      <c r="DT2" s="40"/>
      <c r="DU2" s="40"/>
      <c r="DV2" s="156">
        <f t="shared" ref="DV2:DV33" si="1">DR2*3+DT2</f>
        <v>0</v>
      </c>
      <c r="DW2" s="156">
        <f t="shared" ref="DW2:DW33" si="2">DS2*3+DU2</f>
        <v>0</v>
      </c>
      <c r="DX2" s="18">
        <f t="shared" ref="DX2:DX33" si="3">DW2+DV2</f>
        <v>0</v>
      </c>
      <c r="DY2" s="108"/>
      <c r="DZ2" s="40"/>
      <c r="EA2" s="40"/>
      <c r="EB2" s="40"/>
      <c r="EC2" s="156">
        <f t="shared" ref="EC2:EC33" si="4">DY2*3+EA2</f>
        <v>0</v>
      </c>
      <c r="ED2" s="156">
        <f t="shared" ref="ED2:ED33" si="5">DZ2*3+EB2</f>
        <v>0</v>
      </c>
      <c r="EE2" s="18">
        <f t="shared" ref="EE2:EE33" si="6">ED2+EC2</f>
        <v>0</v>
      </c>
      <c r="EF2" s="108"/>
      <c r="EG2" s="40"/>
      <c r="EH2" s="40"/>
      <c r="EI2" s="40"/>
      <c r="EJ2" s="156">
        <f t="shared" ref="EJ2:EJ33" si="7">EF2*3+EH2</f>
        <v>0</v>
      </c>
      <c r="EK2" s="156">
        <f t="shared" ref="EK2:EK33" si="8">EG2*3+EI2</f>
        <v>0</v>
      </c>
      <c r="EL2" s="18">
        <f t="shared" ref="EL2:EL33" si="9">EK2+EJ2</f>
        <v>0</v>
      </c>
      <c r="EM2" s="74">
        <f t="shared" ref="EM2:EM33" si="10">SUM(AP2,AI2,AB2,U2,N2,AW2,BD2,BK2,BR2,BY2,CF2,CM2,CT2,DA2,DH2,DO2,DV2,EC2,EJ2)</f>
        <v>0</v>
      </c>
      <c r="EN2" s="75">
        <f t="shared" ref="EN2:EN33" ca="1" si="11">EM2/(10+TODAY()-G2)</f>
        <v>0</v>
      </c>
      <c r="EO2" s="76">
        <f t="shared" ref="EO2:EO33" si="12">SUM(AQ2,AJ2,AC2,V2,O2,AX2,BE2,BL2,BS2,BZ2,CG2,CN2,CU2,DB2,DI2,DP2,DW2,ED2,EK2)</f>
        <v>0</v>
      </c>
      <c r="EP2" s="75">
        <f t="shared" ref="EP2:EP33" ca="1" si="13">EO2/(10+TODAY()-G2)</f>
        <v>0</v>
      </c>
      <c r="EQ2" s="76">
        <f t="shared" ref="EQ2:EQ33" si="14">EM2+EO2</f>
        <v>0</v>
      </c>
      <c r="ER2" s="75">
        <f t="shared" ref="ER2:ER33" ca="1" si="15">EP2+EN2</f>
        <v>0</v>
      </c>
      <c r="ES2" s="76">
        <f t="shared" ref="ES2:ES33" si="16">SUM(AS2,AL2,AE2,X2,Q2,Q2,J2,AZ2,BG2,BN2,BU2,CB2,CI2,CP2,CW2,DD2,DK2,DR2,DY2,EF2)</f>
        <v>0</v>
      </c>
      <c r="ET2" s="76">
        <f t="shared" ref="ET2:ET33" si="17">SUM(AT2,AM2,AF2,Y2,R2,R2,K2,BA2,BH2,BO2,BV2,CC2,CJ2,CQ2,CX2,DE2,DL2,DS2,DZ2,EG2)</f>
        <v>0</v>
      </c>
      <c r="EU2" s="76">
        <f t="shared" ref="EU2:EU33" si="18">ET2+ES2</f>
        <v>0</v>
      </c>
    </row>
    <row r="3" spans="1:151" ht="15.75" thickBot="1" x14ac:dyDescent="0.3">
      <c r="A3" s="177" t="s">
        <v>12</v>
      </c>
      <c r="B3" s="247" t="s">
        <v>223</v>
      </c>
      <c r="C3" s="85" t="str">
        <f t="shared" si="0"/>
        <v>טופז מפאוג</v>
      </c>
      <c r="D3" s="23" t="s">
        <v>6</v>
      </c>
      <c r="E3" s="23" t="s">
        <v>6</v>
      </c>
      <c r="F3" s="31" t="s">
        <v>224</v>
      </c>
      <c r="G3" s="30">
        <v>43313</v>
      </c>
      <c r="H3" s="31"/>
      <c r="I3" s="13"/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78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8">
        <v>1</v>
      </c>
      <c r="DE3" s="40"/>
      <c r="DF3" s="40">
        <v>1</v>
      </c>
      <c r="DG3" s="40"/>
      <c r="DH3" s="156">
        <f>DD3*3+DF3</f>
        <v>4</v>
      </c>
      <c r="DI3" s="156">
        <f>DE3*3+DG3</f>
        <v>0</v>
      </c>
      <c r="DJ3" s="18">
        <f>DI3+DH3</f>
        <v>4</v>
      </c>
      <c r="DK3" s="108"/>
      <c r="DL3" s="40"/>
      <c r="DM3" s="40">
        <v>2</v>
      </c>
      <c r="DN3" s="40"/>
      <c r="DO3" s="156">
        <f>DK3*3+DM3</f>
        <v>2</v>
      </c>
      <c r="DP3" s="156">
        <f>DL3*3+DN3</f>
        <v>0</v>
      </c>
      <c r="DQ3" s="18">
        <f>DP3+DO3</f>
        <v>2</v>
      </c>
      <c r="DR3" s="108">
        <v>1</v>
      </c>
      <c r="DS3" s="40"/>
      <c r="DT3" s="40">
        <v>1</v>
      </c>
      <c r="DU3" s="40"/>
      <c r="DV3" s="156">
        <f t="shared" si="1"/>
        <v>4</v>
      </c>
      <c r="DW3" s="156">
        <f t="shared" si="2"/>
        <v>0</v>
      </c>
      <c r="DX3" s="18">
        <f t="shared" si="3"/>
        <v>4</v>
      </c>
      <c r="DY3" s="108"/>
      <c r="DZ3" s="40"/>
      <c r="EA3" s="40">
        <v>5</v>
      </c>
      <c r="EB3" s="40"/>
      <c r="EC3" s="156">
        <f t="shared" si="4"/>
        <v>5</v>
      </c>
      <c r="ED3" s="156">
        <f t="shared" si="5"/>
        <v>0</v>
      </c>
      <c r="EE3" s="18">
        <f t="shared" si="6"/>
        <v>5</v>
      </c>
      <c r="EF3" s="108"/>
      <c r="EG3" s="40"/>
      <c r="EH3" s="40"/>
      <c r="EI3" s="40"/>
      <c r="EJ3" s="156">
        <f t="shared" si="7"/>
        <v>0</v>
      </c>
      <c r="EK3" s="156">
        <f t="shared" si="8"/>
        <v>0</v>
      </c>
      <c r="EL3" s="18">
        <f t="shared" si="9"/>
        <v>0</v>
      </c>
      <c r="EM3" s="74">
        <f t="shared" si="10"/>
        <v>15</v>
      </c>
      <c r="EN3" s="75">
        <f t="shared" ca="1" si="11"/>
        <v>9.6774193548387094E-2</v>
      </c>
      <c r="EO3" s="76">
        <f t="shared" si="12"/>
        <v>0</v>
      </c>
      <c r="EP3" s="75">
        <f t="shared" ca="1" si="13"/>
        <v>0</v>
      </c>
      <c r="EQ3" s="76">
        <f t="shared" si="14"/>
        <v>15</v>
      </c>
      <c r="ER3" s="75">
        <f t="shared" ca="1" si="15"/>
        <v>9.6774193548387094E-2</v>
      </c>
      <c r="ES3" s="76">
        <f t="shared" si="16"/>
        <v>2</v>
      </c>
      <c r="ET3" s="76">
        <f t="shared" si="17"/>
        <v>0</v>
      </c>
      <c r="EU3" s="76">
        <f t="shared" si="18"/>
        <v>2</v>
      </c>
    </row>
    <row r="4" spans="1:151" ht="15.75" thickBot="1" x14ac:dyDescent="0.3">
      <c r="A4" s="32">
        <v>11</v>
      </c>
      <c r="B4" s="247" t="s">
        <v>317</v>
      </c>
      <c r="C4" s="26" t="str">
        <f t="shared" si="0"/>
        <v>יהונתן 11</v>
      </c>
      <c r="D4" s="23" t="s">
        <v>6</v>
      </c>
      <c r="E4" s="23" t="s">
        <v>6</v>
      </c>
      <c r="F4" s="31" t="s">
        <v>314</v>
      </c>
      <c r="G4" s="30">
        <v>43457</v>
      </c>
      <c r="H4" s="31"/>
      <c r="I4" s="13"/>
      <c r="J4" s="48"/>
      <c r="K4" s="49"/>
      <c r="L4" s="49"/>
      <c r="M4" s="49"/>
      <c r="N4" s="50"/>
      <c r="O4" s="50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12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9"/>
      <c r="CF4" s="14"/>
      <c r="CG4" s="14"/>
      <c r="CH4" s="39"/>
      <c r="CI4" s="40"/>
      <c r="CJ4" s="40"/>
      <c r="CK4" s="40"/>
      <c r="CL4" s="83"/>
      <c r="CM4" s="14"/>
      <c r="CN4" s="14"/>
      <c r="CO4" s="39"/>
      <c r="CP4" s="108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8"/>
      <c r="DE4" s="40"/>
      <c r="DF4" s="40"/>
      <c r="DG4" s="40"/>
      <c r="DH4" s="156"/>
      <c r="DI4" s="156"/>
      <c r="DJ4" s="18"/>
      <c r="DK4" s="108"/>
      <c r="DL4" s="40"/>
      <c r="DM4" s="40"/>
      <c r="DN4" s="40"/>
      <c r="DO4" s="156"/>
      <c r="DP4" s="156"/>
      <c r="DQ4" s="18"/>
      <c r="DR4" s="108"/>
      <c r="DS4" s="40"/>
      <c r="DT4" s="40"/>
      <c r="DU4" s="40"/>
      <c r="DV4" s="156">
        <f t="shared" si="1"/>
        <v>0</v>
      </c>
      <c r="DW4" s="156">
        <f t="shared" si="2"/>
        <v>0</v>
      </c>
      <c r="DX4" s="18">
        <f t="shared" si="3"/>
        <v>0</v>
      </c>
      <c r="DY4" s="108"/>
      <c r="DZ4" s="40"/>
      <c r="EA4" s="40"/>
      <c r="EB4" s="40"/>
      <c r="EC4" s="156">
        <f t="shared" si="4"/>
        <v>0</v>
      </c>
      <c r="ED4" s="156">
        <f t="shared" si="5"/>
        <v>0</v>
      </c>
      <c r="EE4" s="18">
        <f t="shared" si="6"/>
        <v>0</v>
      </c>
      <c r="EF4" s="108"/>
      <c r="EG4" s="40"/>
      <c r="EH4" s="40"/>
      <c r="EI4" s="40"/>
      <c r="EJ4" s="156">
        <f t="shared" si="7"/>
        <v>0</v>
      </c>
      <c r="EK4" s="156">
        <f t="shared" si="8"/>
        <v>0</v>
      </c>
      <c r="EL4" s="18">
        <f t="shared" si="9"/>
        <v>0</v>
      </c>
      <c r="EM4" s="74">
        <f t="shared" si="10"/>
        <v>0</v>
      </c>
      <c r="EN4" s="75">
        <f t="shared" ca="1" si="11"/>
        <v>0</v>
      </c>
      <c r="EO4" s="76">
        <f t="shared" si="12"/>
        <v>0</v>
      </c>
      <c r="EP4" s="75">
        <f t="shared" ca="1" si="13"/>
        <v>0</v>
      </c>
      <c r="EQ4" s="76">
        <f t="shared" si="14"/>
        <v>0</v>
      </c>
      <c r="ER4" s="75">
        <f t="shared" ca="1" si="15"/>
        <v>0</v>
      </c>
      <c r="ES4" s="76">
        <f t="shared" si="16"/>
        <v>0</v>
      </c>
      <c r="ET4" s="76">
        <f t="shared" si="17"/>
        <v>0</v>
      </c>
      <c r="EU4" s="76">
        <f t="shared" si="18"/>
        <v>0</v>
      </c>
    </row>
    <row r="5" spans="1:151" ht="15.75" thickBot="1" x14ac:dyDescent="0.3">
      <c r="A5" s="255">
        <v>11</v>
      </c>
      <c r="B5" s="218" t="s">
        <v>258</v>
      </c>
      <c r="C5" s="77" t="str">
        <f t="shared" si="0"/>
        <v>נעם 11</v>
      </c>
      <c r="D5" s="23" t="s">
        <v>6</v>
      </c>
      <c r="E5" s="23" t="s">
        <v>6</v>
      </c>
      <c r="F5" s="31" t="s">
        <v>259</v>
      </c>
      <c r="G5" s="30">
        <v>43344</v>
      </c>
      <c r="H5" s="31"/>
      <c r="I5" s="35"/>
      <c r="J5" s="48"/>
      <c r="K5" s="49"/>
      <c r="L5" s="49"/>
      <c r="M5" s="49"/>
      <c r="N5" s="50"/>
      <c r="O5" s="50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40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9"/>
      <c r="CF5" s="14"/>
      <c r="CG5" s="14"/>
      <c r="CH5" s="39"/>
      <c r="CI5" s="40"/>
      <c r="CJ5" s="40"/>
      <c r="CK5" s="40"/>
      <c r="CL5" s="83"/>
      <c r="CM5" s="14"/>
      <c r="CN5" s="14"/>
      <c r="CO5" s="39"/>
      <c r="CP5" s="108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8"/>
      <c r="DE5" s="40"/>
      <c r="DF5" s="40"/>
      <c r="DG5" s="40"/>
      <c r="DH5" s="156">
        <f>DD5*3+DF5</f>
        <v>0</v>
      </c>
      <c r="DI5" s="156">
        <f>DE5*3+DG5</f>
        <v>0</v>
      </c>
      <c r="DJ5" s="18">
        <f>DI5+DH5</f>
        <v>0</v>
      </c>
      <c r="DK5" s="108"/>
      <c r="DL5" s="40"/>
      <c r="DM5" s="40">
        <v>1</v>
      </c>
      <c r="DN5" s="40"/>
      <c r="DO5" s="156">
        <f t="shared" ref="DO5:DP8" si="19">DK5*3+DM5</f>
        <v>1</v>
      </c>
      <c r="DP5" s="156">
        <f t="shared" si="19"/>
        <v>0</v>
      </c>
      <c r="DQ5" s="18">
        <f>DP5+DO5</f>
        <v>1</v>
      </c>
      <c r="DR5" s="108"/>
      <c r="DS5" s="40"/>
      <c r="DT5" s="40"/>
      <c r="DU5" s="40"/>
      <c r="DV5" s="156">
        <f t="shared" si="1"/>
        <v>0</v>
      </c>
      <c r="DW5" s="156">
        <f t="shared" si="2"/>
        <v>0</v>
      </c>
      <c r="DX5" s="18">
        <f t="shared" si="3"/>
        <v>0</v>
      </c>
      <c r="DY5" s="108"/>
      <c r="DZ5" s="40"/>
      <c r="EA5" s="40"/>
      <c r="EB5" s="40"/>
      <c r="EC5" s="156">
        <f t="shared" si="4"/>
        <v>0</v>
      </c>
      <c r="ED5" s="156">
        <f t="shared" si="5"/>
        <v>0</v>
      </c>
      <c r="EE5" s="18">
        <f t="shared" si="6"/>
        <v>0</v>
      </c>
      <c r="EF5" s="108"/>
      <c r="EG5" s="40"/>
      <c r="EH5" s="40"/>
      <c r="EI5" s="40"/>
      <c r="EJ5" s="156">
        <f t="shared" si="7"/>
        <v>0</v>
      </c>
      <c r="EK5" s="156">
        <f t="shared" si="8"/>
        <v>0</v>
      </c>
      <c r="EL5" s="18">
        <f t="shared" si="9"/>
        <v>0</v>
      </c>
      <c r="EM5" s="74">
        <f t="shared" si="10"/>
        <v>1</v>
      </c>
      <c r="EN5" s="75">
        <f t="shared" ca="1" si="11"/>
        <v>8.0645161290322578E-3</v>
      </c>
      <c r="EO5" s="76">
        <f t="shared" si="12"/>
        <v>0</v>
      </c>
      <c r="EP5" s="75">
        <f t="shared" ca="1" si="13"/>
        <v>0</v>
      </c>
      <c r="EQ5" s="76">
        <f t="shared" si="14"/>
        <v>1</v>
      </c>
      <c r="ER5" s="75">
        <f t="shared" ca="1" si="15"/>
        <v>8.0645161290322578E-3</v>
      </c>
      <c r="ES5" s="76">
        <f t="shared" si="16"/>
        <v>0</v>
      </c>
      <c r="ET5" s="76">
        <f t="shared" si="17"/>
        <v>0</v>
      </c>
      <c r="EU5" s="76">
        <f t="shared" si="18"/>
        <v>0</v>
      </c>
    </row>
    <row r="6" spans="1:151" ht="15.75" hidden="1" thickBot="1" x14ac:dyDescent="0.3">
      <c r="A6" s="216" t="s">
        <v>63</v>
      </c>
      <c r="B6" s="218" t="s">
        <v>11</v>
      </c>
      <c r="C6" s="77" t="str">
        <f t="shared" si="0"/>
        <v>שיר אחודה</v>
      </c>
      <c r="D6" s="23" t="s">
        <v>6</v>
      </c>
      <c r="E6" s="23" t="s">
        <v>7</v>
      </c>
      <c r="F6" s="31" t="s">
        <v>193</v>
      </c>
      <c r="G6" s="30">
        <v>43252</v>
      </c>
      <c r="H6" s="42"/>
      <c r="I6" s="13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/>
      <c r="AH6" s="12"/>
      <c r="AI6" s="14">
        <f>AE6*3+AG6</f>
        <v>0</v>
      </c>
      <c r="AJ6" s="14">
        <f>AF6*3+AH6</f>
        <v>0</v>
      </c>
      <c r="AK6" s="16">
        <f>AJ6+AI6</f>
        <v>0</v>
      </c>
      <c r="AL6" s="10"/>
      <c r="AM6" s="12"/>
      <c r="AN6" s="12"/>
      <c r="AO6" s="12"/>
      <c r="AP6" s="14">
        <f>AL6*3+AN6</f>
        <v>0</v>
      </c>
      <c r="AQ6" s="14">
        <f>AM6*3+AO6</f>
        <v>0</v>
      </c>
      <c r="AR6" s="16">
        <f>AQ6+AP6</f>
        <v>0</v>
      </c>
      <c r="AS6" s="10"/>
      <c r="AT6" s="12"/>
      <c r="AU6" s="12"/>
      <c r="AV6" s="12"/>
      <c r="AW6" s="14">
        <f>AS6*3+AU6</f>
        <v>0</v>
      </c>
      <c r="AX6" s="14">
        <f>AT6*3+AV6</f>
        <v>0</v>
      </c>
      <c r="AY6" s="16">
        <f>AX6+AW6</f>
        <v>0</v>
      </c>
      <c r="AZ6" s="10"/>
      <c r="BA6" s="12"/>
      <c r="BB6" s="12"/>
      <c r="BC6" s="12"/>
      <c r="BD6" s="14">
        <f>AZ6*3+BB6</f>
        <v>0</v>
      </c>
      <c r="BE6" s="14">
        <f>BA6*3+BC6</f>
        <v>0</v>
      </c>
      <c r="BF6" s="16">
        <f>BE6+BD6</f>
        <v>0</v>
      </c>
      <c r="BG6" s="32"/>
      <c r="BH6" s="40"/>
      <c r="BI6" s="12"/>
      <c r="BJ6" s="12"/>
      <c r="BK6" s="14">
        <f>BG6*3+BI6</f>
        <v>0</v>
      </c>
      <c r="BL6" s="14">
        <f>BH6*3+BJ6</f>
        <v>0</v>
      </c>
      <c r="BM6" s="39">
        <f>BL6+BK6</f>
        <v>0</v>
      </c>
      <c r="BN6" s="32"/>
      <c r="BO6" s="40"/>
      <c r="BP6" s="40"/>
      <c r="BQ6" s="40"/>
      <c r="BR6" s="14">
        <f>BN6*3+BP6</f>
        <v>0</v>
      </c>
      <c r="BS6" s="14">
        <f>BO6*3+BQ6</f>
        <v>0</v>
      </c>
      <c r="BT6" s="39">
        <f>BS6+BR6</f>
        <v>0</v>
      </c>
      <c r="BU6" s="32"/>
      <c r="BV6" s="40"/>
      <c r="BW6" s="40"/>
      <c r="BX6" s="40"/>
      <c r="BY6" s="14">
        <f>BU6*3+BW6</f>
        <v>0</v>
      </c>
      <c r="BZ6" s="14">
        <f>BV6*3+BX6</f>
        <v>0</v>
      </c>
      <c r="CA6" s="39">
        <f>BZ6+BY6</f>
        <v>0</v>
      </c>
      <c r="CB6" s="32"/>
      <c r="CC6" s="40"/>
      <c r="CD6" s="40"/>
      <c r="CE6" s="79"/>
      <c r="CF6" s="14">
        <f>CB6*3+CD6</f>
        <v>0</v>
      </c>
      <c r="CG6" s="14">
        <f>CC6*3+CE6</f>
        <v>0</v>
      </c>
      <c r="CH6" s="39">
        <f>CG6+CF6</f>
        <v>0</v>
      </c>
      <c r="CI6" s="40"/>
      <c r="CJ6" s="40"/>
      <c r="CK6" s="40"/>
      <c r="CL6" s="83"/>
      <c r="CM6" s="14">
        <f>CI6*3+CK6</f>
        <v>0</v>
      </c>
      <c r="CN6" s="14">
        <f>CJ6*3+CL6</f>
        <v>0</v>
      </c>
      <c r="CO6" s="39">
        <f>CN6+CM6</f>
        <v>0</v>
      </c>
      <c r="CP6" s="108">
        <v>1</v>
      </c>
      <c r="CQ6" s="40"/>
      <c r="CR6" s="40">
        <v>1</v>
      </c>
      <c r="CS6" s="40"/>
      <c r="CT6" s="14">
        <f>CP6*3+CR6</f>
        <v>4</v>
      </c>
      <c r="CU6" s="14">
        <f>CQ6*3+CS6</f>
        <v>0</v>
      </c>
      <c r="CV6" s="39">
        <f>CU6+CT6</f>
        <v>4</v>
      </c>
      <c r="CW6" s="32"/>
      <c r="CX6" s="40"/>
      <c r="CY6" s="40">
        <v>3</v>
      </c>
      <c r="CZ6" s="40"/>
      <c r="DA6" s="17">
        <f>CW6*3+CY6</f>
        <v>3</v>
      </c>
      <c r="DB6" s="17">
        <f>CX6*3+CZ6</f>
        <v>0</v>
      </c>
      <c r="DC6" s="18">
        <f>DB6+DA6</f>
        <v>3</v>
      </c>
      <c r="DD6" s="108"/>
      <c r="DE6" s="40"/>
      <c r="DF6" s="40">
        <v>3</v>
      </c>
      <c r="DG6" s="40"/>
      <c r="DH6" s="156">
        <f>DD6*3+DF6</f>
        <v>3</v>
      </c>
      <c r="DI6" s="156">
        <f>DE6*3+DG6</f>
        <v>0</v>
      </c>
      <c r="DJ6" s="18">
        <f>DI6+DH6</f>
        <v>3</v>
      </c>
      <c r="DK6" s="108">
        <v>1</v>
      </c>
      <c r="DL6" s="40"/>
      <c r="DM6" s="40"/>
      <c r="DN6" s="40"/>
      <c r="DO6" s="156">
        <f t="shared" si="19"/>
        <v>3</v>
      </c>
      <c r="DP6" s="156">
        <f t="shared" si="19"/>
        <v>0</v>
      </c>
      <c r="DQ6" s="18">
        <f>DP6+DO6</f>
        <v>3</v>
      </c>
      <c r="DR6" s="108"/>
      <c r="DS6" s="40"/>
      <c r="DT6" s="40">
        <v>3</v>
      </c>
      <c r="DU6" s="40"/>
      <c r="DV6" s="156">
        <f t="shared" si="1"/>
        <v>3</v>
      </c>
      <c r="DW6" s="156">
        <f t="shared" si="2"/>
        <v>0</v>
      </c>
      <c r="DX6" s="18">
        <f t="shared" si="3"/>
        <v>3</v>
      </c>
      <c r="DY6" s="108"/>
      <c r="DZ6" s="40"/>
      <c r="EA6" s="40"/>
      <c r="EB6" s="40"/>
      <c r="EC6" s="156">
        <f t="shared" si="4"/>
        <v>0</v>
      </c>
      <c r="ED6" s="156">
        <f t="shared" si="5"/>
        <v>0</v>
      </c>
      <c r="EE6" s="18">
        <f t="shared" si="6"/>
        <v>0</v>
      </c>
      <c r="EF6" s="108"/>
      <c r="EG6" s="40"/>
      <c r="EH6" s="40"/>
      <c r="EI6" s="40"/>
      <c r="EJ6" s="156">
        <f t="shared" si="7"/>
        <v>0</v>
      </c>
      <c r="EK6" s="156">
        <f t="shared" si="8"/>
        <v>0</v>
      </c>
      <c r="EL6" s="18">
        <f t="shared" si="9"/>
        <v>0</v>
      </c>
      <c r="EM6" s="74">
        <f t="shared" si="10"/>
        <v>16</v>
      </c>
      <c r="EN6" s="75">
        <f t="shared" ca="1" si="11"/>
        <v>7.407407407407407E-2</v>
      </c>
      <c r="EO6" s="76">
        <f t="shared" si="12"/>
        <v>0</v>
      </c>
      <c r="EP6" s="75">
        <f t="shared" ca="1" si="13"/>
        <v>0</v>
      </c>
      <c r="EQ6" s="76">
        <f t="shared" si="14"/>
        <v>16</v>
      </c>
      <c r="ER6" s="75">
        <f t="shared" ca="1" si="15"/>
        <v>7.407407407407407E-2</v>
      </c>
      <c r="ES6" s="76">
        <f t="shared" si="16"/>
        <v>2</v>
      </c>
      <c r="ET6" s="76">
        <f t="shared" si="17"/>
        <v>0</v>
      </c>
      <c r="EU6" s="76">
        <f t="shared" si="18"/>
        <v>2</v>
      </c>
    </row>
    <row r="7" spans="1:151" ht="15.75" thickBot="1" x14ac:dyDescent="0.3">
      <c r="A7" s="216" t="s">
        <v>12</v>
      </c>
      <c r="B7" s="218" t="s">
        <v>11</v>
      </c>
      <c r="C7" s="77" t="str">
        <f t="shared" si="0"/>
        <v>שיר מפאוג</v>
      </c>
      <c r="D7" s="23" t="s">
        <v>6</v>
      </c>
      <c r="E7" s="23" t="s">
        <v>6</v>
      </c>
      <c r="F7" s="31" t="s">
        <v>302</v>
      </c>
      <c r="G7" s="30">
        <v>43405</v>
      </c>
      <c r="H7" s="42"/>
      <c r="I7" s="13"/>
      <c r="J7" s="48"/>
      <c r="K7" s="49"/>
      <c r="L7" s="49"/>
      <c r="M7" s="49"/>
      <c r="N7" s="50"/>
      <c r="O7" s="50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12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32"/>
      <c r="CC7" s="40"/>
      <c r="CD7" s="40"/>
      <c r="CE7" s="79"/>
      <c r="CF7" s="14"/>
      <c r="CG7" s="14"/>
      <c r="CH7" s="39"/>
      <c r="CI7" s="40"/>
      <c r="CJ7" s="40"/>
      <c r="CK7" s="40"/>
      <c r="CL7" s="83"/>
      <c r="CM7" s="14"/>
      <c r="CN7" s="14"/>
      <c r="CO7" s="39"/>
      <c r="CP7" s="108"/>
      <c r="CQ7" s="40"/>
      <c r="CR7" s="40"/>
      <c r="CS7" s="40"/>
      <c r="CT7" s="14"/>
      <c r="CU7" s="14"/>
      <c r="CV7" s="39"/>
      <c r="CW7" s="32"/>
      <c r="CX7" s="40"/>
      <c r="CY7" s="40"/>
      <c r="CZ7" s="40"/>
      <c r="DA7" s="17"/>
      <c r="DB7" s="17"/>
      <c r="DC7" s="18"/>
      <c r="DD7" s="108"/>
      <c r="DE7" s="40"/>
      <c r="DF7" s="40"/>
      <c r="DG7" s="40"/>
      <c r="DH7" s="156"/>
      <c r="DI7" s="156"/>
      <c r="DJ7" s="18"/>
      <c r="DK7" s="108"/>
      <c r="DL7" s="40"/>
      <c r="DM7" s="40"/>
      <c r="DN7" s="40"/>
      <c r="DO7" s="156">
        <f t="shared" si="19"/>
        <v>0</v>
      </c>
      <c r="DP7" s="156">
        <f t="shared" si="19"/>
        <v>0</v>
      </c>
      <c r="DQ7" s="18">
        <f>DP7+DO7</f>
        <v>0</v>
      </c>
      <c r="DR7" s="108"/>
      <c r="DS7" s="40"/>
      <c r="DT7" s="40"/>
      <c r="DU7" s="40"/>
      <c r="DV7" s="156">
        <f t="shared" si="1"/>
        <v>0</v>
      </c>
      <c r="DW7" s="156">
        <f t="shared" si="2"/>
        <v>0</v>
      </c>
      <c r="DX7" s="18">
        <f t="shared" si="3"/>
        <v>0</v>
      </c>
      <c r="DY7" s="108"/>
      <c r="DZ7" s="40"/>
      <c r="EA7" s="40"/>
      <c r="EB7" s="40"/>
      <c r="EC7" s="156">
        <f t="shared" si="4"/>
        <v>0</v>
      </c>
      <c r="ED7" s="156">
        <f t="shared" si="5"/>
        <v>0</v>
      </c>
      <c r="EE7" s="18">
        <f t="shared" si="6"/>
        <v>0</v>
      </c>
      <c r="EF7" s="108"/>
      <c r="EG7" s="40"/>
      <c r="EH7" s="40"/>
      <c r="EI7" s="40"/>
      <c r="EJ7" s="156">
        <f t="shared" si="7"/>
        <v>0</v>
      </c>
      <c r="EK7" s="156">
        <f t="shared" si="8"/>
        <v>0</v>
      </c>
      <c r="EL7" s="18">
        <f t="shared" si="9"/>
        <v>0</v>
      </c>
      <c r="EM7" s="74">
        <f t="shared" si="10"/>
        <v>0</v>
      </c>
      <c r="EN7" s="75">
        <f t="shared" ca="1" si="11"/>
        <v>0</v>
      </c>
      <c r="EO7" s="76">
        <f t="shared" si="12"/>
        <v>0</v>
      </c>
      <c r="EP7" s="75">
        <f t="shared" ca="1" si="13"/>
        <v>0</v>
      </c>
      <c r="EQ7" s="76">
        <f t="shared" si="14"/>
        <v>0</v>
      </c>
      <c r="ER7" s="75">
        <f t="shared" ca="1" si="15"/>
        <v>0</v>
      </c>
      <c r="ES7" s="76">
        <f t="shared" si="16"/>
        <v>0</v>
      </c>
      <c r="ET7" s="76">
        <f t="shared" si="17"/>
        <v>0</v>
      </c>
      <c r="EU7" s="76">
        <f t="shared" si="18"/>
        <v>0</v>
      </c>
    </row>
    <row r="8" spans="1:151" ht="15.75" hidden="1" thickBot="1" x14ac:dyDescent="0.3">
      <c r="A8" s="32">
        <v>679</v>
      </c>
      <c r="B8" s="33" t="s">
        <v>13</v>
      </c>
      <c r="C8" s="26" t="str">
        <f t="shared" si="0"/>
        <v>אופיר 679</v>
      </c>
      <c r="D8" s="12" t="s">
        <v>6</v>
      </c>
      <c r="E8" s="23" t="s">
        <v>7</v>
      </c>
      <c r="F8" s="31" t="s">
        <v>144</v>
      </c>
      <c r="G8" s="30">
        <v>42979</v>
      </c>
      <c r="H8" s="19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>
        <v>2</v>
      </c>
      <c r="AH8" s="12"/>
      <c r="AI8" s="14">
        <f>AE8*3+AG8</f>
        <v>2</v>
      </c>
      <c r="AJ8" s="14">
        <f>AF8*3+AH8</f>
        <v>0</v>
      </c>
      <c r="AK8" s="16">
        <f>AJ8+AI8</f>
        <v>2</v>
      </c>
      <c r="AL8" s="10"/>
      <c r="AM8" s="12"/>
      <c r="AN8" s="12">
        <v>5</v>
      </c>
      <c r="AO8" s="12"/>
      <c r="AP8" s="14">
        <f>AL8*3+AN8</f>
        <v>5</v>
      </c>
      <c r="AQ8" s="14">
        <f>AM8*3+AO8</f>
        <v>0</v>
      </c>
      <c r="AR8" s="16">
        <f>AQ8+AP8</f>
        <v>5</v>
      </c>
      <c r="AS8" s="10">
        <v>1</v>
      </c>
      <c r="AT8" s="12"/>
      <c r="AU8" s="12">
        <v>3</v>
      </c>
      <c r="AV8" s="12"/>
      <c r="AW8" s="14">
        <f>AS8*3+AU8</f>
        <v>6</v>
      </c>
      <c r="AX8" s="14">
        <f>AT8*3+AV8</f>
        <v>0</v>
      </c>
      <c r="AY8" s="16">
        <f>AX8+AW8</f>
        <v>6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0"/>
      <c r="BI8" s="12">
        <v>5</v>
      </c>
      <c r="BJ8" s="12">
        <v>2</v>
      </c>
      <c r="BK8" s="14">
        <f>BG8*3+BI8</f>
        <v>5</v>
      </c>
      <c r="BL8" s="14">
        <f>BH8*3+BJ8</f>
        <v>2</v>
      </c>
      <c r="BM8" s="39">
        <f>BL8+BK8</f>
        <v>7</v>
      </c>
      <c r="BN8" s="32">
        <v>1</v>
      </c>
      <c r="BO8" s="40"/>
      <c r="BP8" s="40">
        <v>-1</v>
      </c>
      <c r="BQ8" s="40"/>
      <c r="BR8" s="14">
        <f>BN8*3+BP8</f>
        <v>2</v>
      </c>
      <c r="BS8" s="14">
        <f>BO8*3+BQ8</f>
        <v>0</v>
      </c>
      <c r="BT8" s="39">
        <f>BS8+BR8</f>
        <v>2</v>
      </c>
      <c r="BU8" s="32"/>
      <c r="BV8" s="40"/>
      <c r="BW8" s="40">
        <v>2</v>
      </c>
      <c r="BX8" s="40"/>
      <c r="BY8" s="14">
        <f>BU8*3+BW8</f>
        <v>2</v>
      </c>
      <c r="BZ8" s="14">
        <f>BV8*3+BX8</f>
        <v>0</v>
      </c>
      <c r="CA8" s="39">
        <f>BZ8+BY8</f>
        <v>2</v>
      </c>
      <c r="CB8" s="32"/>
      <c r="CC8" s="40"/>
      <c r="CD8" s="249"/>
      <c r="CE8" s="248"/>
      <c r="CF8" s="14">
        <f>CB8*3+CD8</f>
        <v>0</v>
      </c>
      <c r="CG8" s="14">
        <f>CC8*3+CE8</f>
        <v>0</v>
      </c>
      <c r="CH8" s="39">
        <f>CG8+CF8</f>
        <v>0</v>
      </c>
      <c r="CI8" s="40"/>
      <c r="CJ8" s="40"/>
      <c r="CK8" s="40">
        <v>1</v>
      </c>
      <c r="CL8" s="83"/>
      <c r="CM8" s="14">
        <f>CI8*3+CK8</f>
        <v>1</v>
      </c>
      <c r="CN8" s="14">
        <f>CJ8*3+CL8</f>
        <v>0</v>
      </c>
      <c r="CO8" s="39">
        <f>CN8+CM8</f>
        <v>1</v>
      </c>
      <c r="CP8" s="108">
        <v>2</v>
      </c>
      <c r="CQ8" s="40"/>
      <c r="CR8" s="40">
        <v>1</v>
      </c>
      <c r="CS8" s="40"/>
      <c r="CT8" s="14">
        <f>CP8*3+CR8</f>
        <v>7</v>
      </c>
      <c r="CU8" s="14">
        <f>CQ8*3+CS8</f>
        <v>0</v>
      </c>
      <c r="CV8" s="39">
        <f>CU8+CT8</f>
        <v>7</v>
      </c>
      <c r="CW8" s="32"/>
      <c r="CX8" s="40"/>
      <c r="CY8" s="40">
        <v>4</v>
      </c>
      <c r="CZ8" s="40"/>
      <c r="DA8" s="17">
        <f>CW8*3+CY8</f>
        <v>4</v>
      </c>
      <c r="DB8" s="17">
        <f>CX8*3+CZ8</f>
        <v>0</v>
      </c>
      <c r="DC8" s="18">
        <f>DB8+DA8</f>
        <v>4</v>
      </c>
      <c r="DD8" s="108"/>
      <c r="DE8" s="40"/>
      <c r="DF8" s="40">
        <v>3</v>
      </c>
      <c r="DG8" s="40"/>
      <c r="DH8" s="156">
        <f>DD8*3+DF8</f>
        <v>3</v>
      </c>
      <c r="DI8" s="156">
        <f>DE8*3+DG8</f>
        <v>0</v>
      </c>
      <c r="DJ8" s="18">
        <f>DI8+DH8</f>
        <v>3</v>
      </c>
      <c r="DK8" s="108">
        <v>1</v>
      </c>
      <c r="DL8" s="40"/>
      <c r="DM8" s="40"/>
      <c r="DN8" s="40"/>
      <c r="DO8" s="156">
        <f t="shared" si="19"/>
        <v>3</v>
      </c>
      <c r="DP8" s="156">
        <f t="shared" si="19"/>
        <v>0</v>
      </c>
      <c r="DQ8" s="18">
        <f>DP8+DO8</f>
        <v>3</v>
      </c>
      <c r="DR8" s="108"/>
      <c r="DS8" s="40">
        <v>1</v>
      </c>
      <c r="DT8" s="40">
        <v>1</v>
      </c>
      <c r="DU8" s="40"/>
      <c r="DV8" s="156">
        <f t="shared" si="1"/>
        <v>1</v>
      </c>
      <c r="DW8" s="156">
        <f t="shared" si="2"/>
        <v>3</v>
      </c>
      <c r="DX8" s="18">
        <f t="shared" si="3"/>
        <v>4</v>
      </c>
      <c r="DY8" s="108">
        <v>1</v>
      </c>
      <c r="DZ8" s="40"/>
      <c r="EA8" s="40">
        <v>2</v>
      </c>
      <c r="EB8" s="40"/>
      <c r="EC8" s="156">
        <f t="shared" si="4"/>
        <v>5</v>
      </c>
      <c r="ED8" s="156">
        <f t="shared" si="5"/>
        <v>0</v>
      </c>
      <c r="EE8" s="18">
        <f t="shared" si="6"/>
        <v>5</v>
      </c>
      <c r="EF8" s="108"/>
      <c r="EG8" s="40"/>
      <c r="EH8" s="40">
        <v>1</v>
      </c>
      <c r="EI8" s="40"/>
      <c r="EJ8" s="156">
        <f t="shared" si="7"/>
        <v>1</v>
      </c>
      <c r="EK8" s="156">
        <f t="shared" si="8"/>
        <v>0</v>
      </c>
      <c r="EL8" s="18">
        <f t="shared" si="9"/>
        <v>1</v>
      </c>
      <c r="EM8" s="74">
        <f t="shared" si="10"/>
        <v>47</v>
      </c>
      <c r="EN8" s="75">
        <f t="shared" ca="1" si="11"/>
        <v>9.6114519427402859E-2</v>
      </c>
      <c r="EO8" s="76">
        <f t="shared" si="12"/>
        <v>5</v>
      </c>
      <c r="EP8" s="75">
        <f t="shared" ca="1" si="13"/>
        <v>1.0224948875255624E-2</v>
      </c>
      <c r="EQ8" s="76">
        <f t="shared" si="14"/>
        <v>52</v>
      </c>
      <c r="ER8" s="75">
        <f t="shared" ca="1" si="15"/>
        <v>0.10633946830265849</v>
      </c>
      <c r="ES8" s="76">
        <f t="shared" si="16"/>
        <v>6</v>
      </c>
      <c r="ET8" s="76">
        <f t="shared" si="17"/>
        <v>1</v>
      </c>
      <c r="EU8" s="76">
        <f t="shared" si="18"/>
        <v>7</v>
      </c>
    </row>
    <row r="9" spans="1:151" ht="15.75" thickBot="1" x14ac:dyDescent="0.3">
      <c r="A9" s="32">
        <v>679</v>
      </c>
      <c r="B9" s="247" t="s">
        <v>315</v>
      </c>
      <c r="C9" s="26" t="str">
        <f t="shared" si="0"/>
        <v>שי-לי 679</v>
      </c>
      <c r="D9" s="23" t="s">
        <v>6</v>
      </c>
      <c r="E9" s="23" t="s">
        <v>6</v>
      </c>
      <c r="F9" s="31" t="s">
        <v>314</v>
      </c>
      <c r="G9" s="30">
        <v>43457</v>
      </c>
      <c r="H9" s="31"/>
      <c r="I9" s="13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12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8"/>
      <c r="DE9" s="40"/>
      <c r="DF9" s="40"/>
      <c r="DG9" s="40"/>
      <c r="DH9" s="156"/>
      <c r="DI9" s="156"/>
      <c r="DJ9" s="18"/>
      <c r="DK9" s="108"/>
      <c r="DL9" s="40"/>
      <c r="DM9" s="40"/>
      <c r="DN9" s="40"/>
      <c r="DO9" s="156"/>
      <c r="DP9" s="156"/>
      <c r="DQ9" s="18"/>
      <c r="DR9" s="108"/>
      <c r="DS9" s="40"/>
      <c r="DT9" s="40"/>
      <c r="DU9" s="40"/>
      <c r="DV9" s="156">
        <f t="shared" si="1"/>
        <v>0</v>
      </c>
      <c r="DW9" s="156">
        <f t="shared" si="2"/>
        <v>0</v>
      </c>
      <c r="DX9" s="18">
        <f t="shared" si="3"/>
        <v>0</v>
      </c>
      <c r="DY9" s="108"/>
      <c r="DZ9" s="40"/>
      <c r="EA9" s="40"/>
      <c r="EB9" s="40"/>
      <c r="EC9" s="156">
        <f t="shared" si="4"/>
        <v>0</v>
      </c>
      <c r="ED9" s="156">
        <f t="shared" si="5"/>
        <v>0</v>
      </c>
      <c r="EE9" s="18">
        <f t="shared" si="6"/>
        <v>0</v>
      </c>
      <c r="EF9" s="108"/>
      <c r="EG9" s="40"/>
      <c r="EH9" s="40">
        <v>1</v>
      </c>
      <c r="EI9" s="40"/>
      <c r="EJ9" s="156">
        <f t="shared" si="7"/>
        <v>1</v>
      </c>
      <c r="EK9" s="156">
        <f t="shared" si="8"/>
        <v>0</v>
      </c>
      <c r="EL9" s="18">
        <f t="shared" si="9"/>
        <v>1</v>
      </c>
      <c r="EM9" s="74">
        <f t="shared" si="10"/>
        <v>1</v>
      </c>
      <c r="EN9" s="75">
        <f t="shared" ca="1" si="11"/>
        <v>9.0909090909090912E-2</v>
      </c>
      <c r="EO9" s="76">
        <f t="shared" si="12"/>
        <v>0</v>
      </c>
      <c r="EP9" s="75">
        <f t="shared" ca="1" si="13"/>
        <v>0</v>
      </c>
      <c r="EQ9" s="76">
        <f t="shared" si="14"/>
        <v>1</v>
      </c>
      <c r="ER9" s="75">
        <f t="shared" ca="1" si="15"/>
        <v>9.0909090909090912E-2</v>
      </c>
      <c r="ES9" s="76">
        <f t="shared" si="16"/>
        <v>0</v>
      </c>
      <c r="ET9" s="76">
        <f t="shared" si="17"/>
        <v>0</v>
      </c>
      <c r="EU9" s="76">
        <f t="shared" si="18"/>
        <v>0</v>
      </c>
    </row>
    <row r="10" spans="1:151" ht="15.75" hidden="1" thickBot="1" x14ac:dyDescent="0.3">
      <c r="A10" s="32" t="s">
        <v>63</v>
      </c>
      <c r="B10" s="24" t="s">
        <v>132</v>
      </c>
      <c r="C10" s="26" t="str">
        <f t="shared" si="0"/>
        <v>תאיר אחודה</v>
      </c>
      <c r="D10" s="23" t="s">
        <v>6</v>
      </c>
      <c r="E10" s="23" t="s">
        <v>7</v>
      </c>
      <c r="F10" s="31" t="s">
        <v>148</v>
      </c>
      <c r="G10" s="30">
        <v>43132</v>
      </c>
      <c r="H10" s="31"/>
      <c r="I10" s="35" t="s">
        <v>157</v>
      </c>
      <c r="J10" s="48"/>
      <c r="K10" s="49"/>
      <c r="L10" s="49"/>
      <c r="M10" s="49"/>
      <c r="N10" s="50">
        <f t="shared" ref="N10:O14" si="20">J10*3+L10</f>
        <v>0</v>
      </c>
      <c r="O10" s="50">
        <f t="shared" si="20"/>
        <v>0</v>
      </c>
      <c r="P10" s="15">
        <f>O10+N10</f>
        <v>0</v>
      </c>
      <c r="Q10" s="10"/>
      <c r="R10" s="12"/>
      <c r="S10" s="12"/>
      <c r="T10" s="12"/>
      <c r="U10" s="14">
        <f t="shared" ref="U10:V14" si="21">Q10*3+S10</f>
        <v>0</v>
      </c>
      <c r="V10" s="14">
        <f t="shared" si="21"/>
        <v>0</v>
      </c>
      <c r="W10" s="16">
        <f>V10+U10</f>
        <v>0</v>
      </c>
      <c r="X10" s="10"/>
      <c r="Y10" s="12"/>
      <c r="Z10" s="12"/>
      <c r="AA10" s="12"/>
      <c r="AB10" s="17">
        <f t="shared" ref="AB10:AC14" si="22">X10*3+Z10</f>
        <v>0</v>
      </c>
      <c r="AC10" s="17">
        <f t="shared" si="22"/>
        <v>0</v>
      </c>
      <c r="AD10" s="18">
        <f>AC10+AB10</f>
        <v>0</v>
      </c>
      <c r="AE10" s="10"/>
      <c r="AF10" s="12"/>
      <c r="AG10" s="12"/>
      <c r="AH10" s="12"/>
      <c r="AI10" s="14">
        <f t="shared" ref="AI10:AJ14" si="23">AE10*3+AG10</f>
        <v>0</v>
      </c>
      <c r="AJ10" s="14">
        <f t="shared" si="23"/>
        <v>0</v>
      </c>
      <c r="AK10" s="16">
        <f>AJ10+AI10</f>
        <v>0</v>
      </c>
      <c r="AL10" s="10"/>
      <c r="AM10" s="12"/>
      <c r="AN10" s="12"/>
      <c r="AO10" s="12"/>
      <c r="AP10" s="14">
        <f t="shared" ref="AP10:AQ14" si="24">AL10*3+AN10</f>
        <v>0</v>
      </c>
      <c r="AQ10" s="14">
        <f t="shared" si="24"/>
        <v>0</v>
      </c>
      <c r="AR10" s="16">
        <f>AQ10+AP10</f>
        <v>0</v>
      </c>
      <c r="AS10" s="10"/>
      <c r="AT10" s="12"/>
      <c r="AU10" s="12"/>
      <c r="AV10" s="12"/>
      <c r="AW10" s="14">
        <f t="shared" ref="AW10:AX14" si="25">AS10*3+AU10</f>
        <v>0</v>
      </c>
      <c r="AX10" s="14">
        <f t="shared" si="25"/>
        <v>0</v>
      </c>
      <c r="AY10" s="16">
        <f>AX10+AW10</f>
        <v>0</v>
      </c>
      <c r="AZ10" s="10"/>
      <c r="BA10" s="12"/>
      <c r="BB10" s="12"/>
      <c r="BC10" s="12"/>
      <c r="BD10" s="14">
        <f t="shared" ref="BD10:BE14" si="26">AZ10*3+BB10</f>
        <v>0</v>
      </c>
      <c r="BE10" s="14">
        <f t="shared" si="26"/>
        <v>0</v>
      </c>
      <c r="BF10" s="16">
        <f>BE10+BD10</f>
        <v>0</v>
      </c>
      <c r="BG10" s="32"/>
      <c r="BH10" s="40"/>
      <c r="BI10" s="12"/>
      <c r="BJ10" s="12"/>
      <c r="BK10" s="14">
        <f t="shared" ref="BK10:BL14" si="27">BG10*3+BI10</f>
        <v>0</v>
      </c>
      <c r="BL10" s="14">
        <f t="shared" si="27"/>
        <v>0</v>
      </c>
      <c r="BM10" s="39">
        <f>BL10+BK10</f>
        <v>0</v>
      </c>
      <c r="BN10" s="32">
        <v>1</v>
      </c>
      <c r="BO10" s="40"/>
      <c r="BP10" s="40">
        <v>2</v>
      </c>
      <c r="BQ10" s="40"/>
      <c r="BR10" s="14">
        <f t="shared" ref="BR10:BS14" si="28">BN10*3+BP10</f>
        <v>5</v>
      </c>
      <c r="BS10" s="14">
        <f t="shared" si="28"/>
        <v>0</v>
      </c>
      <c r="BT10" s="39">
        <f>BS10+BR10</f>
        <v>5</v>
      </c>
      <c r="BU10" s="32"/>
      <c r="BV10" s="40"/>
      <c r="BW10" s="40">
        <v>3</v>
      </c>
      <c r="BX10" s="40"/>
      <c r="BY10" s="14">
        <f t="shared" ref="BY10:BZ14" si="29">BU10*3+BW10</f>
        <v>3</v>
      </c>
      <c r="BZ10" s="14">
        <f t="shared" si="29"/>
        <v>0</v>
      </c>
      <c r="CA10" s="39">
        <f>BZ10+BY10</f>
        <v>3</v>
      </c>
      <c r="CB10" s="32"/>
      <c r="CC10" s="40"/>
      <c r="CD10" s="40">
        <v>3</v>
      </c>
      <c r="CE10" s="79"/>
      <c r="CF10" s="14">
        <f t="shared" ref="CF10:CG14" si="30">CB10*3+CD10</f>
        <v>3</v>
      </c>
      <c r="CG10" s="14">
        <f t="shared" si="30"/>
        <v>0</v>
      </c>
      <c r="CH10" s="39">
        <f>CG10+CF10</f>
        <v>3</v>
      </c>
      <c r="CI10" s="40"/>
      <c r="CJ10" s="40"/>
      <c r="CK10" s="40">
        <v>1</v>
      </c>
      <c r="CL10" s="83">
        <v>1</v>
      </c>
      <c r="CM10" s="14">
        <f t="shared" ref="CM10:CN14" si="31">CI10*3+CK10</f>
        <v>1</v>
      </c>
      <c r="CN10" s="14">
        <f t="shared" si="31"/>
        <v>1</v>
      </c>
      <c r="CO10" s="39">
        <f>CN10+CM10</f>
        <v>2</v>
      </c>
      <c r="CP10" s="108"/>
      <c r="CQ10" s="40"/>
      <c r="CR10" s="40">
        <v>3</v>
      </c>
      <c r="CS10" s="40"/>
      <c r="CT10" s="14">
        <f t="shared" ref="CT10:CU14" si="32">CP10*3+CR10</f>
        <v>3</v>
      </c>
      <c r="CU10" s="14">
        <f t="shared" si="32"/>
        <v>0</v>
      </c>
      <c r="CV10" s="39">
        <f>CU10+CT10</f>
        <v>3</v>
      </c>
      <c r="CW10" s="32"/>
      <c r="CX10" s="40"/>
      <c r="CY10" s="40">
        <v>3</v>
      </c>
      <c r="CZ10" s="40"/>
      <c r="DA10" s="17">
        <f t="shared" ref="DA10:DB15" si="33">CW10*3+CY10</f>
        <v>3</v>
      </c>
      <c r="DB10" s="17">
        <f t="shared" si="33"/>
        <v>0</v>
      </c>
      <c r="DC10" s="18">
        <f t="shared" ref="DC10:DC15" si="34">DB10+DA10</f>
        <v>3</v>
      </c>
      <c r="DD10" s="108"/>
      <c r="DE10" s="40"/>
      <c r="DF10" s="40">
        <v>4</v>
      </c>
      <c r="DG10" s="40"/>
      <c r="DH10" s="156">
        <f t="shared" ref="DH10:DH24" si="35">DD10*3+DF10</f>
        <v>4</v>
      </c>
      <c r="DI10" s="156">
        <f t="shared" ref="DI10:DI24" si="36">DE10*3+DG10</f>
        <v>0</v>
      </c>
      <c r="DJ10" s="18">
        <f t="shared" ref="DJ10:DJ24" si="37">DI10+DH10</f>
        <v>4</v>
      </c>
      <c r="DK10" s="108"/>
      <c r="DL10" s="40"/>
      <c r="DM10" s="40">
        <v>3</v>
      </c>
      <c r="DN10" s="40"/>
      <c r="DO10" s="156">
        <f t="shared" ref="DO10:DO24" si="38">DK10*3+DM10</f>
        <v>3</v>
      </c>
      <c r="DP10" s="156">
        <f t="shared" ref="DP10:DP24" si="39">DL10*3+DN10</f>
        <v>0</v>
      </c>
      <c r="DQ10" s="18">
        <f t="shared" ref="DQ10:DQ24" si="40">DP10+DO10</f>
        <v>3</v>
      </c>
      <c r="DR10" s="108"/>
      <c r="DS10" s="40"/>
      <c r="DT10" s="40">
        <v>1</v>
      </c>
      <c r="DU10" s="40">
        <v>1</v>
      </c>
      <c r="DV10" s="156">
        <f t="shared" si="1"/>
        <v>1</v>
      </c>
      <c r="DW10" s="156">
        <f t="shared" si="2"/>
        <v>1</v>
      </c>
      <c r="DX10" s="18">
        <f t="shared" si="3"/>
        <v>2</v>
      </c>
      <c r="DY10" s="108"/>
      <c r="DZ10" s="40"/>
      <c r="EA10" s="40">
        <v>3</v>
      </c>
      <c r="EB10" s="40">
        <v>1</v>
      </c>
      <c r="EC10" s="156">
        <f t="shared" si="4"/>
        <v>3</v>
      </c>
      <c r="ED10" s="156">
        <f t="shared" si="5"/>
        <v>1</v>
      </c>
      <c r="EE10" s="18">
        <f t="shared" si="6"/>
        <v>4</v>
      </c>
      <c r="EF10" s="108"/>
      <c r="EG10" s="40"/>
      <c r="EH10" s="40">
        <v>1</v>
      </c>
      <c r="EI10" s="40"/>
      <c r="EJ10" s="156">
        <f t="shared" si="7"/>
        <v>1</v>
      </c>
      <c r="EK10" s="156">
        <f t="shared" si="8"/>
        <v>0</v>
      </c>
      <c r="EL10" s="18">
        <f t="shared" si="9"/>
        <v>1</v>
      </c>
      <c r="EM10" s="74">
        <f t="shared" si="10"/>
        <v>30</v>
      </c>
      <c r="EN10" s="75">
        <f t="shared" ca="1" si="11"/>
        <v>8.9285714285714288E-2</v>
      </c>
      <c r="EO10" s="76">
        <f t="shared" si="12"/>
        <v>3</v>
      </c>
      <c r="EP10" s="75">
        <f t="shared" ca="1" si="13"/>
        <v>8.9285714285714281E-3</v>
      </c>
      <c r="EQ10" s="76">
        <f t="shared" si="14"/>
        <v>33</v>
      </c>
      <c r="ER10" s="75">
        <f t="shared" ca="1" si="15"/>
        <v>9.8214285714285712E-2</v>
      </c>
      <c r="ES10" s="76">
        <f t="shared" si="16"/>
        <v>1</v>
      </c>
      <c r="ET10" s="76">
        <f t="shared" si="17"/>
        <v>0</v>
      </c>
      <c r="EU10" s="76">
        <f t="shared" si="18"/>
        <v>1</v>
      </c>
    </row>
    <row r="11" spans="1:151" ht="15.75" hidden="1" thickBot="1" x14ac:dyDescent="0.3">
      <c r="A11" s="32">
        <v>679</v>
      </c>
      <c r="B11" s="247" t="s">
        <v>49</v>
      </c>
      <c r="C11" s="26" t="str">
        <f t="shared" si="0"/>
        <v>אלכס 679</v>
      </c>
      <c r="D11" s="12" t="s">
        <v>6</v>
      </c>
      <c r="E11" s="23" t="s">
        <v>7</v>
      </c>
      <c r="F11" s="31" t="s">
        <v>144</v>
      </c>
      <c r="G11" s="30">
        <v>42979</v>
      </c>
      <c r="H11" s="19">
        <v>43573</v>
      </c>
      <c r="I11" s="13"/>
      <c r="J11" s="48"/>
      <c r="K11" s="49"/>
      <c r="L11" s="49"/>
      <c r="M11" s="49"/>
      <c r="N11" s="50">
        <f t="shared" si="20"/>
        <v>0</v>
      </c>
      <c r="O11" s="50">
        <f t="shared" si="20"/>
        <v>0</v>
      </c>
      <c r="P11" s="15">
        <f>O11+N11</f>
        <v>0</v>
      </c>
      <c r="Q11" s="10"/>
      <c r="R11" s="12"/>
      <c r="S11" s="12"/>
      <c r="T11" s="12"/>
      <c r="U11" s="14">
        <f t="shared" si="21"/>
        <v>0</v>
      </c>
      <c r="V11" s="14">
        <f t="shared" si="21"/>
        <v>0</v>
      </c>
      <c r="W11" s="16">
        <f>V11+U11</f>
        <v>0</v>
      </c>
      <c r="X11" s="10"/>
      <c r="Y11" s="12"/>
      <c r="Z11" s="12"/>
      <c r="AA11" s="12"/>
      <c r="AB11" s="17">
        <f t="shared" si="22"/>
        <v>0</v>
      </c>
      <c r="AC11" s="17">
        <f t="shared" si="22"/>
        <v>0</v>
      </c>
      <c r="AD11" s="18">
        <f>AC11+AB11</f>
        <v>0</v>
      </c>
      <c r="AE11" s="10">
        <v>1</v>
      </c>
      <c r="AF11" s="12"/>
      <c r="AG11" s="12"/>
      <c r="AH11" s="12"/>
      <c r="AI11" s="14">
        <f t="shared" si="23"/>
        <v>3</v>
      </c>
      <c r="AJ11" s="14">
        <f t="shared" si="23"/>
        <v>0</v>
      </c>
      <c r="AK11" s="16">
        <f>AJ11+AI11</f>
        <v>3</v>
      </c>
      <c r="AL11" s="10"/>
      <c r="AM11" s="12"/>
      <c r="AN11" s="12">
        <v>4</v>
      </c>
      <c r="AO11" s="12"/>
      <c r="AP11" s="14">
        <f t="shared" si="24"/>
        <v>4</v>
      </c>
      <c r="AQ11" s="14">
        <f t="shared" si="24"/>
        <v>0</v>
      </c>
      <c r="AR11" s="16">
        <f>AQ11+AP11</f>
        <v>4</v>
      </c>
      <c r="AS11" s="10"/>
      <c r="AT11" s="12"/>
      <c r="AU11" s="12">
        <v>4</v>
      </c>
      <c r="AV11" s="12"/>
      <c r="AW11" s="14">
        <f t="shared" si="25"/>
        <v>4</v>
      </c>
      <c r="AX11" s="14">
        <f t="shared" si="25"/>
        <v>0</v>
      </c>
      <c r="AY11" s="16">
        <f>AX11+AW11</f>
        <v>4</v>
      </c>
      <c r="AZ11" s="10">
        <v>1</v>
      </c>
      <c r="BA11" s="12"/>
      <c r="BB11" s="12"/>
      <c r="BC11" s="12"/>
      <c r="BD11" s="14">
        <f t="shared" si="26"/>
        <v>3</v>
      </c>
      <c r="BE11" s="14">
        <f t="shared" si="26"/>
        <v>0</v>
      </c>
      <c r="BF11" s="16">
        <f>BE11+BD11</f>
        <v>3</v>
      </c>
      <c r="BG11" s="32"/>
      <c r="BH11" s="40"/>
      <c r="BI11" s="12">
        <v>2</v>
      </c>
      <c r="BJ11" s="12">
        <v>1</v>
      </c>
      <c r="BK11" s="14">
        <f t="shared" si="27"/>
        <v>2</v>
      </c>
      <c r="BL11" s="14">
        <f t="shared" si="27"/>
        <v>1</v>
      </c>
      <c r="BM11" s="39">
        <f>BL11+BK11</f>
        <v>3</v>
      </c>
      <c r="BN11" s="32">
        <v>1</v>
      </c>
      <c r="BO11" s="40"/>
      <c r="BP11" s="40">
        <v>2</v>
      </c>
      <c r="BQ11" s="40">
        <v>1</v>
      </c>
      <c r="BR11" s="14">
        <f t="shared" si="28"/>
        <v>5</v>
      </c>
      <c r="BS11" s="14">
        <f t="shared" si="28"/>
        <v>1</v>
      </c>
      <c r="BT11" s="39">
        <f>BS11+BR11</f>
        <v>6</v>
      </c>
      <c r="BU11" s="32"/>
      <c r="BV11" s="40"/>
      <c r="BW11" s="40">
        <v>1</v>
      </c>
      <c r="BX11" s="40"/>
      <c r="BY11" s="14">
        <f t="shared" si="29"/>
        <v>1</v>
      </c>
      <c r="BZ11" s="14">
        <f t="shared" si="29"/>
        <v>0</v>
      </c>
      <c r="CA11" s="39">
        <f>BZ11+BY11</f>
        <v>1</v>
      </c>
      <c r="CB11" s="32"/>
      <c r="CC11" s="40"/>
      <c r="CD11" s="249">
        <v>2</v>
      </c>
      <c r="CE11" s="248"/>
      <c r="CF11" s="14">
        <f t="shared" si="30"/>
        <v>2</v>
      </c>
      <c r="CG11" s="14">
        <f t="shared" si="30"/>
        <v>0</v>
      </c>
      <c r="CH11" s="39">
        <f>CG11+CF11</f>
        <v>2</v>
      </c>
      <c r="CI11" s="40">
        <v>1</v>
      </c>
      <c r="CJ11" s="40"/>
      <c r="CK11" s="40">
        <v>1</v>
      </c>
      <c r="CL11" s="83">
        <v>1</v>
      </c>
      <c r="CM11" s="14">
        <f t="shared" si="31"/>
        <v>4</v>
      </c>
      <c r="CN11" s="14">
        <f t="shared" si="31"/>
        <v>1</v>
      </c>
      <c r="CO11" s="39">
        <f>CN11+CM11</f>
        <v>5</v>
      </c>
      <c r="CP11" s="108"/>
      <c r="CQ11" s="40"/>
      <c r="CR11" s="40">
        <v>2</v>
      </c>
      <c r="CS11" s="40"/>
      <c r="CT11" s="14">
        <f t="shared" si="32"/>
        <v>2</v>
      </c>
      <c r="CU11" s="14">
        <f t="shared" si="32"/>
        <v>0</v>
      </c>
      <c r="CV11" s="39">
        <f>CU11+CT11</f>
        <v>2</v>
      </c>
      <c r="CW11" s="32">
        <v>1</v>
      </c>
      <c r="CX11" s="40"/>
      <c r="CY11" s="40"/>
      <c r="CZ11" s="40"/>
      <c r="DA11" s="17">
        <f t="shared" si="33"/>
        <v>3</v>
      </c>
      <c r="DB11" s="17">
        <f t="shared" si="33"/>
        <v>0</v>
      </c>
      <c r="DC11" s="18">
        <f t="shared" si="34"/>
        <v>3</v>
      </c>
      <c r="DD11" s="108"/>
      <c r="DE11" s="40">
        <v>1</v>
      </c>
      <c r="DF11" s="40">
        <v>1</v>
      </c>
      <c r="DG11" s="40"/>
      <c r="DH11" s="156">
        <f t="shared" si="35"/>
        <v>1</v>
      </c>
      <c r="DI11" s="156">
        <f t="shared" si="36"/>
        <v>3</v>
      </c>
      <c r="DJ11" s="18">
        <f t="shared" si="37"/>
        <v>4</v>
      </c>
      <c r="DK11" s="108"/>
      <c r="DL11" s="40"/>
      <c r="DM11" s="40">
        <v>1</v>
      </c>
      <c r="DN11" s="40">
        <v>1</v>
      </c>
      <c r="DO11" s="156">
        <f t="shared" si="38"/>
        <v>1</v>
      </c>
      <c r="DP11" s="156">
        <f t="shared" si="39"/>
        <v>1</v>
      </c>
      <c r="DQ11" s="18">
        <f t="shared" si="40"/>
        <v>2</v>
      </c>
      <c r="DR11" s="108"/>
      <c r="DS11" s="40"/>
      <c r="DT11" s="40">
        <v>3</v>
      </c>
      <c r="DU11" s="40"/>
      <c r="DV11" s="156">
        <f t="shared" si="1"/>
        <v>3</v>
      </c>
      <c r="DW11" s="156">
        <f t="shared" si="2"/>
        <v>0</v>
      </c>
      <c r="DX11" s="18">
        <f t="shared" si="3"/>
        <v>3</v>
      </c>
      <c r="DY11" s="108">
        <v>1</v>
      </c>
      <c r="DZ11" s="40"/>
      <c r="EA11" s="40">
        <v>1</v>
      </c>
      <c r="EB11" s="40"/>
      <c r="EC11" s="156">
        <f t="shared" si="4"/>
        <v>4</v>
      </c>
      <c r="ED11" s="156">
        <f t="shared" si="5"/>
        <v>0</v>
      </c>
      <c r="EE11" s="18">
        <f t="shared" si="6"/>
        <v>4</v>
      </c>
      <c r="EF11" s="108"/>
      <c r="EG11" s="40"/>
      <c r="EH11" s="40">
        <v>2</v>
      </c>
      <c r="EI11" s="40"/>
      <c r="EJ11" s="156">
        <f t="shared" si="7"/>
        <v>2</v>
      </c>
      <c r="EK11" s="156">
        <f t="shared" si="8"/>
        <v>0</v>
      </c>
      <c r="EL11" s="18">
        <f t="shared" si="9"/>
        <v>2</v>
      </c>
      <c r="EM11" s="74">
        <f t="shared" si="10"/>
        <v>44</v>
      </c>
      <c r="EN11" s="75">
        <f t="shared" ca="1" si="11"/>
        <v>8.9979550102249492E-2</v>
      </c>
      <c r="EO11" s="76">
        <f t="shared" si="12"/>
        <v>7</v>
      </c>
      <c r="EP11" s="75">
        <f t="shared" ca="1" si="13"/>
        <v>1.4314928425357873E-2</v>
      </c>
      <c r="EQ11" s="76">
        <f t="shared" si="14"/>
        <v>51</v>
      </c>
      <c r="ER11" s="75">
        <f t="shared" ca="1" si="15"/>
        <v>0.10429447852760737</v>
      </c>
      <c r="ES11" s="76">
        <f t="shared" si="16"/>
        <v>6</v>
      </c>
      <c r="ET11" s="76">
        <f t="shared" si="17"/>
        <v>1</v>
      </c>
      <c r="EU11" s="76">
        <f t="shared" si="18"/>
        <v>7</v>
      </c>
    </row>
    <row r="12" spans="1:151" ht="15.75" hidden="1" thickBot="1" x14ac:dyDescent="0.3">
      <c r="A12" s="10">
        <v>11</v>
      </c>
      <c r="B12" s="24" t="s">
        <v>123</v>
      </c>
      <c r="C12" s="26" t="str">
        <f t="shared" si="0"/>
        <v>אתי 11</v>
      </c>
      <c r="D12" s="23" t="s">
        <v>6</v>
      </c>
      <c r="E12" s="23" t="s">
        <v>7</v>
      </c>
      <c r="F12" s="31" t="s">
        <v>193</v>
      </c>
      <c r="G12" s="30">
        <v>43252</v>
      </c>
      <c r="H12" s="42"/>
      <c r="I12" s="13"/>
      <c r="J12" s="48"/>
      <c r="K12" s="49"/>
      <c r="L12" s="49"/>
      <c r="M12" s="49"/>
      <c r="N12" s="50">
        <f t="shared" si="20"/>
        <v>0</v>
      </c>
      <c r="O12" s="50">
        <f t="shared" si="20"/>
        <v>0</v>
      </c>
      <c r="P12" s="15">
        <f>O12+N12</f>
        <v>0</v>
      </c>
      <c r="Q12" s="10"/>
      <c r="R12" s="12"/>
      <c r="S12" s="12"/>
      <c r="T12" s="12"/>
      <c r="U12" s="14">
        <f t="shared" si="21"/>
        <v>0</v>
      </c>
      <c r="V12" s="14">
        <f t="shared" si="21"/>
        <v>0</v>
      </c>
      <c r="W12" s="16">
        <f>V12+U12</f>
        <v>0</v>
      </c>
      <c r="X12" s="10"/>
      <c r="Y12" s="12"/>
      <c r="Z12" s="12"/>
      <c r="AA12" s="12"/>
      <c r="AB12" s="17">
        <f t="shared" si="22"/>
        <v>0</v>
      </c>
      <c r="AC12" s="17">
        <f t="shared" si="22"/>
        <v>0</v>
      </c>
      <c r="AD12" s="18">
        <f>AC12+AB12</f>
        <v>0</v>
      </c>
      <c r="AE12" s="10"/>
      <c r="AF12" s="12"/>
      <c r="AG12" s="12"/>
      <c r="AH12" s="12"/>
      <c r="AI12" s="14">
        <f t="shared" si="23"/>
        <v>0</v>
      </c>
      <c r="AJ12" s="14">
        <f t="shared" si="23"/>
        <v>0</v>
      </c>
      <c r="AK12" s="16">
        <f>AJ12+AI12</f>
        <v>0</v>
      </c>
      <c r="AL12" s="10"/>
      <c r="AM12" s="12"/>
      <c r="AN12" s="12"/>
      <c r="AO12" s="12"/>
      <c r="AP12" s="14">
        <f t="shared" si="24"/>
        <v>0</v>
      </c>
      <c r="AQ12" s="14">
        <f t="shared" si="24"/>
        <v>0</v>
      </c>
      <c r="AR12" s="16">
        <f>AQ12+AP12</f>
        <v>0</v>
      </c>
      <c r="AS12" s="10"/>
      <c r="AT12" s="12"/>
      <c r="AU12" s="12"/>
      <c r="AV12" s="12"/>
      <c r="AW12" s="14">
        <f t="shared" si="25"/>
        <v>0</v>
      </c>
      <c r="AX12" s="14">
        <f t="shared" si="25"/>
        <v>0</v>
      </c>
      <c r="AY12" s="16">
        <f>AX12+AW12</f>
        <v>0</v>
      </c>
      <c r="AZ12" s="10"/>
      <c r="BA12" s="12"/>
      <c r="BB12" s="12"/>
      <c r="BC12" s="12"/>
      <c r="BD12" s="14">
        <f t="shared" si="26"/>
        <v>0</v>
      </c>
      <c r="BE12" s="14">
        <f t="shared" si="26"/>
        <v>0</v>
      </c>
      <c r="BF12" s="16">
        <f>BE12+BD12</f>
        <v>0</v>
      </c>
      <c r="BG12" s="32"/>
      <c r="BH12" s="40"/>
      <c r="BI12" s="12"/>
      <c r="BJ12" s="12"/>
      <c r="BK12" s="14">
        <f t="shared" si="27"/>
        <v>0</v>
      </c>
      <c r="BL12" s="14">
        <f t="shared" si="27"/>
        <v>0</v>
      </c>
      <c r="BM12" s="39">
        <f>BL12+BK12</f>
        <v>0</v>
      </c>
      <c r="BN12" s="32"/>
      <c r="BO12" s="40"/>
      <c r="BP12" s="40"/>
      <c r="BQ12" s="40"/>
      <c r="BR12" s="14">
        <f t="shared" si="28"/>
        <v>0</v>
      </c>
      <c r="BS12" s="14">
        <f t="shared" si="28"/>
        <v>0</v>
      </c>
      <c r="BT12" s="39">
        <f>BS12+BR12</f>
        <v>0</v>
      </c>
      <c r="BU12" s="32"/>
      <c r="BV12" s="40"/>
      <c r="BW12" s="40"/>
      <c r="BX12" s="40"/>
      <c r="BY12" s="14">
        <f t="shared" si="29"/>
        <v>0</v>
      </c>
      <c r="BZ12" s="14">
        <f t="shared" si="29"/>
        <v>0</v>
      </c>
      <c r="CA12" s="39">
        <f>BZ12+BY12</f>
        <v>0</v>
      </c>
      <c r="CB12" s="32"/>
      <c r="CC12" s="40"/>
      <c r="CD12" s="40"/>
      <c r="CE12" s="79"/>
      <c r="CF12" s="14">
        <f t="shared" si="30"/>
        <v>0</v>
      </c>
      <c r="CG12" s="14">
        <f t="shared" si="30"/>
        <v>0</v>
      </c>
      <c r="CH12" s="39">
        <f>CG12+CF12</f>
        <v>0</v>
      </c>
      <c r="CI12" s="40"/>
      <c r="CJ12" s="40"/>
      <c r="CK12" s="40"/>
      <c r="CL12" s="83"/>
      <c r="CM12" s="14">
        <f t="shared" si="31"/>
        <v>0</v>
      </c>
      <c r="CN12" s="14">
        <f t="shared" si="31"/>
        <v>0</v>
      </c>
      <c r="CO12" s="39">
        <f>CN12+CM12</f>
        <v>0</v>
      </c>
      <c r="CP12" s="108"/>
      <c r="CQ12" s="40"/>
      <c r="CR12" s="40">
        <v>3</v>
      </c>
      <c r="CS12" s="40"/>
      <c r="CT12" s="14">
        <f t="shared" si="32"/>
        <v>3</v>
      </c>
      <c r="CU12" s="14">
        <f t="shared" si="32"/>
        <v>0</v>
      </c>
      <c r="CV12" s="39">
        <f>CU12+CT12</f>
        <v>3</v>
      </c>
      <c r="CW12" s="32">
        <v>1</v>
      </c>
      <c r="CX12" s="40"/>
      <c r="CY12" s="40">
        <v>1</v>
      </c>
      <c r="CZ12" s="40"/>
      <c r="DA12" s="17">
        <f t="shared" si="33"/>
        <v>4</v>
      </c>
      <c r="DB12" s="17">
        <f t="shared" si="33"/>
        <v>0</v>
      </c>
      <c r="DC12" s="18">
        <f t="shared" si="34"/>
        <v>4</v>
      </c>
      <c r="DD12" s="108"/>
      <c r="DE12" s="40"/>
      <c r="DF12" s="40">
        <v>3</v>
      </c>
      <c r="DG12" s="40">
        <v>2</v>
      </c>
      <c r="DH12" s="156">
        <f t="shared" si="35"/>
        <v>3</v>
      </c>
      <c r="DI12" s="156">
        <f t="shared" si="36"/>
        <v>2</v>
      </c>
      <c r="DJ12" s="18">
        <f t="shared" si="37"/>
        <v>5</v>
      </c>
      <c r="DK12" s="108"/>
      <c r="DL12" s="40"/>
      <c r="DM12" s="40">
        <v>3</v>
      </c>
      <c r="DN12" s="40"/>
      <c r="DO12" s="156">
        <f t="shared" si="38"/>
        <v>3</v>
      </c>
      <c r="DP12" s="156">
        <f t="shared" si="39"/>
        <v>0</v>
      </c>
      <c r="DQ12" s="18">
        <f t="shared" si="40"/>
        <v>3</v>
      </c>
      <c r="DR12" s="108">
        <v>1</v>
      </c>
      <c r="DS12" s="40"/>
      <c r="DT12" s="40"/>
      <c r="DU12" s="40"/>
      <c r="DV12" s="156">
        <f t="shared" si="1"/>
        <v>3</v>
      </c>
      <c r="DW12" s="156">
        <f t="shared" si="2"/>
        <v>0</v>
      </c>
      <c r="DX12" s="18">
        <f t="shared" si="3"/>
        <v>3</v>
      </c>
      <c r="DY12" s="108"/>
      <c r="DZ12" s="40"/>
      <c r="EA12" s="40">
        <v>2</v>
      </c>
      <c r="EB12" s="40"/>
      <c r="EC12" s="156">
        <f t="shared" si="4"/>
        <v>2</v>
      </c>
      <c r="ED12" s="156">
        <f t="shared" si="5"/>
        <v>0</v>
      </c>
      <c r="EE12" s="18">
        <f t="shared" si="6"/>
        <v>2</v>
      </c>
      <c r="EF12" s="108"/>
      <c r="EG12" s="40"/>
      <c r="EH12" s="40">
        <v>2</v>
      </c>
      <c r="EI12" s="40"/>
      <c r="EJ12" s="156">
        <f t="shared" si="7"/>
        <v>2</v>
      </c>
      <c r="EK12" s="156">
        <f t="shared" si="8"/>
        <v>0</v>
      </c>
      <c r="EL12" s="18">
        <f t="shared" si="9"/>
        <v>2</v>
      </c>
      <c r="EM12" s="74">
        <f t="shared" si="10"/>
        <v>20</v>
      </c>
      <c r="EN12" s="75">
        <f t="shared" ca="1" si="11"/>
        <v>9.2592592592592587E-2</v>
      </c>
      <c r="EO12" s="76">
        <f t="shared" si="12"/>
        <v>2</v>
      </c>
      <c r="EP12" s="75">
        <f t="shared" ca="1" si="13"/>
        <v>9.2592592592592587E-3</v>
      </c>
      <c r="EQ12" s="76">
        <f t="shared" si="14"/>
        <v>22</v>
      </c>
      <c r="ER12" s="75">
        <f t="shared" ca="1" si="15"/>
        <v>0.10185185185185185</v>
      </c>
      <c r="ES12" s="76">
        <f t="shared" si="16"/>
        <v>2</v>
      </c>
      <c r="ET12" s="76">
        <f t="shared" si="17"/>
        <v>0</v>
      </c>
      <c r="EU12" s="76">
        <f t="shared" si="18"/>
        <v>2</v>
      </c>
    </row>
    <row r="13" spans="1:151" ht="15.75" hidden="1" thickBot="1" x14ac:dyDescent="0.3">
      <c r="A13" s="10">
        <v>9</v>
      </c>
      <c r="B13" s="11" t="s">
        <v>9</v>
      </c>
      <c r="C13" s="26" t="str">
        <f t="shared" si="0"/>
        <v>בר 9</v>
      </c>
      <c r="D13" s="12" t="s">
        <v>6</v>
      </c>
      <c r="E13" s="12" t="s">
        <v>7</v>
      </c>
      <c r="F13" s="31" t="s">
        <v>143</v>
      </c>
      <c r="G13" s="30">
        <v>42917</v>
      </c>
      <c r="H13" s="19">
        <v>43560</v>
      </c>
      <c r="I13" s="35"/>
      <c r="J13" s="48"/>
      <c r="K13" s="49"/>
      <c r="L13" s="49"/>
      <c r="M13" s="49"/>
      <c r="N13" s="50">
        <f t="shared" si="20"/>
        <v>0</v>
      </c>
      <c r="O13" s="50">
        <f t="shared" si="20"/>
        <v>0</v>
      </c>
      <c r="P13" s="15">
        <f>O13+N13</f>
        <v>0</v>
      </c>
      <c r="Q13" s="10">
        <v>1</v>
      </c>
      <c r="R13" s="12"/>
      <c r="S13" s="12">
        <v>2</v>
      </c>
      <c r="T13" s="12"/>
      <c r="U13" s="14">
        <f t="shared" si="21"/>
        <v>5</v>
      </c>
      <c r="V13" s="14">
        <f t="shared" si="21"/>
        <v>0</v>
      </c>
      <c r="W13" s="16">
        <f>V13+U13</f>
        <v>5</v>
      </c>
      <c r="X13" s="10"/>
      <c r="Y13" s="12"/>
      <c r="Z13" s="12">
        <v>2</v>
      </c>
      <c r="AA13" s="12"/>
      <c r="AB13" s="17">
        <f t="shared" si="22"/>
        <v>2</v>
      </c>
      <c r="AC13" s="17">
        <f t="shared" si="22"/>
        <v>0</v>
      </c>
      <c r="AD13" s="18">
        <f>AC13+AB13</f>
        <v>2</v>
      </c>
      <c r="AE13" s="10"/>
      <c r="AF13" s="12">
        <v>1</v>
      </c>
      <c r="AG13" s="12">
        <v>2</v>
      </c>
      <c r="AH13" s="12">
        <v>1</v>
      </c>
      <c r="AI13" s="14">
        <f t="shared" si="23"/>
        <v>2</v>
      </c>
      <c r="AJ13" s="14">
        <f t="shared" si="23"/>
        <v>4</v>
      </c>
      <c r="AK13" s="16">
        <f>AJ13+AI13</f>
        <v>6</v>
      </c>
      <c r="AL13" s="10">
        <v>1</v>
      </c>
      <c r="AM13" s="12"/>
      <c r="AN13" s="12"/>
      <c r="AO13" s="12"/>
      <c r="AP13" s="14">
        <f t="shared" si="24"/>
        <v>3</v>
      </c>
      <c r="AQ13" s="14">
        <f t="shared" si="24"/>
        <v>0</v>
      </c>
      <c r="AR13" s="16">
        <f>AQ13+AP13</f>
        <v>3</v>
      </c>
      <c r="AS13" s="10"/>
      <c r="AT13" s="12"/>
      <c r="AU13" s="12">
        <v>2</v>
      </c>
      <c r="AV13" s="12"/>
      <c r="AW13" s="14">
        <f t="shared" si="25"/>
        <v>2</v>
      </c>
      <c r="AX13" s="14">
        <f t="shared" si="25"/>
        <v>0</v>
      </c>
      <c r="AY13" s="16">
        <f>AX13+AW13</f>
        <v>2</v>
      </c>
      <c r="AZ13" s="10"/>
      <c r="BA13" s="12"/>
      <c r="BB13" s="12">
        <v>1</v>
      </c>
      <c r="BC13" s="12"/>
      <c r="BD13" s="14">
        <f t="shared" si="26"/>
        <v>1</v>
      </c>
      <c r="BE13" s="14">
        <f t="shared" si="26"/>
        <v>0</v>
      </c>
      <c r="BF13" s="16">
        <f>BE13+BD13</f>
        <v>1</v>
      </c>
      <c r="BG13" s="32">
        <v>1</v>
      </c>
      <c r="BH13" s="40"/>
      <c r="BI13" s="12">
        <v>3</v>
      </c>
      <c r="BJ13" s="12"/>
      <c r="BK13" s="14">
        <f t="shared" si="27"/>
        <v>6</v>
      </c>
      <c r="BL13" s="14">
        <f t="shared" si="27"/>
        <v>0</v>
      </c>
      <c r="BM13" s="39">
        <f>BL13+BK13</f>
        <v>6</v>
      </c>
      <c r="BN13" s="32"/>
      <c r="BO13" s="40"/>
      <c r="BP13" s="40">
        <v>3</v>
      </c>
      <c r="BQ13" s="40"/>
      <c r="BR13" s="14">
        <f t="shared" si="28"/>
        <v>3</v>
      </c>
      <c r="BS13" s="14">
        <f t="shared" si="28"/>
        <v>0</v>
      </c>
      <c r="BT13" s="39">
        <f>BS13+BR13</f>
        <v>3</v>
      </c>
      <c r="BU13" s="32">
        <v>1</v>
      </c>
      <c r="BV13" s="40"/>
      <c r="BW13" s="40"/>
      <c r="BX13" s="40"/>
      <c r="BY13" s="14">
        <f t="shared" si="29"/>
        <v>3</v>
      </c>
      <c r="BZ13" s="14">
        <f t="shared" si="29"/>
        <v>0</v>
      </c>
      <c r="CA13" s="39">
        <f>BZ13+BY13</f>
        <v>3</v>
      </c>
      <c r="CB13" s="32"/>
      <c r="CC13" s="40"/>
      <c r="CD13" s="40">
        <v>1</v>
      </c>
      <c r="CE13" s="79">
        <v>1</v>
      </c>
      <c r="CF13" s="14">
        <f t="shared" si="30"/>
        <v>1</v>
      </c>
      <c r="CG13" s="14">
        <f t="shared" si="30"/>
        <v>1</v>
      </c>
      <c r="CH13" s="39">
        <f>CG13+CF13</f>
        <v>2</v>
      </c>
      <c r="CI13" s="40"/>
      <c r="CJ13" s="40"/>
      <c r="CK13" s="40">
        <v>2</v>
      </c>
      <c r="CL13" s="83"/>
      <c r="CM13" s="14">
        <f t="shared" si="31"/>
        <v>2</v>
      </c>
      <c r="CN13" s="14">
        <f t="shared" si="31"/>
        <v>0</v>
      </c>
      <c r="CO13" s="39">
        <f>CN13+CM13</f>
        <v>2</v>
      </c>
      <c r="CP13" s="108">
        <v>1</v>
      </c>
      <c r="CQ13" s="40"/>
      <c r="CR13" s="40">
        <v>1</v>
      </c>
      <c r="CS13" s="40"/>
      <c r="CT13" s="14">
        <f t="shared" si="32"/>
        <v>4</v>
      </c>
      <c r="CU13" s="14">
        <f t="shared" si="32"/>
        <v>0</v>
      </c>
      <c r="CV13" s="39">
        <f>CU13+CT13</f>
        <v>4</v>
      </c>
      <c r="CW13" s="32"/>
      <c r="CX13" s="40">
        <v>1</v>
      </c>
      <c r="CY13" s="40">
        <v>2</v>
      </c>
      <c r="CZ13" s="40"/>
      <c r="DA13" s="17">
        <f t="shared" si="33"/>
        <v>2</v>
      </c>
      <c r="DB13" s="17">
        <f t="shared" si="33"/>
        <v>3</v>
      </c>
      <c r="DC13" s="18">
        <f t="shared" si="34"/>
        <v>5</v>
      </c>
      <c r="DD13" s="108"/>
      <c r="DE13" s="40"/>
      <c r="DF13" s="40">
        <v>2</v>
      </c>
      <c r="DG13" s="40"/>
      <c r="DH13" s="156">
        <f t="shared" si="35"/>
        <v>2</v>
      </c>
      <c r="DI13" s="156">
        <f t="shared" si="36"/>
        <v>0</v>
      </c>
      <c r="DJ13" s="18">
        <f t="shared" si="37"/>
        <v>2</v>
      </c>
      <c r="DK13" s="108">
        <v>1</v>
      </c>
      <c r="DL13" s="40"/>
      <c r="DM13" s="40"/>
      <c r="DN13" s="40"/>
      <c r="DO13" s="156">
        <f t="shared" si="38"/>
        <v>3</v>
      </c>
      <c r="DP13" s="156">
        <f t="shared" si="39"/>
        <v>0</v>
      </c>
      <c r="DQ13" s="18">
        <f t="shared" si="40"/>
        <v>3</v>
      </c>
      <c r="DR13" s="108"/>
      <c r="DS13" s="40"/>
      <c r="DT13" s="40">
        <v>1</v>
      </c>
      <c r="DU13" s="40">
        <v>1</v>
      </c>
      <c r="DV13" s="156">
        <f t="shared" si="1"/>
        <v>1</v>
      </c>
      <c r="DW13" s="156">
        <f t="shared" si="2"/>
        <v>1</v>
      </c>
      <c r="DX13" s="18">
        <f t="shared" si="3"/>
        <v>2</v>
      </c>
      <c r="DY13" s="108"/>
      <c r="DZ13" s="40">
        <v>1</v>
      </c>
      <c r="EA13" s="40">
        <v>1</v>
      </c>
      <c r="EB13" s="40">
        <v>1</v>
      </c>
      <c r="EC13" s="156">
        <f t="shared" si="4"/>
        <v>1</v>
      </c>
      <c r="ED13" s="156">
        <f t="shared" si="5"/>
        <v>4</v>
      </c>
      <c r="EE13" s="18">
        <f t="shared" si="6"/>
        <v>5</v>
      </c>
      <c r="EF13" s="108"/>
      <c r="EG13" s="40"/>
      <c r="EH13" s="40">
        <v>2</v>
      </c>
      <c r="EI13" s="40"/>
      <c r="EJ13" s="156">
        <f t="shared" si="7"/>
        <v>2</v>
      </c>
      <c r="EK13" s="156">
        <f t="shared" si="8"/>
        <v>0</v>
      </c>
      <c r="EL13" s="18">
        <f t="shared" si="9"/>
        <v>2</v>
      </c>
      <c r="EM13" s="74">
        <f t="shared" si="10"/>
        <v>45</v>
      </c>
      <c r="EN13" s="75">
        <f t="shared" ca="1" si="11"/>
        <v>8.1669691470054442E-2</v>
      </c>
      <c r="EO13" s="76">
        <f t="shared" si="12"/>
        <v>13</v>
      </c>
      <c r="EP13" s="75">
        <f t="shared" ca="1" si="13"/>
        <v>2.3593466424682397E-2</v>
      </c>
      <c r="EQ13" s="76">
        <f t="shared" si="14"/>
        <v>58</v>
      </c>
      <c r="ER13" s="75">
        <f t="shared" ca="1" si="15"/>
        <v>0.10526315789473684</v>
      </c>
      <c r="ES13" s="76">
        <f t="shared" si="16"/>
        <v>7</v>
      </c>
      <c r="ET13" s="76">
        <f t="shared" si="17"/>
        <v>3</v>
      </c>
      <c r="EU13" s="76">
        <f t="shared" si="18"/>
        <v>10</v>
      </c>
    </row>
    <row r="14" spans="1:151" ht="15.75" hidden="1" thickBot="1" x14ac:dyDescent="0.3">
      <c r="A14" s="10">
        <v>11</v>
      </c>
      <c r="B14" s="24" t="s">
        <v>164</v>
      </c>
      <c r="C14" s="26" t="str">
        <f t="shared" si="0"/>
        <v>גל 11</v>
      </c>
      <c r="D14" s="23" t="s">
        <v>6</v>
      </c>
      <c r="E14" s="23" t="s">
        <v>7</v>
      </c>
      <c r="F14" s="31" t="s">
        <v>167</v>
      </c>
      <c r="G14" s="30">
        <v>43191</v>
      </c>
      <c r="H14" s="42"/>
      <c r="I14" s="13"/>
      <c r="J14" s="48"/>
      <c r="K14" s="49"/>
      <c r="L14" s="49"/>
      <c r="M14" s="49"/>
      <c r="N14" s="50">
        <f t="shared" si="20"/>
        <v>0</v>
      </c>
      <c r="O14" s="50">
        <f t="shared" si="20"/>
        <v>0</v>
      </c>
      <c r="P14" s="15">
        <f>O14+N14</f>
        <v>0</v>
      </c>
      <c r="Q14" s="10"/>
      <c r="R14" s="12"/>
      <c r="S14" s="12"/>
      <c r="T14" s="12"/>
      <c r="U14" s="14">
        <f t="shared" si="21"/>
        <v>0</v>
      </c>
      <c r="V14" s="14">
        <f t="shared" si="21"/>
        <v>0</v>
      </c>
      <c r="W14" s="16">
        <f>V14+U14</f>
        <v>0</v>
      </c>
      <c r="X14" s="10"/>
      <c r="Y14" s="12"/>
      <c r="Z14" s="12"/>
      <c r="AA14" s="12"/>
      <c r="AB14" s="17">
        <f t="shared" si="22"/>
        <v>0</v>
      </c>
      <c r="AC14" s="17">
        <f t="shared" si="22"/>
        <v>0</v>
      </c>
      <c r="AD14" s="18">
        <f>AC14+AB14</f>
        <v>0</v>
      </c>
      <c r="AE14" s="10"/>
      <c r="AF14" s="12"/>
      <c r="AG14" s="12"/>
      <c r="AH14" s="12"/>
      <c r="AI14" s="14">
        <f t="shared" si="23"/>
        <v>0</v>
      </c>
      <c r="AJ14" s="14">
        <f t="shared" si="23"/>
        <v>0</v>
      </c>
      <c r="AK14" s="16">
        <f>AJ14+AI14</f>
        <v>0</v>
      </c>
      <c r="AL14" s="10"/>
      <c r="AM14" s="12"/>
      <c r="AN14" s="12"/>
      <c r="AO14" s="12"/>
      <c r="AP14" s="14">
        <f t="shared" si="24"/>
        <v>0</v>
      </c>
      <c r="AQ14" s="14">
        <f t="shared" si="24"/>
        <v>0</v>
      </c>
      <c r="AR14" s="16">
        <f>AQ14+AP14</f>
        <v>0</v>
      </c>
      <c r="AS14" s="10"/>
      <c r="AT14" s="12"/>
      <c r="AU14" s="12"/>
      <c r="AV14" s="12"/>
      <c r="AW14" s="14">
        <f t="shared" si="25"/>
        <v>0</v>
      </c>
      <c r="AX14" s="14">
        <f t="shared" si="25"/>
        <v>0</v>
      </c>
      <c r="AY14" s="16">
        <f>AX14+AW14</f>
        <v>0</v>
      </c>
      <c r="AZ14" s="10"/>
      <c r="BA14" s="12"/>
      <c r="BB14" s="12"/>
      <c r="BC14" s="12"/>
      <c r="BD14" s="14">
        <f t="shared" si="26"/>
        <v>0</v>
      </c>
      <c r="BE14" s="14">
        <f t="shared" si="26"/>
        <v>0</v>
      </c>
      <c r="BF14" s="16">
        <f>BE14+BD14</f>
        <v>0</v>
      </c>
      <c r="BG14" s="32"/>
      <c r="BH14" s="40"/>
      <c r="BI14" s="12"/>
      <c r="BJ14" s="12"/>
      <c r="BK14" s="14">
        <f t="shared" si="27"/>
        <v>0</v>
      </c>
      <c r="BL14" s="14">
        <f t="shared" si="27"/>
        <v>0</v>
      </c>
      <c r="BM14" s="39">
        <f>BL14+BK14</f>
        <v>0</v>
      </c>
      <c r="BN14" s="32"/>
      <c r="BO14" s="40"/>
      <c r="BP14" s="40"/>
      <c r="BQ14" s="40"/>
      <c r="BR14" s="14">
        <f t="shared" si="28"/>
        <v>0</v>
      </c>
      <c r="BS14" s="14">
        <f t="shared" si="28"/>
        <v>0</v>
      </c>
      <c r="BT14" s="39">
        <f>BS14+BR14</f>
        <v>0</v>
      </c>
      <c r="BU14" s="32"/>
      <c r="BV14" s="40"/>
      <c r="BW14" s="40">
        <v>1</v>
      </c>
      <c r="BX14" s="40"/>
      <c r="BY14" s="14">
        <f t="shared" si="29"/>
        <v>1</v>
      </c>
      <c r="BZ14" s="14">
        <f t="shared" si="29"/>
        <v>0</v>
      </c>
      <c r="CA14" s="39">
        <f>BZ14+BY14</f>
        <v>1</v>
      </c>
      <c r="CB14" s="32"/>
      <c r="CC14" s="40"/>
      <c r="CD14" s="40">
        <v>2</v>
      </c>
      <c r="CE14" s="79"/>
      <c r="CF14" s="14">
        <f t="shared" si="30"/>
        <v>2</v>
      </c>
      <c r="CG14" s="14">
        <f t="shared" si="30"/>
        <v>0</v>
      </c>
      <c r="CH14" s="39">
        <f>CG14+CF14</f>
        <v>2</v>
      </c>
      <c r="CI14" s="40">
        <v>1</v>
      </c>
      <c r="CJ14" s="40"/>
      <c r="CK14" s="40">
        <v>1</v>
      </c>
      <c r="CL14" s="83"/>
      <c r="CM14" s="14">
        <f t="shared" si="31"/>
        <v>4</v>
      </c>
      <c r="CN14" s="14">
        <f t="shared" si="31"/>
        <v>0</v>
      </c>
      <c r="CO14" s="39">
        <f>CN14+CM14</f>
        <v>4</v>
      </c>
      <c r="CP14" s="108"/>
      <c r="CQ14" s="40"/>
      <c r="CR14" s="40">
        <v>1</v>
      </c>
      <c r="CS14" s="40">
        <v>1</v>
      </c>
      <c r="CT14" s="14">
        <f t="shared" si="32"/>
        <v>1</v>
      </c>
      <c r="CU14" s="14">
        <f t="shared" si="32"/>
        <v>1</v>
      </c>
      <c r="CV14" s="39">
        <f>CU14+CT14</f>
        <v>2</v>
      </c>
      <c r="CW14" s="32">
        <v>1</v>
      </c>
      <c r="CX14" s="40"/>
      <c r="CY14" s="40">
        <v>2</v>
      </c>
      <c r="CZ14" s="40"/>
      <c r="DA14" s="17">
        <f t="shared" si="33"/>
        <v>5</v>
      </c>
      <c r="DB14" s="17">
        <f t="shared" si="33"/>
        <v>0</v>
      </c>
      <c r="DC14" s="18">
        <f t="shared" si="34"/>
        <v>5</v>
      </c>
      <c r="DD14" s="108"/>
      <c r="DE14" s="40"/>
      <c r="DF14" s="40">
        <v>2</v>
      </c>
      <c r="DG14" s="40"/>
      <c r="DH14" s="156">
        <f t="shared" si="35"/>
        <v>2</v>
      </c>
      <c r="DI14" s="156">
        <f t="shared" si="36"/>
        <v>0</v>
      </c>
      <c r="DJ14" s="18">
        <f t="shared" si="37"/>
        <v>2</v>
      </c>
      <c r="DK14" s="108"/>
      <c r="DL14" s="40"/>
      <c r="DM14" s="40">
        <v>3</v>
      </c>
      <c r="DN14" s="40"/>
      <c r="DO14" s="156">
        <f t="shared" si="38"/>
        <v>3</v>
      </c>
      <c r="DP14" s="156">
        <f t="shared" si="39"/>
        <v>0</v>
      </c>
      <c r="DQ14" s="18">
        <f t="shared" si="40"/>
        <v>3</v>
      </c>
      <c r="DR14" s="108"/>
      <c r="DS14" s="40">
        <v>1</v>
      </c>
      <c r="DT14" s="40"/>
      <c r="DU14" s="40"/>
      <c r="DV14" s="156">
        <f t="shared" si="1"/>
        <v>0</v>
      </c>
      <c r="DW14" s="156">
        <f t="shared" si="2"/>
        <v>3</v>
      </c>
      <c r="DX14" s="18">
        <f t="shared" si="3"/>
        <v>3</v>
      </c>
      <c r="DY14" s="108">
        <v>1</v>
      </c>
      <c r="DZ14" s="40"/>
      <c r="EA14" s="40"/>
      <c r="EB14" s="40">
        <v>1</v>
      </c>
      <c r="EC14" s="156">
        <f t="shared" si="4"/>
        <v>3</v>
      </c>
      <c r="ED14" s="156">
        <f t="shared" si="5"/>
        <v>1</v>
      </c>
      <c r="EE14" s="18">
        <f t="shared" si="6"/>
        <v>4</v>
      </c>
      <c r="EF14" s="108"/>
      <c r="EG14" s="40"/>
      <c r="EH14" s="40">
        <v>2</v>
      </c>
      <c r="EI14" s="40"/>
      <c r="EJ14" s="156">
        <f t="shared" si="7"/>
        <v>2</v>
      </c>
      <c r="EK14" s="156">
        <f t="shared" si="8"/>
        <v>0</v>
      </c>
      <c r="EL14" s="18">
        <f t="shared" si="9"/>
        <v>2</v>
      </c>
      <c r="EM14" s="74">
        <f t="shared" si="10"/>
        <v>23</v>
      </c>
      <c r="EN14" s="75">
        <f t="shared" ca="1" si="11"/>
        <v>8.3032490974729242E-2</v>
      </c>
      <c r="EO14" s="76">
        <f t="shared" si="12"/>
        <v>5</v>
      </c>
      <c r="EP14" s="75">
        <f t="shared" ca="1" si="13"/>
        <v>1.8050541516245487E-2</v>
      </c>
      <c r="EQ14" s="76">
        <f t="shared" si="14"/>
        <v>28</v>
      </c>
      <c r="ER14" s="75">
        <f t="shared" ca="1" si="15"/>
        <v>0.10108303249097472</v>
      </c>
      <c r="ES14" s="76">
        <f t="shared" si="16"/>
        <v>3</v>
      </c>
      <c r="ET14" s="76">
        <f t="shared" si="17"/>
        <v>1</v>
      </c>
      <c r="EU14" s="76">
        <f t="shared" si="18"/>
        <v>4</v>
      </c>
    </row>
    <row r="15" spans="1:151" ht="15.75" thickBot="1" x14ac:dyDescent="0.3">
      <c r="A15" s="177" t="s">
        <v>12</v>
      </c>
      <c r="B15" s="247" t="s">
        <v>254</v>
      </c>
      <c r="C15" s="85" t="str">
        <f t="shared" si="0"/>
        <v>דור מפאוג</v>
      </c>
      <c r="D15" s="23" t="s">
        <v>6</v>
      </c>
      <c r="E15" s="23" t="s">
        <v>6</v>
      </c>
      <c r="F15" s="31" t="s">
        <v>259</v>
      </c>
      <c r="G15" s="30">
        <v>43344</v>
      </c>
      <c r="H15" s="31"/>
      <c r="I15" s="35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78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>
        <f t="shared" si="33"/>
        <v>0</v>
      </c>
      <c r="DB15" s="17">
        <f t="shared" si="33"/>
        <v>0</v>
      </c>
      <c r="DC15" s="18">
        <f t="shared" si="34"/>
        <v>0</v>
      </c>
      <c r="DD15" s="108"/>
      <c r="DE15" s="40"/>
      <c r="DF15" s="40"/>
      <c r="DG15" s="40"/>
      <c r="DH15" s="156">
        <f t="shared" si="35"/>
        <v>0</v>
      </c>
      <c r="DI15" s="156">
        <f t="shared" si="36"/>
        <v>0</v>
      </c>
      <c r="DJ15" s="18">
        <f t="shared" si="37"/>
        <v>0</v>
      </c>
      <c r="DK15" s="108">
        <v>1</v>
      </c>
      <c r="DL15" s="40"/>
      <c r="DM15" s="40">
        <v>2</v>
      </c>
      <c r="DN15" s="40"/>
      <c r="DO15" s="156">
        <f t="shared" si="38"/>
        <v>5</v>
      </c>
      <c r="DP15" s="156">
        <f t="shared" si="39"/>
        <v>0</v>
      </c>
      <c r="DQ15" s="18">
        <f t="shared" si="40"/>
        <v>5</v>
      </c>
      <c r="DR15" s="108"/>
      <c r="DS15" s="40"/>
      <c r="DT15" s="40">
        <v>2</v>
      </c>
      <c r="DU15" s="40"/>
      <c r="DV15" s="156">
        <f t="shared" si="1"/>
        <v>2</v>
      </c>
      <c r="DW15" s="156">
        <f t="shared" si="2"/>
        <v>0</v>
      </c>
      <c r="DX15" s="18">
        <f t="shared" si="3"/>
        <v>2</v>
      </c>
      <c r="DY15" s="108">
        <v>1</v>
      </c>
      <c r="DZ15" s="40"/>
      <c r="EA15" s="40"/>
      <c r="EB15" s="40"/>
      <c r="EC15" s="156">
        <f t="shared" si="4"/>
        <v>3</v>
      </c>
      <c r="ED15" s="156">
        <f t="shared" si="5"/>
        <v>0</v>
      </c>
      <c r="EE15" s="18">
        <f t="shared" si="6"/>
        <v>3</v>
      </c>
      <c r="EF15" s="108"/>
      <c r="EG15" s="40"/>
      <c r="EH15" s="40">
        <v>2</v>
      </c>
      <c r="EI15" s="40"/>
      <c r="EJ15" s="156">
        <f t="shared" si="7"/>
        <v>2</v>
      </c>
      <c r="EK15" s="156">
        <f t="shared" si="8"/>
        <v>0</v>
      </c>
      <c r="EL15" s="18">
        <f t="shared" si="9"/>
        <v>2</v>
      </c>
      <c r="EM15" s="74">
        <f t="shared" si="10"/>
        <v>12</v>
      </c>
      <c r="EN15" s="75">
        <f t="shared" ca="1" si="11"/>
        <v>9.6774193548387094E-2</v>
      </c>
      <c r="EO15" s="76">
        <f t="shared" si="12"/>
        <v>0</v>
      </c>
      <c r="EP15" s="75">
        <f t="shared" ca="1" si="13"/>
        <v>0</v>
      </c>
      <c r="EQ15" s="76">
        <f t="shared" si="14"/>
        <v>12</v>
      </c>
      <c r="ER15" s="75">
        <f t="shared" ca="1" si="15"/>
        <v>9.6774193548387094E-2</v>
      </c>
      <c r="ES15" s="76">
        <f t="shared" si="16"/>
        <v>2</v>
      </c>
      <c r="ET15" s="76">
        <f t="shared" si="17"/>
        <v>0</v>
      </c>
      <c r="EU15" s="76">
        <f t="shared" si="18"/>
        <v>2</v>
      </c>
    </row>
    <row r="16" spans="1:151" ht="15.75" hidden="1" thickBot="1" x14ac:dyDescent="0.3">
      <c r="A16" s="177" t="s">
        <v>63</v>
      </c>
      <c r="B16" s="247" t="s">
        <v>279</v>
      </c>
      <c r="C16" s="85" t="str">
        <f t="shared" si="0"/>
        <v>דקל אחודה</v>
      </c>
      <c r="D16" s="23" t="s">
        <v>6</v>
      </c>
      <c r="E16" s="23" t="s">
        <v>7</v>
      </c>
      <c r="F16" s="31" t="s">
        <v>275</v>
      </c>
      <c r="G16" s="30">
        <v>43393</v>
      </c>
      <c r="H16" s="31"/>
      <c r="I16" s="13"/>
      <c r="J16" s="48"/>
      <c r="K16" s="49"/>
      <c r="L16" s="49"/>
      <c r="M16" s="49"/>
      <c r="N16" s="50"/>
      <c r="O16" s="50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12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9"/>
      <c r="CF16" s="14"/>
      <c r="CG16" s="14"/>
      <c r="CH16" s="39"/>
      <c r="CI16" s="40"/>
      <c r="CJ16" s="40"/>
      <c r="CK16" s="40"/>
      <c r="CL16" s="83"/>
      <c r="CM16" s="14"/>
      <c r="CN16" s="14"/>
      <c r="CO16" s="39"/>
      <c r="CP16" s="108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8"/>
      <c r="DE16" s="40"/>
      <c r="DF16" s="40"/>
      <c r="DG16" s="40"/>
      <c r="DH16" s="156">
        <f t="shared" si="35"/>
        <v>0</v>
      </c>
      <c r="DI16" s="156">
        <f t="shared" si="36"/>
        <v>0</v>
      </c>
      <c r="DJ16" s="18">
        <f t="shared" si="37"/>
        <v>0</v>
      </c>
      <c r="DK16" s="108"/>
      <c r="DL16" s="40"/>
      <c r="DM16" s="40"/>
      <c r="DN16" s="40"/>
      <c r="DO16" s="156">
        <f t="shared" si="38"/>
        <v>0</v>
      </c>
      <c r="DP16" s="156">
        <f t="shared" si="39"/>
        <v>0</v>
      </c>
      <c r="DQ16" s="18">
        <f t="shared" si="40"/>
        <v>0</v>
      </c>
      <c r="DR16" s="108"/>
      <c r="DS16" s="40"/>
      <c r="DT16" s="40">
        <v>1</v>
      </c>
      <c r="DU16" s="40">
        <v>2</v>
      </c>
      <c r="DV16" s="156">
        <f t="shared" si="1"/>
        <v>1</v>
      </c>
      <c r="DW16" s="156">
        <f t="shared" si="2"/>
        <v>2</v>
      </c>
      <c r="DX16" s="18">
        <f t="shared" si="3"/>
        <v>3</v>
      </c>
      <c r="DY16" s="108">
        <v>1</v>
      </c>
      <c r="DZ16" s="40"/>
      <c r="EA16" s="40">
        <v>1</v>
      </c>
      <c r="EB16" s="40"/>
      <c r="EC16" s="156">
        <f t="shared" si="4"/>
        <v>4</v>
      </c>
      <c r="ED16" s="156">
        <f t="shared" si="5"/>
        <v>0</v>
      </c>
      <c r="EE16" s="18">
        <f t="shared" si="6"/>
        <v>4</v>
      </c>
      <c r="EF16" s="108"/>
      <c r="EG16" s="40"/>
      <c r="EH16" s="40">
        <v>2</v>
      </c>
      <c r="EI16" s="40"/>
      <c r="EJ16" s="156">
        <f t="shared" si="7"/>
        <v>2</v>
      </c>
      <c r="EK16" s="156">
        <f t="shared" si="8"/>
        <v>0</v>
      </c>
      <c r="EL16" s="18">
        <f t="shared" si="9"/>
        <v>2</v>
      </c>
      <c r="EM16" s="74">
        <f t="shared" si="10"/>
        <v>7</v>
      </c>
      <c r="EN16" s="75">
        <f t="shared" ca="1" si="11"/>
        <v>9.3333333333333338E-2</v>
      </c>
      <c r="EO16" s="76">
        <f t="shared" si="12"/>
        <v>2</v>
      </c>
      <c r="EP16" s="75">
        <f t="shared" ca="1" si="13"/>
        <v>2.6666666666666668E-2</v>
      </c>
      <c r="EQ16" s="76">
        <f t="shared" si="14"/>
        <v>9</v>
      </c>
      <c r="ER16" s="75">
        <f t="shared" ca="1" si="15"/>
        <v>0.12000000000000001</v>
      </c>
      <c r="ES16" s="76">
        <f t="shared" si="16"/>
        <v>1</v>
      </c>
      <c r="ET16" s="76">
        <f t="shared" si="17"/>
        <v>0</v>
      </c>
      <c r="EU16" s="76">
        <f t="shared" si="18"/>
        <v>1</v>
      </c>
    </row>
    <row r="17" spans="1:151" ht="15.75" hidden="1" thickBot="1" x14ac:dyDescent="0.3">
      <c r="A17" s="10">
        <v>209</v>
      </c>
      <c r="B17" s="24" t="s">
        <v>97</v>
      </c>
      <c r="C17" s="26" t="str">
        <f t="shared" si="0"/>
        <v>ולריה 209</v>
      </c>
      <c r="D17" s="23" t="s">
        <v>6</v>
      </c>
      <c r="E17" s="23" t="s">
        <v>7</v>
      </c>
      <c r="F17" s="31" t="s">
        <v>146</v>
      </c>
      <c r="G17" s="30">
        <v>43040</v>
      </c>
      <c r="H17" s="31"/>
      <c r="I17" s="13"/>
      <c r="J17" s="48"/>
      <c r="K17" s="49"/>
      <c r="L17" s="49"/>
      <c r="M17" s="49"/>
      <c r="N17" s="50">
        <f t="shared" ref="N17:O22" si="41">J17*3+L17</f>
        <v>0</v>
      </c>
      <c r="O17" s="50">
        <f t="shared" si="41"/>
        <v>0</v>
      </c>
      <c r="P17" s="15">
        <f t="shared" ref="P17:P22" si="42">O17+N17</f>
        <v>0</v>
      </c>
      <c r="Q17" s="10"/>
      <c r="R17" s="12"/>
      <c r="S17" s="12"/>
      <c r="T17" s="12"/>
      <c r="U17" s="14">
        <f t="shared" ref="U17:V22" si="43">Q17*3+S17</f>
        <v>0</v>
      </c>
      <c r="V17" s="14">
        <f t="shared" si="43"/>
        <v>0</v>
      </c>
      <c r="W17" s="16">
        <f t="shared" ref="W17:W22" si="44">V17+U17</f>
        <v>0</v>
      </c>
      <c r="X17" s="10"/>
      <c r="Y17" s="12"/>
      <c r="Z17" s="12"/>
      <c r="AA17" s="12"/>
      <c r="AB17" s="17">
        <f t="shared" ref="AB17:AC22" si="45">X17*3+Z17</f>
        <v>0</v>
      </c>
      <c r="AC17" s="17">
        <f t="shared" si="45"/>
        <v>0</v>
      </c>
      <c r="AD17" s="18">
        <f t="shared" ref="AD17:AD22" si="46">AC17+AB17</f>
        <v>0</v>
      </c>
      <c r="AE17" s="10"/>
      <c r="AF17" s="12"/>
      <c r="AG17" s="12"/>
      <c r="AH17" s="12"/>
      <c r="AI17" s="14">
        <f t="shared" ref="AI17:AJ22" si="47">AE17*3+AG17</f>
        <v>0</v>
      </c>
      <c r="AJ17" s="14">
        <f t="shared" si="47"/>
        <v>0</v>
      </c>
      <c r="AK17" s="16">
        <f t="shared" ref="AK17:AK22" si="48">AJ17+AI17</f>
        <v>0</v>
      </c>
      <c r="AL17" s="10"/>
      <c r="AM17" s="12"/>
      <c r="AN17" s="12"/>
      <c r="AO17" s="12"/>
      <c r="AP17" s="14">
        <f t="shared" ref="AP17:AQ22" si="49">AL17*3+AN17</f>
        <v>0</v>
      </c>
      <c r="AQ17" s="14">
        <f t="shared" si="49"/>
        <v>0</v>
      </c>
      <c r="AR17" s="16">
        <f t="shared" ref="AR17:AR22" si="50">AQ17+AP17</f>
        <v>0</v>
      </c>
      <c r="AS17" s="10"/>
      <c r="AT17" s="12"/>
      <c r="AU17" s="12">
        <v>1</v>
      </c>
      <c r="AV17" s="12"/>
      <c r="AW17" s="14">
        <f t="shared" ref="AW17:AX22" si="51">AS17*3+AU17</f>
        <v>1</v>
      </c>
      <c r="AX17" s="14">
        <f t="shared" si="51"/>
        <v>0</v>
      </c>
      <c r="AY17" s="16">
        <f t="shared" ref="AY17:AY22" si="52">AX17+AW17</f>
        <v>1</v>
      </c>
      <c r="AZ17" s="10">
        <v>1</v>
      </c>
      <c r="BA17" s="12"/>
      <c r="BB17" s="12">
        <v>2</v>
      </c>
      <c r="BC17" s="12"/>
      <c r="BD17" s="14">
        <f t="shared" ref="BD17:BE22" si="53">AZ17*3+BB17</f>
        <v>5</v>
      </c>
      <c r="BE17" s="14">
        <f t="shared" si="53"/>
        <v>0</v>
      </c>
      <c r="BF17" s="16">
        <f t="shared" ref="BF17:BF22" si="54">BE17+BD17</f>
        <v>5</v>
      </c>
      <c r="BG17" s="32"/>
      <c r="BH17" s="40"/>
      <c r="BI17" s="12">
        <v>3</v>
      </c>
      <c r="BJ17" s="12"/>
      <c r="BK17" s="14">
        <f t="shared" ref="BK17:BL22" si="55">BG17*3+BI17</f>
        <v>3</v>
      </c>
      <c r="BL17" s="14">
        <f t="shared" si="55"/>
        <v>0</v>
      </c>
      <c r="BM17" s="39">
        <f t="shared" ref="BM17:BM22" si="56">BL17+BK17</f>
        <v>3</v>
      </c>
      <c r="BN17" s="32"/>
      <c r="BO17" s="40">
        <v>1</v>
      </c>
      <c r="BP17" s="40">
        <v>3</v>
      </c>
      <c r="BQ17" s="40"/>
      <c r="BR17" s="14">
        <f t="shared" ref="BR17:BS22" si="57">BN17*3+BP17</f>
        <v>3</v>
      </c>
      <c r="BS17" s="14">
        <f t="shared" si="57"/>
        <v>3</v>
      </c>
      <c r="BT17" s="39">
        <f t="shared" ref="BT17:BT22" si="58">BS17+BR17</f>
        <v>6</v>
      </c>
      <c r="BU17" s="32">
        <v>1</v>
      </c>
      <c r="BV17" s="40"/>
      <c r="BW17" s="40">
        <v>1</v>
      </c>
      <c r="BX17" s="40"/>
      <c r="BY17" s="14">
        <f t="shared" ref="BY17:BZ22" si="59">BU17*3+BW17</f>
        <v>4</v>
      </c>
      <c r="BZ17" s="14">
        <f t="shared" si="59"/>
        <v>0</v>
      </c>
      <c r="CA17" s="39">
        <f t="shared" ref="CA17:CA22" si="60">BZ17+BY17</f>
        <v>4</v>
      </c>
      <c r="CB17" s="32"/>
      <c r="CC17" s="40"/>
      <c r="CD17" s="40">
        <v>1</v>
      </c>
      <c r="CE17" s="79"/>
      <c r="CF17" s="14">
        <f t="shared" ref="CF17:CG22" si="61">CB17*3+CD17</f>
        <v>1</v>
      </c>
      <c r="CG17" s="14">
        <f t="shared" si="61"/>
        <v>0</v>
      </c>
      <c r="CH17" s="39">
        <f t="shared" ref="CH17:CH22" si="62">CG17+CF17</f>
        <v>1</v>
      </c>
      <c r="CI17" s="40"/>
      <c r="CJ17" s="40"/>
      <c r="CK17" s="40">
        <v>2</v>
      </c>
      <c r="CL17" s="83"/>
      <c r="CM17" s="14">
        <f t="shared" ref="CM17:CN22" si="63">CI17*3+CK17</f>
        <v>2</v>
      </c>
      <c r="CN17" s="14">
        <f t="shared" si="63"/>
        <v>0</v>
      </c>
      <c r="CO17" s="39">
        <f t="shared" ref="CO17:CO22" si="64">CN17+CM17</f>
        <v>2</v>
      </c>
      <c r="CP17" s="108">
        <v>1</v>
      </c>
      <c r="CQ17" s="40"/>
      <c r="CR17" s="40">
        <v>1</v>
      </c>
      <c r="CS17" s="40"/>
      <c r="CT17" s="14">
        <f t="shared" ref="CT17:CU22" si="65">CP17*3+CR17</f>
        <v>4</v>
      </c>
      <c r="CU17" s="14">
        <f t="shared" si="65"/>
        <v>0</v>
      </c>
      <c r="CV17" s="39">
        <f t="shared" ref="CV17:CV22" si="66">CU17+CT17</f>
        <v>4</v>
      </c>
      <c r="CW17" s="32"/>
      <c r="CX17" s="40"/>
      <c r="CY17" s="40">
        <v>2</v>
      </c>
      <c r="CZ17" s="40"/>
      <c r="DA17" s="17">
        <f t="shared" ref="DA17:DB22" si="67">CW17*3+CY17</f>
        <v>2</v>
      </c>
      <c r="DB17" s="17">
        <f t="shared" si="67"/>
        <v>0</v>
      </c>
      <c r="DC17" s="18">
        <f t="shared" ref="DC17:DC22" si="68">DB17+DA17</f>
        <v>2</v>
      </c>
      <c r="DD17" s="108">
        <v>1</v>
      </c>
      <c r="DE17" s="40"/>
      <c r="DF17" s="40"/>
      <c r="DG17" s="40"/>
      <c r="DH17" s="156">
        <f t="shared" si="35"/>
        <v>3</v>
      </c>
      <c r="DI17" s="156">
        <f t="shared" si="36"/>
        <v>0</v>
      </c>
      <c r="DJ17" s="18">
        <f t="shared" si="37"/>
        <v>3</v>
      </c>
      <c r="DK17" s="108"/>
      <c r="DL17" s="40"/>
      <c r="DM17" s="40">
        <v>4</v>
      </c>
      <c r="DN17" s="40">
        <v>2</v>
      </c>
      <c r="DO17" s="156">
        <f t="shared" si="38"/>
        <v>4</v>
      </c>
      <c r="DP17" s="156">
        <f t="shared" si="39"/>
        <v>2</v>
      </c>
      <c r="DQ17" s="18">
        <f t="shared" si="40"/>
        <v>6</v>
      </c>
      <c r="DR17" s="108"/>
      <c r="DS17" s="40"/>
      <c r="DT17" s="40">
        <v>1</v>
      </c>
      <c r="DU17" s="40"/>
      <c r="DV17" s="156">
        <f t="shared" si="1"/>
        <v>1</v>
      </c>
      <c r="DW17" s="156">
        <f t="shared" si="2"/>
        <v>0</v>
      </c>
      <c r="DX17" s="18">
        <f t="shared" si="3"/>
        <v>1</v>
      </c>
      <c r="DY17" s="108">
        <v>1</v>
      </c>
      <c r="DZ17" s="40"/>
      <c r="EA17" s="40"/>
      <c r="EB17" s="40">
        <v>1</v>
      </c>
      <c r="EC17" s="156">
        <f t="shared" si="4"/>
        <v>3</v>
      </c>
      <c r="ED17" s="156">
        <f t="shared" si="5"/>
        <v>1</v>
      </c>
      <c r="EE17" s="18">
        <f t="shared" si="6"/>
        <v>4</v>
      </c>
      <c r="EF17" s="108"/>
      <c r="EG17" s="40"/>
      <c r="EH17" s="40">
        <v>1</v>
      </c>
      <c r="EI17" s="40">
        <v>1</v>
      </c>
      <c r="EJ17" s="156">
        <f t="shared" si="7"/>
        <v>1</v>
      </c>
      <c r="EK17" s="156">
        <f t="shared" si="8"/>
        <v>1</v>
      </c>
      <c r="EL17" s="18">
        <f t="shared" si="9"/>
        <v>2</v>
      </c>
      <c r="EM17" s="74">
        <f t="shared" si="10"/>
        <v>37</v>
      </c>
      <c r="EN17" s="75">
        <f t="shared" ca="1" si="11"/>
        <v>8.6448598130841117E-2</v>
      </c>
      <c r="EO17" s="76">
        <f t="shared" si="12"/>
        <v>7</v>
      </c>
      <c r="EP17" s="75">
        <f t="shared" ca="1" si="13"/>
        <v>1.6355140186915886E-2</v>
      </c>
      <c r="EQ17" s="76">
        <f t="shared" si="14"/>
        <v>44</v>
      </c>
      <c r="ER17" s="75">
        <f t="shared" ca="1" si="15"/>
        <v>0.10280373831775701</v>
      </c>
      <c r="ES17" s="76">
        <f t="shared" si="16"/>
        <v>5</v>
      </c>
      <c r="ET17" s="76">
        <f t="shared" si="17"/>
        <v>1</v>
      </c>
      <c r="EU17" s="76">
        <f t="shared" si="18"/>
        <v>6</v>
      </c>
    </row>
    <row r="18" spans="1:151" ht="15.75" hidden="1" thickBot="1" x14ac:dyDescent="0.3">
      <c r="A18" s="177" t="s">
        <v>14</v>
      </c>
      <c r="B18" s="247" t="s">
        <v>189</v>
      </c>
      <c r="C18" s="85" t="str">
        <f t="shared" si="0"/>
        <v>יונתן מרחבים</v>
      </c>
      <c r="D18" s="23" t="s">
        <v>6</v>
      </c>
      <c r="E18" s="23" t="s">
        <v>7</v>
      </c>
      <c r="F18" s="31" t="s">
        <v>188</v>
      </c>
      <c r="G18" s="30">
        <v>43230</v>
      </c>
      <c r="H18" s="42"/>
      <c r="I18" s="35" t="s">
        <v>190</v>
      </c>
      <c r="J18" s="48"/>
      <c r="K18" s="49"/>
      <c r="L18" s="49"/>
      <c r="M18" s="49"/>
      <c r="N18" s="50">
        <f t="shared" si="41"/>
        <v>0</v>
      </c>
      <c r="O18" s="50">
        <f t="shared" si="41"/>
        <v>0</v>
      </c>
      <c r="P18" s="15">
        <f t="shared" si="42"/>
        <v>0</v>
      </c>
      <c r="Q18" s="10"/>
      <c r="R18" s="12"/>
      <c r="S18" s="12"/>
      <c r="T18" s="12"/>
      <c r="U18" s="14">
        <f t="shared" si="43"/>
        <v>0</v>
      </c>
      <c r="V18" s="14">
        <f t="shared" si="43"/>
        <v>0</v>
      </c>
      <c r="W18" s="16">
        <f t="shared" si="44"/>
        <v>0</v>
      </c>
      <c r="X18" s="10"/>
      <c r="Y18" s="12"/>
      <c r="Z18" s="12"/>
      <c r="AA18" s="12"/>
      <c r="AB18" s="17">
        <f t="shared" si="45"/>
        <v>0</v>
      </c>
      <c r="AC18" s="17">
        <f t="shared" si="45"/>
        <v>0</v>
      </c>
      <c r="AD18" s="18">
        <f t="shared" si="46"/>
        <v>0</v>
      </c>
      <c r="AE18" s="10"/>
      <c r="AF18" s="12"/>
      <c r="AG18" s="12"/>
      <c r="AH18" s="12"/>
      <c r="AI18" s="14">
        <f t="shared" si="47"/>
        <v>0</v>
      </c>
      <c r="AJ18" s="14">
        <f t="shared" si="47"/>
        <v>0</v>
      </c>
      <c r="AK18" s="16">
        <f t="shared" si="48"/>
        <v>0</v>
      </c>
      <c r="AL18" s="10"/>
      <c r="AM18" s="12"/>
      <c r="AN18" s="12"/>
      <c r="AO18" s="12"/>
      <c r="AP18" s="14">
        <f t="shared" si="49"/>
        <v>0</v>
      </c>
      <c r="AQ18" s="14">
        <f t="shared" si="49"/>
        <v>0</v>
      </c>
      <c r="AR18" s="16">
        <f t="shared" si="50"/>
        <v>0</v>
      </c>
      <c r="AS18" s="10"/>
      <c r="AT18" s="12"/>
      <c r="AU18" s="12"/>
      <c r="AV18" s="12"/>
      <c r="AW18" s="14">
        <f t="shared" si="51"/>
        <v>0</v>
      </c>
      <c r="AX18" s="14">
        <f t="shared" si="51"/>
        <v>0</v>
      </c>
      <c r="AY18" s="16">
        <f t="shared" si="52"/>
        <v>0</v>
      </c>
      <c r="AZ18" s="10"/>
      <c r="BA18" s="12"/>
      <c r="BB18" s="12"/>
      <c r="BC18" s="12"/>
      <c r="BD18" s="14">
        <f t="shared" si="53"/>
        <v>0</v>
      </c>
      <c r="BE18" s="14">
        <f t="shared" si="53"/>
        <v>0</v>
      </c>
      <c r="BF18" s="16">
        <f t="shared" si="54"/>
        <v>0</v>
      </c>
      <c r="BG18" s="32"/>
      <c r="BH18" s="40"/>
      <c r="BI18" s="12"/>
      <c r="BJ18" s="12"/>
      <c r="BK18" s="14">
        <f t="shared" si="55"/>
        <v>0</v>
      </c>
      <c r="BL18" s="14">
        <f t="shared" si="55"/>
        <v>0</v>
      </c>
      <c r="BM18" s="39">
        <f t="shared" si="56"/>
        <v>0</v>
      </c>
      <c r="BN18" s="32"/>
      <c r="BO18" s="40"/>
      <c r="BP18" s="40"/>
      <c r="BQ18" s="40"/>
      <c r="BR18" s="14">
        <f t="shared" si="57"/>
        <v>0</v>
      </c>
      <c r="BS18" s="14">
        <f t="shared" si="57"/>
        <v>0</v>
      </c>
      <c r="BT18" s="39">
        <f t="shared" si="58"/>
        <v>0</v>
      </c>
      <c r="BU18" s="32"/>
      <c r="BV18" s="40"/>
      <c r="BW18" s="40"/>
      <c r="BX18" s="40"/>
      <c r="BY18" s="14">
        <f t="shared" si="59"/>
        <v>0</v>
      </c>
      <c r="BZ18" s="14">
        <f t="shared" si="59"/>
        <v>0</v>
      </c>
      <c r="CA18" s="39">
        <f t="shared" si="60"/>
        <v>0</v>
      </c>
      <c r="CB18" s="32"/>
      <c r="CC18" s="40"/>
      <c r="CD18" s="40"/>
      <c r="CE18" s="79"/>
      <c r="CF18" s="14">
        <f t="shared" si="61"/>
        <v>0</v>
      </c>
      <c r="CG18" s="14">
        <f t="shared" si="61"/>
        <v>0</v>
      </c>
      <c r="CH18" s="39">
        <f t="shared" si="62"/>
        <v>0</v>
      </c>
      <c r="CI18" s="40"/>
      <c r="CJ18" s="40"/>
      <c r="CK18" s="40">
        <v>1</v>
      </c>
      <c r="CL18" s="83"/>
      <c r="CM18" s="14">
        <f t="shared" si="63"/>
        <v>1</v>
      </c>
      <c r="CN18" s="14">
        <f t="shared" si="63"/>
        <v>0</v>
      </c>
      <c r="CO18" s="39">
        <f t="shared" si="64"/>
        <v>1</v>
      </c>
      <c r="CP18" s="108"/>
      <c r="CQ18" s="40"/>
      <c r="CR18" s="40">
        <v>3</v>
      </c>
      <c r="CS18" s="40"/>
      <c r="CT18" s="14">
        <f t="shared" si="65"/>
        <v>3</v>
      </c>
      <c r="CU18" s="14">
        <f t="shared" si="65"/>
        <v>0</v>
      </c>
      <c r="CV18" s="39">
        <f t="shared" si="66"/>
        <v>3</v>
      </c>
      <c r="CW18" s="32"/>
      <c r="CX18" s="40"/>
      <c r="CY18" s="40">
        <v>3</v>
      </c>
      <c r="CZ18" s="40"/>
      <c r="DA18" s="17">
        <f t="shared" si="67"/>
        <v>3</v>
      </c>
      <c r="DB18" s="17">
        <f t="shared" si="67"/>
        <v>0</v>
      </c>
      <c r="DC18" s="18">
        <f t="shared" si="68"/>
        <v>3</v>
      </c>
      <c r="DD18" s="108"/>
      <c r="DE18" s="40">
        <v>1</v>
      </c>
      <c r="DF18" s="40">
        <v>1</v>
      </c>
      <c r="DG18" s="40"/>
      <c r="DH18" s="156">
        <f t="shared" si="35"/>
        <v>1</v>
      </c>
      <c r="DI18" s="156">
        <f t="shared" si="36"/>
        <v>3</v>
      </c>
      <c r="DJ18" s="18">
        <f t="shared" si="37"/>
        <v>4</v>
      </c>
      <c r="DK18" s="108"/>
      <c r="DL18" s="40"/>
      <c r="DM18" s="40">
        <v>2</v>
      </c>
      <c r="DN18" s="40"/>
      <c r="DO18" s="156">
        <f t="shared" si="38"/>
        <v>2</v>
      </c>
      <c r="DP18" s="156">
        <f t="shared" si="39"/>
        <v>0</v>
      </c>
      <c r="DQ18" s="18">
        <f t="shared" si="40"/>
        <v>2</v>
      </c>
      <c r="DR18" s="108">
        <v>1</v>
      </c>
      <c r="DS18" s="40"/>
      <c r="DT18" s="40">
        <v>2</v>
      </c>
      <c r="DU18" s="40"/>
      <c r="DV18" s="156">
        <f t="shared" si="1"/>
        <v>5</v>
      </c>
      <c r="DW18" s="156">
        <f t="shared" si="2"/>
        <v>0</v>
      </c>
      <c r="DX18" s="18">
        <f t="shared" si="3"/>
        <v>5</v>
      </c>
      <c r="DY18" s="108">
        <v>1</v>
      </c>
      <c r="DZ18" s="40"/>
      <c r="EA18" s="40">
        <v>1</v>
      </c>
      <c r="EB18" s="40"/>
      <c r="EC18" s="156">
        <f t="shared" si="4"/>
        <v>4</v>
      </c>
      <c r="ED18" s="156">
        <f t="shared" si="5"/>
        <v>0</v>
      </c>
      <c r="EE18" s="18">
        <f t="shared" si="6"/>
        <v>4</v>
      </c>
      <c r="EF18" s="108"/>
      <c r="EG18" s="40"/>
      <c r="EH18" s="40">
        <v>2</v>
      </c>
      <c r="EI18" s="40"/>
      <c r="EJ18" s="156">
        <f t="shared" si="7"/>
        <v>2</v>
      </c>
      <c r="EK18" s="156">
        <f t="shared" si="8"/>
        <v>0</v>
      </c>
      <c r="EL18" s="18">
        <f t="shared" si="9"/>
        <v>2</v>
      </c>
      <c r="EM18" s="74">
        <f t="shared" si="10"/>
        <v>21</v>
      </c>
      <c r="EN18" s="75">
        <f t="shared" ca="1" si="11"/>
        <v>8.8235294117647065E-2</v>
      </c>
      <c r="EO18" s="76">
        <f t="shared" si="12"/>
        <v>3</v>
      </c>
      <c r="EP18" s="75">
        <f t="shared" ca="1" si="13"/>
        <v>1.2605042016806723E-2</v>
      </c>
      <c r="EQ18" s="76">
        <f t="shared" si="14"/>
        <v>24</v>
      </c>
      <c r="ER18" s="75">
        <f t="shared" ca="1" si="15"/>
        <v>0.10084033613445378</v>
      </c>
      <c r="ES18" s="76">
        <f t="shared" si="16"/>
        <v>2</v>
      </c>
      <c r="ET18" s="76">
        <f t="shared" si="17"/>
        <v>1</v>
      </c>
      <c r="EU18" s="76">
        <f t="shared" si="18"/>
        <v>3</v>
      </c>
    </row>
    <row r="19" spans="1:151" ht="15.75" hidden="1" thickBot="1" x14ac:dyDescent="0.3">
      <c r="A19" s="10">
        <v>9</v>
      </c>
      <c r="B19" s="24" t="s">
        <v>96</v>
      </c>
      <c r="C19" s="26" t="str">
        <f t="shared" si="0"/>
        <v>ירדן 9</v>
      </c>
      <c r="D19" s="23" t="s">
        <v>6</v>
      </c>
      <c r="E19" s="23" t="s">
        <v>7</v>
      </c>
      <c r="F19" s="31" t="s">
        <v>146</v>
      </c>
      <c r="G19" s="30">
        <v>43040</v>
      </c>
      <c r="H19" s="31"/>
      <c r="I19" s="13"/>
      <c r="J19" s="48"/>
      <c r="K19" s="49"/>
      <c r="L19" s="49"/>
      <c r="M19" s="49"/>
      <c r="N19" s="50">
        <f t="shared" si="41"/>
        <v>0</v>
      </c>
      <c r="O19" s="50">
        <f t="shared" si="41"/>
        <v>0</v>
      </c>
      <c r="P19" s="15">
        <f t="shared" si="42"/>
        <v>0</v>
      </c>
      <c r="Q19" s="10"/>
      <c r="R19" s="12"/>
      <c r="S19" s="12"/>
      <c r="T19" s="12"/>
      <c r="U19" s="14">
        <f t="shared" si="43"/>
        <v>0</v>
      </c>
      <c r="V19" s="14">
        <f t="shared" si="43"/>
        <v>0</v>
      </c>
      <c r="W19" s="16">
        <f t="shared" si="44"/>
        <v>0</v>
      </c>
      <c r="X19" s="10"/>
      <c r="Y19" s="12"/>
      <c r="Z19" s="12"/>
      <c r="AA19" s="12"/>
      <c r="AB19" s="17">
        <f t="shared" si="45"/>
        <v>0</v>
      </c>
      <c r="AC19" s="17">
        <f t="shared" si="45"/>
        <v>0</v>
      </c>
      <c r="AD19" s="18">
        <f t="shared" si="46"/>
        <v>0</v>
      </c>
      <c r="AE19" s="10"/>
      <c r="AF19" s="12"/>
      <c r="AG19" s="12"/>
      <c r="AH19" s="12"/>
      <c r="AI19" s="14">
        <f t="shared" si="47"/>
        <v>0</v>
      </c>
      <c r="AJ19" s="14">
        <f t="shared" si="47"/>
        <v>0</v>
      </c>
      <c r="AK19" s="16">
        <f t="shared" si="48"/>
        <v>0</v>
      </c>
      <c r="AL19" s="10"/>
      <c r="AM19" s="12"/>
      <c r="AN19" s="12"/>
      <c r="AO19" s="12"/>
      <c r="AP19" s="14">
        <f t="shared" si="49"/>
        <v>0</v>
      </c>
      <c r="AQ19" s="14">
        <f t="shared" si="49"/>
        <v>0</v>
      </c>
      <c r="AR19" s="16">
        <f t="shared" si="50"/>
        <v>0</v>
      </c>
      <c r="AS19" s="10">
        <v>1</v>
      </c>
      <c r="AT19" s="12"/>
      <c r="AU19" s="12"/>
      <c r="AV19" s="12"/>
      <c r="AW19" s="14">
        <f t="shared" si="51"/>
        <v>3</v>
      </c>
      <c r="AX19" s="14">
        <f t="shared" si="51"/>
        <v>0</v>
      </c>
      <c r="AY19" s="16">
        <f t="shared" si="52"/>
        <v>3</v>
      </c>
      <c r="AZ19" s="10"/>
      <c r="BA19" s="12"/>
      <c r="BB19" s="12">
        <v>3</v>
      </c>
      <c r="BC19" s="12"/>
      <c r="BD19" s="14">
        <f t="shared" si="53"/>
        <v>3</v>
      </c>
      <c r="BE19" s="14">
        <f t="shared" si="53"/>
        <v>0</v>
      </c>
      <c r="BF19" s="16">
        <f t="shared" si="54"/>
        <v>3</v>
      </c>
      <c r="BG19" s="32">
        <v>1</v>
      </c>
      <c r="BH19" s="40"/>
      <c r="BI19" s="40">
        <v>1</v>
      </c>
      <c r="BJ19" s="12"/>
      <c r="BK19" s="14">
        <f t="shared" si="55"/>
        <v>4</v>
      </c>
      <c r="BL19" s="14">
        <f t="shared" si="55"/>
        <v>0</v>
      </c>
      <c r="BM19" s="39">
        <f t="shared" si="56"/>
        <v>4</v>
      </c>
      <c r="BN19" s="32"/>
      <c r="BO19" s="40"/>
      <c r="BP19" s="40">
        <v>4</v>
      </c>
      <c r="BQ19" s="40"/>
      <c r="BR19" s="14">
        <f t="shared" si="57"/>
        <v>4</v>
      </c>
      <c r="BS19" s="14">
        <f t="shared" si="57"/>
        <v>0</v>
      </c>
      <c r="BT19" s="39">
        <f t="shared" si="58"/>
        <v>4</v>
      </c>
      <c r="BU19" s="32">
        <v>1</v>
      </c>
      <c r="BV19" s="40"/>
      <c r="BW19" s="40"/>
      <c r="BX19" s="40"/>
      <c r="BY19" s="14">
        <f t="shared" si="59"/>
        <v>3</v>
      </c>
      <c r="BZ19" s="14">
        <f t="shared" si="59"/>
        <v>0</v>
      </c>
      <c r="CA19" s="39">
        <f t="shared" si="60"/>
        <v>3</v>
      </c>
      <c r="CB19" s="32"/>
      <c r="CC19" s="40"/>
      <c r="CD19" s="40">
        <v>2</v>
      </c>
      <c r="CE19" s="79"/>
      <c r="CF19" s="14">
        <f t="shared" si="61"/>
        <v>2</v>
      </c>
      <c r="CG19" s="14">
        <f t="shared" si="61"/>
        <v>0</v>
      </c>
      <c r="CH19" s="39">
        <f t="shared" si="62"/>
        <v>2</v>
      </c>
      <c r="CI19" s="40"/>
      <c r="CJ19" s="40"/>
      <c r="CK19" s="40">
        <v>1</v>
      </c>
      <c r="CL19" s="83"/>
      <c r="CM19" s="14">
        <f t="shared" si="63"/>
        <v>1</v>
      </c>
      <c r="CN19" s="14">
        <f t="shared" si="63"/>
        <v>0</v>
      </c>
      <c r="CO19" s="39">
        <f t="shared" si="64"/>
        <v>1</v>
      </c>
      <c r="CP19" s="108"/>
      <c r="CQ19" s="40">
        <v>1</v>
      </c>
      <c r="CR19" s="40">
        <v>2</v>
      </c>
      <c r="CS19" s="40"/>
      <c r="CT19" s="14">
        <f t="shared" si="65"/>
        <v>2</v>
      </c>
      <c r="CU19" s="14">
        <f t="shared" si="65"/>
        <v>3</v>
      </c>
      <c r="CV19" s="39">
        <f t="shared" si="66"/>
        <v>5</v>
      </c>
      <c r="CW19" s="32">
        <v>1</v>
      </c>
      <c r="CX19" s="40"/>
      <c r="CY19" s="40"/>
      <c r="CZ19" s="40">
        <v>1</v>
      </c>
      <c r="DA19" s="17">
        <f t="shared" si="67"/>
        <v>3</v>
      </c>
      <c r="DB19" s="17">
        <f t="shared" si="67"/>
        <v>1</v>
      </c>
      <c r="DC19" s="18">
        <f t="shared" si="68"/>
        <v>4</v>
      </c>
      <c r="DD19" s="108">
        <v>1</v>
      </c>
      <c r="DE19" s="40"/>
      <c r="DF19" s="40"/>
      <c r="DG19" s="40"/>
      <c r="DH19" s="156">
        <f t="shared" si="35"/>
        <v>3</v>
      </c>
      <c r="DI19" s="156">
        <f t="shared" si="36"/>
        <v>0</v>
      </c>
      <c r="DJ19" s="18">
        <f t="shared" si="37"/>
        <v>3</v>
      </c>
      <c r="DK19" s="108">
        <v>1</v>
      </c>
      <c r="DL19" s="40"/>
      <c r="DM19" s="40">
        <v>1</v>
      </c>
      <c r="DN19" s="40"/>
      <c r="DO19" s="156">
        <f t="shared" si="38"/>
        <v>4</v>
      </c>
      <c r="DP19" s="156">
        <f t="shared" si="39"/>
        <v>0</v>
      </c>
      <c r="DQ19" s="18">
        <f t="shared" si="40"/>
        <v>4</v>
      </c>
      <c r="DR19" s="108"/>
      <c r="DS19" s="40"/>
      <c r="DT19" s="40"/>
      <c r="DU19" s="40"/>
      <c r="DV19" s="156">
        <f t="shared" si="1"/>
        <v>0</v>
      </c>
      <c r="DW19" s="156">
        <f t="shared" si="2"/>
        <v>0</v>
      </c>
      <c r="DX19" s="18">
        <f t="shared" si="3"/>
        <v>0</v>
      </c>
      <c r="DY19" s="108">
        <v>1</v>
      </c>
      <c r="DZ19" s="40"/>
      <c r="EA19" s="40">
        <v>2</v>
      </c>
      <c r="EB19" s="40"/>
      <c r="EC19" s="156">
        <f t="shared" si="4"/>
        <v>5</v>
      </c>
      <c r="ED19" s="156">
        <f t="shared" si="5"/>
        <v>0</v>
      </c>
      <c r="EE19" s="18">
        <f t="shared" si="6"/>
        <v>5</v>
      </c>
      <c r="EF19" s="108"/>
      <c r="EG19" s="40"/>
      <c r="EH19" s="40">
        <v>1</v>
      </c>
      <c r="EI19" s="40">
        <v>1</v>
      </c>
      <c r="EJ19" s="156">
        <f t="shared" si="7"/>
        <v>1</v>
      </c>
      <c r="EK19" s="156">
        <f t="shared" si="8"/>
        <v>1</v>
      </c>
      <c r="EL19" s="18">
        <f t="shared" si="9"/>
        <v>2</v>
      </c>
      <c r="EM19" s="74">
        <f t="shared" si="10"/>
        <v>38</v>
      </c>
      <c r="EN19" s="75">
        <f t="shared" ca="1" si="11"/>
        <v>8.8785046728971959E-2</v>
      </c>
      <c r="EO19" s="76">
        <f t="shared" si="12"/>
        <v>5</v>
      </c>
      <c r="EP19" s="75">
        <f t="shared" ca="1" si="13"/>
        <v>1.1682242990654205E-2</v>
      </c>
      <c r="EQ19" s="76">
        <f t="shared" si="14"/>
        <v>43</v>
      </c>
      <c r="ER19" s="75">
        <f t="shared" ca="1" si="15"/>
        <v>0.10046728971962617</v>
      </c>
      <c r="ES19" s="76">
        <f t="shared" si="16"/>
        <v>7</v>
      </c>
      <c r="ET19" s="76">
        <f t="shared" si="17"/>
        <v>1</v>
      </c>
      <c r="EU19" s="76">
        <f t="shared" si="18"/>
        <v>8</v>
      </c>
    </row>
    <row r="20" spans="1:151" ht="15.75" hidden="1" thickBot="1" x14ac:dyDescent="0.3">
      <c r="A20" s="32">
        <v>9</v>
      </c>
      <c r="B20" s="33" t="s">
        <v>48</v>
      </c>
      <c r="C20" s="85" t="str">
        <f t="shared" si="0"/>
        <v>כלנית 9</v>
      </c>
      <c r="D20" s="23" t="s">
        <v>6</v>
      </c>
      <c r="E20" s="23" t="s">
        <v>7</v>
      </c>
      <c r="F20" s="31" t="s">
        <v>144</v>
      </c>
      <c r="G20" s="30">
        <v>42979</v>
      </c>
      <c r="H20" s="19"/>
      <c r="I20" s="35"/>
      <c r="J20" s="48"/>
      <c r="K20" s="49"/>
      <c r="L20" s="49"/>
      <c r="M20" s="49"/>
      <c r="N20" s="50">
        <f t="shared" si="41"/>
        <v>0</v>
      </c>
      <c r="O20" s="50">
        <f t="shared" si="41"/>
        <v>0</v>
      </c>
      <c r="P20" s="15">
        <f t="shared" si="42"/>
        <v>0</v>
      </c>
      <c r="Q20" s="10"/>
      <c r="R20" s="12"/>
      <c r="S20" s="12"/>
      <c r="T20" s="12"/>
      <c r="U20" s="14">
        <f t="shared" si="43"/>
        <v>0</v>
      </c>
      <c r="V20" s="14">
        <f t="shared" si="43"/>
        <v>0</v>
      </c>
      <c r="W20" s="16">
        <f t="shared" si="44"/>
        <v>0</v>
      </c>
      <c r="X20" s="10"/>
      <c r="Y20" s="12"/>
      <c r="Z20" s="12"/>
      <c r="AA20" s="12"/>
      <c r="AB20" s="17">
        <f t="shared" si="45"/>
        <v>0</v>
      </c>
      <c r="AC20" s="17">
        <f t="shared" si="45"/>
        <v>0</v>
      </c>
      <c r="AD20" s="18">
        <f t="shared" si="46"/>
        <v>0</v>
      </c>
      <c r="AE20" s="10">
        <v>1</v>
      </c>
      <c r="AF20" s="12"/>
      <c r="AG20" s="12">
        <v>2</v>
      </c>
      <c r="AH20" s="12"/>
      <c r="AI20" s="14">
        <f t="shared" si="47"/>
        <v>5</v>
      </c>
      <c r="AJ20" s="14">
        <f t="shared" si="47"/>
        <v>0</v>
      </c>
      <c r="AK20" s="16">
        <f t="shared" si="48"/>
        <v>5</v>
      </c>
      <c r="AL20" s="10">
        <v>1</v>
      </c>
      <c r="AM20" s="12"/>
      <c r="AN20" s="12"/>
      <c r="AO20" s="12"/>
      <c r="AP20" s="14">
        <f t="shared" si="49"/>
        <v>3</v>
      </c>
      <c r="AQ20" s="14">
        <f t="shared" si="49"/>
        <v>0</v>
      </c>
      <c r="AR20" s="16">
        <f t="shared" si="50"/>
        <v>3</v>
      </c>
      <c r="AS20" s="10"/>
      <c r="AT20" s="12"/>
      <c r="AU20" s="12">
        <v>4</v>
      </c>
      <c r="AV20" s="12"/>
      <c r="AW20" s="14">
        <f t="shared" si="51"/>
        <v>4</v>
      </c>
      <c r="AX20" s="14">
        <f t="shared" si="51"/>
        <v>0</v>
      </c>
      <c r="AY20" s="16">
        <f t="shared" si="52"/>
        <v>4</v>
      </c>
      <c r="AZ20" s="10"/>
      <c r="BA20" s="12"/>
      <c r="BB20" s="12">
        <v>2</v>
      </c>
      <c r="BC20" s="12">
        <v>1</v>
      </c>
      <c r="BD20" s="14">
        <f t="shared" si="53"/>
        <v>2</v>
      </c>
      <c r="BE20" s="14">
        <f t="shared" si="53"/>
        <v>1</v>
      </c>
      <c r="BF20" s="16">
        <f t="shared" si="54"/>
        <v>3</v>
      </c>
      <c r="BG20" s="32">
        <v>1</v>
      </c>
      <c r="BH20" s="40"/>
      <c r="BI20" s="40">
        <v>1</v>
      </c>
      <c r="BJ20" s="12"/>
      <c r="BK20" s="14">
        <f t="shared" si="55"/>
        <v>4</v>
      </c>
      <c r="BL20" s="14">
        <f t="shared" si="55"/>
        <v>0</v>
      </c>
      <c r="BM20" s="39">
        <f t="shared" si="56"/>
        <v>4</v>
      </c>
      <c r="BN20" s="32"/>
      <c r="BO20" s="40"/>
      <c r="BP20" s="40">
        <v>3</v>
      </c>
      <c r="BQ20" s="40">
        <v>1</v>
      </c>
      <c r="BR20" s="14">
        <f t="shared" si="57"/>
        <v>3</v>
      </c>
      <c r="BS20" s="14">
        <f t="shared" si="57"/>
        <v>1</v>
      </c>
      <c r="BT20" s="39">
        <f t="shared" si="58"/>
        <v>4</v>
      </c>
      <c r="BU20" s="32"/>
      <c r="BV20" s="40">
        <v>1</v>
      </c>
      <c r="BW20" s="40"/>
      <c r="BX20" s="40">
        <v>1</v>
      </c>
      <c r="BY20" s="14">
        <f t="shared" si="59"/>
        <v>0</v>
      </c>
      <c r="BZ20" s="14">
        <f t="shared" si="59"/>
        <v>4</v>
      </c>
      <c r="CA20" s="39">
        <f t="shared" si="60"/>
        <v>4</v>
      </c>
      <c r="CB20" s="32"/>
      <c r="CC20" s="40"/>
      <c r="CD20" s="40"/>
      <c r="CE20" s="79"/>
      <c r="CF20" s="14">
        <f t="shared" si="61"/>
        <v>0</v>
      </c>
      <c r="CG20" s="14">
        <f t="shared" si="61"/>
        <v>0</v>
      </c>
      <c r="CH20" s="39">
        <f t="shared" si="62"/>
        <v>0</v>
      </c>
      <c r="CI20" s="40">
        <v>1</v>
      </c>
      <c r="CJ20" s="40"/>
      <c r="CK20" s="40">
        <v>1</v>
      </c>
      <c r="CL20" s="83"/>
      <c r="CM20" s="14">
        <f t="shared" si="63"/>
        <v>4</v>
      </c>
      <c r="CN20" s="14">
        <f t="shared" si="63"/>
        <v>0</v>
      </c>
      <c r="CO20" s="39">
        <f t="shared" si="64"/>
        <v>4</v>
      </c>
      <c r="CP20" s="108"/>
      <c r="CQ20" s="40"/>
      <c r="CR20" s="40">
        <v>2</v>
      </c>
      <c r="CS20" s="40"/>
      <c r="CT20" s="14">
        <f t="shared" si="65"/>
        <v>2</v>
      </c>
      <c r="CU20" s="14">
        <f t="shared" si="65"/>
        <v>0</v>
      </c>
      <c r="CV20" s="39">
        <f t="shared" si="66"/>
        <v>2</v>
      </c>
      <c r="CW20" s="32"/>
      <c r="CX20" s="40"/>
      <c r="CY20" s="40">
        <v>1</v>
      </c>
      <c r="CZ20" s="40"/>
      <c r="DA20" s="17">
        <f t="shared" si="67"/>
        <v>1</v>
      </c>
      <c r="DB20" s="17">
        <f t="shared" si="67"/>
        <v>0</v>
      </c>
      <c r="DC20" s="18">
        <f t="shared" si="68"/>
        <v>1</v>
      </c>
      <c r="DD20" s="108">
        <v>1</v>
      </c>
      <c r="DE20" s="40"/>
      <c r="DF20" s="40">
        <v>1</v>
      </c>
      <c r="DG20" s="40"/>
      <c r="DH20" s="156">
        <f t="shared" si="35"/>
        <v>4</v>
      </c>
      <c r="DI20" s="156">
        <f t="shared" si="36"/>
        <v>0</v>
      </c>
      <c r="DJ20" s="18">
        <f t="shared" si="37"/>
        <v>4</v>
      </c>
      <c r="DK20" s="108">
        <v>1</v>
      </c>
      <c r="DL20" s="40"/>
      <c r="DM20" s="40"/>
      <c r="DN20" s="40">
        <v>1</v>
      </c>
      <c r="DO20" s="156">
        <f t="shared" si="38"/>
        <v>3</v>
      </c>
      <c r="DP20" s="156">
        <f t="shared" si="39"/>
        <v>1</v>
      </c>
      <c r="DQ20" s="18">
        <f t="shared" si="40"/>
        <v>4</v>
      </c>
      <c r="DR20" s="108"/>
      <c r="DS20" s="40"/>
      <c r="DT20" s="40">
        <v>2</v>
      </c>
      <c r="DU20" s="40"/>
      <c r="DV20" s="156">
        <f t="shared" si="1"/>
        <v>2</v>
      </c>
      <c r="DW20" s="156">
        <f t="shared" si="2"/>
        <v>0</v>
      </c>
      <c r="DX20" s="18">
        <f t="shared" si="3"/>
        <v>2</v>
      </c>
      <c r="DY20" s="108"/>
      <c r="DZ20" s="40">
        <v>1</v>
      </c>
      <c r="EA20" s="40">
        <v>2</v>
      </c>
      <c r="EB20" s="40"/>
      <c r="EC20" s="156">
        <f t="shared" si="4"/>
        <v>2</v>
      </c>
      <c r="ED20" s="156">
        <f t="shared" si="5"/>
        <v>3</v>
      </c>
      <c r="EE20" s="18">
        <f t="shared" si="6"/>
        <v>5</v>
      </c>
      <c r="EF20" s="108"/>
      <c r="EG20" s="40"/>
      <c r="EH20" s="40">
        <v>2</v>
      </c>
      <c r="EI20" s="40"/>
      <c r="EJ20" s="156">
        <f t="shared" si="7"/>
        <v>2</v>
      </c>
      <c r="EK20" s="156">
        <f t="shared" si="8"/>
        <v>0</v>
      </c>
      <c r="EL20" s="18">
        <f t="shared" si="9"/>
        <v>2</v>
      </c>
      <c r="EM20" s="74">
        <f t="shared" si="10"/>
        <v>41</v>
      </c>
      <c r="EN20" s="75">
        <f t="shared" ca="1" si="11"/>
        <v>8.3844580777096112E-2</v>
      </c>
      <c r="EO20" s="76">
        <f t="shared" si="12"/>
        <v>10</v>
      </c>
      <c r="EP20" s="75">
        <f t="shared" ca="1" si="13"/>
        <v>2.0449897750511249E-2</v>
      </c>
      <c r="EQ20" s="76">
        <f t="shared" si="14"/>
        <v>51</v>
      </c>
      <c r="ER20" s="75">
        <f t="shared" ca="1" si="15"/>
        <v>0.10429447852760736</v>
      </c>
      <c r="ES20" s="76">
        <f t="shared" si="16"/>
        <v>6</v>
      </c>
      <c r="ET20" s="76">
        <f t="shared" si="17"/>
        <v>2</v>
      </c>
      <c r="EU20" s="76">
        <f t="shared" si="18"/>
        <v>8</v>
      </c>
    </row>
    <row r="21" spans="1:151" ht="15.75" hidden="1" thickBot="1" x14ac:dyDescent="0.3">
      <c r="A21" s="10">
        <v>474</v>
      </c>
      <c r="B21" s="24" t="s">
        <v>166</v>
      </c>
      <c r="C21" s="11" t="str">
        <f t="shared" si="0"/>
        <v>לירוז 474</v>
      </c>
      <c r="D21" s="23" t="s">
        <v>6</v>
      </c>
      <c r="E21" s="23" t="s">
        <v>7</v>
      </c>
      <c r="F21" s="31" t="s">
        <v>167</v>
      </c>
      <c r="G21" s="30">
        <v>43191</v>
      </c>
      <c r="H21" s="42"/>
      <c r="I21" s="13"/>
      <c r="J21" s="48"/>
      <c r="K21" s="49"/>
      <c r="L21" s="49"/>
      <c r="M21" s="49"/>
      <c r="N21" s="50">
        <f t="shared" si="41"/>
        <v>0</v>
      </c>
      <c r="O21" s="50">
        <f t="shared" si="41"/>
        <v>0</v>
      </c>
      <c r="P21" s="15">
        <f t="shared" si="42"/>
        <v>0</v>
      </c>
      <c r="Q21" s="10"/>
      <c r="R21" s="12"/>
      <c r="S21" s="12"/>
      <c r="T21" s="12"/>
      <c r="U21" s="14">
        <f t="shared" si="43"/>
        <v>0</v>
      </c>
      <c r="V21" s="14">
        <f t="shared" si="43"/>
        <v>0</v>
      </c>
      <c r="W21" s="16">
        <f t="shared" si="44"/>
        <v>0</v>
      </c>
      <c r="X21" s="10"/>
      <c r="Y21" s="12"/>
      <c r="Z21" s="12"/>
      <c r="AA21" s="12"/>
      <c r="AB21" s="17">
        <f t="shared" si="45"/>
        <v>0</v>
      </c>
      <c r="AC21" s="17">
        <f t="shared" si="45"/>
        <v>0</v>
      </c>
      <c r="AD21" s="18">
        <f t="shared" si="46"/>
        <v>0</v>
      </c>
      <c r="AE21" s="10"/>
      <c r="AF21" s="12"/>
      <c r="AG21" s="12"/>
      <c r="AH21" s="12"/>
      <c r="AI21" s="14">
        <f t="shared" si="47"/>
        <v>0</v>
      </c>
      <c r="AJ21" s="14">
        <f t="shared" si="47"/>
        <v>0</v>
      </c>
      <c r="AK21" s="16">
        <f t="shared" si="48"/>
        <v>0</v>
      </c>
      <c r="AL21" s="10"/>
      <c r="AM21" s="12"/>
      <c r="AN21" s="12"/>
      <c r="AO21" s="12"/>
      <c r="AP21" s="14">
        <f t="shared" si="49"/>
        <v>0</v>
      </c>
      <c r="AQ21" s="14">
        <f t="shared" si="49"/>
        <v>0</v>
      </c>
      <c r="AR21" s="16">
        <f t="shared" si="50"/>
        <v>0</v>
      </c>
      <c r="AS21" s="10"/>
      <c r="AT21" s="12"/>
      <c r="AU21" s="12"/>
      <c r="AV21" s="12"/>
      <c r="AW21" s="14">
        <f t="shared" si="51"/>
        <v>0</v>
      </c>
      <c r="AX21" s="14">
        <f t="shared" si="51"/>
        <v>0</v>
      </c>
      <c r="AY21" s="16">
        <f t="shared" si="52"/>
        <v>0</v>
      </c>
      <c r="AZ21" s="10"/>
      <c r="BA21" s="12"/>
      <c r="BB21" s="12"/>
      <c r="BC21" s="12"/>
      <c r="BD21" s="14">
        <f t="shared" si="53"/>
        <v>0</v>
      </c>
      <c r="BE21" s="14">
        <f t="shared" si="53"/>
        <v>0</v>
      </c>
      <c r="BF21" s="16">
        <f t="shared" si="54"/>
        <v>0</v>
      </c>
      <c r="BG21" s="32"/>
      <c r="BH21" s="40"/>
      <c r="BI21" s="12"/>
      <c r="BJ21" s="12"/>
      <c r="BK21" s="14">
        <f t="shared" si="55"/>
        <v>0</v>
      </c>
      <c r="BL21" s="14">
        <f t="shared" si="55"/>
        <v>0</v>
      </c>
      <c r="BM21" s="39">
        <f t="shared" si="56"/>
        <v>0</v>
      </c>
      <c r="BN21" s="32"/>
      <c r="BO21" s="40"/>
      <c r="BP21" s="40"/>
      <c r="BQ21" s="40"/>
      <c r="BR21" s="14">
        <f t="shared" si="57"/>
        <v>0</v>
      </c>
      <c r="BS21" s="14">
        <f t="shared" si="57"/>
        <v>0</v>
      </c>
      <c r="BT21" s="39">
        <f t="shared" si="58"/>
        <v>0</v>
      </c>
      <c r="BU21" s="32"/>
      <c r="BV21" s="40"/>
      <c r="BW21" s="40"/>
      <c r="BX21" s="40"/>
      <c r="BY21" s="14">
        <f t="shared" si="59"/>
        <v>0</v>
      </c>
      <c r="BZ21" s="14">
        <f t="shared" si="59"/>
        <v>0</v>
      </c>
      <c r="CA21" s="39">
        <f t="shared" si="60"/>
        <v>0</v>
      </c>
      <c r="CB21" s="32">
        <v>1</v>
      </c>
      <c r="CC21" s="40"/>
      <c r="CD21" s="40">
        <v>1</v>
      </c>
      <c r="CE21" s="79"/>
      <c r="CF21" s="14">
        <f t="shared" si="61"/>
        <v>4</v>
      </c>
      <c r="CG21" s="14">
        <f t="shared" si="61"/>
        <v>0</v>
      </c>
      <c r="CH21" s="39">
        <f t="shared" si="62"/>
        <v>4</v>
      </c>
      <c r="CI21" s="40"/>
      <c r="CJ21" s="40"/>
      <c r="CK21" s="40">
        <v>2</v>
      </c>
      <c r="CL21" s="83"/>
      <c r="CM21" s="14">
        <f t="shared" si="63"/>
        <v>2</v>
      </c>
      <c r="CN21" s="14">
        <f t="shared" si="63"/>
        <v>0</v>
      </c>
      <c r="CO21" s="39">
        <f t="shared" si="64"/>
        <v>2</v>
      </c>
      <c r="CP21" s="108"/>
      <c r="CQ21" s="40"/>
      <c r="CR21" s="40">
        <v>3</v>
      </c>
      <c r="CS21" s="40">
        <v>1</v>
      </c>
      <c r="CT21" s="14">
        <f t="shared" si="65"/>
        <v>3</v>
      </c>
      <c r="CU21" s="14">
        <f t="shared" si="65"/>
        <v>1</v>
      </c>
      <c r="CV21" s="39">
        <f t="shared" si="66"/>
        <v>4</v>
      </c>
      <c r="CW21" s="32">
        <v>1</v>
      </c>
      <c r="CX21" s="40"/>
      <c r="CY21" s="40"/>
      <c r="CZ21" s="40"/>
      <c r="DA21" s="17">
        <f t="shared" si="67"/>
        <v>3</v>
      </c>
      <c r="DB21" s="17">
        <f t="shared" si="67"/>
        <v>0</v>
      </c>
      <c r="DC21" s="18">
        <f t="shared" si="68"/>
        <v>3</v>
      </c>
      <c r="DD21" s="108"/>
      <c r="DE21" s="40"/>
      <c r="DF21" s="40">
        <v>3</v>
      </c>
      <c r="DG21" s="40"/>
      <c r="DH21" s="156">
        <f t="shared" si="35"/>
        <v>3</v>
      </c>
      <c r="DI21" s="156">
        <f t="shared" si="36"/>
        <v>0</v>
      </c>
      <c r="DJ21" s="18">
        <f t="shared" si="37"/>
        <v>3</v>
      </c>
      <c r="DK21" s="108"/>
      <c r="DL21" s="40"/>
      <c r="DM21" s="40">
        <v>1</v>
      </c>
      <c r="DN21" s="40">
        <v>2</v>
      </c>
      <c r="DO21" s="156">
        <f t="shared" si="38"/>
        <v>1</v>
      </c>
      <c r="DP21" s="156">
        <f t="shared" si="39"/>
        <v>2</v>
      </c>
      <c r="DQ21" s="18">
        <f t="shared" si="40"/>
        <v>3</v>
      </c>
      <c r="DR21" s="108"/>
      <c r="DS21" s="40"/>
      <c r="DT21" s="40">
        <v>3</v>
      </c>
      <c r="DU21" s="40"/>
      <c r="DV21" s="156">
        <f t="shared" si="1"/>
        <v>3</v>
      </c>
      <c r="DW21" s="156">
        <f t="shared" si="2"/>
        <v>0</v>
      </c>
      <c r="DX21" s="18">
        <f t="shared" si="3"/>
        <v>3</v>
      </c>
      <c r="DY21" s="108">
        <v>1</v>
      </c>
      <c r="DZ21" s="40"/>
      <c r="EA21" s="40">
        <v>1</v>
      </c>
      <c r="EB21" s="40"/>
      <c r="EC21" s="156">
        <f t="shared" si="4"/>
        <v>4</v>
      </c>
      <c r="ED21" s="156">
        <f t="shared" si="5"/>
        <v>0</v>
      </c>
      <c r="EE21" s="18">
        <f t="shared" si="6"/>
        <v>4</v>
      </c>
      <c r="EF21" s="108"/>
      <c r="EG21" s="40"/>
      <c r="EH21" s="40">
        <v>2</v>
      </c>
      <c r="EI21" s="40"/>
      <c r="EJ21" s="156">
        <f t="shared" si="7"/>
        <v>2</v>
      </c>
      <c r="EK21" s="156">
        <f t="shared" si="8"/>
        <v>0</v>
      </c>
      <c r="EL21" s="18">
        <f t="shared" si="9"/>
        <v>2</v>
      </c>
      <c r="EM21" s="74">
        <f t="shared" si="10"/>
        <v>25</v>
      </c>
      <c r="EN21" s="75">
        <f t="shared" ca="1" si="11"/>
        <v>9.0252707581227443E-2</v>
      </c>
      <c r="EO21" s="76">
        <f t="shared" si="12"/>
        <v>3</v>
      </c>
      <c r="EP21" s="75">
        <f t="shared" ca="1" si="13"/>
        <v>1.0830324909747292E-2</v>
      </c>
      <c r="EQ21" s="76">
        <f t="shared" si="14"/>
        <v>28</v>
      </c>
      <c r="ER21" s="75">
        <f t="shared" ca="1" si="15"/>
        <v>0.10108303249097474</v>
      </c>
      <c r="ES21" s="76">
        <f t="shared" si="16"/>
        <v>3</v>
      </c>
      <c r="ET21" s="76">
        <f t="shared" si="17"/>
        <v>0</v>
      </c>
      <c r="EU21" s="76">
        <f t="shared" si="18"/>
        <v>3</v>
      </c>
    </row>
    <row r="22" spans="1:151" ht="15.75" hidden="1" thickBot="1" x14ac:dyDescent="0.3">
      <c r="A22" s="32">
        <v>9</v>
      </c>
      <c r="B22" s="247" t="s">
        <v>5</v>
      </c>
      <c r="C22" s="85" t="str">
        <f t="shared" si="0"/>
        <v>מאי 9</v>
      </c>
      <c r="D22" s="23" t="s">
        <v>6</v>
      </c>
      <c r="E22" s="23" t="s">
        <v>7</v>
      </c>
      <c r="F22" s="31" t="s">
        <v>158</v>
      </c>
      <c r="G22" s="30">
        <v>43160</v>
      </c>
      <c r="H22" s="42"/>
      <c r="I22" s="35"/>
      <c r="J22" s="48"/>
      <c r="K22" s="49"/>
      <c r="L22" s="49"/>
      <c r="M22" s="49"/>
      <c r="N22" s="50">
        <f t="shared" si="41"/>
        <v>0</v>
      </c>
      <c r="O22" s="50">
        <f t="shared" si="41"/>
        <v>0</v>
      </c>
      <c r="P22" s="15">
        <f t="shared" si="42"/>
        <v>0</v>
      </c>
      <c r="Q22" s="10"/>
      <c r="R22" s="12"/>
      <c r="S22" s="12"/>
      <c r="T22" s="12"/>
      <c r="U22" s="14">
        <f t="shared" si="43"/>
        <v>0</v>
      </c>
      <c r="V22" s="14">
        <f t="shared" si="43"/>
        <v>0</v>
      </c>
      <c r="W22" s="16">
        <f t="shared" si="44"/>
        <v>0</v>
      </c>
      <c r="X22" s="10"/>
      <c r="Y22" s="12"/>
      <c r="Z22" s="12"/>
      <c r="AA22" s="12"/>
      <c r="AB22" s="17">
        <f t="shared" si="45"/>
        <v>0</v>
      </c>
      <c r="AC22" s="17">
        <f t="shared" si="45"/>
        <v>0</v>
      </c>
      <c r="AD22" s="18">
        <f t="shared" si="46"/>
        <v>0</v>
      </c>
      <c r="AE22" s="10"/>
      <c r="AF22" s="12"/>
      <c r="AG22" s="12"/>
      <c r="AH22" s="12"/>
      <c r="AI22" s="14">
        <f t="shared" si="47"/>
        <v>0</v>
      </c>
      <c r="AJ22" s="14">
        <f t="shared" si="47"/>
        <v>0</v>
      </c>
      <c r="AK22" s="16">
        <f t="shared" si="48"/>
        <v>0</v>
      </c>
      <c r="AL22" s="10"/>
      <c r="AM22" s="12"/>
      <c r="AN22" s="12"/>
      <c r="AO22" s="12"/>
      <c r="AP22" s="14">
        <f t="shared" si="49"/>
        <v>0</v>
      </c>
      <c r="AQ22" s="14">
        <f t="shared" si="49"/>
        <v>0</v>
      </c>
      <c r="AR22" s="16">
        <f t="shared" si="50"/>
        <v>0</v>
      </c>
      <c r="AS22" s="10"/>
      <c r="AT22" s="12"/>
      <c r="AU22" s="12"/>
      <c r="AV22" s="12"/>
      <c r="AW22" s="14">
        <f t="shared" si="51"/>
        <v>0</v>
      </c>
      <c r="AX22" s="14">
        <f t="shared" si="51"/>
        <v>0</v>
      </c>
      <c r="AY22" s="16">
        <f t="shared" si="52"/>
        <v>0</v>
      </c>
      <c r="AZ22" s="10"/>
      <c r="BA22" s="12"/>
      <c r="BB22" s="12"/>
      <c r="BC22" s="12"/>
      <c r="BD22" s="14">
        <f t="shared" si="53"/>
        <v>0</v>
      </c>
      <c r="BE22" s="14">
        <f t="shared" si="53"/>
        <v>0</v>
      </c>
      <c r="BF22" s="16">
        <f t="shared" si="54"/>
        <v>0</v>
      </c>
      <c r="BG22" s="32"/>
      <c r="BH22" s="40"/>
      <c r="BI22" s="12"/>
      <c r="BJ22" s="12"/>
      <c r="BK22" s="14">
        <f t="shared" si="55"/>
        <v>0</v>
      </c>
      <c r="BL22" s="14">
        <f t="shared" si="55"/>
        <v>0</v>
      </c>
      <c r="BM22" s="39">
        <f t="shared" si="56"/>
        <v>0</v>
      </c>
      <c r="BN22" s="32"/>
      <c r="BO22" s="40"/>
      <c r="BP22" s="40"/>
      <c r="BQ22" s="40"/>
      <c r="BR22" s="14">
        <f t="shared" si="57"/>
        <v>0</v>
      </c>
      <c r="BS22" s="14">
        <f t="shared" si="57"/>
        <v>0</v>
      </c>
      <c r="BT22" s="39">
        <f t="shared" si="58"/>
        <v>0</v>
      </c>
      <c r="BU22" s="32"/>
      <c r="BV22" s="40"/>
      <c r="BW22" s="40">
        <v>1</v>
      </c>
      <c r="BX22" s="40"/>
      <c r="BY22" s="14">
        <f t="shared" si="59"/>
        <v>1</v>
      </c>
      <c r="BZ22" s="14">
        <f t="shared" si="59"/>
        <v>0</v>
      </c>
      <c r="CA22" s="39">
        <f t="shared" si="60"/>
        <v>1</v>
      </c>
      <c r="CB22" s="78"/>
      <c r="CC22" s="40"/>
      <c r="CD22" s="40"/>
      <c r="CE22" s="79"/>
      <c r="CF22" s="14">
        <f t="shared" si="61"/>
        <v>0</v>
      </c>
      <c r="CG22" s="14">
        <f t="shared" si="61"/>
        <v>0</v>
      </c>
      <c r="CH22" s="39">
        <f t="shared" si="62"/>
        <v>0</v>
      </c>
      <c r="CI22" s="40"/>
      <c r="CJ22" s="40"/>
      <c r="CK22" s="40"/>
      <c r="CL22" s="83"/>
      <c r="CM22" s="14">
        <f t="shared" si="63"/>
        <v>0</v>
      </c>
      <c r="CN22" s="14">
        <f t="shared" si="63"/>
        <v>0</v>
      </c>
      <c r="CO22" s="39">
        <f t="shared" si="64"/>
        <v>0</v>
      </c>
      <c r="CP22" s="108"/>
      <c r="CQ22" s="40"/>
      <c r="CR22" s="40"/>
      <c r="CS22" s="40"/>
      <c r="CT22" s="14">
        <f t="shared" si="65"/>
        <v>0</v>
      </c>
      <c r="CU22" s="14">
        <f t="shared" si="65"/>
        <v>0</v>
      </c>
      <c r="CV22" s="39">
        <f t="shared" si="66"/>
        <v>0</v>
      </c>
      <c r="CW22" s="32"/>
      <c r="CX22" s="40"/>
      <c r="CY22" s="40"/>
      <c r="CZ22" s="40"/>
      <c r="DA22" s="17">
        <f t="shared" si="67"/>
        <v>0</v>
      </c>
      <c r="DB22" s="17">
        <f t="shared" si="67"/>
        <v>0</v>
      </c>
      <c r="DC22" s="18">
        <f t="shared" si="68"/>
        <v>0</v>
      </c>
      <c r="DD22" s="108"/>
      <c r="DE22" s="40"/>
      <c r="DF22" s="40"/>
      <c r="DG22" s="40"/>
      <c r="DH22" s="156">
        <f t="shared" si="35"/>
        <v>0</v>
      </c>
      <c r="DI22" s="156">
        <f t="shared" si="36"/>
        <v>0</v>
      </c>
      <c r="DJ22" s="18">
        <f t="shared" si="37"/>
        <v>0</v>
      </c>
      <c r="DK22" s="108"/>
      <c r="DL22" s="40"/>
      <c r="DM22" s="40"/>
      <c r="DN22" s="40"/>
      <c r="DO22" s="156">
        <f t="shared" si="38"/>
        <v>0</v>
      </c>
      <c r="DP22" s="156">
        <f t="shared" si="39"/>
        <v>0</v>
      </c>
      <c r="DQ22" s="18">
        <f t="shared" si="40"/>
        <v>0</v>
      </c>
      <c r="DR22" s="108"/>
      <c r="DS22" s="40"/>
      <c r="DT22" s="40"/>
      <c r="DU22" s="40"/>
      <c r="DV22" s="156">
        <f t="shared" si="1"/>
        <v>0</v>
      </c>
      <c r="DW22" s="156">
        <f t="shared" si="2"/>
        <v>0</v>
      </c>
      <c r="DX22" s="18">
        <f t="shared" si="3"/>
        <v>0</v>
      </c>
      <c r="DY22" s="108"/>
      <c r="DZ22" s="40"/>
      <c r="EA22" s="40"/>
      <c r="EB22" s="40">
        <v>2</v>
      </c>
      <c r="EC22" s="156">
        <f t="shared" si="4"/>
        <v>0</v>
      </c>
      <c r="ED22" s="156">
        <f t="shared" si="5"/>
        <v>2</v>
      </c>
      <c r="EE22" s="18">
        <f t="shared" si="6"/>
        <v>2</v>
      </c>
      <c r="EF22" s="108"/>
      <c r="EG22" s="40"/>
      <c r="EH22" s="40"/>
      <c r="EI22" s="40">
        <v>2</v>
      </c>
      <c r="EJ22" s="156">
        <f t="shared" si="7"/>
        <v>0</v>
      </c>
      <c r="EK22" s="156">
        <f t="shared" si="8"/>
        <v>2</v>
      </c>
      <c r="EL22" s="18">
        <f t="shared" si="9"/>
        <v>2</v>
      </c>
      <c r="EM22" s="74">
        <f t="shared" si="10"/>
        <v>1</v>
      </c>
      <c r="EN22" s="75">
        <f t="shared" ca="1" si="11"/>
        <v>3.246753246753247E-3</v>
      </c>
      <c r="EO22" s="76">
        <f t="shared" si="12"/>
        <v>4</v>
      </c>
      <c r="EP22" s="75">
        <f t="shared" ca="1" si="13"/>
        <v>1.2987012987012988E-2</v>
      </c>
      <c r="EQ22" s="76">
        <f t="shared" si="14"/>
        <v>5</v>
      </c>
      <c r="ER22" s="75">
        <f t="shared" ca="1" si="15"/>
        <v>1.6233766233766236E-2</v>
      </c>
      <c r="ES22" s="76">
        <f t="shared" si="16"/>
        <v>0</v>
      </c>
      <c r="ET22" s="76">
        <f t="shared" si="17"/>
        <v>0</v>
      </c>
      <c r="EU22" s="76">
        <f t="shared" si="18"/>
        <v>0</v>
      </c>
    </row>
    <row r="23" spans="1:151" ht="15.75" hidden="1" thickBot="1" x14ac:dyDescent="0.3">
      <c r="A23" s="177" t="s">
        <v>12</v>
      </c>
      <c r="B23" s="247" t="s">
        <v>278</v>
      </c>
      <c r="C23" s="85" t="str">
        <f t="shared" si="0"/>
        <v>נילי מפאוג</v>
      </c>
      <c r="D23" s="23" t="s">
        <v>6</v>
      </c>
      <c r="E23" s="23" t="s">
        <v>7</v>
      </c>
      <c r="F23" s="31" t="s">
        <v>275</v>
      </c>
      <c r="G23" s="30">
        <v>43393</v>
      </c>
      <c r="H23" s="31"/>
      <c r="I23" s="13"/>
      <c r="J23" s="48"/>
      <c r="K23" s="49"/>
      <c r="L23" s="49"/>
      <c r="M23" s="49"/>
      <c r="N23" s="50"/>
      <c r="O23" s="50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12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9"/>
      <c r="CF23" s="14"/>
      <c r="CG23" s="14"/>
      <c r="CH23" s="39"/>
      <c r="CI23" s="40"/>
      <c r="CJ23" s="40"/>
      <c r="CK23" s="40"/>
      <c r="CL23" s="83"/>
      <c r="CM23" s="14"/>
      <c r="CN23" s="14"/>
      <c r="CO23" s="39"/>
      <c r="CP23" s="108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08"/>
      <c r="DE23" s="40"/>
      <c r="DF23" s="40"/>
      <c r="DG23" s="40"/>
      <c r="DH23" s="156">
        <f t="shared" si="35"/>
        <v>0</v>
      </c>
      <c r="DI23" s="156">
        <f t="shared" si="36"/>
        <v>0</v>
      </c>
      <c r="DJ23" s="18">
        <f t="shared" si="37"/>
        <v>0</v>
      </c>
      <c r="DK23" s="108"/>
      <c r="DL23" s="40"/>
      <c r="DM23" s="40"/>
      <c r="DN23" s="40"/>
      <c r="DO23" s="156">
        <f t="shared" si="38"/>
        <v>0</v>
      </c>
      <c r="DP23" s="156">
        <f t="shared" si="39"/>
        <v>0</v>
      </c>
      <c r="DQ23" s="18">
        <f t="shared" si="40"/>
        <v>0</v>
      </c>
      <c r="DR23" s="108">
        <v>1</v>
      </c>
      <c r="DS23" s="40"/>
      <c r="DT23" s="40"/>
      <c r="DU23" s="40"/>
      <c r="DV23" s="156">
        <f t="shared" si="1"/>
        <v>3</v>
      </c>
      <c r="DW23" s="156">
        <f t="shared" si="2"/>
        <v>0</v>
      </c>
      <c r="DX23" s="18">
        <f t="shared" si="3"/>
        <v>3</v>
      </c>
      <c r="DY23" s="108"/>
      <c r="DZ23" s="40"/>
      <c r="EA23" s="40">
        <v>2</v>
      </c>
      <c r="EB23" s="40">
        <v>1</v>
      </c>
      <c r="EC23" s="156">
        <f t="shared" si="4"/>
        <v>2</v>
      </c>
      <c r="ED23" s="156">
        <f t="shared" si="5"/>
        <v>1</v>
      </c>
      <c r="EE23" s="18">
        <f t="shared" si="6"/>
        <v>3</v>
      </c>
      <c r="EF23" s="108"/>
      <c r="EG23" s="40"/>
      <c r="EH23" s="40">
        <v>1</v>
      </c>
      <c r="EI23" s="40">
        <v>1</v>
      </c>
      <c r="EJ23" s="156">
        <f t="shared" si="7"/>
        <v>1</v>
      </c>
      <c r="EK23" s="156">
        <f t="shared" si="8"/>
        <v>1</v>
      </c>
      <c r="EL23" s="18">
        <f t="shared" si="9"/>
        <v>2</v>
      </c>
      <c r="EM23" s="74">
        <f t="shared" si="10"/>
        <v>6</v>
      </c>
      <c r="EN23" s="75">
        <f t="shared" ca="1" si="11"/>
        <v>0.08</v>
      </c>
      <c r="EO23" s="76">
        <f t="shared" si="12"/>
        <v>2</v>
      </c>
      <c r="EP23" s="75">
        <f t="shared" ca="1" si="13"/>
        <v>2.6666666666666668E-2</v>
      </c>
      <c r="EQ23" s="76">
        <f t="shared" si="14"/>
        <v>8</v>
      </c>
      <c r="ER23" s="75">
        <f t="shared" ca="1" si="15"/>
        <v>0.10666666666666667</v>
      </c>
      <c r="ES23" s="76">
        <f t="shared" si="16"/>
        <v>1</v>
      </c>
      <c r="ET23" s="76">
        <f t="shared" si="17"/>
        <v>0</v>
      </c>
      <c r="EU23" s="76">
        <f t="shared" si="18"/>
        <v>1</v>
      </c>
    </row>
    <row r="24" spans="1:151" ht="15.75" hidden="1" thickBot="1" x14ac:dyDescent="0.3">
      <c r="A24" s="32">
        <v>11</v>
      </c>
      <c r="B24" s="247" t="s">
        <v>133</v>
      </c>
      <c r="C24" s="85" t="str">
        <f t="shared" si="0"/>
        <v>ניקול 11</v>
      </c>
      <c r="D24" s="23" t="s">
        <v>6</v>
      </c>
      <c r="E24" s="23" t="s">
        <v>7</v>
      </c>
      <c r="F24" s="31" t="s">
        <v>148</v>
      </c>
      <c r="G24" s="30">
        <v>43151</v>
      </c>
      <c r="H24" s="42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/>
      <c r="AT24" s="12"/>
      <c r="AU24" s="12"/>
      <c r="AV24" s="12"/>
      <c r="AW24" s="14">
        <f>AS24*3+AU24</f>
        <v>0</v>
      </c>
      <c r="AX24" s="14">
        <f>AT24*3+AV24</f>
        <v>0</v>
      </c>
      <c r="AY24" s="16">
        <f>AX24+AW24</f>
        <v>0</v>
      </c>
      <c r="AZ24" s="10"/>
      <c r="BA24" s="12"/>
      <c r="BB24" s="12"/>
      <c r="BC24" s="12"/>
      <c r="BD24" s="14">
        <f>AZ24*3+BB24</f>
        <v>0</v>
      </c>
      <c r="BE24" s="14">
        <f>BA24*3+BC24</f>
        <v>0</v>
      </c>
      <c r="BF24" s="16">
        <f>BE24+BD24</f>
        <v>0</v>
      </c>
      <c r="BG24" s="32"/>
      <c r="BH24" s="40"/>
      <c r="BI24" s="12"/>
      <c r="BJ24" s="12"/>
      <c r="BK24" s="14">
        <f>BG24*3+BI24</f>
        <v>0</v>
      </c>
      <c r="BL24" s="14">
        <f>BH24*3+BJ24</f>
        <v>0</v>
      </c>
      <c r="BM24" s="39">
        <f>BL24+BK24</f>
        <v>0</v>
      </c>
      <c r="BN24" s="32">
        <v>1</v>
      </c>
      <c r="BO24" s="40"/>
      <c r="BP24" s="40">
        <v>2</v>
      </c>
      <c r="BQ24" s="40"/>
      <c r="BR24" s="14">
        <f>BN24*3+BP24</f>
        <v>5</v>
      </c>
      <c r="BS24" s="14">
        <f>BO24*3+BQ24</f>
        <v>0</v>
      </c>
      <c r="BT24" s="39">
        <f>BS24+BR24</f>
        <v>5</v>
      </c>
      <c r="BU24" s="32">
        <v>1</v>
      </c>
      <c r="BV24" s="40"/>
      <c r="BW24" s="40">
        <v>1</v>
      </c>
      <c r="BX24" s="40"/>
      <c r="BY24" s="14">
        <f>BU24*3+BW24</f>
        <v>4</v>
      </c>
      <c r="BZ24" s="14">
        <f>BV24*3+BX24</f>
        <v>0</v>
      </c>
      <c r="CA24" s="39">
        <f>BZ24+BY24</f>
        <v>4</v>
      </c>
      <c r="CB24" s="32"/>
      <c r="CC24" s="40"/>
      <c r="CD24" s="40">
        <v>2</v>
      </c>
      <c r="CE24" s="79"/>
      <c r="CF24" s="14">
        <f>CB24*3+CD24</f>
        <v>2</v>
      </c>
      <c r="CG24" s="14">
        <f>CC24*3+CE24</f>
        <v>0</v>
      </c>
      <c r="CH24" s="39">
        <f>CG24+CF24</f>
        <v>2</v>
      </c>
      <c r="CI24" s="40"/>
      <c r="CJ24" s="40"/>
      <c r="CK24" s="40"/>
      <c r="CL24" s="83"/>
      <c r="CM24" s="14">
        <f>CI24*3+CK24</f>
        <v>0</v>
      </c>
      <c r="CN24" s="14">
        <f>CJ24*3+CL24</f>
        <v>0</v>
      </c>
      <c r="CO24" s="39">
        <f>CN24+CM24</f>
        <v>0</v>
      </c>
      <c r="CP24" s="108"/>
      <c r="CQ24" s="40"/>
      <c r="CR24" s="40"/>
      <c r="CS24" s="40">
        <v>1</v>
      </c>
      <c r="CT24" s="14">
        <f>CP24*3+CR24</f>
        <v>0</v>
      </c>
      <c r="CU24" s="14">
        <f>CQ24*3+CS24</f>
        <v>1</v>
      </c>
      <c r="CV24" s="39">
        <f>CU24+CT24</f>
        <v>1</v>
      </c>
      <c r="CW24" s="32"/>
      <c r="CX24" s="40"/>
      <c r="CY24" s="40">
        <v>2</v>
      </c>
      <c r="CZ24" s="40"/>
      <c r="DA24" s="17">
        <f>CW24*3+CY24</f>
        <v>2</v>
      </c>
      <c r="DB24" s="17">
        <f>CX24*3+CZ24</f>
        <v>0</v>
      </c>
      <c r="DC24" s="18">
        <f>DB24+DA24</f>
        <v>2</v>
      </c>
      <c r="DD24" s="108">
        <v>1</v>
      </c>
      <c r="DE24" s="40"/>
      <c r="DF24" s="40"/>
      <c r="DG24" s="40"/>
      <c r="DH24" s="156">
        <f t="shared" si="35"/>
        <v>3</v>
      </c>
      <c r="DI24" s="156">
        <f t="shared" si="36"/>
        <v>0</v>
      </c>
      <c r="DJ24" s="18">
        <f t="shared" si="37"/>
        <v>3</v>
      </c>
      <c r="DK24" s="108"/>
      <c r="DL24" s="40">
        <v>1</v>
      </c>
      <c r="DM24" s="40">
        <v>1</v>
      </c>
      <c r="DN24" s="40"/>
      <c r="DO24" s="156">
        <f t="shared" si="38"/>
        <v>1</v>
      </c>
      <c r="DP24" s="156">
        <f t="shared" si="39"/>
        <v>3</v>
      </c>
      <c r="DQ24" s="18">
        <f t="shared" si="40"/>
        <v>4</v>
      </c>
      <c r="DR24" s="108"/>
      <c r="DS24" s="40"/>
      <c r="DT24" s="40">
        <v>3</v>
      </c>
      <c r="DU24" s="40"/>
      <c r="DV24" s="156">
        <f t="shared" si="1"/>
        <v>3</v>
      </c>
      <c r="DW24" s="156">
        <f t="shared" si="2"/>
        <v>0</v>
      </c>
      <c r="DX24" s="18">
        <f t="shared" si="3"/>
        <v>3</v>
      </c>
      <c r="DY24" s="108">
        <v>1</v>
      </c>
      <c r="DZ24" s="40"/>
      <c r="EA24" s="40">
        <v>1</v>
      </c>
      <c r="EB24" s="40">
        <v>1</v>
      </c>
      <c r="EC24" s="156">
        <f t="shared" si="4"/>
        <v>4</v>
      </c>
      <c r="ED24" s="156">
        <f t="shared" si="5"/>
        <v>1</v>
      </c>
      <c r="EE24" s="18">
        <f t="shared" si="6"/>
        <v>5</v>
      </c>
      <c r="EF24" s="108"/>
      <c r="EG24" s="40"/>
      <c r="EH24" s="40">
        <v>2</v>
      </c>
      <c r="EI24" s="40"/>
      <c r="EJ24" s="156">
        <f t="shared" si="7"/>
        <v>2</v>
      </c>
      <c r="EK24" s="156">
        <f t="shared" si="8"/>
        <v>0</v>
      </c>
      <c r="EL24" s="18">
        <f t="shared" si="9"/>
        <v>2</v>
      </c>
      <c r="EM24" s="74">
        <f t="shared" si="10"/>
        <v>26</v>
      </c>
      <c r="EN24" s="75">
        <f t="shared" ca="1" si="11"/>
        <v>8.2018927444794956E-2</v>
      </c>
      <c r="EO24" s="76">
        <f t="shared" si="12"/>
        <v>5</v>
      </c>
      <c r="EP24" s="75">
        <f t="shared" ca="1" si="13"/>
        <v>1.5772870662460567E-2</v>
      </c>
      <c r="EQ24" s="76">
        <f t="shared" si="14"/>
        <v>31</v>
      </c>
      <c r="ER24" s="75">
        <f t="shared" ca="1" si="15"/>
        <v>9.7791798107255523E-2</v>
      </c>
      <c r="ES24" s="76">
        <f t="shared" si="16"/>
        <v>4</v>
      </c>
      <c r="ET24" s="76">
        <f t="shared" si="17"/>
        <v>1</v>
      </c>
      <c r="EU24" s="76">
        <f t="shared" si="18"/>
        <v>5</v>
      </c>
    </row>
    <row r="25" spans="1:151" ht="15.75" thickBot="1" x14ac:dyDescent="0.3">
      <c r="A25" s="32">
        <v>679</v>
      </c>
      <c r="B25" s="247" t="s">
        <v>311</v>
      </c>
      <c r="C25" s="85" t="str">
        <f t="shared" si="0"/>
        <v>ספיר 679</v>
      </c>
      <c r="D25" s="23" t="s">
        <v>6</v>
      </c>
      <c r="E25" s="23" t="s">
        <v>6</v>
      </c>
      <c r="F25" s="31" t="s">
        <v>314</v>
      </c>
      <c r="G25" s="30">
        <v>43449</v>
      </c>
      <c r="H25" s="19"/>
      <c r="I25" s="35" t="s">
        <v>190</v>
      </c>
      <c r="J25" s="48"/>
      <c r="K25" s="49"/>
      <c r="L25" s="49"/>
      <c r="M25" s="49"/>
      <c r="N25" s="50"/>
      <c r="O25" s="50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40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79"/>
      <c r="CF25" s="14"/>
      <c r="CG25" s="14"/>
      <c r="CH25" s="39"/>
      <c r="CI25" s="40"/>
      <c r="CJ25" s="40"/>
      <c r="CK25" s="40"/>
      <c r="CL25" s="83"/>
      <c r="CM25" s="14"/>
      <c r="CN25" s="14"/>
      <c r="CO25" s="39"/>
      <c r="CP25" s="108"/>
      <c r="CQ25" s="40"/>
      <c r="CR25" s="40"/>
      <c r="CS25" s="40"/>
      <c r="CT25" s="14"/>
      <c r="CU25" s="14"/>
      <c r="CV25" s="39"/>
      <c r="CW25" s="32"/>
      <c r="CX25" s="40"/>
      <c r="CY25" s="40"/>
      <c r="CZ25" s="40"/>
      <c r="DA25" s="17"/>
      <c r="DB25" s="17"/>
      <c r="DC25" s="18"/>
      <c r="DD25" s="108"/>
      <c r="DE25" s="40"/>
      <c r="DF25" s="40"/>
      <c r="DG25" s="40"/>
      <c r="DH25" s="156"/>
      <c r="DI25" s="156"/>
      <c r="DJ25" s="18"/>
      <c r="DK25" s="108"/>
      <c r="DL25" s="40"/>
      <c r="DM25" s="40"/>
      <c r="DN25" s="40"/>
      <c r="DO25" s="156"/>
      <c r="DP25" s="156"/>
      <c r="DQ25" s="18"/>
      <c r="DR25" s="108"/>
      <c r="DS25" s="40"/>
      <c r="DT25" s="40"/>
      <c r="DU25" s="40"/>
      <c r="DV25" s="156">
        <f t="shared" si="1"/>
        <v>0</v>
      </c>
      <c r="DW25" s="156">
        <f t="shared" si="2"/>
        <v>0</v>
      </c>
      <c r="DX25" s="18">
        <f t="shared" si="3"/>
        <v>0</v>
      </c>
      <c r="DY25" s="108"/>
      <c r="DZ25" s="40"/>
      <c r="EA25" s="40"/>
      <c r="EB25" s="40"/>
      <c r="EC25" s="156">
        <f t="shared" si="4"/>
        <v>0</v>
      </c>
      <c r="ED25" s="156">
        <f t="shared" si="5"/>
        <v>0</v>
      </c>
      <c r="EE25" s="18">
        <f t="shared" si="6"/>
        <v>0</v>
      </c>
      <c r="EF25" s="108"/>
      <c r="EG25" s="40"/>
      <c r="EH25" s="40">
        <v>2</v>
      </c>
      <c r="EI25" s="40"/>
      <c r="EJ25" s="156">
        <f t="shared" si="7"/>
        <v>2</v>
      </c>
      <c r="EK25" s="156">
        <f t="shared" si="8"/>
        <v>0</v>
      </c>
      <c r="EL25" s="18">
        <f t="shared" si="9"/>
        <v>2</v>
      </c>
      <c r="EM25" s="74">
        <f t="shared" si="10"/>
        <v>2</v>
      </c>
      <c r="EN25" s="75">
        <f t="shared" ca="1" si="11"/>
        <v>0.10526315789473684</v>
      </c>
      <c r="EO25" s="76">
        <f t="shared" si="12"/>
        <v>0</v>
      </c>
      <c r="EP25" s="75">
        <f t="shared" ca="1" si="13"/>
        <v>0</v>
      </c>
      <c r="EQ25" s="76">
        <f t="shared" si="14"/>
        <v>2</v>
      </c>
      <c r="ER25" s="75">
        <f t="shared" ca="1" si="15"/>
        <v>0.10526315789473684</v>
      </c>
      <c r="ES25" s="76">
        <f t="shared" si="16"/>
        <v>0</v>
      </c>
      <c r="ET25" s="76">
        <f t="shared" si="17"/>
        <v>0</v>
      </c>
      <c r="EU25" s="76">
        <f t="shared" si="18"/>
        <v>0</v>
      </c>
    </row>
    <row r="26" spans="1:151" ht="15.75" thickBot="1" x14ac:dyDescent="0.3">
      <c r="A26" s="177">
        <v>209</v>
      </c>
      <c r="B26" s="24" t="s">
        <v>273</v>
      </c>
      <c r="C26" s="11" t="str">
        <f t="shared" si="0"/>
        <v>קרין 209</v>
      </c>
      <c r="D26" s="23" t="s">
        <v>6</v>
      </c>
      <c r="E26" s="23" t="s">
        <v>6</v>
      </c>
      <c r="F26" s="31" t="s">
        <v>275</v>
      </c>
      <c r="G26" s="30">
        <v>43383</v>
      </c>
      <c r="H26" s="31"/>
      <c r="I26" s="35" t="s">
        <v>309</v>
      </c>
      <c r="J26" s="48"/>
      <c r="K26" s="49"/>
      <c r="L26" s="49"/>
      <c r="M26" s="49"/>
      <c r="N26" s="50"/>
      <c r="O26" s="50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9"/>
      <c r="CF26" s="14"/>
      <c r="CG26" s="14"/>
      <c r="CH26" s="39"/>
      <c r="CI26" s="40"/>
      <c r="CJ26" s="40"/>
      <c r="CK26" s="40"/>
      <c r="CL26" s="83"/>
      <c r="CM26" s="14"/>
      <c r="CN26" s="14"/>
      <c r="CO26" s="39"/>
      <c r="CP26" s="108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8"/>
      <c r="DE26" s="40"/>
      <c r="DF26" s="40"/>
      <c r="DG26" s="40"/>
      <c r="DH26" s="156">
        <f t="shared" ref="DH26:DI29" si="69">DD26*3+DF26</f>
        <v>0</v>
      </c>
      <c r="DI26" s="156">
        <f t="shared" si="69"/>
        <v>0</v>
      </c>
      <c r="DJ26" s="18">
        <f>DI26+DH26</f>
        <v>0</v>
      </c>
      <c r="DK26" s="108"/>
      <c r="DL26" s="40"/>
      <c r="DM26" s="40"/>
      <c r="DN26" s="40"/>
      <c r="DO26" s="156">
        <f t="shared" ref="DO26:DP29" si="70">DK26*3+DM26</f>
        <v>0</v>
      </c>
      <c r="DP26" s="156">
        <f t="shared" si="70"/>
        <v>0</v>
      </c>
      <c r="DQ26" s="18">
        <f>DP26+DO26</f>
        <v>0</v>
      </c>
      <c r="DR26" s="108"/>
      <c r="DS26" s="40"/>
      <c r="DT26" s="40">
        <v>3</v>
      </c>
      <c r="DU26" s="40"/>
      <c r="DV26" s="156">
        <f t="shared" si="1"/>
        <v>3</v>
      </c>
      <c r="DW26" s="156">
        <f t="shared" si="2"/>
        <v>0</v>
      </c>
      <c r="DX26" s="18">
        <f t="shared" si="3"/>
        <v>3</v>
      </c>
      <c r="DY26" s="108"/>
      <c r="DZ26" s="40"/>
      <c r="EA26" s="40">
        <v>4</v>
      </c>
      <c r="EB26" s="40"/>
      <c r="EC26" s="156">
        <f t="shared" si="4"/>
        <v>4</v>
      </c>
      <c r="ED26" s="156">
        <f t="shared" si="5"/>
        <v>0</v>
      </c>
      <c r="EE26" s="18">
        <f t="shared" si="6"/>
        <v>4</v>
      </c>
      <c r="EF26" s="108"/>
      <c r="EG26" s="40"/>
      <c r="EH26" s="40">
        <v>2</v>
      </c>
      <c r="EI26" s="40"/>
      <c r="EJ26" s="156">
        <f t="shared" si="7"/>
        <v>2</v>
      </c>
      <c r="EK26" s="156">
        <f t="shared" si="8"/>
        <v>0</v>
      </c>
      <c r="EL26" s="18">
        <f t="shared" si="9"/>
        <v>2</v>
      </c>
      <c r="EM26" s="74">
        <f t="shared" si="10"/>
        <v>9</v>
      </c>
      <c r="EN26" s="75">
        <f t="shared" ca="1" si="11"/>
        <v>0.10588235294117647</v>
      </c>
      <c r="EO26" s="76">
        <f t="shared" si="12"/>
        <v>0</v>
      </c>
      <c r="EP26" s="75">
        <f t="shared" ca="1" si="13"/>
        <v>0</v>
      </c>
      <c r="EQ26" s="76">
        <f t="shared" si="14"/>
        <v>9</v>
      </c>
      <c r="ER26" s="75">
        <f t="shared" ca="1" si="15"/>
        <v>0.10588235294117647</v>
      </c>
      <c r="ES26" s="76">
        <f t="shared" si="16"/>
        <v>0</v>
      </c>
      <c r="ET26" s="76">
        <f t="shared" si="17"/>
        <v>0</v>
      </c>
      <c r="EU26" s="76">
        <f t="shared" si="18"/>
        <v>0</v>
      </c>
    </row>
    <row r="27" spans="1:151" ht="15.75" hidden="1" thickBot="1" x14ac:dyDescent="0.3">
      <c r="A27" s="10">
        <v>474</v>
      </c>
      <c r="B27" s="24" t="s">
        <v>165</v>
      </c>
      <c r="C27" s="26" t="str">
        <f t="shared" si="0"/>
        <v>רוני 474</v>
      </c>
      <c r="D27" s="23" t="s">
        <v>6</v>
      </c>
      <c r="E27" s="23" t="s">
        <v>7</v>
      </c>
      <c r="F27" s="31" t="s">
        <v>167</v>
      </c>
      <c r="G27" s="30">
        <v>43191</v>
      </c>
      <c r="H27" s="244"/>
      <c r="I27" s="13"/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/>
      <c r="BO27" s="40"/>
      <c r="BP27" s="40"/>
      <c r="BQ27" s="40"/>
      <c r="BR27" s="14">
        <f>BN27*3+BP27</f>
        <v>0</v>
      </c>
      <c r="BS27" s="14">
        <f>BO27*3+BQ27</f>
        <v>0</v>
      </c>
      <c r="BT27" s="39">
        <f>BS27+BR27</f>
        <v>0</v>
      </c>
      <c r="BU27" s="32"/>
      <c r="BV27" s="40"/>
      <c r="BW27" s="40">
        <v>1</v>
      </c>
      <c r="BX27" s="40"/>
      <c r="BY27" s="14">
        <f>BU27*3+BW27</f>
        <v>1</v>
      </c>
      <c r="BZ27" s="14">
        <f>BV27*3+BX27</f>
        <v>0</v>
      </c>
      <c r="CA27" s="39">
        <f>BZ27+BY27</f>
        <v>1</v>
      </c>
      <c r="CB27" s="32"/>
      <c r="CC27" s="40"/>
      <c r="CD27" s="40">
        <v>2</v>
      </c>
      <c r="CE27" s="79"/>
      <c r="CF27" s="14">
        <f>CB27*3+CD27</f>
        <v>2</v>
      </c>
      <c r="CG27" s="14">
        <f>CC27*3+CE27</f>
        <v>0</v>
      </c>
      <c r="CH27" s="39">
        <f>CG27+CF27</f>
        <v>2</v>
      </c>
      <c r="CI27" s="40">
        <v>1</v>
      </c>
      <c r="CJ27" s="40"/>
      <c r="CK27" s="40"/>
      <c r="CL27" s="83"/>
      <c r="CM27" s="14">
        <f>CI27*3+CK27</f>
        <v>3</v>
      </c>
      <c r="CN27" s="14">
        <f>CJ27*3+CL27</f>
        <v>0</v>
      </c>
      <c r="CO27" s="39">
        <f>CN27+CM27</f>
        <v>3</v>
      </c>
      <c r="CP27" s="108"/>
      <c r="CQ27" s="40"/>
      <c r="CR27" s="40">
        <v>3</v>
      </c>
      <c r="CS27" s="40">
        <v>1</v>
      </c>
      <c r="CT27" s="14">
        <f>CP27*3+CR27</f>
        <v>3</v>
      </c>
      <c r="CU27" s="14">
        <f>CQ27*3+CS27</f>
        <v>1</v>
      </c>
      <c r="CV27" s="39">
        <f>CU27+CT27</f>
        <v>4</v>
      </c>
      <c r="CW27" s="32">
        <v>1</v>
      </c>
      <c r="CX27" s="40"/>
      <c r="CY27" s="40"/>
      <c r="CZ27" s="40"/>
      <c r="DA27" s="17">
        <f>CW27*3+CY27</f>
        <v>3</v>
      </c>
      <c r="DB27" s="17">
        <f>CX27*3+CZ27</f>
        <v>0</v>
      </c>
      <c r="DC27" s="18">
        <f>DB27+DA27</f>
        <v>3</v>
      </c>
      <c r="DD27" s="108"/>
      <c r="DE27" s="40"/>
      <c r="DF27" s="40">
        <v>3</v>
      </c>
      <c r="DG27" s="40"/>
      <c r="DH27" s="156">
        <f t="shared" si="69"/>
        <v>3</v>
      </c>
      <c r="DI27" s="156">
        <f t="shared" si="69"/>
        <v>0</v>
      </c>
      <c r="DJ27" s="18">
        <f>DI27+DH27</f>
        <v>3</v>
      </c>
      <c r="DK27" s="108"/>
      <c r="DL27" s="40"/>
      <c r="DM27" s="40">
        <v>2</v>
      </c>
      <c r="DN27" s="40">
        <v>1</v>
      </c>
      <c r="DO27" s="156">
        <f t="shared" si="70"/>
        <v>2</v>
      </c>
      <c r="DP27" s="156">
        <f t="shared" si="70"/>
        <v>1</v>
      </c>
      <c r="DQ27" s="18">
        <f>DP27+DO27</f>
        <v>3</v>
      </c>
      <c r="DR27" s="108">
        <v>1</v>
      </c>
      <c r="DS27" s="40"/>
      <c r="DT27" s="40">
        <v>1</v>
      </c>
      <c r="DU27" s="40"/>
      <c r="DV27" s="156">
        <f t="shared" si="1"/>
        <v>4</v>
      </c>
      <c r="DW27" s="156">
        <f t="shared" si="2"/>
        <v>0</v>
      </c>
      <c r="DX27" s="18">
        <f t="shared" si="3"/>
        <v>4</v>
      </c>
      <c r="DY27" s="108"/>
      <c r="DZ27" s="40">
        <v>1</v>
      </c>
      <c r="EA27" s="40"/>
      <c r="EB27" s="40"/>
      <c r="EC27" s="156">
        <f t="shared" si="4"/>
        <v>0</v>
      </c>
      <c r="ED27" s="156">
        <f t="shared" si="5"/>
        <v>3</v>
      </c>
      <c r="EE27" s="18">
        <f t="shared" si="6"/>
        <v>3</v>
      </c>
      <c r="EF27" s="108"/>
      <c r="EG27" s="40"/>
      <c r="EH27" s="40">
        <v>2</v>
      </c>
      <c r="EI27" s="40"/>
      <c r="EJ27" s="156">
        <f t="shared" si="7"/>
        <v>2</v>
      </c>
      <c r="EK27" s="156">
        <f t="shared" si="8"/>
        <v>0</v>
      </c>
      <c r="EL27" s="18">
        <f t="shared" si="9"/>
        <v>2</v>
      </c>
      <c r="EM27" s="74">
        <f t="shared" si="10"/>
        <v>23</v>
      </c>
      <c r="EN27" s="75">
        <f t="shared" ca="1" si="11"/>
        <v>8.3032490974729242E-2</v>
      </c>
      <c r="EO27" s="76">
        <f t="shared" si="12"/>
        <v>5</v>
      </c>
      <c r="EP27" s="75">
        <f t="shared" ca="1" si="13"/>
        <v>1.8050541516245487E-2</v>
      </c>
      <c r="EQ27" s="76">
        <f t="shared" si="14"/>
        <v>28</v>
      </c>
      <c r="ER27" s="75">
        <f t="shared" ca="1" si="15"/>
        <v>0.10108303249097472</v>
      </c>
      <c r="ES27" s="76">
        <f t="shared" si="16"/>
        <v>3</v>
      </c>
      <c r="ET27" s="76">
        <f t="shared" si="17"/>
        <v>1</v>
      </c>
      <c r="EU27" s="76">
        <f t="shared" si="18"/>
        <v>4</v>
      </c>
    </row>
    <row r="28" spans="1:151" ht="15.75" thickBot="1" x14ac:dyDescent="0.3">
      <c r="A28" s="177" t="s">
        <v>63</v>
      </c>
      <c r="B28" s="247" t="s">
        <v>165</v>
      </c>
      <c r="C28" s="85" t="str">
        <f t="shared" si="0"/>
        <v>רוני אחודה</v>
      </c>
      <c r="D28" s="23" t="s">
        <v>6</v>
      </c>
      <c r="E28" s="23" t="s">
        <v>6</v>
      </c>
      <c r="F28" s="31" t="s">
        <v>196</v>
      </c>
      <c r="G28" s="30">
        <v>43282</v>
      </c>
      <c r="H28" s="244"/>
      <c r="I28" s="13"/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9"/>
      <c r="CF28" s="14"/>
      <c r="CG28" s="14"/>
      <c r="CH28" s="39"/>
      <c r="CI28" s="40"/>
      <c r="CJ28" s="40"/>
      <c r="CK28" s="40"/>
      <c r="CL28" s="83"/>
      <c r="CM28" s="14">
        <f>CI28*3+CK28</f>
        <v>0</v>
      </c>
      <c r="CN28" s="14">
        <f>CJ28*3+CL28</f>
        <v>0</v>
      </c>
      <c r="CO28" s="39">
        <f>CN28+CM28</f>
        <v>0</v>
      </c>
      <c r="CP28" s="108"/>
      <c r="CQ28" s="40"/>
      <c r="CR28" s="40"/>
      <c r="CS28" s="40"/>
      <c r="CT28" s="14">
        <f>CP28*3+CR28</f>
        <v>0</v>
      </c>
      <c r="CU28" s="14">
        <f>CQ28*3+CS28</f>
        <v>0</v>
      </c>
      <c r="CV28" s="39">
        <f>CU28+CT28</f>
        <v>0</v>
      </c>
      <c r="CW28" s="32">
        <v>1</v>
      </c>
      <c r="CX28" s="40"/>
      <c r="CY28" s="40">
        <v>1</v>
      </c>
      <c r="CZ28" s="40"/>
      <c r="DA28" s="17">
        <f>CW28*3+CY28</f>
        <v>4</v>
      </c>
      <c r="DB28" s="17">
        <f>CX28*3+CZ28</f>
        <v>0</v>
      </c>
      <c r="DC28" s="18">
        <f>DB28+DA28</f>
        <v>4</v>
      </c>
      <c r="DD28" s="108">
        <v>1</v>
      </c>
      <c r="DE28" s="40">
        <v>1</v>
      </c>
      <c r="DF28" s="40">
        <v>1</v>
      </c>
      <c r="DG28" s="40"/>
      <c r="DH28" s="156">
        <f t="shared" si="69"/>
        <v>4</v>
      </c>
      <c r="DI28" s="156">
        <f t="shared" si="69"/>
        <v>3</v>
      </c>
      <c r="DJ28" s="18">
        <f>DI28+DH28</f>
        <v>7</v>
      </c>
      <c r="DK28" s="108"/>
      <c r="DL28" s="40"/>
      <c r="DM28" s="40">
        <v>2</v>
      </c>
      <c r="DN28" s="40"/>
      <c r="DO28" s="156">
        <f t="shared" si="70"/>
        <v>2</v>
      </c>
      <c r="DP28" s="156">
        <f t="shared" si="70"/>
        <v>0</v>
      </c>
      <c r="DQ28" s="18">
        <f>DP28+DO28</f>
        <v>2</v>
      </c>
      <c r="DR28" s="108"/>
      <c r="DS28" s="40"/>
      <c r="DT28" s="40">
        <v>1</v>
      </c>
      <c r="DU28" s="40"/>
      <c r="DV28" s="156">
        <f t="shared" si="1"/>
        <v>1</v>
      </c>
      <c r="DW28" s="156">
        <f t="shared" si="2"/>
        <v>0</v>
      </c>
      <c r="DX28" s="18">
        <f t="shared" si="3"/>
        <v>1</v>
      </c>
      <c r="DY28" s="108"/>
      <c r="DZ28" s="40"/>
      <c r="EA28" s="40">
        <v>2</v>
      </c>
      <c r="EB28" s="40"/>
      <c r="EC28" s="156">
        <f t="shared" si="4"/>
        <v>2</v>
      </c>
      <c r="ED28" s="156">
        <f t="shared" si="5"/>
        <v>0</v>
      </c>
      <c r="EE28" s="18">
        <f t="shared" si="6"/>
        <v>2</v>
      </c>
      <c r="EF28" s="108"/>
      <c r="EG28" s="40"/>
      <c r="EH28" s="40">
        <v>1</v>
      </c>
      <c r="EI28" s="40">
        <v>1</v>
      </c>
      <c r="EJ28" s="156">
        <f t="shared" si="7"/>
        <v>1</v>
      </c>
      <c r="EK28" s="156">
        <f t="shared" si="8"/>
        <v>1</v>
      </c>
      <c r="EL28" s="18">
        <f t="shared" si="9"/>
        <v>2</v>
      </c>
      <c r="EM28" s="74">
        <f t="shared" si="10"/>
        <v>14</v>
      </c>
      <c r="EN28" s="75">
        <f t="shared" ca="1" si="11"/>
        <v>7.5268817204301078E-2</v>
      </c>
      <c r="EO28" s="76">
        <f t="shared" si="12"/>
        <v>4</v>
      </c>
      <c r="EP28" s="75">
        <f t="shared" ca="1" si="13"/>
        <v>2.1505376344086023E-2</v>
      </c>
      <c r="EQ28" s="76">
        <f t="shared" si="14"/>
        <v>18</v>
      </c>
      <c r="ER28" s="75">
        <f t="shared" ca="1" si="15"/>
        <v>9.6774193548387094E-2</v>
      </c>
      <c r="ES28" s="76">
        <f t="shared" si="16"/>
        <v>2</v>
      </c>
      <c r="ET28" s="76">
        <f t="shared" si="17"/>
        <v>1</v>
      </c>
      <c r="EU28" s="76">
        <f t="shared" si="18"/>
        <v>3</v>
      </c>
    </row>
    <row r="29" spans="1:151" ht="15.75" hidden="1" thickBot="1" x14ac:dyDescent="0.3">
      <c r="A29" s="32">
        <v>209</v>
      </c>
      <c r="B29" s="24" t="s">
        <v>274</v>
      </c>
      <c r="C29" s="26" t="str">
        <f t="shared" si="0"/>
        <v>שי 209</v>
      </c>
      <c r="D29" s="23" t="s">
        <v>6</v>
      </c>
      <c r="E29" s="23" t="s">
        <v>7</v>
      </c>
      <c r="F29" s="31" t="s">
        <v>275</v>
      </c>
      <c r="G29" s="30">
        <v>43383</v>
      </c>
      <c r="H29" s="114"/>
      <c r="I29" s="35"/>
      <c r="J29" s="48"/>
      <c r="K29" s="49"/>
      <c r="L29" s="49"/>
      <c r="M29" s="49"/>
      <c r="N29" s="50"/>
      <c r="O29" s="50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79"/>
      <c r="CF29" s="14"/>
      <c r="CG29" s="14"/>
      <c r="CH29" s="39"/>
      <c r="CI29" s="40"/>
      <c r="CJ29" s="40"/>
      <c r="CK29" s="40"/>
      <c r="CL29" s="83"/>
      <c r="CM29" s="14"/>
      <c r="CN29" s="14"/>
      <c r="CO29" s="39"/>
      <c r="CP29" s="108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8"/>
      <c r="DE29" s="40"/>
      <c r="DF29" s="40"/>
      <c r="DG29" s="40"/>
      <c r="DH29" s="156">
        <f t="shared" si="69"/>
        <v>0</v>
      </c>
      <c r="DI29" s="156">
        <f t="shared" si="69"/>
        <v>0</v>
      </c>
      <c r="DJ29" s="18">
        <f>DI29+DH29</f>
        <v>0</v>
      </c>
      <c r="DK29" s="108"/>
      <c r="DL29" s="40"/>
      <c r="DM29" s="40"/>
      <c r="DN29" s="40"/>
      <c r="DO29" s="156">
        <f t="shared" si="70"/>
        <v>0</v>
      </c>
      <c r="DP29" s="156">
        <f t="shared" si="70"/>
        <v>0</v>
      </c>
      <c r="DQ29" s="18">
        <f>DP29+DO29</f>
        <v>0</v>
      </c>
      <c r="DR29" s="108"/>
      <c r="DS29" s="40"/>
      <c r="DT29" s="40">
        <v>4</v>
      </c>
      <c r="DU29" s="40"/>
      <c r="DV29" s="156">
        <f t="shared" si="1"/>
        <v>4</v>
      </c>
      <c r="DW29" s="156">
        <f t="shared" si="2"/>
        <v>0</v>
      </c>
      <c r="DX29" s="18">
        <f t="shared" si="3"/>
        <v>4</v>
      </c>
      <c r="DY29" s="108">
        <v>1</v>
      </c>
      <c r="DZ29" s="40"/>
      <c r="EA29" s="40">
        <v>1</v>
      </c>
      <c r="EB29" s="40"/>
      <c r="EC29" s="156">
        <f t="shared" si="4"/>
        <v>4</v>
      </c>
      <c r="ED29" s="156">
        <f t="shared" si="5"/>
        <v>0</v>
      </c>
      <c r="EE29" s="18">
        <f t="shared" si="6"/>
        <v>4</v>
      </c>
      <c r="EF29" s="108"/>
      <c r="EG29" s="40"/>
      <c r="EH29" s="40">
        <v>2</v>
      </c>
      <c r="EI29" s="40"/>
      <c r="EJ29" s="156">
        <f t="shared" si="7"/>
        <v>2</v>
      </c>
      <c r="EK29" s="156">
        <f t="shared" si="8"/>
        <v>0</v>
      </c>
      <c r="EL29" s="18">
        <f t="shared" si="9"/>
        <v>2</v>
      </c>
      <c r="EM29" s="74">
        <f t="shared" si="10"/>
        <v>10</v>
      </c>
      <c r="EN29" s="75">
        <f t="shared" ca="1" si="11"/>
        <v>0.11764705882352941</v>
      </c>
      <c r="EO29" s="76">
        <f t="shared" si="12"/>
        <v>0</v>
      </c>
      <c r="EP29" s="75">
        <f t="shared" ca="1" si="13"/>
        <v>0</v>
      </c>
      <c r="EQ29" s="76">
        <f t="shared" si="14"/>
        <v>10</v>
      </c>
      <c r="ER29" s="75">
        <f t="shared" ca="1" si="15"/>
        <v>0.11764705882352941</v>
      </c>
      <c r="ES29" s="76">
        <f t="shared" si="16"/>
        <v>1</v>
      </c>
      <c r="ET29" s="76">
        <f t="shared" si="17"/>
        <v>0</v>
      </c>
      <c r="EU29" s="76">
        <f t="shared" si="18"/>
        <v>1</v>
      </c>
    </row>
    <row r="30" spans="1:151" ht="15.75" thickBot="1" x14ac:dyDescent="0.3">
      <c r="A30" s="32">
        <v>474</v>
      </c>
      <c r="B30" s="247" t="s">
        <v>312</v>
      </c>
      <c r="C30" s="85" t="str">
        <f t="shared" si="0"/>
        <v>שירז 474</v>
      </c>
      <c r="D30" s="23" t="s">
        <v>6</v>
      </c>
      <c r="E30" s="23" t="s">
        <v>6</v>
      </c>
      <c r="F30" s="31" t="s">
        <v>314</v>
      </c>
      <c r="G30" s="30">
        <v>43449</v>
      </c>
      <c r="H30" s="246"/>
      <c r="I30" s="13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40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9"/>
      <c r="CF30" s="14"/>
      <c r="CG30" s="14"/>
      <c r="CH30" s="39"/>
      <c r="CI30" s="40"/>
      <c r="CJ30" s="40"/>
      <c r="CK30" s="40"/>
      <c r="CL30" s="83"/>
      <c r="CM30" s="14"/>
      <c r="CN30" s="14"/>
      <c r="CO30" s="39"/>
      <c r="CP30" s="108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8"/>
      <c r="DE30" s="40"/>
      <c r="DF30" s="40"/>
      <c r="DG30" s="40"/>
      <c r="DH30" s="156"/>
      <c r="DI30" s="156"/>
      <c r="DJ30" s="18"/>
      <c r="DK30" s="108"/>
      <c r="DL30" s="40"/>
      <c r="DM30" s="40"/>
      <c r="DN30" s="40"/>
      <c r="DO30" s="156"/>
      <c r="DP30" s="156"/>
      <c r="DQ30" s="18"/>
      <c r="DR30" s="108"/>
      <c r="DS30" s="40"/>
      <c r="DT30" s="40"/>
      <c r="DU30" s="40"/>
      <c r="DV30" s="156">
        <f t="shared" si="1"/>
        <v>0</v>
      </c>
      <c r="DW30" s="156">
        <f t="shared" si="2"/>
        <v>0</v>
      </c>
      <c r="DX30" s="18">
        <f t="shared" si="3"/>
        <v>0</v>
      </c>
      <c r="DY30" s="108"/>
      <c r="DZ30" s="40"/>
      <c r="EA30" s="40"/>
      <c r="EB30" s="40"/>
      <c r="EC30" s="156">
        <f t="shared" si="4"/>
        <v>0</v>
      </c>
      <c r="ED30" s="156">
        <f t="shared" si="5"/>
        <v>0</v>
      </c>
      <c r="EE30" s="18">
        <f t="shared" si="6"/>
        <v>0</v>
      </c>
      <c r="EF30" s="108"/>
      <c r="EG30" s="40"/>
      <c r="EH30" s="40">
        <v>2</v>
      </c>
      <c r="EI30" s="40"/>
      <c r="EJ30" s="156">
        <f t="shared" si="7"/>
        <v>2</v>
      </c>
      <c r="EK30" s="156">
        <f t="shared" si="8"/>
        <v>0</v>
      </c>
      <c r="EL30" s="18">
        <f t="shared" si="9"/>
        <v>2</v>
      </c>
      <c r="EM30" s="74">
        <f t="shared" si="10"/>
        <v>2</v>
      </c>
      <c r="EN30" s="75">
        <f t="shared" ca="1" si="11"/>
        <v>0.10526315789473684</v>
      </c>
      <c r="EO30" s="76">
        <f t="shared" si="12"/>
        <v>0</v>
      </c>
      <c r="EP30" s="75">
        <f t="shared" ca="1" si="13"/>
        <v>0</v>
      </c>
      <c r="EQ30" s="76">
        <f t="shared" si="14"/>
        <v>2</v>
      </c>
      <c r="ER30" s="75">
        <f t="shared" ca="1" si="15"/>
        <v>0.10526315789473684</v>
      </c>
      <c r="ES30" s="76">
        <f t="shared" si="16"/>
        <v>0</v>
      </c>
      <c r="ET30" s="76">
        <f t="shared" si="17"/>
        <v>0</v>
      </c>
      <c r="EU30" s="76">
        <f t="shared" si="18"/>
        <v>0</v>
      </c>
    </row>
    <row r="31" spans="1:151" ht="15.75" hidden="1" thickBot="1" x14ac:dyDescent="0.3">
      <c r="A31" s="32">
        <v>9</v>
      </c>
      <c r="B31" s="33" t="s">
        <v>10</v>
      </c>
      <c r="C31" s="85" t="str">
        <f t="shared" si="0"/>
        <v>שקד 9</v>
      </c>
      <c r="D31" s="12" t="s">
        <v>6</v>
      </c>
      <c r="E31" s="23" t="s">
        <v>7</v>
      </c>
      <c r="F31" s="31" t="s">
        <v>145</v>
      </c>
      <c r="G31" s="30">
        <v>43009</v>
      </c>
      <c r="H31" s="114"/>
      <c r="I31" s="35"/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>
        <v>1</v>
      </c>
      <c r="AH31" s="12"/>
      <c r="AI31" s="14">
        <f>AE31*3+AG31</f>
        <v>1</v>
      </c>
      <c r="AJ31" s="14">
        <f>AF31*3+AH31</f>
        <v>0</v>
      </c>
      <c r="AK31" s="16">
        <f>AJ31+AI31</f>
        <v>1</v>
      </c>
      <c r="AL31" s="10">
        <v>1</v>
      </c>
      <c r="AM31" s="12"/>
      <c r="AN31" s="12">
        <v>2</v>
      </c>
      <c r="AO31" s="12"/>
      <c r="AP31" s="14">
        <f>AL31*3+AN31</f>
        <v>5</v>
      </c>
      <c r="AQ31" s="14">
        <f>AM31*3+AO31</f>
        <v>0</v>
      </c>
      <c r="AR31" s="16">
        <f>AQ31+AP31</f>
        <v>5</v>
      </c>
      <c r="AS31" s="10"/>
      <c r="AT31" s="12"/>
      <c r="AU31" s="12">
        <v>4</v>
      </c>
      <c r="AV31" s="12"/>
      <c r="AW31" s="14">
        <f>AS31*3+AU31</f>
        <v>4</v>
      </c>
      <c r="AX31" s="14">
        <f>AT31*3+AV31</f>
        <v>0</v>
      </c>
      <c r="AY31" s="16">
        <f>AX31+AW31</f>
        <v>4</v>
      </c>
      <c r="AZ31" s="10"/>
      <c r="BA31" s="12"/>
      <c r="BB31" s="12">
        <v>2</v>
      </c>
      <c r="BC31" s="12">
        <v>1</v>
      </c>
      <c r="BD31" s="14">
        <f>AZ31*3+BB31</f>
        <v>2</v>
      </c>
      <c r="BE31" s="14">
        <f>BA31*3+BC31</f>
        <v>1</v>
      </c>
      <c r="BF31" s="16">
        <f>BE31+BD31</f>
        <v>3</v>
      </c>
      <c r="BG31" s="32">
        <v>1</v>
      </c>
      <c r="BH31" s="40"/>
      <c r="BI31" s="40">
        <v>1</v>
      </c>
      <c r="BJ31" s="12"/>
      <c r="BK31" s="14">
        <f>BG31*3+BI31</f>
        <v>4</v>
      </c>
      <c r="BL31" s="14">
        <f>BH31*3+BJ31</f>
        <v>0</v>
      </c>
      <c r="BM31" s="39">
        <f>BL31+BK31</f>
        <v>4</v>
      </c>
      <c r="BN31" s="32">
        <v>1</v>
      </c>
      <c r="BO31" s="40"/>
      <c r="BP31" s="40">
        <v>1</v>
      </c>
      <c r="BQ31" s="40"/>
      <c r="BR31" s="14">
        <f>BN31*3+BP31</f>
        <v>4</v>
      </c>
      <c r="BS31" s="14">
        <f>BO31*3+BQ31</f>
        <v>0</v>
      </c>
      <c r="BT31" s="39">
        <f>BS31+BR31</f>
        <v>4</v>
      </c>
      <c r="BU31" s="32"/>
      <c r="BV31" s="40"/>
      <c r="BW31" s="40">
        <v>1</v>
      </c>
      <c r="BX31" s="40"/>
      <c r="BY31" s="14">
        <f>BU31*3+BW31</f>
        <v>1</v>
      </c>
      <c r="BZ31" s="14">
        <f>BV31*3+BX31</f>
        <v>0</v>
      </c>
      <c r="CA31" s="39">
        <f>BZ31+BY31</f>
        <v>1</v>
      </c>
      <c r="CB31" s="32"/>
      <c r="CC31" s="40"/>
      <c r="CD31" s="40">
        <v>1</v>
      </c>
      <c r="CE31" s="79"/>
      <c r="CF31" s="14">
        <f>CB31*3+CD31</f>
        <v>1</v>
      </c>
      <c r="CG31" s="14">
        <f>CC31*3+CE31</f>
        <v>0</v>
      </c>
      <c r="CH31" s="39">
        <f>CG31+CF31</f>
        <v>1</v>
      </c>
      <c r="CI31" s="40"/>
      <c r="CJ31" s="40">
        <v>1</v>
      </c>
      <c r="CK31" s="40">
        <v>1</v>
      </c>
      <c r="CL31" s="83"/>
      <c r="CM31" s="14">
        <f>CI31*3+CK31</f>
        <v>1</v>
      </c>
      <c r="CN31" s="14">
        <f>CJ31*3+CL31</f>
        <v>3</v>
      </c>
      <c r="CO31" s="39">
        <f>CN31+CM31</f>
        <v>4</v>
      </c>
      <c r="CP31" s="108"/>
      <c r="CQ31" s="40"/>
      <c r="CR31" s="40">
        <v>2</v>
      </c>
      <c r="CS31" s="40"/>
      <c r="CT31" s="14">
        <f>CP31*3+CR31</f>
        <v>2</v>
      </c>
      <c r="CU31" s="14">
        <f>CQ31*3+CS31</f>
        <v>0</v>
      </c>
      <c r="CV31" s="39">
        <f>CU31+CT31</f>
        <v>2</v>
      </c>
      <c r="CW31" s="32">
        <v>1</v>
      </c>
      <c r="CX31" s="40"/>
      <c r="CY31" s="40"/>
      <c r="CZ31" s="40"/>
      <c r="DA31" s="17">
        <f>CW31*3+CY31</f>
        <v>3</v>
      </c>
      <c r="DB31" s="17">
        <f>CX31*3+CZ31</f>
        <v>0</v>
      </c>
      <c r="DC31" s="18">
        <f>DB31+DA31</f>
        <v>3</v>
      </c>
      <c r="DD31" s="108"/>
      <c r="DE31" s="40"/>
      <c r="DF31" s="40">
        <v>3</v>
      </c>
      <c r="DG31" s="40"/>
      <c r="DH31" s="156">
        <f>DD31*3+DF31</f>
        <v>3</v>
      </c>
      <c r="DI31" s="156">
        <f>DE31*3+DG31</f>
        <v>0</v>
      </c>
      <c r="DJ31" s="18">
        <f>DI31+DH31</f>
        <v>3</v>
      </c>
      <c r="DK31" s="108"/>
      <c r="DL31" s="40">
        <v>1</v>
      </c>
      <c r="DM31" s="40">
        <v>1</v>
      </c>
      <c r="DN31" s="40"/>
      <c r="DO31" s="156">
        <f>DK31*3+DM31</f>
        <v>1</v>
      </c>
      <c r="DP31" s="156">
        <f>DL31*3+DN31</f>
        <v>3</v>
      </c>
      <c r="DQ31" s="18">
        <f>DP31+DO31</f>
        <v>4</v>
      </c>
      <c r="DR31" s="108"/>
      <c r="DS31" s="40"/>
      <c r="DT31" s="40">
        <v>2</v>
      </c>
      <c r="DU31" s="40"/>
      <c r="DV31" s="156">
        <f t="shared" si="1"/>
        <v>2</v>
      </c>
      <c r="DW31" s="156">
        <f t="shared" si="2"/>
        <v>0</v>
      </c>
      <c r="DX31" s="18">
        <f t="shared" si="3"/>
        <v>2</v>
      </c>
      <c r="DY31" s="108"/>
      <c r="DZ31" s="40">
        <v>1</v>
      </c>
      <c r="EA31" s="40">
        <v>1</v>
      </c>
      <c r="EB31" s="40">
        <v>1</v>
      </c>
      <c r="EC31" s="156">
        <f t="shared" si="4"/>
        <v>1</v>
      </c>
      <c r="ED31" s="156">
        <f t="shared" si="5"/>
        <v>4</v>
      </c>
      <c r="EE31" s="18">
        <f t="shared" si="6"/>
        <v>5</v>
      </c>
      <c r="EF31" s="108"/>
      <c r="EG31" s="40"/>
      <c r="EH31" s="40">
        <v>2</v>
      </c>
      <c r="EI31" s="40"/>
      <c r="EJ31" s="156">
        <f t="shared" si="7"/>
        <v>2</v>
      </c>
      <c r="EK31" s="156">
        <f t="shared" si="8"/>
        <v>0</v>
      </c>
      <c r="EL31" s="18">
        <f t="shared" si="9"/>
        <v>2</v>
      </c>
      <c r="EM31" s="74">
        <f t="shared" si="10"/>
        <v>37</v>
      </c>
      <c r="EN31" s="75">
        <f t="shared" ca="1" si="11"/>
        <v>8.0610021786492375E-2</v>
      </c>
      <c r="EO31" s="76">
        <f t="shared" si="12"/>
        <v>11</v>
      </c>
      <c r="EP31" s="75">
        <f t="shared" ca="1" si="13"/>
        <v>2.3965141612200435E-2</v>
      </c>
      <c r="EQ31" s="76">
        <f t="shared" si="14"/>
        <v>48</v>
      </c>
      <c r="ER31" s="75">
        <f t="shared" ca="1" si="15"/>
        <v>0.10457516339869281</v>
      </c>
      <c r="ES31" s="76">
        <f t="shared" si="16"/>
        <v>4</v>
      </c>
      <c r="ET31" s="76">
        <f t="shared" si="17"/>
        <v>3</v>
      </c>
      <c r="EU31" s="76">
        <f t="shared" si="18"/>
        <v>7</v>
      </c>
    </row>
    <row r="32" spans="1:151" ht="15.75" thickBot="1" x14ac:dyDescent="0.3">
      <c r="A32" s="32">
        <v>474</v>
      </c>
      <c r="B32" s="247" t="s">
        <v>313</v>
      </c>
      <c r="C32" s="85" t="str">
        <f t="shared" si="0"/>
        <v>תהילה 474</v>
      </c>
      <c r="D32" s="23" t="s">
        <v>6</v>
      </c>
      <c r="E32" s="23" t="s">
        <v>6</v>
      </c>
      <c r="F32" s="31" t="s">
        <v>314</v>
      </c>
      <c r="G32" s="30">
        <v>43449</v>
      </c>
      <c r="H32" s="246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40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/>
      <c r="DI32" s="156"/>
      <c r="DJ32" s="18"/>
      <c r="DK32" s="108"/>
      <c r="DL32" s="40"/>
      <c r="DM32" s="40"/>
      <c r="DN32" s="40"/>
      <c r="DO32" s="156"/>
      <c r="DP32" s="156"/>
      <c r="DQ32" s="18"/>
      <c r="DR32" s="108"/>
      <c r="DS32" s="40"/>
      <c r="DT32" s="40"/>
      <c r="DU32" s="40"/>
      <c r="DV32" s="156">
        <f t="shared" si="1"/>
        <v>0</v>
      </c>
      <c r="DW32" s="156">
        <f t="shared" si="2"/>
        <v>0</v>
      </c>
      <c r="DX32" s="18">
        <f t="shared" si="3"/>
        <v>0</v>
      </c>
      <c r="DY32" s="108"/>
      <c r="DZ32" s="40"/>
      <c r="EA32" s="40"/>
      <c r="EB32" s="40"/>
      <c r="EC32" s="156">
        <f t="shared" si="4"/>
        <v>0</v>
      </c>
      <c r="ED32" s="156">
        <f t="shared" si="5"/>
        <v>0</v>
      </c>
      <c r="EE32" s="18">
        <f t="shared" si="6"/>
        <v>0</v>
      </c>
      <c r="EF32" s="108"/>
      <c r="EG32" s="40"/>
      <c r="EH32" s="40">
        <v>2</v>
      </c>
      <c r="EI32" s="40"/>
      <c r="EJ32" s="156">
        <f t="shared" si="7"/>
        <v>2</v>
      </c>
      <c r="EK32" s="156">
        <f t="shared" si="8"/>
        <v>0</v>
      </c>
      <c r="EL32" s="18">
        <f t="shared" si="9"/>
        <v>2</v>
      </c>
      <c r="EM32" s="74">
        <f t="shared" si="10"/>
        <v>2</v>
      </c>
      <c r="EN32" s="75">
        <f t="shared" ca="1" si="11"/>
        <v>0.10526315789473684</v>
      </c>
      <c r="EO32" s="76">
        <f t="shared" si="12"/>
        <v>0</v>
      </c>
      <c r="EP32" s="75">
        <f t="shared" ca="1" si="13"/>
        <v>0</v>
      </c>
      <c r="EQ32" s="76">
        <f t="shared" si="14"/>
        <v>2</v>
      </c>
      <c r="ER32" s="75">
        <f t="shared" ca="1" si="15"/>
        <v>0.10526315789473684</v>
      </c>
      <c r="ES32" s="76">
        <f t="shared" si="16"/>
        <v>0</v>
      </c>
      <c r="ET32" s="76">
        <f t="shared" si="17"/>
        <v>0</v>
      </c>
      <c r="EU32" s="76">
        <f t="shared" si="18"/>
        <v>0</v>
      </c>
    </row>
    <row r="33" spans="1:151" ht="15.75" thickBot="1" x14ac:dyDescent="0.3">
      <c r="A33" s="32">
        <v>9</v>
      </c>
      <c r="B33" s="247" t="s">
        <v>226</v>
      </c>
      <c r="C33" s="85" t="str">
        <f t="shared" si="0"/>
        <v>דריה 9</v>
      </c>
      <c r="D33" s="23" t="s">
        <v>6</v>
      </c>
      <c r="E33" s="23" t="s">
        <v>6</v>
      </c>
      <c r="F33" s="31" t="s">
        <v>224</v>
      </c>
      <c r="G33" s="30">
        <v>43313</v>
      </c>
      <c r="H33" s="114"/>
      <c r="I33" s="13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40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>
        <f>CP33*3+CR33</f>
        <v>0</v>
      </c>
      <c r="CU33" s="14">
        <f>CQ33*3+CS33</f>
        <v>0</v>
      </c>
      <c r="CV33" s="39">
        <f>CU33+CT33</f>
        <v>0</v>
      </c>
      <c r="CW33" s="32"/>
      <c r="CX33" s="40"/>
      <c r="CY33" s="40"/>
      <c r="CZ33" s="40"/>
      <c r="DA33" s="17">
        <f>CW33*3+CY33</f>
        <v>0</v>
      </c>
      <c r="DB33" s="17">
        <f>CX33*3+CZ33</f>
        <v>0</v>
      </c>
      <c r="DC33" s="18">
        <f>DB33+DA33</f>
        <v>0</v>
      </c>
      <c r="DD33" s="108">
        <v>1</v>
      </c>
      <c r="DE33" s="40"/>
      <c r="DF33" s="40">
        <v>1</v>
      </c>
      <c r="DG33" s="40"/>
      <c r="DH33" s="156">
        <f>DD33*3+DF33</f>
        <v>4</v>
      </c>
      <c r="DI33" s="156">
        <f>DE33*3+DG33</f>
        <v>0</v>
      </c>
      <c r="DJ33" s="18">
        <f>DI33+DH33</f>
        <v>4</v>
      </c>
      <c r="DK33" s="108"/>
      <c r="DL33" s="40"/>
      <c r="DM33" s="40">
        <v>2</v>
      </c>
      <c r="DN33" s="40">
        <v>1</v>
      </c>
      <c r="DO33" s="156">
        <f t="shared" ref="DO33:DP39" si="71">DK33*3+DM33</f>
        <v>2</v>
      </c>
      <c r="DP33" s="156">
        <f t="shared" si="71"/>
        <v>1</v>
      </c>
      <c r="DQ33" s="18">
        <f t="shared" ref="DQ33:DQ39" si="72">DP33+DO33</f>
        <v>3</v>
      </c>
      <c r="DR33" s="108">
        <v>1</v>
      </c>
      <c r="DS33" s="40"/>
      <c r="DT33" s="40">
        <v>1</v>
      </c>
      <c r="DU33" s="40">
        <v>2</v>
      </c>
      <c r="DV33" s="156">
        <f t="shared" si="1"/>
        <v>4</v>
      </c>
      <c r="DW33" s="156">
        <f t="shared" si="2"/>
        <v>2</v>
      </c>
      <c r="DX33" s="18">
        <f t="shared" si="3"/>
        <v>6</v>
      </c>
      <c r="DY33" s="108"/>
      <c r="DZ33" s="40"/>
      <c r="EA33" s="40">
        <v>1</v>
      </c>
      <c r="EB33" s="40"/>
      <c r="EC33" s="156">
        <f t="shared" si="4"/>
        <v>1</v>
      </c>
      <c r="ED33" s="156">
        <f t="shared" si="5"/>
        <v>0</v>
      </c>
      <c r="EE33" s="18">
        <f t="shared" si="6"/>
        <v>1</v>
      </c>
      <c r="EF33" s="108">
        <v>1</v>
      </c>
      <c r="EG33" s="40"/>
      <c r="EH33" s="40"/>
      <c r="EI33" s="40"/>
      <c r="EJ33" s="156">
        <f t="shared" si="7"/>
        <v>3</v>
      </c>
      <c r="EK33" s="156">
        <f t="shared" si="8"/>
        <v>0</v>
      </c>
      <c r="EL33" s="18">
        <f t="shared" si="9"/>
        <v>3</v>
      </c>
      <c r="EM33" s="74">
        <f t="shared" si="10"/>
        <v>14</v>
      </c>
      <c r="EN33" s="75">
        <f t="shared" ca="1" si="11"/>
        <v>9.0322580645161285E-2</v>
      </c>
      <c r="EO33" s="76">
        <f t="shared" si="12"/>
        <v>3</v>
      </c>
      <c r="EP33" s="75">
        <f t="shared" ca="1" si="13"/>
        <v>1.935483870967742E-2</v>
      </c>
      <c r="EQ33" s="76">
        <f t="shared" si="14"/>
        <v>17</v>
      </c>
      <c r="ER33" s="75">
        <f t="shared" ca="1" si="15"/>
        <v>0.10967741935483871</v>
      </c>
      <c r="ES33" s="76">
        <f t="shared" si="16"/>
        <v>3</v>
      </c>
      <c r="ET33" s="76">
        <f t="shared" si="17"/>
        <v>0</v>
      </c>
      <c r="EU33" s="76">
        <f t="shared" si="18"/>
        <v>3</v>
      </c>
    </row>
    <row r="34" spans="1:151" ht="15.75" thickBot="1" x14ac:dyDescent="0.3">
      <c r="A34" s="219">
        <v>209</v>
      </c>
      <c r="B34" s="24" t="s">
        <v>301</v>
      </c>
      <c r="C34" s="26" t="str">
        <f t="shared" ref="C34:C65" si="73">B34&amp;" "&amp;A34</f>
        <v>טל 209</v>
      </c>
      <c r="D34" s="23" t="s">
        <v>6</v>
      </c>
      <c r="E34" s="23" t="s">
        <v>6</v>
      </c>
      <c r="F34" s="31" t="s">
        <v>302</v>
      </c>
      <c r="G34" s="30">
        <v>43405</v>
      </c>
      <c r="H34" s="244"/>
      <c r="I34" s="13"/>
      <c r="J34" s="48"/>
      <c r="K34" s="49"/>
      <c r="L34" s="49"/>
      <c r="M34" s="49"/>
      <c r="N34" s="50"/>
      <c r="O34" s="50"/>
      <c r="P34" s="15"/>
      <c r="Q34" s="10"/>
      <c r="R34" s="12"/>
      <c r="S34" s="12"/>
      <c r="T34" s="12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10"/>
      <c r="AF34" s="12"/>
      <c r="AG34" s="12"/>
      <c r="AH34" s="12"/>
      <c r="AI34" s="14"/>
      <c r="AJ34" s="14"/>
      <c r="AK34" s="16"/>
      <c r="AL34" s="10"/>
      <c r="AM34" s="12"/>
      <c r="AN34" s="12"/>
      <c r="AO34" s="12"/>
      <c r="AP34" s="14"/>
      <c r="AQ34" s="14"/>
      <c r="AR34" s="16"/>
      <c r="AS34" s="10"/>
      <c r="AT34" s="12"/>
      <c r="AU34" s="12"/>
      <c r="AV34" s="12"/>
      <c r="AW34" s="14"/>
      <c r="AX34" s="14"/>
      <c r="AY34" s="16"/>
      <c r="AZ34" s="10"/>
      <c r="BA34" s="12"/>
      <c r="BB34" s="12"/>
      <c r="BC34" s="12"/>
      <c r="BD34" s="14"/>
      <c r="BE34" s="14"/>
      <c r="BF34" s="16"/>
      <c r="BG34" s="32"/>
      <c r="BH34" s="40"/>
      <c r="BI34" s="12"/>
      <c r="BJ34" s="12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/>
      <c r="CN34" s="14"/>
      <c r="CO34" s="39"/>
      <c r="CP34" s="108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08"/>
      <c r="DE34" s="40"/>
      <c r="DF34" s="40"/>
      <c r="DG34" s="40"/>
      <c r="DH34" s="156"/>
      <c r="DI34" s="156"/>
      <c r="DJ34" s="18"/>
      <c r="DK34" s="108"/>
      <c r="DL34" s="40"/>
      <c r="DM34" s="40"/>
      <c r="DN34" s="40"/>
      <c r="DO34" s="156">
        <f t="shared" si="71"/>
        <v>0</v>
      </c>
      <c r="DP34" s="156">
        <f t="shared" si="71"/>
        <v>0</v>
      </c>
      <c r="DQ34" s="18">
        <f t="shared" si="72"/>
        <v>0</v>
      </c>
      <c r="DR34" s="108"/>
      <c r="DS34" s="40"/>
      <c r="DT34" s="40"/>
      <c r="DU34" s="40"/>
      <c r="DV34" s="156">
        <f t="shared" ref="DV34:DV50" si="74">DR34*3+DT34</f>
        <v>0</v>
      </c>
      <c r="DW34" s="156">
        <f t="shared" ref="DW34:DW50" si="75">DS34*3+DU34</f>
        <v>0</v>
      </c>
      <c r="DX34" s="18">
        <f t="shared" ref="DX34:DX65" si="76">DW34+DV34</f>
        <v>0</v>
      </c>
      <c r="DY34" s="108">
        <v>1</v>
      </c>
      <c r="DZ34" s="40"/>
      <c r="EA34" s="40">
        <v>1</v>
      </c>
      <c r="EB34" s="40"/>
      <c r="EC34" s="156">
        <f t="shared" ref="EC34:EC50" si="77">DY34*3+EA34</f>
        <v>4</v>
      </c>
      <c r="ED34" s="156">
        <f t="shared" ref="ED34:ED50" si="78">DZ34*3+EB34</f>
        <v>0</v>
      </c>
      <c r="EE34" s="18">
        <f t="shared" ref="EE34:EE65" si="79">ED34+EC34</f>
        <v>4</v>
      </c>
      <c r="EF34" s="108"/>
      <c r="EG34" s="40"/>
      <c r="EH34" s="40">
        <v>3</v>
      </c>
      <c r="EI34" s="40"/>
      <c r="EJ34" s="156">
        <f t="shared" ref="EJ34:EJ50" si="80">EF34*3+EH34</f>
        <v>3</v>
      </c>
      <c r="EK34" s="156">
        <f t="shared" ref="EK34:EK50" si="81">EG34*3+EI34</f>
        <v>0</v>
      </c>
      <c r="EL34" s="18">
        <f t="shared" ref="EL34:EL65" si="82">EK34+EJ34</f>
        <v>3</v>
      </c>
      <c r="EM34" s="74">
        <f t="shared" ref="EM34:EM50" si="83">SUM(AP34,AI34,AB34,U34,N34,AW34,BD34,BK34,BR34,BY34,CF34,CM34,CT34,DA34,DH34,DO34,DV34,EC34,EJ34)</f>
        <v>7</v>
      </c>
      <c r="EN34" s="75">
        <f t="shared" ref="EN34:EN65" ca="1" si="84">EM34/(10+TODAY()-G34)</f>
        <v>0.1111111111111111</v>
      </c>
      <c r="EO34" s="76">
        <f t="shared" ref="EO34:EO50" si="85">SUM(AQ34,AJ34,AC34,V34,O34,AX34,BE34,BL34,BS34,BZ34,CG34,CN34,CU34,DB34,DI34,DP34,DW34,ED34,EK34)</f>
        <v>0</v>
      </c>
      <c r="EP34" s="75">
        <f t="shared" ref="EP34:EP65" ca="1" si="86">EO34/(10+TODAY()-G34)</f>
        <v>0</v>
      </c>
      <c r="EQ34" s="76">
        <f t="shared" ref="EQ34:EQ50" si="87">EM34+EO34</f>
        <v>7</v>
      </c>
      <c r="ER34" s="75">
        <f t="shared" ref="ER34:ER50" ca="1" si="88">EP34+EN34</f>
        <v>0.1111111111111111</v>
      </c>
      <c r="ES34" s="76">
        <f t="shared" ref="ES34:ES50" si="89">SUM(AS34,AL34,AE34,X34,Q34,Q34,J34,AZ34,BG34,BN34,BU34,CB34,CI34,CP34,CW34,DD34,DK34,DR34,DY34,EF34)</f>
        <v>1</v>
      </c>
      <c r="ET34" s="76">
        <f t="shared" ref="ET34:ET50" si="90">SUM(AT34,AM34,AF34,Y34,R34,R34,K34,BA34,BH34,BO34,BV34,CC34,CJ34,CQ34,CX34,DE34,DL34,DS34,DZ34,EG34)</f>
        <v>0</v>
      </c>
      <c r="EU34" s="76">
        <f t="shared" ref="EU34:EU65" si="91">ET34+ES34</f>
        <v>1</v>
      </c>
    </row>
    <row r="35" spans="1:151" ht="15.75" thickBot="1" x14ac:dyDescent="0.3">
      <c r="A35" s="32">
        <v>9</v>
      </c>
      <c r="B35" s="247" t="s">
        <v>257</v>
      </c>
      <c r="C35" s="85" t="str">
        <f t="shared" si="73"/>
        <v>טליה 9</v>
      </c>
      <c r="D35" s="23" t="s">
        <v>6</v>
      </c>
      <c r="E35" s="23" t="s">
        <v>6</v>
      </c>
      <c r="F35" s="31" t="s">
        <v>259</v>
      </c>
      <c r="G35" s="30">
        <v>43344</v>
      </c>
      <c r="H35" s="31"/>
      <c r="I35" s="35"/>
      <c r="J35" s="48"/>
      <c r="K35" s="49"/>
      <c r="L35" s="49"/>
      <c r="M35" s="49"/>
      <c r="N35" s="50"/>
      <c r="O35" s="50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40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9"/>
      <c r="CF35" s="14"/>
      <c r="CG35" s="14"/>
      <c r="CH35" s="39"/>
      <c r="CI35" s="40"/>
      <c r="CJ35" s="40"/>
      <c r="CK35" s="40"/>
      <c r="CL35" s="83"/>
      <c r="CM35" s="14"/>
      <c r="CN35" s="14"/>
      <c r="CO35" s="39"/>
      <c r="CP35" s="108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8"/>
      <c r="DE35" s="40"/>
      <c r="DF35" s="40"/>
      <c r="DG35" s="40"/>
      <c r="DH35" s="156">
        <f>DD35*3+DF35</f>
        <v>0</v>
      </c>
      <c r="DI35" s="156">
        <f>DE35*3+DG35</f>
        <v>0</v>
      </c>
      <c r="DJ35" s="18">
        <f>DI35+DH35</f>
        <v>0</v>
      </c>
      <c r="DK35" s="108">
        <v>1</v>
      </c>
      <c r="DL35" s="40"/>
      <c r="DM35" s="40">
        <v>2</v>
      </c>
      <c r="DN35" s="40"/>
      <c r="DO35" s="156">
        <f t="shared" si="71"/>
        <v>5</v>
      </c>
      <c r="DP35" s="156">
        <f t="shared" si="71"/>
        <v>0</v>
      </c>
      <c r="DQ35" s="18">
        <f t="shared" si="72"/>
        <v>5</v>
      </c>
      <c r="DR35" s="108">
        <v>1</v>
      </c>
      <c r="DS35" s="40"/>
      <c r="DT35" s="40">
        <v>1</v>
      </c>
      <c r="DU35" s="40"/>
      <c r="DV35" s="156">
        <f t="shared" si="74"/>
        <v>4</v>
      </c>
      <c r="DW35" s="156">
        <f t="shared" si="75"/>
        <v>0</v>
      </c>
      <c r="DX35" s="18">
        <f t="shared" si="76"/>
        <v>4</v>
      </c>
      <c r="DY35" s="108"/>
      <c r="DZ35" s="40"/>
      <c r="EA35" s="40">
        <v>1</v>
      </c>
      <c r="EB35" s="40"/>
      <c r="EC35" s="156">
        <f t="shared" si="77"/>
        <v>1</v>
      </c>
      <c r="ED35" s="156">
        <f t="shared" si="78"/>
        <v>0</v>
      </c>
      <c r="EE35" s="18">
        <f t="shared" si="79"/>
        <v>1</v>
      </c>
      <c r="EF35" s="108">
        <v>1</v>
      </c>
      <c r="EG35" s="40"/>
      <c r="EH35" s="40"/>
      <c r="EI35" s="40"/>
      <c r="EJ35" s="156">
        <f t="shared" si="80"/>
        <v>3</v>
      </c>
      <c r="EK35" s="156">
        <f t="shared" si="81"/>
        <v>0</v>
      </c>
      <c r="EL35" s="18">
        <f t="shared" si="82"/>
        <v>3</v>
      </c>
      <c r="EM35" s="74">
        <f t="shared" si="83"/>
        <v>13</v>
      </c>
      <c r="EN35" s="75">
        <f t="shared" ca="1" si="84"/>
        <v>0.10483870967741936</v>
      </c>
      <c r="EO35" s="76">
        <f t="shared" si="85"/>
        <v>0</v>
      </c>
      <c r="EP35" s="75">
        <f t="shared" ca="1" si="86"/>
        <v>0</v>
      </c>
      <c r="EQ35" s="76">
        <f t="shared" si="87"/>
        <v>13</v>
      </c>
      <c r="ER35" s="75">
        <f t="shared" ca="1" si="88"/>
        <v>0.10483870967741936</v>
      </c>
      <c r="ES35" s="76">
        <f t="shared" si="89"/>
        <v>3</v>
      </c>
      <c r="ET35" s="76">
        <f t="shared" si="90"/>
        <v>0</v>
      </c>
      <c r="EU35" s="76">
        <f t="shared" si="91"/>
        <v>3</v>
      </c>
    </row>
    <row r="36" spans="1:151" ht="15.75" hidden="1" thickBot="1" x14ac:dyDescent="0.3">
      <c r="A36" s="10">
        <v>474</v>
      </c>
      <c r="B36" s="24" t="s">
        <v>68</v>
      </c>
      <c r="C36" s="26" t="str">
        <f t="shared" si="73"/>
        <v>יהל אור 474</v>
      </c>
      <c r="D36" s="12" t="s">
        <v>6</v>
      </c>
      <c r="E36" s="12" t="s">
        <v>7</v>
      </c>
      <c r="F36" s="31" t="s">
        <v>143</v>
      </c>
      <c r="G36" s="30">
        <v>42917</v>
      </c>
      <c r="H36" s="19"/>
      <c r="I36" s="13"/>
      <c r="J36" s="48"/>
      <c r="K36" s="49"/>
      <c r="L36" s="49"/>
      <c r="M36" s="49"/>
      <c r="N36" s="50">
        <f>J36*3+L36</f>
        <v>0</v>
      </c>
      <c r="O36" s="50">
        <f>K36*3+M36</f>
        <v>0</v>
      </c>
      <c r="P36" s="15">
        <f>O36+N36</f>
        <v>0</v>
      </c>
      <c r="Q36" s="10"/>
      <c r="R36" s="12"/>
      <c r="S36" s="12">
        <v>4</v>
      </c>
      <c r="T36" s="12"/>
      <c r="U36" s="14">
        <f>Q36*3+S36</f>
        <v>4</v>
      </c>
      <c r="V36" s="14">
        <f>R36*3+T36</f>
        <v>0</v>
      </c>
      <c r="W36" s="16">
        <f>V36+U36</f>
        <v>4</v>
      </c>
      <c r="X36" s="10">
        <v>1</v>
      </c>
      <c r="Y36" s="12"/>
      <c r="Z36" s="12">
        <v>1</v>
      </c>
      <c r="AA36" s="12"/>
      <c r="AB36" s="17">
        <f>X36*3+Z36</f>
        <v>4</v>
      </c>
      <c r="AC36" s="17">
        <f>Y36*3+AA36</f>
        <v>0</v>
      </c>
      <c r="AD36" s="18">
        <f>AC36+AB36</f>
        <v>4</v>
      </c>
      <c r="AE36" s="10"/>
      <c r="AF36" s="12"/>
      <c r="AG36" s="12">
        <v>2</v>
      </c>
      <c r="AH36" s="12">
        <v>2</v>
      </c>
      <c r="AI36" s="14">
        <f>AE36*3+AG36</f>
        <v>2</v>
      </c>
      <c r="AJ36" s="14">
        <f>AF36*3+AH36</f>
        <v>2</v>
      </c>
      <c r="AK36" s="16">
        <f>AJ36+AI36</f>
        <v>4</v>
      </c>
      <c r="AL36" s="10"/>
      <c r="AM36" s="12"/>
      <c r="AN36" s="12">
        <v>2</v>
      </c>
      <c r="AO36" s="12">
        <v>1</v>
      </c>
      <c r="AP36" s="14">
        <f>AL36*3+AN36</f>
        <v>2</v>
      </c>
      <c r="AQ36" s="14">
        <f>AM36*3+AO36</f>
        <v>1</v>
      </c>
      <c r="AR36" s="16">
        <f>AQ36+AP36</f>
        <v>3</v>
      </c>
      <c r="AS36" s="10">
        <v>1</v>
      </c>
      <c r="AT36" s="12"/>
      <c r="AU36" s="12"/>
      <c r="AV36" s="12"/>
      <c r="AW36" s="14">
        <f>AS36*3+AU36</f>
        <v>3</v>
      </c>
      <c r="AX36" s="14">
        <f>AT36*3+AV36</f>
        <v>0</v>
      </c>
      <c r="AY36" s="16">
        <f>AX36+AW36</f>
        <v>3</v>
      </c>
      <c r="AZ36" s="10"/>
      <c r="BA36" s="12"/>
      <c r="BB36" s="12">
        <v>3</v>
      </c>
      <c r="BC36" s="12"/>
      <c r="BD36" s="14">
        <f>AZ36*3+BB36</f>
        <v>3</v>
      </c>
      <c r="BE36" s="14">
        <f>BA36*3+BC36</f>
        <v>0</v>
      </c>
      <c r="BF36" s="16">
        <f>BE36+BD36</f>
        <v>3</v>
      </c>
      <c r="BG36" s="32">
        <v>1</v>
      </c>
      <c r="BH36" s="40"/>
      <c r="BI36" s="12"/>
      <c r="BJ36" s="12">
        <v>1</v>
      </c>
      <c r="BK36" s="14">
        <f>BG36*3+BI36</f>
        <v>3</v>
      </c>
      <c r="BL36" s="14">
        <f>BH36*3+BJ36</f>
        <v>1</v>
      </c>
      <c r="BM36" s="39">
        <f>BL36+BK36</f>
        <v>4</v>
      </c>
      <c r="BN36" s="32">
        <v>1</v>
      </c>
      <c r="BO36" s="40"/>
      <c r="BP36" s="40">
        <v>3</v>
      </c>
      <c r="BQ36" s="40"/>
      <c r="BR36" s="14">
        <f>BN36*3+BP36</f>
        <v>6</v>
      </c>
      <c r="BS36" s="14">
        <f>BO36*3+BQ36</f>
        <v>0</v>
      </c>
      <c r="BT36" s="39">
        <f>BS36+BR36</f>
        <v>6</v>
      </c>
      <c r="BU36" s="32"/>
      <c r="BV36" s="40"/>
      <c r="BW36" s="40">
        <v>1</v>
      </c>
      <c r="BX36" s="40">
        <v>1</v>
      </c>
      <c r="BY36" s="14">
        <f>BU36*3+BW36</f>
        <v>1</v>
      </c>
      <c r="BZ36" s="14">
        <f>BV36*3+BX36</f>
        <v>1</v>
      </c>
      <c r="CA36" s="39">
        <f>BZ36+BY36</f>
        <v>2</v>
      </c>
      <c r="CB36" s="32"/>
      <c r="CC36" s="40"/>
      <c r="CD36" s="40">
        <v>2</v>
      </c>
      <c r="CE36" s="79"/>
      <c r="CF36" s="14">
        <f>CB36*3+CD36</f>
        <v>2</v>
      </c>
      <c r="CG36" s="14">
        <f>CC36*3+CE36</f>
        <v>0</v>
      </c>
      <c r="CH36" s="39">
        <f>CG36+CF36</f>
        <v>2</v>
      </c>
      <c r="CI36" s="40">
        <v>1</v>
      </c>
      <c r="CJ36" s="40"/>
      <c r="CK36" s="40"/>
      <c r="CL36" s="83"/>
      <c r="CM36" s="14">
        <f>CI36*3+CK36</f>
        <v>3</v>
      </c>
      <c r="CN36" s="14">
        <f>CJ36*3+CL36</f>
        <v>0</v>
      </c>
      <c r="CO36" s="39">
        <f>CN36+CM36</f>
        <v>3</v>
      </c>
      <c r="CP36" s="108"/>
      <c r="CQ36" s="40"/>
      <c r="CR36" s="40">
        <v>1</v>
      </c>
      <c r="CS36" s="40"/>
      <c r="CT36" s="14">
        <f>CP36*3+CR36</f>
        <v>1</v>
      </c>
      <c r="CU36" s="14">
        <f>CQ36*3+CS36</f>
        <v>0</v>
      </c>
      <c r="CV36" s="39">
        <f>CU36+CT36</f>
        <v>1</v>
      </c>
      <c r="CW36" s="32"/>
      <c r="CX36" s="40"/>
      <c r="CY36" s="40">
        <v>2</v>
      </c>
      <c r="CZ36" s="40"/>
      <c r="DA36" s="17">
        <f>CW36*3+CY36</f>
        <v>2</v>
      </c>
      <c r="DB36" s="17">
        <f>CX36*3+CZ36</f>
        <v>0</v>
      </c>
      <c r="DC36" s="18">
        <f>DB36+DA36</f>
        <v>2</v>
      </c>
      <c r="DD36" s="108">
        <v>1</v>
      </c>
      <c r="DE36" s="40"/>
      <c r="DF36" s="40">
        <v>1</v>
      </c>
      <c r="DG36" s="40"/>
      <c r="DH36" s="156">
        <f>DD36*3+DF36</f>
        <v>4</v>
      </c>
      <c r="DI36" s="156">
        <f>DE36*3+DG36</f>
        <v>0</v>
      </c>
      <c r="DJ36" s="18">
        <f>DI36+DH36</f>
        <v>4</v>
      </c>
      <c r="DK36" s="108">
        <v>1</v>
      </c>
      <c r="DL36" s="40"/>
      <c r="DM36" s="40">
        <v>1</v>
      </c>
      <c r="DN36" s="40"/>
      <c r="DO36" s="156">
        <f t="shared" si="71"/>
        <v>4</v>
      </c>
      <c r="DP36" s="156">
        <f t="shared" si="71"/>
        <v>0</v>
      </c>
      <c r="DQ36" s="18">
        <f t="shared" si="72"/>
        <v>4</v>
      </c>
      <c r="DR36" s="108"/>
      <c r="DS36" s="40"/>
      <c r="DT36" s="40">
        <v>1</v>
      </c>
      <c r="DU36" s="40">
        <v>1</v>
      </c>
      <c r="DV36" s="156">
        <f t="shared" si="74"/>
        <v>1</v>
      </c>
      <c r="DW36" s="156">
        <f t="shared" si="75"/>
        <v>1</v>
      </c>
      <c r="DX36" s="18">
        <f t="shared" si="76"/>
        <v>2</v>
      </c>
      <c r="DY36" s="108"/>
      <c r="DZ36" s="40"/>
      <c r="EA36" s="40">
        <v>1</v>
      </c>
      <c r="EB36" s="40">
        <v>2</v>
      </c>
      <c r="EC36" s="156">
        <f t="shared" si="77"/>
        <v>1</v>
      </c>
      <c r="ED36" s="156">
        <f t="shared" si="78"/>
        <v>2</v>
      </c>
      <c r="EE36" s="18">
        <f t="shared" si="79"/>
        <v>3</v>
      </c>
      <c r="EF36" s="108">
        <v>1</v>
      </c>
      <c r="EG36" s="40"/>
      <c r="EH36" s="40"/>
      <c r="EI36" s="40"/>
      <c r="EJ36" s="156">
        <f t="shared" si="80"/>
        <v>3</v>
      </c>
      <c r="EK36" s="156">
        <f t="shared" si="81"/>
        <v>0</v>
      </c>
      <c r="EL36" s="18">
        <f t="shared" si="82"/>
        <v>3</v>
      </c>
      <c r="EM36" s="74">
        <f t="shared" si="83"/>
        <v>49</v>
      </c>
      <c r="EN36" s="75">
        <f t="shared" ca="1" si="84"/>
        <v>8.8929219600725959E-2</v>
      </c>
      <c r="EO36" s="76">
        <f t="shared" si="85"/>
        <v>8</v>
      </c>
      <c r="EP36" s="75">
        <f t="shared" ca="1" si="86"/>
        <v>1.4519056261343012E-2</v>
      </c>
      <c r="EQ36" s="76">
        <f t="shared" si="87"/>
        <v>57</v>
      </c>
      <c r="ER36" s="75">
        <f t="shared" ca="1" si="88"/>
        <v>0.10344827586206898</v>
      </c>
      <c r="ES36" s="76">
        <f t="shared" si="89"/>
        <v>8</v>
      </c>
      <c r="ET36" s="76">
        <f t="shared" si="90"/>
        <v>0</v>
      </c>
      <c r="EU36" s="76">
        <f t="shared" si="91"/>
        <v>8</v>
      </c>
    </row>
    <row r="37" spans="1:151" ht="15.75" hidden="1" thickBot="1" x14ac:dyDescent="0.3">
      <c r="A37" s="10">
        <v>11</v>
      </c>
      <c r="B37" s="24" t="s">
        <v>300</v>
      </c>
      <c r="C37" s="26" t="str">
        <f t="shared" si="73"/>
        <v>לירון 11</v>
      </c>
      <c r="D37" s="23" t="s">
        <v>6</v>
      </c>
      <c r="E37" s="23" t="s">
        <v>7</v>
      </c>
      <c r="F37" s="31" t="s">
        <v>302</v>
      </c>
      <c r="G37" s="30">
        <v>43405</v>
      </c>
      <c r="H37" s="42"/>
      <c r="I37" s="13"/>
      <c r="J37" s="48"/>
      <c r="K37" s="49"/>
      <c r="L37" s="49"/>
      <c r="M37" s="49"/>
      <c r="N37" s="50"/>
      <c r="O37" s="50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12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8"/>
      <c r="DE37" s="40"/>
      <c r="DF37" s="40"/>
      <c r="DG37" s="40"/>
      <c r="DH37" s="156"/>
      <c r="DI37" s="156"/>
      <c r="DJ37" s="18"/>
      <c r="DK37" s="108"/>
      <c r="DL37" s="40"/>
      <c r="DM37" s="40"/>
      <c r="DN37" s="40"/>
      <c r="DO37" s="156">
        <f t="shared" si="71"/>
        <v>0</v>
      </c>
      <c r="DP37" s="156">
        <f t="shared" si="71"/>
        <v>0</v>
      </c>
      <c r="DQ37" s="18">
        <f t="shared" si="72"/>
        <v>0</v>
      </c>
      <c r="DR37" s="108">
        <v>1</v>
      </c>
      <c r="DS37" s="40"/>
      <c r="DT37" s="40">
        <v>1</v>
      </c>
      <c r="DU37" s="40">
        <v>1</v>
      </c>
      <c r="DV37" s="156">
        <f t="shared" si="74"/>
        <v>4</v>
      </c>
      <c r="DW37" s="156">
        <f t="shared" si="75"/>
        <v>1</v>
      </c>
      <c r="DX37" s="18">
        <f t="shared" si="76"/>
        <v>5</v>
      </c>
      <c r="DY37" s="108"/>
      <c r="DZ37" s="40"/>
      <c r="EA37" s="40"/>
      <c r="EB37" s="40"/>
      <c r="EC37" s="156">
        <f t="shared" si="77"/>
        <v>0</v>
      </c>
      <c r="ED37" s="156">
        <f t="shared" si="78"/>
        <v>0</v>
      </c>
      <c r="EE37" s="18">
        <f t="shared" si="79"/>
        <v>0</v>
      </c>
      <c r="EF37" s="108">
        <v>1</v>
      </c>
      <c r="EG37" s="40"/>
      <c r="EH37" s="40"/>
      <c r="EI37" s="40"/>
      <c r="EJ37" s="156">
        <f t="shared" si="80"/>
        <v>3</v>
      </c>
      <c r="EK37" s="156">
        <f t="shared" si="81"/>
        <v>0</v>
      </c>
      <c r="EL37" s="18">
        <f t="shared" si="82"/>
        <v>3</v>
      </c>
      <c r="EM37" s="74">
        <f t="shared" si="83"/>
        <v>7</v>
      </c>
      <c r="EN37" s="75">
        <f t="shared" ca="1" si="84"/>
        <v>0.1111111111111111</v>
      </c>
      <c r="EO37" s="76">
        <f t="shared" si="85"/>
        <v>1</v>
      </c>
      <c r="EP37" s="75">
        <f t="shared" ca="1" si="86"/>
        <v>1.5873015873015872E-2</v>
      </c>
      <c r="EQ37" s="76">
        <f t="shared" si="87"/>
        <v>8</v>
      </c>
      <c r="ER37" s="75">
        <f t="shared" ca="1" si="88"/>
        <v>0.12698412698412698</v>
      </c>
      <c r="ES37" s="76">
        <f t="shared" si="89"/>
        <v>2</v>
      </c>
      <c r="ET37" s="76">
        <f t="shared" si="90"/>
        <v>0</v>
      </c>
      <c r="EU37" s="76">
        <f t="shared" si="91"/>
        <v>2</v>
      </c>
    </row>
    <row r="38" spans="1:151" ht="15.75" hidden="1" thickBot="1" x14ac:dyDescent="0.3">
      <c r="A38" s="32" t="s">
        <v>63</v>
      </c>
      <c r="B38" s="24" t="s">
        <v>284</v>
      </c>
      <c r="C38" s="26" t="str">
        <f t="shared" si="73"/>
        <v>נעה אחודה</v>
      </c>
      <c r="D38" s="12" t="s">
        <v>6</v>
      </c>
      <c r="E38" s="23" t="s">
        <v>7</v>
      </c>
      <c r="F38" s="31" t="s">
        <v>147</v>
      </c>
      <c r="G38" s="30">
        <v>43101</v>
      </c>
      <c r="H38" s="31"/>
      <c r="I38" s="13"/>
      <c r="J38" s="48"/>
      <c r="K38" s="49"/>
      <c r="L38" s="49"/>
      <c r="M38" s="49"/>
      <c r="N38" s="50">
        <f>J38*3+L38</f>
        <v>0</v>
      </c>
      <c r="O38" s="50">
        <f>K38*3+M38</f>
        <v>0</v>
      </c>
      <c r="P38" s="15">
        <f>O38+N38</f>
        <v>0</v>
      </c>
      <c r="Q38" s="10"/>
      <c r="R38" s="12"/>
      <c r="S38" s="12"/>
      <c r="T38" s="12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10"/>
      <c r="AF38" s="12"/>
      <c r="AG38" s="12"/>
      <c r="AH38" s="12"/>
      <c r="AI38" s="14">
        <f>AE38*3+AG38</f>
        <v>0</v>
      </c>
      <c r="AJ38" s="14">
        <f>AF38*3+AH38</f>
        <v>0</v>
      </c>
      <c r="AK38" s="16">
        <f>AJ38+AI38</f>
        <v>0</v>
      </c>
      <c r="AL38" s="10"/>
      <c r="AM38" s="12"/>
      <c r="AN38" s="12"/>
      <c r="AO38" s="12"/>
      <c r="AP38" s="14">
        <f>AL38*3+AN38</f>
        <v>0</v>
      </c>
      <c r="AQ38" s="14">
        <f>AM38*3+AO38</f>
        <v>0</v>
      </c>
      <c r="AR38" s="16">
        <f>AQ38+AP38</f>
        <v>0</v>
      </c>
      <c r="AS38" s="10"/>
      <c r="AT38" s="12"/>
      <c r="AU38" s="12"/>
      <c r="AV38" s="12"/>
      <c r="AW38" s="14">
        <f>AS38*3+AU38</f>
        <v>0</v>
      </c>
      <c r="AX38" s="14">
        <f>AT38*3+AV38</f>
        <v>0</v>
      </c>
      <c r="AY38" s="16">
        <f>AX38+AW38</f>
        <v>0</v>
      </c>
      <c r="AZ38" s="10"/>
      <c r="BA38" s="12"/>
      <c r="BB38" s="12"/>
      <c r="BC38" s="12"/>
      <c r="BD38" s="14">
        <f>AZ38*3+BB38</f>
        <v>0</v>
      </c>
      <c r="BE38" s="14">
        <f>BA38*3+BC38</f>
        <v>0</v>
      </c>
      <c r="BF38" s="16">
        <f>BE38+BD38</f>
        <v>0</v>
      </c>
      <c r="BG38" s="32">
        <v>1</v>
      </c>
      <c r="BH38" s="40"/>
      <c r="BI38" s="12"/>
      <c r="BJ38" s="12"/>
      <c r="BK38" s="14">
        <f>BG38*3+BI38</f>
        <v>3</v>
      </c>
      <c r="BL38" s="14">
        <f>BH38*3+BJ38</f>
        <v>0</v>
      </c>
      <c r="BM38" s="39">
        <f>BL38+BK38</f>
        <v>3</v>
      </c>
      <c r="BN38" s="32">
        <v>1</v>
      </c>
      <c r="BO38" s="40"/>
      <c r="BP38" s="40">
        <v>1</v>
      </c>
      <c r="BQ38" s="40"/>
      <c r="BR38" s="14">
        <f>BN38*3+BP38</f>
        <v>4</v>
      </c>
      <c r="BS38" s="14">
        <f>BO38*3+BQ38</f>
        <v>0</v>
      </c>
      <c r="BT38" s="39">
        <f>BS38+BR38</f>
        <v>4</v>
      </c>
      <c r="BU38" s="32"/>
      <c r="BV38" s="40"/>
      <c r="BW38" s="40">
        <v>4</v>
      </c>
      <c r="BX38" s="40"/>
      <c r="BY38" s="14">
        <f>BU38*3+BW38</f>
        <v>4</v>
      </c>
      <c r="BZ38" s="14">
        <f>BV38*3+BX38</f>
        <v>0</v>
      </c>
      <c r="CA38" s="39">
        <f>BZ38+BY38</f>
        <v>4</v>
      </c>
      <c r="CB38" s="32"/>
      <c r="CC38" s="40">
        <v>1</v>
      </c>
      <c r="CD38" s="40">
        <v>1</v>
      </c>
      <c r="CE38" s="79"/>
      <c r="CF38" s="14">
        <f>CB38*3+CD38</f>
        <v>1</v>
      </c>
      <c r="CG38" s="14">
        <f>CC38*3+CE38</f>
        <v>3</v>
      </c>
      <c r="CH38" s="39">
        <f>CG38+CF38</f>
        <v>4</v>
      </c>
      <c r="CI38" s="40"/>
      <c r="CJ38" s="40"/>
      <c r="CK38" s="40"/>
      <c r="CL38" s="83">
        <v>1</v>
      </c>
      <c r="CM38" s="14">
        <f>CI38*3+CK38</f>
        <v>0</v>
      </c>
      <c r="CN38" s="14">
        <f>CJ38*3+CL38</f>
        <v>1</v>
      </c>
      <c r="CO38" s="39">
        <f>CN38+CM38</f>
        <v>1</v>
      </c>
      <c r="CP38" s="108">
        <v>1</v>
      </c>
      <c r="CQ38" s="40"/>
      <c r="CR38" s="40">
        <v>1</v>
      </c>
      <c r="CS38" s="40"/>
      <c r="CT38" s="14">
        <f>CP38*3+CR38</f>
        <v>4</v>
      </c>
      <c r="CU38" s="14">
        <f>CQ38*3+CS38</f>
        <v>0</v>
      </c>
      <c r="CV38" s="39">
        <f>CU38+CT38</f>
        <v>4</v>
      </c>
      <c r="CW38" s="32"/>
      <c r="CX38" s="40"/>
      <c r="CY38" s="40">
        <v>3</v>
      </c>
      <c r="CZ38" s="40"/>
      <c r="DA38" s="17">
        <f>CW38*3+CY38</f>
        <v>3</v>
      </c>
      <c r="DB38" s="17">
        <f>CX38*3+CZ38</f>
        <v>0</v>
      </c>
      <c r="DC38" s="18">
        <f>DB38+DA38</f>
        <v>3</v>
      </c>
      <c r="DD38" s="108">
        <v>1</v>
      </c>
      <c r="DE38" s="40"/>
      <c r="DF38" s="40"/>
      <c r="DG38" s="40">
        <v>1</v>
      </c>
      <c r="DH38" s="156">
        <f>DD38*3+DF38</f>
        <v>3</v>
      </c>
      <c r="DI38" s="156">
        <f>DE38*3+DG38</f>
        <v>1</v>
      </c>
      <c r="DJ38" s="18">
        <f>DI38+DH38</f>
        <v>4</v>
      </c>
      <c r="DK38" s="108"/>
      <c r="DL38" s="40"/>
      <c r="DM38" s="40">
        <v>2</v>
      </c>
      <c r="DN38" s="40"/>
      <c r="DO38" s="156">
        <f t="shared" si="71"/>
        <v>2</v>
      </c>
      <c r="DP38" s="156">
        <f t="shared" si="71"/>
        <v>0</v>
      </c>
      <c r="DQ38" s="18">
        <f t="shared" si="72"/>
        <v>2</v>
      </c>
      <c r="DR38" s="108"/>
      <c r="DS38" s="40">
        <v>1</v>
      </c>
      <c r="DT38" s="40">
        <v>1</v>
      </c>
      <c r="DU38" s="40"/>
      <c r="DV38" s="156">
        <f t="shared" si="74"/>
        <v>1</v>
      </c>
      <c r="DW38" s="156">
        <f t="shared" si="75"/>
        <v>3</v>
      </c>
      <c r="DX38" s="18">
        <f t="shared" si="76"/>
        <v>4</v>
      </c>
      <c r="DY38" s="108"/>
      <c r="DZ38" s="40"/>
      <c r="EA38" s="40">
        <v>2</v>
      </c>
      <c r="EB38" s="40"/>
      <c r="EC38" s="156">
        <f t="shared" si="77"/>
        <v>2</v>
      </c>
      <c r="ED38" s="156">
        <f t="shared" si="78"/>
        <v>0</v>
      </c>
      <c r="EE38" s="18">
        <f t="shared" si="79"/>
        <v>2</v>
      </c>
      <c r="EF38" s="108">
        <v>1</v>
      </c>
      <c r="EG38" s="40"/>
      <c r="EH38" s="40"/>
      <c r="EI38" s="40"/>
      <c r="EJ38" s="156">
        <f t="shared" si="80"/>
        <v>3</v>
      </c>
      <c r="EK38" s="156">
        <f t="shared" si="81"/>
        <v>0</v>
      </c>
      <c r="EL38" s="18">
        <f t="shared" si="82"/>
        <v>3</v>
      </c>
      <c r="EM38" s="74">
        <f t="shared" si="83"/>
        <v>30</v>
      </c>
      <c r="EN38" s="75">
        <f t="shared" ca="1" si="84"/>
        <v>8.1743869209809264E-2</v>
      </c>
      <c r="EO38" s="76">
        <f t="shared" si="85"/>
        <v>8</v>
      </c>
      <c r="EP38" s="75">
        <f t="shared" ca="1" si="86"/>
        <v>2.1798365122615803E-2</v>
      </c>
      <c r="EQ38" s="76">
        <f t="shared" si="87"/>
        <v>38</v>
      </c>
      <c r="ER38" s="75">
        <f t="shared" ca="1" si="88"/>
        <v>0.10354223433242507</v>
      </c>
      <c r="ES38" s="76">
        <f t="shared" si="89"/>
        <v>5</v>
      </c>
      <c r="ET38" s="76">
        <f t="shared" si="90"/>
        <v>2</v>
      </c>
      <c r="EU38" s="76">
        <f t="shared" si="91"/>
        <v>7</v>
      </c>
    </row>
    <row r="39" spans="1:151" ht="15.75" thickBot="1" x14ac:dyDescent="0.3">
      <c r="A39" s="32">
        <v>9</v>
      </c>
      <c r="B39" s="247" t="s">
        <v>303</v>
      </c>
      <c r="C39" s="85" t="str">
        <f t="shared" si="73"/>
        <v>עדי 9</v>
      </c>
      <c r="D39" s="23" t="s">
        <v>6</v>
      </c>
      <c r="E39" s="23" t="s">
        <v>6</v>
      </c>
      <c r="F39" s="31" t="s">
        <v>302</v>
      </c>
      <c r="G39" s="30">
        <v>43414</v>
      </c>
      <c r="H39" s="31"/>
      <c r="I39" s="35" t="s">
        <v>190</v>
      </c>
      <c r="J39" s="48"/>
      <c r="K39" s="49"/>
      <c r="L39" s="49"/>
      <c r="M39" s="49"/>
      <c r="N39" s="50"/>
      <c r="O39" s="50"/>
      <c r="P39" s="15"/>
      <c r="Q39" s="10"/>
      <c r="R39" s="12"/>
      <c r="S39" s="12"/>
      <c r="T39" s="12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10"/>
      <c r="AF39" s="12"/>
      <c r="AG39" s="12"/>
      <c r="AH39" s="12"/>
      <c r="AI39" s="14"/>
      <c r="AJ39" s="14"/>
      <c r="AK39" s="16"/>
      <c r="AL39" s="10"/>
      <c r="AM39" s="12"/>
      <c r="AN39" s="12"/>
      <c r="AO39" s="12"/>
      <c r="AP39" s="14"/>
      <c r="AQ39" s="14"/>
      <c r="AR39" s="16"/>
      <c r="AS39" s="10"/>
      <c r="AT39" s="12"/>
      <c r="AU39" s="12"/>
      <c r="AV39" s="12"/>
      <c r="AW39" s="14"/>
      <c r="AX39" s="14"/>
      <c r="AY39" s="16"/>
      <c r="AZ39" s="10"/>
      <c r="BA39" s="12"/>
      <c r="BB39" s="12"/>
      <c r="BC39" s="12"/>
      <c r="BD39" s="14"/>
      <c r="BE39" s="14"/>
      <c r="BF39" s="16"/>
      <c r="BG39" s="32"/>
      <c r="BH39" s="40"/>
      <c r="BI39" s="40"/>
      <c r="BJ39" s="12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8"/>
      <c r="DE39" s="40"/>
      <c r="DF39" s="40"/>
      <c r="DG39" s="40"/>
      <c r="DH39" s="156"/>
      <c r="DI39" s="156"/>
      <c r="DJ39" s="18"/>
      <c r="DK39" s="108"/>
      <c r="DL39" s="40"/>
      <c r="DM39" s="40"/>
      <c r="DN39" s="40"/>
      <c r="DO39" s="156">
        <f t="shared" si="71"/>
        <v>0</v>
      </c>
      <c r="DP39" s="156">
        <f t="shared" si="71"/>
        <v>0</v>
      </c>
      <c r="DQ39" s="18">
        <f t="shared" si="72"/>
        <v>0</v>
      </c>
      <c r="DR39" s="108"/>
      <c r="DS39" s="40"/>
      <c r="DT39" s="40"/>
      <c r="DU39" s="40"/>
      <c r="DV39" s="156">
        <f t="shared" si="74"/>
        <v>0</v>
      </c>
      <c r="DW39" s="156">
        <f t="shared" si="75"/>
        <v>0</v>
      </c>
      <c r="DX39" s="18">
        <f t="shared" si="76"/>
        <v>0</v>
      </c>
      <c r="DY39" s="108"/>
      <c r="DZ39" s="40"/>
      <c r="EA39" s="40">
        <v>3</v>
      </c>
      <c r="EB39" s="40"/>
      <c r="EC39" s="156">
        <f t="shared" si="77"/>
        <v>3</v>
      </c>
      <c r="ED39" s="156">
        <f t="shared" si="78"/>
        <v>0</v>
      </c>
      <c r="EE39" s="18">
        <f t="shared" si="79"/>
        <v>3</v>
      </c>
      <c r="EF39" s="108">
        <v>1</v>
      </c>
      <c r="EG39" s="40"/>
      <c r="EH39" s="40"/>
      <c r="EI39" s="40"/>
      <c r="EJ39" s="156">
        <f t="shared" si="80"/>
        <v>3</v>
      </c>
      <c r="EK39" s="156">
        <f t="shared" si="81"/>
        <v>0</v>
      </c>
      <c r="EL39" s="18">
        <f t="shared" si="82"/>
        <v>3</v>
      </c>
      <c r="EM39" s="74">
        <f t="shared" si="83"/>
        <v>6</v>
      </c>
      <c r="EN39" s="75">
        <f t="shared" ca="1" si="84"/>
        <v>0.1111111111111111</v>
      </c>
      <c r="EO39" s="76">
        <f t="shared" si="85"/>
        <v>0</v>
      </c>
      <c r="EP39" s="75">
        <f t="shared" ca="1" si="86"/>
        <v>0</v>
      </c>
      <c r="EQ39" s="76">
        <f t="shared" si="87"/>
        <v>6</v>
      </c>
      <c r="ER39" s="75">
        <f t="shared" ca="1" si="88"/>
        <v>0.1111111111111111</v>
      </c>
      <c r="ES39" s="76">
        <f t="shared" si="89"/>
        <v>1</v>
      </c>
      <c r="ET39" s="76">
        <f t="shared" si="90"/>
        <v>0</v>
      </c>
      <c r="EU39" s="76">
        <f t="shared" si="91"/>
        <v>1</v>
      </c>
    </row>
    <row r="40" spans="1:151" ht="15.75" thickBot="1" x14ac:dyDescent="0.3">
      <c r="A40" s="32" t="s">
        <v>63</v>
      </c>
      <c r="B40" s="247" t="s">
        <v>316</v>
      </c>
      <c r="C40" s="26" t="str">
        <f t="shared" si="73"/>
        <v>קורל אחודה</v>
      </c>
      <c r="D40" s="23" t="s">
        <v>7</v>
      </c>
      <c r="E40" s="23" t="s">
        <v>6</v>
      </c>
      <c r="F40" s="31" t="s">
        <v>314</v>
      </c>
      <c r="G40" s="30">
        <v>43435</v>
      </c>
      <c r="H40" s="31"/>
      <c r="I40" s="13"/>
      <c r="J40" s="48"/>
      <c r="K40" s="49"/>
      <c r="L40" s="49"/>
      <c r="M40" s="49"/>
      <c r="N40" s="50"/>
      <c r="O40" s="50"/>
      <c r="P40" s="15"/>
      <c r="Q40" s="10"/>
      <c r="R40" s="12"/>
      <c r="S40" s="12"/>
      <c r="T40" s="12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10"/>
      <c r="AF40" s="12"/>
      <c r="AG40" s="12"/>
      <c r="AH40" s="12"/>
      <c r="AI40" s="14"/>
      <c r="AJ40" s="14"/>
      <c r="AK40" s="16"/>
      <c r="AL40" s="10"/>
      <c r="AM40" s="12"/>
      <c r="AN40" s="12"/>
      <c r="AO40" s="12"/>
      <c r="AP40" s="14"/>
      <c r="AQ40" s="14"/>
      <c r="AR40" s="16"/>
      <c r="AS40" s="10"/>
      <c r="AT40" s="12"/>
      <c r="AU40" s="12"/>
      <c r="AV40" s="12"/>
      <c r="AW40" s="14"/>
      <c r="AX40" s="14"/>
      <c r="AY40" s="16"/>
      <c r="AZ40" s="10"/>
      <c r="BA40" s="12"/>
      <c r="BB40" s="12"/>
      <c r="BC40" s="12"/>
      <c r="BD40" s="14"/>
      <c r="BE40" s="14"/>
      <c r="BF40" s="16"/>
      <c r="BG40" s="32"/>
      <c r="BH40" s="40"/>
      <c r="BI40" s="12"/>
      <c r="BJ40" s="12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08"/>
      <c r="DE40" s="40"/>
      <c r="DF40" s="40"/>
      <c r="DG40" s="40"/>
      <c r="DH40" s="156"/>
      <c r="DI40" s="156"/>
      <c r="DJ40" s="18"/>
      <c r="DK40" s="108"/>
      <c r="DL40" s="40"/>
      <c r="DM40" s="40"/>
      <c r="DN40" s="40"/>
      <c r="DO40" s="156"/>
      <c r="DP40" s="156"/>
      <c r="DQ40" s="18"/>
      <c r="DR40" s="108"/>
      <c r="DS40" s="40"/>
      <c r="DT40" s="40"/>
      <c r="DU40" s="40"/>
      <c r="DV40" s="156">
        <f t="shared" si="74"/>
        <v>0</v>
      </c>
      <c r="DW40" s="156">
        <f t="shared" si="75"/>
        <v>0</v>
      </c>
      <c r="DX40" s="18">
        <f t="shared" si="76"/>
        <v>0</v>
      </c>
      <c r="DY40" s="108"/>
      <c r="DZ40" s="40"/>
      <c r="EA40" s="40"/>
      <c r="EB40" s="40"/>
      <c r="EC40" s="156">
        <f t="shared" si="77"/>
        <v>0</v>
      </c>
      <c r="ED40" s="156">
        <f t="shared" si="78"/>
        <v>0</v>
      </c>
      <c r="EE40" s="18">
        <f t="shared" si="79"/>
        <v>0</v>
      </c>
      <c r="EF40" s="108"/>
      <c r="EG40" s="40"/>
      <c r="EH40" s="40"/>
      <c r="EI40" s="40">
        <v>3</v>
      </c>
      <c r="EJ40" s="156">
        <f t="shared" si="80"/>
        <v>0</v>
      </c>
      <c r="EK40" s="156">
        <f t="shared" si="81"/>
        <v>3</v>
      </c>
      <c r="EL40" s="18">
        <f t="shared" si="82"/>
        <v>3</v>
      </c>
      <c r="EM40" s="74">
        <f t="shared" si="83"/>
        <v>0</v>
      </c>
      <c r="EN40" s="75">
        <f t="shared" ca="1" si="84"/>
        <v>0</v>
      </c>
      <c r="EO40" s="76">
        <f t="shared" si="85"/>
        <v>3</v>
      </c>
      <c r="EP40" s="75">
        <f t="shared" ca="1" si="86"/>
        <v>9.0909090909090912E-2</v>
      </c>
      <c r="EQ40" s="76">
        <f t="shared" si="87"/>
        <v>3</v>
      </c>
      <c r="ER40" s="75">
        <f t="shared" ca="1" si="88"/>
        <v>9.0909090909090912E-2</v>
      </c>
      <c r="ES40" s="76">
        <f t="shared" si="89"/>
        <v>0</v>
      </c>
      <c r="ET40" s="76">
        <f t="shared" si="90"/>
        <v>0</v>
      </c>
      <c r="EU40" s="76">
        <f t="shared" si="91"/>
        <v>0</v>
      </c>
    </row>
    <row r="41" spans="1:151" ht="15.75" hidden="1" thickBot="1" x14ac:dyDescent="0.3">
      <c r="A41" s="217" t="s">
        <v>12</v>
      </c>
      <c r="B41" s="45" t="s">
        <v>98</v>
      </c>
      <c r="C41" s="26" t="str">
        <f t="shared" si="73"/>
        <v>רבקה מפאוג</v>
      </c>
      <c r="D41" s="36" t="s">
        <v>6</v>
      </c>
      <c r="E41" s="36" t="s">
        <v>7</v>
      </c>
      <c r="F41" s="31" t="s">
        <v>146</v>
      </c>
      <c r="G41" s="30">
        <v>43040</v>
      </c>
      <c r="H41" s="31"/>
      <c r="I41" s="73"/>
      <c r="J41" s="51"/>
      <c r="K41" s="52"/>
      <c r="L41" s="52"/>
      <c r="M41" s="52"/>
      <c r="N41" s="50">
        <f t="shared" ref="N41:O43" si="92">J41*3+L41</f>
        <v>0</v>
      </c>
      <c r="O41" s="50">
        <f t="shared" si="92"/>
        <v>0</v>
      </c>
      <c r="P41" s="15">
        <f>O41+N41</f>
        <v>0</v>
      </c>
      <c r="Q41" s="25"/>
      <c r="R41" s="27"/>
      <c r="S41" s="27"/>
      <c r="T41" s="27"/>
      <c r="U41" s="14">
        <f t="shared" ref="U41:V43" si="93">Q41*3+S41</f>
        <v>0</v>
      </c>
      <c r="V41" s="14">
        <f t="shared" si="93"/>
        <v>0</v>
      </c>
      <c r="W41" s="16">
        <f>V41+U41</f>
        <v>0</v>
      </c>
      <c r="X41" s="10"/>
      <c r="Y41" s="12"/>
      <c r="Z41" s="12"/>
      <c r="AA41" s="12"/>
      <c r="AB41" s="17">
        <f t="shared" ref="AB41:AC43" si="94">X41*3+Z41</f>
        <v>0</v>
      </c>
      <c r="AC41" s="17">
        <f t="shared" si="94"/>
        <v>0</v>
      </c>
      <c r="AD41" s="18">
        <f>AC41+AB41</f>
        <v>0</v>
      </c>
      <c r="AE41" s="25"/>
      <c r="AF41" s="27"/>
      <c r="AG41" s="27"/>
      <c r="AH41" s="27"/>
      <c r="AI41" s="14">
        <f t="shared" ref="AI41:AJ43" si="95">AE41*3+AG41</f>
        <v>0</v>
      </c>
      <c r="AJ41" s="14">
        <f t="shared" si="95"/>
        <v>0</v>
      </c>
      <c r="AK41" s="16">
        <f>AJ41+AI41</f>
        <v>0</v>
      </c>
      <c r="AL41" s="25"/>
      <c r="AM41" s="27"/>
      <c r="AN41" s="27"/>
      <c r="AO41" s="27"/>
      <c r="AP41" s="14">
        <f t="shared" ref="AP41:AQ43" si="96">AL41*3+AN41</f>
        <v>0</v>
      </c>
      <c r="AQ41" s="14">
        <f t="shared" si="96"/>
        <v>0</v>
      </c>
      <c r="AR41" s="16">
        <f>AQ41+AP41</f>
        <v>0</v>
      </c>
      <c r="AS41" s="25"/>
      <c r="AT41" s="27"/>
      <c r="AU41" s="27">
        <v>1</v>
      </c>
      <c r="AV41" s="27"/>
      <c r="AW41" s="14">
        <f t="shared" ref="AW41:AX43" si="97">AS41*3+AU41</f>
        <v>1</v>
      </c>
      <c r="AX41" s="14">
        <f t="shared" si="97"/>
        <v>0</v>
      </c>
      <c r="AY41" s="16">
        <f>AX41+AW41</f>
        <v>1</v>
      </c>
      <c r="AZ41" s="25">
        <v>1</v>
      </c>
      <c r="BA41" s="27"/>
      <c r="BB41" s="27">
        <v>2</v>
      </c>
      <c r="BC41" s="27"/>
      <c r="BD41" s="14">
        <f t="shared" ref="BD41:BE43" si="98">AZ41*3+BB41</f>
        <v>5</v>
      </c>
      <c r="BE41" s="14">
        <f t="shared" si="98"/>
        <v>0</v>
      </c>
      <c r="BF41" s="16">
        <f>BE41+BD41</f>
        <v>5</v>
      </c>
      <c r="BG41" s="47"/>
      <c r="BH41" s="53"/>
      <c r="BI41" s="27">
        <v>3</v>
      </c>
      <c r="BJ41" s="27"/>
      <c r="BK41" s="14">
        <f t="shared" ref="BK41:BL43" si="99">BG41*3+BI41</f>
        <v>3</v>
      </c>
      <c r="BL41" s="14">
        <f t="shared" si="99"/>
        <v>0</v>
      </c>
      <c r="BM41" s="39">
        <f>BL41+BK41</f>
        <v>3</v>
      </c>
      <c r="BN41" s="32"/>
      <c r="BO41" s="40"/>
      <c r="BP41" s="40">
        <v>4</v>
      </c>
      <c r="BQ41" s="40"/>
      <c r="BR41" s="14">
        <f t="shared" ref="BR41:BS43" si="100">BN41*3+BP41</f>
        <v>4</v>
      </c>
      <c r="BS41" s="14">
        <f t="shared" si="100"/>
        <v>0</v>
      </c>
      <c r="BT41" s="39">
        <f>BS41+BR41</f>
        <v>4</v>
      </c>
      <c r="BU41" s="32">
        <v>1</v>
      </c>
      <c r="BV41" s="40"/>
      <c r="BW41" s="40">
        <v>1</v>
      </c>
      <c r="BX41" s="40">
        <v>1</v>
      </c>
      <c r="BY41" s="14">
        <f t="shared" ref="BY41:BZ43" si="101">BU41*3+BW41</f>
        <v>4</v>
      </c>
      <c r="BZ41" s="14">
        <f t="shared" si="101"/>
        <v>1</v>
      </c>
      <c r="CA41" s="39">
        <f>BZ41+BY41</f>
        <v>5</v>
      </c>
      <c r="CB41" s="32">
        <v>1</v>
      </c>
      <c r="CC41" s="40"/>
      <c r="CD41" s="40"/>
      <c r="CE41" s="79"/>
      <c r="CF41" s="14">
        <f t="shared" ref="CF41:CG43" si="102">CB41*3+CD41</f>
        <v>3</v>
      </c>
      <c r="CG41" s="14">
        <f t="shared" si="102"/>
        <v>0</v>
      </c>
      <c r="CH41" s="39">
        <f>CG41+CF41</f>
        <v>3</v>
      </c>
      <c r="CI41" s="40"/>
      <c r="CJ41" s="40"/>
      <c r="CK41" s="40"/>
      <c r="CL41" s="83"/>
      <c r="CM41" s="14">
        <f t="shared" ref="CM41:CN43" si="103">CI41*3+CK41</f>
        <v>0</v>
      </c>
      <c r="CN41" s="14">
        <f t="shared" si="103"/>
        <v>0</v>
      </c>
      <c r="CO41" s="39">
        <f>CN41+CM41</f>
        <v>0</v>
      </c>
      <c r="CP41" s="108"/>
      <c r="CQ41" s="40"/>
      <c r="CR41" s="40">
        <v>2</v>
      </c>
      <c r="CS41" s="40">
        <v>1</v>
      </c>
      <c r="CT41" s="14">
        <f t="shared" ref="CT41:CU43" si="104">CP41*3+CR41</f>
        <v>2</v>
      </c>
      <c r="CU41" s="14">
        <f t="shared" si="104"/>
        <v>1</v>
      </c>
      <c r="CV41" s="39">
        <f>CU41+CT41</f>
        <v>3</v>
      </c>
      <c r="CW41" s="32">
        <v>1</v>
      </c>
      <c r="CX41" s="40"/>
      <c r="CY41" s="40">
        <v>1</v>
      </c>
      <c r="CZ41" s="40"/>
      <c r="DA41" s="17">
        <f t="shared" ref="DA41:DB43" si="105">CW41*3+CY41</f>
        <v>4</v>
      </c>
      <c r="DB41" s="17">
        <f t="shared" si="105"/>
        <v>0</v>
      </c>
      <c r="DC41" s="18">
        <f>DB41+DA41</f>
        <v>4</v>
      </c>
      <c r="DD41" s="108"/>
      <c r="DE41" s="40">
        <v>1</v>
      </c>
      <c r="DF41" s="40">
        <v>1</v>
      </c>
      <c r="DG41" s="40"/>
      <c r="DH41" s="156">
        <f t="shared" ref="DH41:DH50" si="106">DD41*3+DF41</f>
        <v>1</v>
      </c>
      <c r="DI41" s="156">
        <f t="shared" ref="DI41:DI50" si="107">DE41*3+DG41</f>
        <v>3</v>
      </c>
      <c r="DJ41" s="18">
        <f t="shared" ref="DJ41:DJ50" si="108">DI41+DH41</f>
        <v>4</v>
      </c>
      <c r="DK41" s="108">
        <v>1</v>
      </c>
      <c r="DL41" s="40"/>
      <c r="DM41" s="40"/>
      <c r="DN41" s="40"/>
      <c r="DO41" s="156">
        <f t="shared" ref="DO41:DO50" si="109">DK41*3+DM41</f>
        <v>3</v>
      </c>
      <c r="DP41" s="156">
        <f t="shared" ref="DP41:DP50" si="110">DL41*3+DN41</f>
        <v>0</v>
      </c>
      <c r="DQ41" s="18">
        <f t="shared" ref="DQ41:DQ50" si="111">DP41+DO41</f>
        <v>3</v>
      </c>
      <c r="DR41" s="108"/>
      <c r="DS41" s="40"/>
      <c r="DT41" s="40">
        <v>2</v>
      </c>
      <c r="DU41" s="40"/>
      <c r="DV41" s="156">
        <f t="shared" si="74"/>
        <v>2</v>
      </c>
      <c r="DW41" s="156">
        <f t="shared" si="75"/>
        <v>0</v>
      </c>
      <c r="DX41" s="18">
        <f t="shared" si="76"/>
        <v>2</v>
      </c>
      <c r="DY41" s="108"/>
      <c r="DZ41" s="40"/>
      <c r="EA41" s="40">
        <v>4</v>
      </c>
      <c r="EB41" s="40">
        <v>1</v>
      </c>
      <c r="EC41" s="156">
        <f t="shared" si="77"/>
        <v>4</v>
      </c>
      <c r="ED41" s="156">
        <f t="shared" si="78"/>
        <v>1</v>
      </c>
      <c r="EE41" s="18">
        <f t="shared" si="79"/>
        <v>5</v>
      </c>
      <c r="EF41" s="108">
        <v>1</v>
      </c>
      <c r="EG41" s="40"/>
      <c r="EH41" s="40"/>
      <c r="EI41" s="40"/>
      <c r="EJ41" s="156">
        <f t="shared" si="80"/>
        <v>3</v>
      </c>
      <c r="EK41" s="156">
        <f t="shared" si="81"/>
        <v>0</v>
      </c>
      <c r="EL41" s="18">
        <f t="shared" si="82"/>
        <v>3</v>
      </c>
      <c r="EM41" s="74">
        <f t="shared" si="83"/>
        <v>39</v>
      </c>
      <c r="EN41" s="75">
        <f t="shared" ca="1" si="84"/>
        <v>9.11214953271028E-2</v>
      </c>
      <c r="EO41" s="76">
        <f t="shared" si="85"/>
        <v>6</v>
      </c>
      <c r="EP41" s="75">
        <f t="shared" ca="1" si="86"/>
        <v>1.4018691588785047E-2</v>
      </c>
      <c r="EQ41" s="76">
        <f t="shared" si="87"/>
        <v>45</v>
      </c>
      <c r="ER41" s="75">
        <f t="shared" ca="1" si="88"/>
        <v>0.10514018691588785</v>
      </c>
      <c r="ES41" s="76">
        <f t="shared" si="89"/>
        <v>6</v>
      </c>
      <c r="ET41" s="76">
        <f t="shared" si="90"/>
        <v>1</v>
      </c>
      <c r="EU41" s="76">
        <f t="shared" si="91"/>
        <v>7</v>
      </c>
    </row>
    <row r="42" spans="1:151" ht="15.75" hidden="1" thickBot="1" x14ac:dyDescent="0.3">
      <c r="A42" s="47">
        <v>679</v>
      </c>
      <c r="B42" s="85" t="s">
        <v>11</v>
      </c>
      <c r="C42" s="85" t="str">
        <f t="shared" si="73"/>
        <v>שיר 679</v>
      </c>
      <c r="D42" s="36" t="s">
        <v>6</v>
      </c>
      <c r="E42" s="12" t="s">
        <v>7</v>
      </c>
      <c r="F42" s="31" t="s">
        <v>143</v>
      </c>
      <c r="G42" s="30">
        <v>42917</v>
      </c>
      <c r="H42" s="19">
        <v>43558</v>
      </c>
      <c r="I42" s="73"/>
      <c r="J42" s="51"/>
      <c r="K42" s="52"/>
      <c r="L42" s="52"/>
      <c r="M42" s="52"/>
      <c r="N42" s="50">
        <f t="shared" si="92"/>
        <v>0</v>
      </c>
      <c r="O42" s="50">
        <f t="shared" si="92"/>
        <v>0</v>
      </c>
      <c r="P42" s="15">
        <f>O42+N42</f>
        <v>0</v>
      </c>
      <c r="Q42" s="25">
        <v>1</v>
      </c>
      <c r="R42" s="27"/>
      <c r="S42" s="27"/>
      <c r="T42" s="27"/>
      <c r="U42" s="14">
        <f t="shared" si="93"/>
        <v>3</v>
      </c>
      <c r="V42" s="14">
        <f t="shared" si="93"/>
        <v>0</v>
      </c>
      <c r="W42" s="16">
        <f>V42+U42</f>
        <v>3</v>
      </c>
      <c r="X42" s="10">
        <v>1</v>
      </c>
      <c r="Y42" s="12"/>
      <c r="Z42" s="12">
        <v>1</v>
      </c>
      <c r="AA42" s="12"/>
      <c r="AB42" s="17">
        <f t="shared" si="94"/>
        <v>4</v>
      </c>
      <c r="AC42" s="17">
        <f t="shared" si="94"/>
        <v>0</v>
      </c>
      <c r="AD42" s="18">
        <f>AC42+AB42</f>
        <v>4</v>
      </c>
      <c r="AE42" s="25"/>
      <c r="AF42" s="27"/>
      <c r="AG42" s="27">
        <v>1</v>
      </c>
      <c r="AH42" s="27">
        <v>2</v>
      </c>
      <c r="AI42" s="14">
        <f t="shared" si="95"/>
        <v>1</v>
      </c>
      <c r="AJ42" s="14">
        <f t="shared" si="95"/>
        <v>2</v>
      </c>
      <c r="AK42" s="16">
        <f>AJ42+AI42</f>
        <v>3</v>
      </c>
      <c r="AL42" s="25"/>
      <c r="AM42" s="27"/>
      <c r="AN42" s="27">
        <v>2</v>
      </c>
      <c r="AO42" s="27"/>
      <c r="AP42" s="14">
        <f t="shared" si="96"/>
        <v>2</v>
      </c>
      <c r="AQ42" s="14">
        <f t="shared" si="96"/>
        <v>0</v>
      </c>
      <c r="AR42" s="16">
        <f>AQ42+AP42</f>
        <v>2</v>
      </c>
      <c r="AS42" s="25"/>
      <c r="AT42" s="27"/>
      <c r="AU42" s="27">
        <v>3</v>
      </c>
      <c r="AV42" s="27"/>
      <c r="AW42" s="14">
        <f t="shared" si="97"/>
        <v>3</v>
      </c>
      <c r="AX42" s="14">
        <f t="shared" si="97"/>
        <v>0</v>
      </c>
      <c r="AY42" s="16">
        <f>AX42+AW42</f>
        <v>3</v>
      </c>
      <c r="AZ42" s="25">
        <v>1</v>
      </c>
      <c r="BA42" s="27"/>
      <c r="BB42" s="27">
        <v>1</v>
      </c>
      <c r="BC42" s="27">
        <v>1</v>
      </c>
      <c r="BD42" s="14">
        <f t="shared" si="98"/>
        <v>4</v>
      </c>
      <c r="BE42" s="14">
        <f t="shared" si="98"/>
        <v>1</v>
      </c>
      <c r="BF42" s="16">
        <f>BE42+BD42</f>
        <v>5</v>
      </c>
      <c r="BG42" s="47">
        <v>1</v>
      </c>
      <c r="BH42" s="53"/>
      <c r="BI42" s="53">
        <v>1</v>
      </c>
      <c r="BJ42" s="27">
        <v>1</v>
      </c>
      <c r="BK42" s="14">
        <f t="shared" si="99"/>
        <v>4</v>
      </c>
      <c r="BL42" s="14">
        <f t="shared" si="99"/>
        <v>1</v>
      </c>
      <c r="BM42" s="39">
        <f>BL42+BK42</f>
        <v>5</v>
      </c>
      <c r="BN42" s="32"/>
      <c r="BO42" s="40"/>
      <c r="BP42" s="40"/>
      <c r="BQ42" s="40">
        <v>2</v>
      </c>
      <c r="BR42" s="14">
        <f t="shared" si="100"/>
        <v>0</v>
      </c>
      <c r="BS42" s="14">
        <f t="shared" si="100"/>
        <v>2</v>
      </c>
      <c r="BT42" s="39">
        <f>BS42+BR42</f>
        <v>2</v>
      </c>
      <c r="BU42" s="32"/>
      <c r="BV42" s="40">
        <v>1</v>
      </c>
      <c r="BW42" s="40"/>
      <c r="BX42" s="40">
        <v>2</v>
      </c>
      <c r="BY42" s="14">
        <f t="shared" si="101"/>
        <v>0</v>
      </c>
      <c r="BZ42" s="14">
        <f t="shared" si="101"/>
        <v>5</v>
      </c>
      <c r="CA42" s="39">
        <f>BZ42+BY42</f>
        <v>5</v>
      </c>
      <c r="CB42" s="32"/>
      <c r="CC42" s="40">
        <v>1</v>
      </c>
      <c r="CD42" s="40"/>
      <c r="CE42" s="79"/>
      <c r="CF42" s="14">
        <f t="shared" si="102"/>
        <v>0</v>
      </c>
      <c r="CG42" s="14">
        <f t="shared" si="102"/>
        <v>3</v>
      </c>
      <c r="CH42" s="39">
        <f>CG42+CF42</f>
        <v>3</v>
      </c>
      <c r="CI42" s="40"/>
      <c r="CJ42" s="40"/>
      <c r="CK42" s="40">
        <v>1</v>
      </c>
      <c r="CL42" s="83"/>
      <c r="CM42" s="14">
        <f t="shared" si="103"/>
        <v>1</v>
      </c>
      <c r="CN42" s="14">
        <f t="shared" si="103"/>
        <v>0</v>
      </c>
      <c r="CO42" s="39">
        <f>CN42+CM42</f>
        <v>1</v>
      </c>
      <c r="CP42" s="108"/>
      <c r="CQ42" s="40">
        <v>1</v>
      </c>
      <c r="CR42" s="40"/>
      <c r="CS42" s="40">
        <v>1</v>
      </c>
      <c r="CT42" s="14">
        <f t="shared" si="104"/>
        <v>0</v>
      </c>
      <c r="CU42" s="14">
        <f t="shared" si="104"/>
        <v>4</v>
      </c>
      <c r="CV42" s="39">
        <f>CU42+CT42</f>
        <v>4</v>
      </c>
      <c r="CW42" s="32"/>
      <c r="CX42" s="40"/>
      <c r="CY42" s="40"/>
      <c r="CZ42" s="40">
        <v>1</v>
      </c>
      <c r="DA42" s="17">
        <f t="shared" si="105"/>
        <v>0</v>
      </c>
      <c r="DB42" s="17">
        <f t="shared" si="105"/>
        <v>1</v>
      </c>
      <c r="DC42" s="18">
        <f>DB42+DA42</f>
        <v>1</v>
      </c>
      <c r="DD42" s="108"/>
      <c r="DE42" s="40"/>
      <c r="DF42" s="40">
        <v>1</v>
      </c>
      <c r="DG42" s="40">
        <v>3</v>
      </c>
      <c r="DH42" s="156">
        <f t="shared" si="106"/>
        <v>1</v>
      </c>
      <c r="DI42" s="156">
        <f t="shared" si="107"/>
        <v>3</v>
      </c>
      <c r="DJ42" s="18">
        <f t="shared" si="108"/>
        <v>4</v>
      </c>
      <c r="DK42" s="108"/>
      <c r="DL42" s="40"/>
      <c r="DM42" s="40">
        <v>2</v>
      </c>
      <c r="DN42" s="40">
        <v>1</v>
      </c>
      <c r="DO42" s="156">
        <f t="shared" si="109"/>
        <v>2</v>
      </c>
      <c r="DP42" s="156">
        <f t="shared" si="110"/>
        <v>1</v>
      </c>
      <c r="DQ42" s="18">
        <f t="shared" si="111"/>
        <v>3</v>
      </c>
      <c r="DR42" s="108">
        <v>1</v>
      </c>
      <c r="DS42" s="40"/>
      <c r="DT42" s="40"/>
      <c r="DU42" s="40"/>
      <c r="DV42" s="156">
        <f t="shared" si="74"/>
        <v>3</v>
      </c>
      <c r="DW42" s="156">
        <f t="shared" si="75"/>
        <v>0</v>
      </c>
      <c r="DX42" s="18">
        <f t="shared" si="76"/>
        <v>3</v>
      </c>
      <c r="DY42" s="108"/>
      <c r="DZ42" s="40"/>
      <c r="EA42" s="40">
        <v>3</v>
      </c>
      <c r="EB42" s="40">
        <v>1</v>
      </c>
      <c r="EC42" s="156">
        <f t="shared" si="77"/>
        <v>3</v>
      </c>
      <c r="ED42" s="156">
        <f t="shared" si="78"/>
        <v>1</v>
      </c>
      <c r="EE42" s="18">
        <f t="shared" si="79"/>
        <v>4</v>
      </c>
      <c r="EF42" s="108">
        <v>1</v>
      </c>
      <c r="EG42" s="40"/>
      <c r="EH42" s="40"/>
      <c r="EI42" s="40"/>
      <c r="EJ42" s="156">
        <f t="shared" si="80"/>
        <v>3</v>
      </c>
      <c r="EK42" s="156">
        <f t="shared" si="81"/>
        <v>0</v>
      </c>
      <c r="EL42" s="18">
        <f t="shared" si="82"/>
        <v>3</v>
      </c>
      <c r="EM42" s="74">
        <f t="shared" si="83"/>
        <v>34</v>
      </c>
      <c r="EN42" s="75">
        <f t="shared" ca="1" si="84"/>
        <v>6.1705989110707807E-2</v>
      </c>
      <c r="EO42" s="76">
        <f t="shared" si="85"/>
        <v>24</v>
      </c>
      <c r="EP42" s="75">
        <f t="shared" ca="1" si="86"/>
        <v>4.3557168784029036E-2</v>
      </c>
      <c r="EQ42" s="76">
        <f t="shared" si="87"/>
        <v>58</v>
      </c>
      <c r="ER42" s="75">
        <f t="shared" ca="1" si="88"/>
        <v>0.10526315789473684</v>
      </c>
      <c r="ES42" s="76">
        <f t="shared" si="89"/>
        <v>7</v>
      </c>
      <c r="ET42" s="76">
        <f t="shared" si="90"/>
        <v>3</v>
      </c>
      <c r="EU42" s="76">
        <f t="shared" si="91"/>
        <v>10</v>
      </c>
    </row>
    <row r="43" spans="1:151" ht="15.75" hidden="1" thickBot="1" x14ac:dyDescent="0.3">
      <c r="A43" s="25">
        <v>474</v>
      </c>
      <c r="B43" s="45" t="s">
        <v>123</v>
      </c>
      <c r="C43" s="26" t="str">
        <f t="shared" si="73"/>
        <v>אתי 474</v>
      </c>
      <c r="D43" s="36" t="s">
        <v>6</v>
      </c>
      <c r="E43" s="36" t="s">
        <v>7</v>
      </c>
      <c r="F43" s="31" t="s">
        <v>147</v>
      </c>
      <c r="G43" s="30">
        <v>43101</v>
      </c>
      <c r="H43" s="31"/>
      <c r="I43" s="73"/>
      <c r="J43" s="51"/>
      <c r="K43" s="52"/>
      <c r="L43" s="52"/>
      <c r="M43" s="52"/>
      <c r="N43" s="50">
        <f t="shared" si="92"/>
        <v>0</v>
      </c>
      <c r="O43" s="50">
        <f t="shared" si="92"/>
        <v>0</v>
      </c>
      <c r="P43" s="15">
        <f>O43+N43</f>
        <v>0</v>
      </c>
      <c r="Q43" s="25"/>
      <c r="R43" s="27"/>
      <c r="S43" s="27"/>
      <c r="T43" s="27"/>
      <c r="U43" s="14">
        <f t="shared" si="93"/>
        <v>0</v>
      </c>
      <c r="V43" s="14">
        <f t="shared" si="93"/>
        <v>0</v>
      </c>
      <c r="W43" s="16">
        <f>V43+U43</f>
        <v>0</v>
      </c>
      <c r="X43" s="10"/>
      <c r="Y43" s="12"/>
      <c r="Z43" s="12"/>
      <c r="AA43" s="12"/>
      <c r="AB43" s="17">
        <f t="shared" si="94"/>
        <v>0</v>
      </c>
      <c r="AC43" s="17">
        <f t="shared" si="94"/>
        <v>0</v>
      </c>
      <c r="AD43" s="18">
        <f>AC43+AB43</f>
        <v>0</v>
      </c>
      <c r="AE43" s="25"/>
      <c r="AF43" s="27"/>
      <c r="AG43" s="27"/>
      <c r="AH43" s="27"/>
      <c r="AI43" s="14">
        <f t="shared" si="95"/>
        <v>0</v>
      </c>
      <c r="AJ43" s="14">
        <f t="shared" si="95"/>
        <v>0</v>
      </c>
      <c r="AK43" s="16">
        <f>AJ43+AI43</f>
        <v>0</v>
      </c>
      <c r="AL43" s="25"/>
      <c r="AM43" s="27"/>
      <c r="AN43" s="27"/>
      <c r="AO43" s="27"/>
      <c r="AP43" s="14">
        <f t="shared" si="96"/>
        <v>0</v>
      </c>
      <c r="AQ43" s="14">
        <f t="shared" si="96"/>
        <v>0</v>
      </c>
      <c r="AR43" s="16">
        <f>AQ43+AP43</f>
        <v>0</v>
      </c>
      <c r="AS43" s="25"/>
      <c r="AT43" s="27"/>
      <c r="AU43" s="27"/>
      <c r="AV43" s="27"/>
      <c r="AW43" s="14">
        <f t="shared" si="97"/>
        <v>0</v>
      </c>
      <c r="AX43" s="14">
        <f t="shared" si="97"/>
        <v>0</v>
      </c>
      <c r="AY43" s="16">
        <f>AX43+AW43</f>
        <v>0</v>
      </c>
      <c r="AZ43" s="25"/>
      <c r="BA43" s="27"/>
      <c r="BB43" s="27"/>
      <c r="BC43" s="27"/>
      <c r="BD43" s="14">
        <f t="shared" si="98"/>
        <v>0</v>
      </c>
      <c r="BE43" s="14">
        <f t="shared" si="98"/>
        <v>0</v>
      </c>
      <c r="BF43" s="16">
        <f>BE43+BD43</f>
        <v>0</v>
      </c>
      <c r="BG43" s="47">
        <v>1</v>
      </c>
      <c r="BH43" s="53"/>
      <c r="BI43" s="27"/>
      <c r="BJ43" s="27"/>
      <c r="BK43" s="14">
        <f t="shared" si="99"/>
        <v>3</v>
      </c>
      <c r="BL43" s="14">
        <f t="shared" si="99"/>
        <v>0</v>
      </c>
      <c r="BM43" s="39">
        <f>BL43+BK43</f>
        <v>3</v>
      </c>
      <c r="BN43" s="32"/>
      <c r="BO43" s="40"/>
      <c r="BP43" s="40">
        <v>4</v>
      </c>
      <c r="BQ43" s="40"/>
      <c r="BR43" s="14">
        <f t="shared" si="100"/>
        <v>4</v>
      </c>
      <c r="BS43" s="14">
        <f t="shared" si="100"/>
        <v>0</v>
      </c>
      <c r="BT43" s="39">
        <f>BS43+BR43</f>
        <v>4</v>
      </c>
      <c r="BU43" s="32"/>
      <c r="BV43" s="40"/>
      <c r="BW43" s="40">
        <v>3</v>
      </c>
      <c r="BX43" s="40"/>
      <c r="BY43" s="14">
        <f t="shared" si="101"/>
        <v>3</v>
      </c>
      <c r="BZ43" s="14">
        <f t="shared" si="101"/>
        <v>0</v>
      </c>
      <c r="CA43" s="39">
        <f>BZ43+BY43</f>
        <v>3</v>
      </c>
      <c r="CB43" s="32">
        <v>1</v>
      </c>
      <c r="CC43" s="40"/>
      <c r="CD43" s="40">
        <v>1</v>
      </c>
      <c r="CE43" s="79"/>
      <c r="CF43" s="14">
        <f t="shared" si="102"/>
        <v>4</v>
      </c>
      <c r="CG43" s="14">
        <f t="shared" si="102"/>
        <v>0</v>
      </c>
      <c r="CH43" s="39">
        <f>CG43+CF43</f>
        <v>4</v>
      </c>
      <c r="CI43" s="40"/>
      <c r="CJ43" s="40"/>
      <c r="CK43" s="40">
        <v>1</v>
      </c>
      <c r="CL43" s="83">
        <v>1</v>
      </c>
      <c r="CM43" s="14">
        <f t="shared" si="103"/>
        <v>1</v>
      </c>
      <c r="CN43" s="14">
        <f t="shared" si="103"/>
        <v>1</v>
      </c>
      <c r="CO43" s="39">
        <f>CN43+CM43</f>
        <v>2</v>
      </c>
      <c r="CP43" s="108">
        <v>1</v>
      </c>
      <c r="CQ43" s="40"/>
      <c r="CR43" s="40">
        <v>1</v>
      </c>
      <c r="CS43" s="40"/>
      <c r="CT43" s="14">
        <f t="shared" si="104"/>
        <v>4</v>
      </c>
      <c r="CU43" s="14">
        <f t="shared" si="104"/>
        <v>0</v>
      </c>
      <c r="CV43" s="39">
        <f>CU43+CT43</f>
        <v>4</v>
      </c>
      <c r="CW43" s="32"/>
      <c r="CX43" s="40"/>
      <c r="CY43" s="40">
        <v>2</v>
      </c>
      <c r="CZ43" s="40"/>
      <c r="DA43" s="17">
        <f t="shared" si="105"/>
        <v>2</v>
      </c>
      <c r="DB43" s="17">
        <f t="shared" si="105"/>
        <v>0</v>
      </c>
      <c r="DC43" s="18">
        <f>DB43+DA43</f>
        <v>2</v>
      </c>
      <c r="DD43" s="108">
        <v>1</v>
      </c>
      <c r="DE43" s="40"/>
      <c r="DF43" s="40"/>
      <c r="DG43" s="40">
        <v>2</v>
      </c>
      <c r="DH43" s="156">
        <f t="shared" si="106"/>
        <v>3</v>
      </c>
      <c r="DI43" s="156">
        <f t="shared" si="107"/>
        <v>2</v>
      </c>
      <c r="DJ43" s="18">
        <f t="shared" si="108"/>
        <v>5</v>
      </c>
      <c r="DK43" s="108">
        <v>1</v>
      </c>
      <c r="DL43" s="40"/>
      <c r="DM43" s="40"/>
      <c r="DN43" s="40"/>
      <c r="DO43" s="156">
        <f t="shared" si="109"/>
        <v>3</v>
      </c>
      <c r="DP43" s="156">
        <f t="shared" si="110"/>
        <v>0</v>
      </c>
      <c r="DQ43" s="18">
        <f t="shared" si="111"/>
        <v>3</v>
      </c>
      <c r="DR43" s="108"/>
      <c r="DS43" s="40"/>
      <c r="DT43" s="40">
        <v>1</v>
      </c>
      <c r="DU43" s="40">
        <v>1</v>
      </c>
      <c r="DV43" s="156">
        <f t="shared" si="74"/>
        <v>1</v>
      </c>
      <c r="DW43" s="156">
        <f t="shared" si="75"/>
        <v>1</v>
      </c>
      <c r="DX43" s="18">
        <f t="shared" si="76"/>
        <v>2</v>
      </c>
      <c r="DY43" s="108"/>
      <c r="DZ43" s="40">
        <v>1</v>
      </c>
      <c r="EA43" s="40">
        <v>1</v>
      </c>
      <c r="EB43" s="40"/>
      <c r="EC43" s="156">
        <f t="shared" si="77"/>
        <v>1</v>
      </c>
      <c r="ED43" s="156">
        <f t="shared" si="78"/>
        <v>3</v>
      </c>
      <c r="EE43" s="18">
        <f t="shared" si="79"/>
        <v>4</v>
      </c>
      <c r="EF43" s="108">
        <v>1</v>
      </c>
      <c r="EG43" s="40"/>
      <c r="EH43" s="40">
        <v>1</v>
      </c>
      <c r="EI43" s="40"/>
      <c r="EJ43" s="156">
        <f t="shared" si="80"/>
        <v>4</v>
      </c>
      <c r="EK43" s="156">
        <f t="shared" si="81"/>
        <v>0</v>
      </c>
      <c r="EL43" s="18">
        <f t="shared" si="82"/>
        <v>4</v>
      </c>
      <c r="EM43" s="74">
        <f t="shared" si="83"/>
        <v>33</v>
      </c>
      <c r="EN43" s="75">
        <f t="shared" ca="1" si="84"/>
        <v>8.9918256130790186E-2</v>
      </c>
      <c r="EO43" s="76">
        <f t="shared" si="85"/>
        <v>7</v>
      </c>
      <c r="EP43" s="75">
        <f t="shared" ca="1" si="86"/>
        <v>1.9073569482288829E-2</v>
      </c>
      <c r="EQ43" s="76">
        <f t="shared" si="87"/>
        <v>40</v>
      </c>
      <c r="ER43" s="75">
        <f t="shared" ca="1" si="88"/>
        <v>0.10899182561307902</v>
      </c>
      <c r="ES43" s="76">
        <f t="shared" si="89"/>
        <v>6</v>
      </c>
      <c r="ET43" s="76">
        <f t="shared" si="90"/>
        <v>1</v>
      </c>
      <c r="EU43" s="76">
        <f t="shared" si="91"/>
        <v>7</v>
      </c>
    </row>
    <row r="44" spans="1:151" x14ac:dyDescent="0.25">
      <c r="A44" s="47">
        <v>9</v>
      </c>
      <c r="B44" s="250" t="s">
        <v>262</v>
      </c>
      <c r="C44" s="85" t="str">
        <f t="shared" si="73"/>
        <v>מתן 9</v>
      </c>
      <c r="D44" s="36" t="s">
        <v>6</v>
      </c>
      <c r="E44" s="36" t="s">
        <v>6</v>
      </c>
      <c r="F44" s="31" t="s">
        <v>259</v>
      </c>
      <c r="G44" s="30">
        <v>43344</v>
      </c>
      <c r="H44" s="31"/>
      <c r="I44" s="54"/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53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32"/>
      <c r="CC44" s="40"/>
      <c r="CD44" s="40"/>
      <c r="CE44" s="79"/>
      <c r="CF44" s="14"/>
      <c r="CG44" s="14"/>
      <c r="CH44" s="39"/>
      <c r="CI44" s="40"/>
      <c r="CJ44" s="40"/>
      <c r="CK44" s="40"/>
      <c r="CL44" s="83"/>
      <c r="CM44" s="14"/>
      <c r="CN44" s="14"/>
      <c r="CO44" s="39"/>
      <c r="CP44" s="108"/>
      <c r="CQ44" s="40"/>
      <c r="CR44" s="40"/>
      <c r="CS44" s="40"/>
      <c r="CT44" s="14"/>
      <c r="CU44" s="14"/>
      <c r="CV44" s="39"/>
      <c r="CW44" s="32"/>
      <c r="CX44" s="40"/>
      <c r="CY44" s="40"/>
      <c r="CZ44" s="40"/>
      <c r="DA44" s="17"/>
      <c r="DB44" s="17"/>
      <c r="DC44" s="18"/>
      <c r="DD44" s="108"/>
      <c r="DE44" s="40"/>
      <c r="DF44" s="40"/>
      <c r="DG44" s="40"/>
      <c r="DH44" s="156">
        <f t="shared" si="106"/>
        <v>0</v>
      </c>
      <c r="DI44" s="156">
        <f t="shared" si="107"/>
        <v>0</v>
      </c>
      <c r="DJ44" s="18">
        <f t="shared" si="108"/>
        <v>0</v>
      </c>
      <c r="DK44" s="108"/>
      <c r="DL44" s="40"/>
      <c r="DM44" s="40">
        <v>2</v>
      </c>
      <c r="DN44" s="40"/>
      <c r="DO44" s="156">
        <f t="shared" si="109"/>
        <v>2</v>
      </c>
      <c r="DP44" s="156">
        <f t="shared" si="110"/>
        <v>0</v>
      </c>
      <c r="DQ44" s="18">
        <f t="shared" si="111"/>
        <v>2</v>
      </c>
      <c r="DR44" s="108">
        <v>1</v>
      </c>
      <c r="DS44" s="40"/>
      <c r="DT44" s="40">
        <v>1</v>
      </c>
      <c r="DU44" s="40"/>
      <c r="DV44" s="156">
        <f t="shared" si="74"/>
        <v>4</v>
      </c>
      <c r="DW44" s="156">
        <f t="shared" si="75"/>
        <v>0</v>
      </c>
      <c r="DX44" s="18">
        <f t="shared" si="76"/>
        <v>4</v>
      </c>
      <c r="DY44" s="108"/>
      <c r="DZ44" s="40"/>
      <c r="EA44" s="40">
        <v>2</v>
      </c>
      <c r="EB44" s="40">
        <v>1</v>
      </c>
      <c r="EC44" s="156">
        <f t="shared" si="77"/>
        <v>2</v>
      </c>
      <c r="ED44" s="156">
        <f t="shared" si="78"/>
        <v>1</v>
      </c>
      <c r="EE44" s="18">
        <f t="shared" si="79"/>
        <v>3</v>
      </c>
      <c r="EF44" s="108">
        <v>1</v>
      </c>
      <c r="EG44" s="40"/>
      <c r="EH44" s="40"/>
      <c r="EI44" s="40">
        <v>1</v>
      </c>
      <c r="EJ44" s="156">
        <f t="shared" si="80"/>
        <v>3</v>
      </c>
      <c r="EK44" s="156">
        <f t="shared" si="81"/>
        <v>1</v>
      </c>
      <c r="EL44" s="18">
        <f t="shared" si="82"/>
        <v>4</v>
      </c>
      <c r="EM44" s="74">
        <f t="shared" si="83"/>
        <v>11</v>
      </c>
      <c r="EN44" s="75">
        <f t="shared" ca="1" si="84"/>
        <v>8.8709677419354843E-2</v>
      </c>
      <c r="EO44" s="76">
        <f t="shared" si="85"/>
        <v>2</v>
      </c>
      <c r="EP44" s="75">
        <f t="shared" ca="1" si="86"/>
        <v>1.6129032258064516E-2</v>
      </c>
      <c r="EQ44" s="76">
        <f t="shared" si="87"/>
        <v>13</v>
      </c>
      <c r="ER44" s="75">
        <f t="shared" ca="1" si="88"/>
        <v>0.10483870967741936</v>
      </c>
      <c r="ES44" s="76">
        <f t="shared" si="89"/>
        <v>2</v>
      </c>
      <c r="ET44" s="76">
        <f t="shared" si="90"/>
        <v>0</v>
      </c>
      <c r="EU44" s="76">
        <f t="shared" si="91"/>
        <v>2</v>
      </c>
    </row>
    <row r="45" spans="1:151" hidden="1" x14ac:dyDescent="0.25">
      <c r="A45" s="47" t="s">
        <v>63</v>
      </c>
      <c r="B45" s="250" t="s">
        <v>8</v>
      </c>
      <c r="C45" s="85" t="str">
        <f t="shared" si="73"/>
        <v>עדן אחודה</v>
      </c>
      <c r="D45" s="36" t="s">
        <v>6</v>
      </c>
      <c r="E45" s="36" t="s">
        <v>7</v>
      </c>
      <c r="F45" s="31" t="s">
        <v>158</v>
      </c>
      <c r="G45" s="30">
        <v>43160</v>
      </c>
      <c r="H45" s="31"/>
      <c r="I45" s="73"/>
      <c r="J45" s="51"/>
      <c r="K45" s="52"/>
      <c r="L45" s="52"/>
      <c r="M45" s="52"/>
      <c r="N45" s="50">
        <f>J45*3+L45</f>
        <v>0</v>
      </c>
      <c r="O45" s="50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10"/>
      <c r="Y45" s="12"/>
      <c r="Z45" s="12"/>
      <c r="AA45" s="12"/>
      <c r="AB45" s="17">
        <f>X45*3+Z45</f>
        <v>0</v>
      </c>
      <c r="AC45" s="17">
        <f>Y45*3+AA45</f>
        <v>0</v>
      </c>
      <c r="AD45" s="18">
        <f>AC45+AB45</f>
        <v>0</v>
      </c>
      <c r="AE45" s="25"/>
      <c r="AF45" s="27"/>
      <c r="AG45" s="27"/>
      <c r="AH45" s="27"/>
      <c r="AI45" s="14">
        <f>AE45*3+AG45</f>
        <v>0</v>
      </c>
      <c r="AJ45" s="14">
        <f>AF45*3+AH45</f>
        <v>0</v>
      </c>
      <c r="AK45" s="16">
        <f>AJ45+AI45</f>
        <v>0</v>
      </c>
      <c r="AL45" s="25"/>
      <c r="AM45" s="27"/>
      <c r="AN45" s="27"/>
      <c r="AO45" s="27"/>
      <c r="AP45" s="14">
        <f>AL45*3+AN45</f>
        <v>0</v>
      </c>
      <c r="AQ45" s="14">
        <f>AM45*3+AO45</f>
        <v>0</v>
      </c>
      <c r="AR45" s="16">
        <f>AQ45+AP45</f>
        <v>0</v>
      </c>
      <c r="AS45" s="25"/>
      <c r="AT45" s="27"/>
      <c r="AU45" s="27"/>
      <c r="AV45" s="27"/>
      <c r="AW45" s="14">
        <f>AS45*3+AU45</f>
        <v>0</v>
      </c>
      <c r="AX45" s="14">
        <f>AT45*3+AV45</f>
        <v>0</v>
      </c>
      <c r="AY45" s="16">
        <f>AX45+AW45</f>
        <v>0</v>
      </c>
      <c r="AZ45" s="25"/>
      <c r="BA45" s="27"/>
      <c r="BB45" s="27"/>
      <c r="BC45" s="27"/>
      <c r="BD45" s="14">
        <f>AZ45*3+BB45</f>
        <v>0</v>
      </c>
      <c r="BE45" s="14">
        <f>BA45*3+BC45</f>
        <v>0</v>
      </c>
      <c r="BF45" s="16">
        <f>BE45+BD45</f>
        <v>0</v>
      </c>
      <c r="BG45" s="47"/>
      <c r="BH45" s="53"/>
      <c r="BI45" s="27"/>
      <c r="BJ45" s="27"/>
      <c r="BK45" s="14">
        <f>BG45*3+BI45</f>
        <v>0</v>
      </c>
      <c r="BL45" s="14">
        <f>BH45*3+BJ45</f>
        <v>0</v>
      </c>
      <c r="BM45" s="39">
        <f>BL45+BK45</f>
        <v>0</v>
      </c>
      <c r="BN45" s="32"/>
      <c r="BO45" s="40"/>
      <c r="BP45" s="40"/>
      <c r="BQ45" s="40"/>
      <c r="BR45" s="14">
        <f>BN45*3+BP45</f>
        <v>0</v>
      </c>
      <c r="BS45" s="14">
        <f>BO45*3+BQ45</f>
        <v>0</v>
      </c>
      <c r="BT45" s="39">
        <f>BS45+BR45</f>
        <v>0</v>
      </c>
      <c r="BU45" s="32"/>
      <c r="BV45" s="40"/>
      <c r="BW45" s="40"/>
      <c r="BX45" s="40">
        <v>1</v>
      </c>
      <c r="BY45" s="14">
        <f>BU45*3+BW45</f>
        <v>0</v>
      </c>
      <c r="BZ45" s="14">
        <f>BV45*3+BX45</f>
        <v>1</v>
      </c>
      <c r="CA45" s="39">
        <f>BZ45+BY45</f>
        <v>1</v>
      </c>
      <c r="CB45" s="32"/>
      <c r="CC45" s="40"/>
      <c r="CD45" s="40">
        <v>1</v>
      </c>
      <c r="CE45" s="79"/>
      <c r="CF45" s="14">
        <f>CB45*3+CD45</f>
        <v>1</v>
      </c>
      <c r="CG45" s="14">
        <f>CC45*3+CE45</f>
        <v>0</v>
      </c>
      <c r="CH45" s="39">
        <f>CG45+CF45</f>
        <v>1</v>
      </c>
      <c r="CI45" s="40"/>
      <c r="CJ45" s="40"/>
      <c r="CK45" s="40">
        <v>2</v>
      </c>
      <c r="CL45" s="83"/>
      <c r="CM45" s="14">
        <f>CI45*3+CK45</f>
        <v>2</v>
      </c>
      <c r="CN45" s="14">
        <f>CJ45*3+CL45</f>
        <v>0</v>
      </c>
      <c r="CO45" s="39">
        <f>CN45+CM45</f>
        <v>2</v>
      </c>
      <c r="CP45" s="108"/>
      <c r="CQ45" s="40"/>
      <c r="CR45" s="40">
        <v>1</v>
      </c>
      <c r="CS45" s="40">
        <v>1</v>
      </c>
      <c r="CT45" s="14">
        <f>CP45*3+CR45</f>
        <v>1</v>
      </c>
      <c r="CU45" s="14">
        <f>CQ45*3+CS45</f>
        <v>1</v>
      </c>
      <c r="CV45" s="39">
        <f>CU45+CT45</f>
        <v>2</v>
      </c>
      <c r="CW45" s="32"/>
      <c r="CX45" s="40"/>
      <c r="CY45" s="40"/>
      <c r="CZ45" s="40">
        <v>2</v>
      </c>
      <c r="DA45" s="17">
        <f>CW45*3+CY45</f>
        <v>0</v>
      </c>
      <c r="DB45" s="17">
        <f>CX45*3+CZ45</f>
        <v>2</v>
      </c>
      <c r="DC45" s="18">
        <f>DB45+DA45</f>
        <v>2</v>
      </c>
      <c r="DD45" s="108"/>
      <c r="DE45" s="40"/>
      <c r="DF45" s="40"/>
      <c r="DG45" s="40"/>
      <c r="DH45" s="156">
        <f t="shared" si="106"/>
        <v>0</v>
      </c>
      <c r="DI45" s="156">
        <f t="shared" si="107"/>
        <v>0</v>
      </c>
      <c r="DJ45" s="18">
        <f t="shared" si="108"/>
        <v>0</v>
      </c>
      <c r="DK45" s="108"/>
      <c r="DL45" s="40"/>
      <c r="DM45" s="40"/>
      <c r="DN45" s="40">
        <v>2</v>
      </c>
      <c r="DO45" s="156">
        <f t="shared" si="109"/>
        <v>0</v>
      </c>
      <c r="DP45" s="156">
        <f t="shared" si="110"/>
        <v>2</v>
      </c>
      <c r="DQ45" s="18">
        <f t="shared" si="111"/>
        <v>2</v>
      </c>
      <c r="DR45" s="108"/>
      <c r="DS45" s="40">
        <v>1</v>
      </c>
      <c r="DT45" s="40">
        <v>1</v>
      </c>
      <c r="DU45" s="40"/>
      <c r="DV45" s="156">
        <f t="shared" si="74"/>
        <v>1</v>
      </c>
      <c r="DW45" s="156">
        <f t="shared" si="75"/>
        <v>3</v>
      </c>
      <c r="DX45" s="18">
        <f t="shared" si="76"/>
        <v>4</v>
      </c>
      <c r="DY45" s="108"/>
      <c r="DZ45" s="40"/>
      <c r="EA45" s="40">
        <v>3</v>
      </c>
      <c r="EB45" s="40"/>
      <c r="EC45" s="156">
        <f t="shared" si="77"/>
        <v>3</v>
      </c>
      <c r="ED45" s="156">
        <f t="shared" si="78"/>
        <v>0</v>
      </c>
      <c r="EE45" s="18">
        <f t="shared" si="79"/>
        <v>3</v>
      </c>
      <c r="EF45" s="108">
        <v>1</v>
      </c>
      <c r="EG45" s="40"/>
      <c r="EH45" s="40"/>
      <c r="EI45" s="40">
        <v>1</v>
      </c>
      <c r="EJ45" s="156">
        <f t="shared" si="80"/>
        <v>3</v>
      </c>
      <c r="EK45" s="156">
        <f t="shared" si="81"/>
        <v>1</v>
      </c>
      <c r="EL45" s="18">
        <f t="shared" si="82"/>
        <v>4</v>
      </c>
      <c r="EM45" s="74">
        <f t="shared" si="83"/>
        <v>11</v>
      </c>
      <c r="EN45" s="75">
        <f t="shared" ca="1" si="84"/>
        <v>3.5714285714285712E-2</v>
      </c>
      <c r="EO45" s="76">
        <f t="shared" si="85"/>
        <v>10</v>
      </c>
      <c r="EP45" s="75">
        <f t="shared" ca="1" si="86"/>
        <v>3.2467532467532464E-2</v>
      </c>
      <c r="EQ45" s="76">
        <f t="shared" si="87"/>
        <v>21</v>
      </c>
      <c r="ER45" s="75">
        <f t="shared" ca="1" si="88"/>
        <v>6.8181818181818177E-2</v>
      </c>
      <c r="ES45" s="76">
        <f t="shared" si="89"/>
        <v>1</v>
      </c>
      <c r="ET45" s="76">
        <f t="shared" si="90"/>
        <v>1</v>
      </c>
      <c r="EU45" s="76">
        <f t="shared" si="91"/>
        <v>2</v>
      </c>
    </row>
    <row r="46" spans="1:151" hidden="1" x14ac:dyDescent="0.25">
      <c r="A46" s="47" t="s">
        <v>63</v>
      </c>
      <c r="B46" s="45" t="s">
        <v>125</v>
      </c>
      <c r="C46" s="26" t="str">
        <f t="shared" si="73"/>
        <v>עמית אחודה</v>
      </c>
      <c r="D46" s="27" t="s">
        <v>6</v>
      </c>
      <c r="E46" s="36" t="s">
        <v>7</v>
      </c>
      <c r="F46" s="31" t="s">
        <v>147</v>
      </c>
      <c r="G46" s="30">
        <v>43101</v>
      </c>
      <c r="H46" s="31"/>
      <c r="I46" s="73"/>
      <c r="J46" s="51"/>
      <c r="K46" s="52"/>
      <c r="L46" s="52"/>
      <c r="M46" s="52"/>
      <c r="N46" s="50">
        <f>J46*3+L46</f>
        <v>0</v>
      </c>
      <c r="O46" s="50">
        <f>K46*3+M46</f>
        <v>0</v>
      </c>
      <c r="P46" s="15">
        <f>O46+N46</f>
        <v>0</v>
      </c>
      <c r="Q46" s="25"/>
      <c r="R46" s="27"/>
      <c r="S46" s="27"/>
      <c r="T46" s="27"/>
      <c r="U46" s="14">
        <f>Q46*3+S46</f>
        <v>0</v>
      </c>
      <c r="V46" s="14">
        <f>R46*3+T46</f>
        <v>0</v>
      </c>
      <c r="W46" s="16">
        <f>V46+U46</f>
        <v>0</v>
      </c>
      <c r="X46" s="10"/>
      <c r="Y46" s="12"/>
      <c r="Z46" s="12"/>
      <c r="AA46" s="12"/>
      <c r="AB46" s="17">
        <f>X46*3+Z46</f>
        <v>0</v>
      </c>
      <c r="AC46" s="17">
        <f>Y46*3+AA46</f>
        <v>0</v>
      </c>
      <c r="AD46" s="18">
        <f>AC46+AB46</f>
        <v>0</v>
      </c>
      <c r="AE46" s="25"/>
      <c r="AF46" s="27"/>
      <c r="AG46" s="27"/>
      <c r="AH46" s="27"/>
      <c r="AI46" s="14">
        <f>AE46*3+AG46</f>
        <v>0</v>
      </c>
      <c r="AJ46" s="14">
        <f>AF46*3+AH46</f>
        <v>0</v>
      </c>
      <c r="AK46" s="16">
        <f>AJ46+AI46</f>
        <v>0</v>
      </c>
      <c r="AL46" s="25"/>
      <c r="AM46" s="27"/>
      <c r="AN46" s="27"/>
      <c r="AO46" s="27"/>
      <c r="AP46" s="14">
        <f>AL46*3+AN46</f>
        <v>0</v>
      </c>
      <c r="AQ46" s="14">
        <f>AM46*3+AO46</f>
        <v>0</v>
      </c>
      <c r="AR46" s="16">
        <f>AQ46+AP46</f>
        <v>0</v>
      </c>
      <c r="AS46" s="25"/>
      <c r="AT46" s="27"/>
      <c r="AU46" s="27"/>
      <c r="AV46" s="27"/>
      <c r="AW46" s="14">
        <f>AS46*3+AU46</f>
        <v>0</v>
      </c>
      <c r="AX46" s="14">
        <f>AT46*3+AV46</f>
        <v>0</v>
      </c>
      <c r="AY46" s="16">
        <f>AX46+AW46</f>
        <v>0</v>
      </c>
      <c r="AZ46" s="25"/>
      <c r="BA46" s="27"/>
      <c r="BB46" s="27"/>
      <c r="BC46" s="27"/>
      <c r="BD46" s="14">
        <f>AZ46*3+BB46</f>
        <v>0</v>
      </c>
      <c r="BE46" s="14">
        <f>BA46*3+BC46</f>
        <v>0</v>
      </c>
      <c r="BF46" s="16">
        <f>BE46+BD46</f>
        <v>0</v>
      </c>
      <c r="BG46" s="47">
        <v>1</v>
      </c>
      <c r="BH46" s="53"/>
      <c r="BI46" s="27"/>
      <c r="BJ46" s="27"/>
      <c r="BK46" s="14">
        <f>BG46*3+BI46</f>
        <v>3</v>
      </c>
      <c r="BL46" s="14">
        <f>BH46*3+BJ46</f>
        <v>0</v>
      </c>
      <c r="BM46" s="39">
        <f>BL46+BK46</f>
        <v>3</v>
      </c>
      <c r="BN46" s="32"/>
      <c r="BO46" s="40">
        <v>1</v>
      </c>
      <c r="BP46" s="40">
        <v>2</v>
      </c>
      <c r="BQ46" s="40"/>
      <c r="BR46" s="14">
        <f>BN46*3+BP46</f>
        <v>2</v>
      </c>
      <c r="BS46" s="14">
        <f>BO46*3+BQ46</f>
        <v>3</v>
      </c>
      <c r="BT46" s="39">
        <f>BS46+BR46</f>
        <v>5</v>
      </c>
      <c r="BU46" s="32"/>
      <c r="BV46" s="40"/>
      <c r="BW46" s="40">
        <v>3</v>
      </c>
      <c r="BX46" s="40"/>
      <c r="BY46" s="14">
        <f>BU46*3+BW46</f>
        <v>3</v>
      </c>
      <c r="BZ46" s="14">
        <f>BV46*3+BX46</f>
        <v>0</v>
      </c>
      <c r="CA46" s="39">
        <f>BZ46+BY46</f>
        <v>3</v>
      </c>
      <c r="CB46" s="32">
        <v>1</v>
      </c>
      <c r="CC46" s="40"/>
      <c r="CD46" s="40"/>
      <c r="CE46" s="79"/>
      <c r="CF46" s="14">
        <f>CB46*3+CD46</f>
        <v>3</v>
      </c>
      <c r="CG46" s="14">
        <f>CC46*3+CE46</f>
        <v>0</v>
      </c>
      <c r="CH46" s="39">
        <f>CG46+CF46</f>
        <v>3</v>
      </c>
      <c r="CI46" s="40"/>
      <c r="CJ46" s="40"/>
      <c r="CK46" s="40">
        <v>1</v>
      </c>
      <c r="CL46" s="83"/>
      <c r="CM46" s="14">
        <f>CI46*3+CK46</f>
        <v>1</v>
      </c>
      <c r="CN46" s="14">
        <f>CJ46*3+CL46</f>
        <v>0</v>
      </c>
      <c r="CO46" s="39">
        <f>CN46+CM46</f>
        <v>1</v>
      </c>
      <c r="CP46" s="108">
        <v>1</v>
      </c>
      <c r="CQ46" s="40">
        <v>1</v>
      </c>
      <c r="CR46" s="40"/>
      <c r="CS46" s="40"/>
      <c r="CT46" s="14">
        <f>CP46*3+CR46</f>
        <v>3</v>
      </c>
      <c r="CU46" s="14">
        <f>CQ46*3+CS46</f>
        <v>3</v>
      </c>
      <c r="CV46" s="39">
        <f>CU46+CT46</f>
        <v>6</v>
      </c>
      <c r="CW46" s="32"/>
      <c r="CX46" s="40"/>
      <c r="CY46" s="40">
        <v>2</v>
      </c>
      <c r="CZ46" s="40"/>
      <c r="DA46" s="17">
        <f>CW46*3+CY46</f>
        <v>2</v>
      </c>
      <c r="DB46" s="17">
        <f>CX46*3+CZ46</f>
        <v>0</v>
      </c>
      <c r="DC46" s="18">
        <f>DB46+DA46</f>
        <v>2</v>
      </c>
      <c r="DD46" s="108">
        <v>1</v>
      </c>
      <c r="DE46" s="40"/>
      <c r="DF46" s="40"/>
      <c r="DG46" s="40"/>
      <c r="DH46" s="156">
        <f t="shared" si="106"/>
        <v>3</v>
      </c>
      <c r="DI46" s="156">
        <f t="shared" si="107"/>
        <v>0</v>
      </c>
      <c r="DJ46" s="18">
        <f t="shared" si="108"/>
        <v>3</v>
      </c>
      <c r="DK46" s="108"/>
      <c r="DL46" s="40"/>
      <c r="DM46" s="40">
        <v>3</v>
      </c>
      <c r="DN46" s="40"/>
      <c r="DO46" s="156">
        <f t="shared" si="109"/>
        <v>3</v>
      </c>
      <c r="DP46" s="156">
        <f t="shared" si="110"/>
        <v>0</v>
      </c>
      <c r="DQ46" s="18">
        <f t="shared" si="111"/>
        <v>3</v>
      </c>
      <c r="DR46" s="108">
        <v>1</v>
      </c>
      <c r="DS46" s="40"/>
      <c r="DT46" s="40"/>
      <c r="DU46" s="40"/>
      <c r="DV46" s="156">
        <f t="shared" si="74"/>
        <v>3</v>
      </c>
      <c r="DW46" s="156">
        <f t="shared" si="75"/>
        <v>0</v>
      </c>
      <c r="DX46" s="18">
        <f t="shared" si="76"/>
        <v>3</v>
      </c>
      <c r="DY46" s="108"/>
      <c r="DZ46" s="40"/>
      <c r="EA46" s="40">
        <v>2</v>
      </c>
      <c r="EB46" s="40">
        <v>1</v>
      </c>
      <c r="EC46" s="156">
        <f t="shared" si="77"/>
        <v>2</v>
      </c>
      <c r="ED46" s="156">
        <f t="shared" si="78"/>
        <v>1</v>
      </c>
      <c r="EE46" s="18">
        <f t="shared" si="79"/>
        <v>3</v>
      </c>
      <c r="EF46" s="108"/>
      <c r="EG46" s="40">
        <v>1</v>
      </c>
      <c r="EH46" s="40">
        <v>1</v>
      </c>
      <c r="EI46" s="40"/>
      <c r="EJ46" s="156">
        <f t="shared" si="80"/>
        <v>1</v>
      </c>
      <c r="EK46" s="156">
        <f t="shared" si="81"/>
        <v>3</v>
      </c>
      <c r="EL46" s="18">
        <f t="shared" si="82"/>
        <v>4</v>
      </c>
      <c r="EM46" s="74">
        <f t="shared" si="83"/>
        <v>29</v>
      </c>
      <c r="EN46" s="75">
        <f t="shared" ca="1" si="84"/>
        <v>7.901907356948229E-2</v>
      </c>
      <c r="EO46" s="76">
        <f t="shared" si="85"/>
        <v>10</v>
      </c>
      <c r="EP46" s="75">
        <f t="shared" ca="1" si="86"/>
        <v>2.7247956403269755E-2</v>
      </c>
      <c r="EQ46" s="76">
        <f t="shared" si="87"/>
        <v>39</v>
      </c>
      <c r="ER46" s="75">
        <f t="shared" ca="1" si="88"/>
        <v>0.10626702997275204</v>
      </c>
      <c r="ES46" s="76">
        <f t="shared" si="89"/>
        <v>5</v>
      </c>
      <c r="ET46" s="76">
        <f t="shared" si="90"/>
        <v>3</v>
      </c>
      <c r="EU46" s="76">
        <f t="shared" si="91"/>
        <v>8</v>
      </c>
    </row>
    <row r="47" spans="1:151" hidden="1" x14ac:dyDescent="0.25">
      <c r="A47" s="110" t="s">
        <v>14</v>
      </c>
      <c r="B47" s="45" t="s">
        <v>11</v>
      </c>
      <c r="C47" s="26" t="str">
        <f t="shared" si="73"/>
        <v>שיר מרחבים</v>
      </c>
      <c r="D47" s="36" t="s">
        <v>6</v>
      </c>
      <c r="E47" s="36" t="s">
        <v>7</v>
      </c>
      <c r="F47" s="31" t="s">
        <v>275</v>
      </c>
      <c r="G47" s="30">
        <v>43383</v>
      </c>
      <c r="H47" s="31"/>
      <c r="I47" s="54"/>
      <c r="J47" s="51"/>
      <c r="K47" s="52"/>
      <c r="L47" s="52"/>
      <c r="M47" s="52"/>
      <c r="N47" s="50"/>
      <c r="O47" s="50"/>
      <c r="P47" s="15"/>
      <c r="Q47" s="25"/>
      <c r="R47" s="27"/>
      <c r="S47" s="27"/>
      <c r="T47" s="27"/>
      <c r="U47" s="14"/>
      <c r="V47" s="14"/>
      <c r="W47" s="16"/>
      <c r="X47" s="10"/>
      <c r="Y47" s="12"/>
      <c r="Z47" s="12"/>
      <c r="AA47" s="12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7"/>
      <c r="BH47" s="53"/>
      <c r="BI47" s="27"/>
      <c r="BJ47" s="27"/>
      <c r="BK47" s="14"/>
      <c r="BL47" s="14"/>
      <c r="BM47" s="39"/>
      <c r="BN47" s="32"/>
      <c r="BO47" s="40"/>
      <c r="BP47" s="40"/>
      <c r="BQ47" s="40"/>
      <c r="BR47" s="14"/>
      <c r="BS47" s="14"/>
      <c r="BT47" s="39"/>
      <c r="BU47" s="32"/>
      <c r="BV47" s="40"/>
      <c r="BW47" s="40"/>
      <c r="BX47" s="40"/>
      <c r="BY47" s="14"/>
      <c r="BZ47" s="14"/>
      <c r="CA47" s="39"/>
      <c r="CB47" s="32"/>
      <c r="CC47" s="40"/>
      <c r="CD47" s="40"/>
      <c r="CE47" s="79"/>
      <c r="CF47" s="14"/>
      <c r="CG47" s="14"/>
      <c r="CH47" s="39"/>
      <c r="CI47" s="40"/>
      <c r="CJ47" s="40"/>
      <c r="CK47" s="40"/>
      <c r="CL47" s="83"/>
      <c r="CM47" s="14"/>
      <c r="CN47" s="14"/>
      <c r="CO47" s="39"/>
      <c r="CP47" s="108"/>
      <c r="CQ47" s="40"/>
      <c r="CR47" s="40"/>
      <c r="CS47" s="40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8"/>
      <c r="DE47" s="40"/>
      <c r="DF47" s="40"/>
      <c r="DG47" s="40"/>
      <c r="DH47" s="156">
        <f t="shared" si="106"/>
        <v>0</v>
      </c>
      <c r="DI47" s="156">
        <f t="shared" si="107"/>
        <v>0</v>
      </c>
      <c r="DJ47" s="18">
        <f t="shared" si="108"/>
        <v>0</v>
      </c>
      <c r="DK47" s="108"/>
      <c r="DL47" s="40"/>
      <c r="DM47" s="40"/>
      <c r="DN47" s="40"/>
      <c r="DO47" s="156">
        <f t="shared" si="109"/>
        <v>0</v>
      </c>
      <c r="DP47" s="156">
        <f t="shared" si="110"/>
        <v>0</v>
      </c>
      <c r="DQ47" s="18">
        <f t="shared" si="111"/>
        <v>0</v>
      </c>
      <c r="DR47" s="108">
        <v>1</v>
      </c>
      <c r="DS47" s="40"/>
      <c r="DT47" s="40"/>
      <c r="DU47" s="40"/>
      <c r="DV47" s="156">
        <f t="shared" si="74"/>
        <v>3</v>
      </c>
      <c r="DW47" s="156">
        <f t="shared" si="75"/>
        <v>0</v>
      </c>
      <c r="DX47" s="18">
        <f t="shared" si="76"/>
        <v>3</v>
      </c>
      <c r="DY47" s="108"/>
      <c r="DZ47" s="40"/>
      <c r="EA47" s="40">
        <v>3</v>
      </c>
      <c r="EB47" s="40"/>
      <c r="EC47" s="156">
        <f t="shared" si="77"/>
        <v>3</v>
      </c>
      <c r="ED47" s="156">
        <f t="shared" si="78"/>
        <v>0</v>
      </c>
      <c r="EE47" s="18">
        <f t="shared" si="79"/>
        <v>3</v>
      </c>
      <c r="EF47" s="108"/>
      <c r="EG47" s="40">
        <v>1</v>
      </c>
      <c r="EH47" s="40">
        <v>1</v>
      </c>
      <c r="EI47" s="40"/>
      <c r="EJ47" s="156">
        <f t="shared" si="80"/>
        <v>1</v>
      </c>
      <c r="EK47" s="156">
        <f t="shared" si="81"/>
        <v>3</v>
      </c>
      <c r="EL47" s="18">
        <f t="shared" si="82"/>
        <v>4</v>
      </c>
      <c r="EM47" s="74">
        <f t="shared" si="83"/>
        <v>7</v>
      </c>
      <c r="EN47" s="75">
        <f t="shared" ca="1" si="84"/>
        <v>8.2352941176470587E-2</v>
      </c>
      <c r="EO47" s="76">
        <f t="shared" si="85"/>
        <v>3</v>
      </c>
      <c r="EP47" s="75">
        <f t="shared" ca="1" si="86"/>
        <v>3.5294117647058823E-2</v>
      </c>
      <c r="EQ47" s="76">
        <f t="shared" si="87"/>
        <v>10</v>
      </c>
      <c r="ER47" s="75">
        <f t="shared" ca="1" si="88"/>
        <v>0.11764705882352941</v>
      </c>
      <c r="ES47" s="76">
        <f t="shared" si="89"/>
        <v>1</v>
      </c>
      <c r="ET47" s="76">
        <f t="shared" si="90"/>
        <v>1</v>
      </c>
      <c r="EU47" s="76">
        <f t="shared" si="91"/>
        <v>2</v>
      </c>
    </row>
    <row r="48" spans="1:151" hidden="1" x14ac:dyDescent="0.25">
      <c r="A48" s="47">
        <v>679</v>
      </c>
      <c r="B48" s="250" t="s">
        <v>276</v>
      </c>
      <c r="C48" s="26" t="str">
        <f t="shared" si="73"/>
        <v>יובל 679</v>
      </c>
      <c r="D48" s="36" t="s">
        <v>6</v>
      </c>
      <c r="E48" s="36" t="s">
        <v>7</v>
      </c>
      <c r="F48" s="31" t="s">
        <v>275</v>
      </c>
      <c r="G48" s="30">
        <v>43383</v>
      </c>
      <c r="H48" s="19"/>
      <c r="I48" s="13"/>
      <c r="J48" s="51"/>
      <c r="K48" s="52"/>
      <c r="L48" s="52"/>
      <c r="M48" s="52"/>
      <c r="N48" s="50"/>
      <c r="O48" s="50"/>
      <c r="P48" s="15"/>
      <c r="Q48" s="25"/>
      <c r="R48" s="27"/>
      <c r="S48" s="27"/>
      <c r="T48" s="27"/>
      <c r="U48" s="14"/>
      <c r="V48" s="14"/>
      <c r="W48" s="16"/>
      <c r="X48" s="25"/>
      <c r="Y48" s="27"/>
      <c r="Z48" s="27"/>
      <c r="AA48" s="27"/>
      <c r="AB48" s="17"/>
      <c r="AC48" s="17"/>
      <c r="AD48" s="18"/>
      <c r="AE48" s="25"/>
      <c r="AF48" s="27"/>
      <c r="AG48" s="27"/>
      <c r="AH48" s="27"/>
      <c r="AI48" s="14"/>
      <c r="AJ48" s="14"/>
      <c r="AK48" s="16"/>
      <c r="AL48" s="25"/>
      <c r="AM48" s="27"/>
      <c r="AN48" s="27"/>
      <c r="AO48" s="27"/>
      <c r="AP48" s="14"/>
      <c r="AQ48" s="14"/>
      <c r="AR48" s="16"/>
      <c r="AS48" s="25"/>
      <c r="AT48" s="27"/>
      <c r="AU48" s="27"/>
      <c r="AV48" s="27"/>
      <c r="AW48" s="14"/>
      <c r="AX48" s="14"/>
      <c r="AY48" s="16"/>
      <c r="AZ48" s="25"/>
      <c r="BA48" s="27"/>
      <c r="BB48" s="27"/>
      <c r="BC48" s="27"/>
      <c r="BD48" s="14"/>
      <c r="BE48" s="14"/>
      <c r="BF48" s="16"/>
      <c r="BG48" s="47"/>
      <c r="BH48" s="53"/>
      <c r="BI48" s="27"/>
      <c r="BJ48" s="27"/>
      <c r="BK48" s="14"/>
      <c r="BL48" s="14"/>
      <c r="BM48" s="39"/>
      <c r="BN48" s="47"/>
      <c r="BO48" s="53"/>
      <c r="BP48" s="53"/>
      <c r="BQ48" s="53"/>
      <c r="BR48" s="14"/>
      <c r="BS48" s="14"/>
      <c r="BT48" s="39"/>
      <c r="BU48" s="47"/>
      <c r="BV48" s="53"/>
      <c r="BW48" s="53"/>
      <c r="BX48" s="53"/>
      <c r="BY48" s="14"/>
      <c r="BZ48" s="14"/>
      <c r="CA48" s="39"/>
      <c r="CB48" s="47"/>
      <c r="CC48" s="53"/>
      <c r="CD48" s="256"/>
      <c r="CE48" s="257"/>
      <c r="CF48" s="14"/>
      <c r="CG48" s="14"/>
      <c r="CH48" s="39"/>
      <c r="CI48" s="40"/>
      <c r="CJ48" s="40"/>
      <c r="CK48" s="40"/>
      <c r="CL48" s="83"/>
      <c r="CM48" s="14"/>
      <c r="CN48" s="14"/>
      <c r="CO48" s="39"/>
      <c r="CP48" s="109"/>
      <c r="CQ48" s="53"/>
      <c r="CR48" s="53"/>
      <c r="CS48" s="53"/>
      <c r="CT48" s="14"/>
      <c r="CU48" s="14"/>
      <c r="CV48" s="39"/>
      <c r="CW48" s="32"/>
      <c r="CX48" s="40"/>
      <c r="CY48" s="40"/>
      <c r="CZ48" s="40"/>
      <c r="DA48" s="17"/>
      <c r="DB48" s="17"/>
      <c r="DC48" s="18"/>
      <c r="DD48" s="108"/>
      <c r="DE48" s="40"/>
      <c r="DF48" s="40"/>
      <c r="DG48" s="40"/>
      <c r="DH48" s="156">
        <f t="shared" si="106"/>
        <v>0</v>
      </c>
      <c r="DI48" s="156">
        <f t="shared" si="107"/>
        <v>0</v>
      </c>
      <c r="DJ48" s="18">
        <f t="shared" si="108"/>
        <v>0</v>
      </c>
      <c r="DK48" s="108"/>
      <c r="DL48" s="40"/>
      <c r="DM48" s="40"/>
      <c r="DN48" s="40"/>
      <c r="DO48" s="156">
        <f t="shared" si="109"/>
        <v>0</v>
      </c>
      <c r="DP48" s="156">
        <f t="shared" si="110"/>
        <v>0</v>
      </c>
      <c r="DQ48" s="18">
        <f t="shared" si="111"/>
        <v>0</v>
      </c>
      <c r="DR48" s="108"/>
      <c r="DS48" s="40"/>
      <c r="DT48" s="40">
        <v>3</v>
      </c>
      <c r="DU48" s="40"/>
      <c r="DV48" s="156">
        <f t="shared" si="74"/>
        <v>3</v>
      </c>
      <c r="DW48" s="156">
        <f t="shared" si="75"/>
        <v>0</v>
      </c>
      <c r="DX48" s="18">
        <f t="shared" si="76"/>
        <v>3</v>
      </c>
      <c r="DY48" s="108"/>
      <c r="DZ48" s="40"/>
      <c r="EA48" s="40">
        <v>1</v>
      </c>
      <c r="EB48" s="40"/>
      <c r="EC48" s="156">
        <f t="shared" si="77"/>
        <v>1</v>
      </c>
      <c r="ED48" s="156">
        <f t="shared" si="78"/>
        <v>0</v>
      </c>
      <c r="EE48" s="18">
        <f t="shared" si="79"/>
        <v>1</v>
      </c>
      <c r="EF48" s="108">
        <v>1</v>
      </c>
      <c r="EG48" s="40"/>
      <c r="EH48" s="40">
        <v>1</v>
      </c>
      <c r="EI48" s="40">
        <v>1</v>
      </c>
      <c r="EJ48" s="156">
        <f t="shared" si="80"/>
        <v>4</v>
      </c>
      <c r="EK48" s="156">
        <f t="shared" si="81"/>
        <v>1</v>
      </c>
      <c r="EL48" s="18">
        <f t="shared" si="82"/>
        <v>5</v>
      </c>
      <c r="EM48" s="74">
        <f t="shared" si="83"/>
        <v>8</v>
      </c>
      <c r="EN48" s="75">
        <f t="shared" ca="1" si="84"/>
        <v>9.4117647058823528E-2</v>
      </c>
      <c r="EO48" s="76">
        <f t="shared" si="85"/>
        <v>1</v>
      </c>
      <c r="EP48" s="75">
        <f t="shared" ca="1" si="86"/>
        <v>1.1764705882352941E-2</v>
      </c>
      <c r="EQ48" s="76">
        <f t="shared" si="87"/>
        <v>9</v>
      </c>
      <c r="ER48" s="75">
        <f t="shared" ca="1" si="88"/>
        <v>0.10588235294117647</v>
      </c>
      <c r="ES48" s="76">
        <f t="shared" si="89"/>
        <v>1</v>
      </c>
      <c r="ET48" s="76">
        <f t="shared" si="90"/>
        <v>0</v>
      </c>
      <c r="EU48" s="76">
        <f t="shared" si="91"/>
        <v>1</v>
      </c>
    </row>
    <row r="49" spans="1:151" hidden="1" x14ac:dyDescent="0.25">
      <c r="A49" s="25">
        <v>474</v>
      </c>
      <c r="B49" s="26" t="s">
        <v>5</v>
      </c>
      <c r="C49" s="26" t="str">
        <f t="shared" si="73"/>
        <v>מאי 474</v>
      </c>
      <c r="D49" s="36" t="s">
        <v>7</v>
      </c>
      <c r="E49" s="36" t="s">
        <v>7</v>
      </c>
      <c r="F49" s="31" t="s">
        <v>144</v>
      </c>
      <c r="G49" s="30">
        <v>42979</v>
      </c>
      <c r="H49" s="19"/>
      <c r="I49" s="13"/>
      <c r="J49" s="51"/>
      <c r="K49" s="52"/>
      <c r="L49" s="52"/>
      <c r="M49" s="52"/>
      <c r="N49" s="50">
        <f>J49*3+L49</f>
        <v>0</v>
      </c>
      <c r="O49" s="50">
        <f>K49*3+M49</f>
        <v>0</v>
      </c>
      <c r="P49" s="15">
        <f>O49+N49</f>
        <v>0</v>
      </c>
      <c r="Q49" s="25"/>
      <c r="R49" s="27"/>
      <c r="S49" s="27"/>
      <c r="T49" s="27"/>
      <c r="U49" s="14">
        <f>Q49*3+S49</f>
        <v>0</v>
      </c>
      <c r="V49" s="14">
        <f>R49*3+T49</f>
        <v>0</v>
      </c>
      <c r="W49" s="16">
        <f>V49+U49</f>
        <v>0</v>
      </c>
      <c r="X49" s="25"/>
      <c r="Y49" s="27"/>
      <c r="Z49" s="27"/>
      <c r="AA49" s="27"/>
      <c r="AB49" s="17">
        <f>X49*3+Z49</f>
        <v>0</v>
      </c>
      <c r="AC49" s="17">
        <f>Y49*3+AA49</f>
        <v>0</v>
      </c>
      <c r="AD49" s="18">
        <f>AC49+AB49</f>
        <v>0</v>
      </c>
      <c r="AE49" s="25">
        <v>1</v>
      </c>
      <c r="AF49" s="27"/>
      <c r="AG49" s="27">
        <v>2</v>
      </c>
      <c r="AH49" s="27"/>
      <c r="AI49" s="14">
        <f>AE49*3+AG49</f>
        <v>5</v>
      </c>
      <c r="AJ49" s="14">
        <f>AF49*3+AH49</f>
        <v>0</v>
      </c>
      <c r="AK49" s="16">
        <f>AJ49+AI49</f>
        <v>5</v>
      </c>
      <c r="AL49" s="25">
        <v>1</v>
      </c>
      <c r="AM49" s="27"/>
      <c r="AN49" s="27"/>
      <c r="AO49" s="27"/>
      <c r="AP49" s="14">
        <f>AL49*3+AN49</f>
        <v>3</v>
      </c>
      <c r="AQ49" s="14">
        <f>AM49*3+AO49</f>
        <v>0</v>
      </c>
      <c r="AR49" s="16">
        <f>AQ49+AP49</f>
        <v>3</v>
      </c>
      <c r="AS49" s="25"/>
      <c r="AT49" s="27"/>
      <c r="AU49" s="27"/>
      <c r="AV49" s="27">
        <v>2</v>
      </c>
      <c r="AW49" s="14">
        <f>AS49*3+AU49</f>
        <v>0</v>
      </c>
      <c r="AX49" s="14">
        <f>AT49*3+AV49</f>
        <v>2</v>
      </c>
      <c r="AY49" s="16">
        <f>AX49+AW49</f>
        <v>2</v>
      </c>
      <c r="AZ49" s="25"/>
      <c r="BA49" s="27">
        <v>1</v>
      </c>
      <c r="BB49" s="27"/>
      <c r="BC49" s="27">
        <v>2</v>
      </c>
      <c r="BD49" s="14">
        <f>AZ49*3+BB49</f>
        <v>0</v>
      </c>
      <c r="BE49" s="14">
        <f>BA49*3+BC49</f>
        <v>5</v>
      </c>
      <c r="BF49" s="16">
        <f>BE49+BD49</f>
        <v>5</v>
      </c>
      <c r="BG49" s="47"/>
      <c r="BH49" s="53">
        <v>1</v>
      </c>
      <c r="BI49" s="53"/>
      <c r="BJ49" s="27">
        <v>1</v>
      </c>
      <c r="BK49" s="14">
        <f>BG49*3+BI49</f>
        <v>0</v>
      </c>
      <c r="BL49" s="14">
        <f>BH49*3+BJ49</f>
        <v>4</v>
      </c>
      <c r="BM49" s="39">
        <f>BL49+BK49</f>
        <v>4</v>
      </c>
      <c r="BN49" s="47"/>
      <c r="BO49" s="53">
        <v>1</v>
      </c>
      <c r="BP49" s="53"/>
      <c r="BQ49" s="53">
        <v>1</v>
      </c>
      <c r="BR49" s="14">
        <f>BN49*3+BP49</f>
        <v>0</v>
      </c>
      <c r="BS49" s="14">
        <f>BO49*3+BQ49</f>
        <v>4</v>
      </c>
      <c r="BT49" s="39">
        <f>BS49+BR49</f>
        <v>4</v>
      </c>
      <c r="BU49" s="47"/>
      <c r="BV49" s="53"/>
      <c r="BW49" s="53"/>
      <c r="BX49" s="53">
        <v>2</v>
      </c>
      <c r="BY49" s="14">
        <f>BU49*3+BW49</f>
        <v>0</v>
      </c>
      <c r="BZ49" s="14">
        <f>BV49*3+BX49</f>
        <v>2</v>
      </c>
      <c r="CA49" s="39">
        <f>BZ49+BY49</f>
        <v>2</v>
      </c>
      <c r="CB49" s="47"/>
      <c r="CC49" s="53"/>
      <c r="CD49" s="53"/>
      <c r="CE49" s="81">
        <v>3</v>
      </c>
      <c r="CF49" s="14">
        <f>CB49*3+CD49</f>
        <v>0</v>
      </c>
      <c r="CG49" s="14">
        <f>CC49*3+CE49</f>
        <v>3</v>
      </c>
      <c r="CH49" s="39">
        <f>CG49+CF49</f>
        <v>3</v>
      </c>
      <c r="CI49" s="40"/>
      <c r="CJ49" s="40">
        <v>1</v>
      </c>
      <c r="CK49" s="40"/>
      <c r="CL49" s="83">
        <v>1</v>
      </c>
      <c r="CM49" s="14">
        <f>CI49*3+CK49</f>
        <v>0</v>
      </c>
      <c r="CN49" s="14">
        <f>CJ49*3+CL49</f>
        <v>4</v>
      </c>
      <c r="CO49" s="39">
        <f>CN49+CM49</f>
        <v>4</v>
      </c>
      <c r="CP49" s="109"/>
      <c r="CQ49" s="53"/>
      <c r="CR49" s="53"/>
      <c r="CS49" s="53">
        <v>2</v>
      </c>
      <c r="CT49" s="14">
        <f>CP49*3+CR49</f>
        <v>0</v>
      </c>
      <c r="CU49" s="14">
        <f>CQ49*3+CS49</f>
        <v>2</v>
      </c>
      <c r="CV49" s="39">
        <f>CU49+CT49</f>
        <v>2</v>
      </c>
      <c r="CW49" s="32"/>
      <c r="CX49" s="40">
        <v>1</v>
      </c>
      <c r="CY49" s="40"/>
      <c r="CZ49" s="40"/>
      <c r="DA49" s="17">
        <f>CW49*3+CY49</f>
        <v>0</v>
      </c>
      <c r="DB49" s="17">
        <f>CX49*3+CZ49</f>
        <v>3</v>
      </c>
      <c r="DC49" s="18">
        <f>DB49+DA49</f>
        <v>3</v>
      </c>
      <c r="DD49" s="108"/>
      <c r="DE49" s="40"/>
      <c r="DF49" s="40"/>
      <c r="DG49" s="40">
        <v>2</v>
      </c>
      <c r="DH49" s="156">
        <f t="shared" si="106"/>
        <v>0</v>
      </c>
      <c r="DI49" s="156">
        <f t="shared" si="107"/>
        <v>2</v>
      </c>
      <c r="DJ49" s="18">
        <f t="shared" si="108"/>
        <v>2</v>
      </c>
      <c r="DK49" s="108"/>
      <c r="DL49" s="40">
        <v>1</v>
      </c>
      <c r="DM49" s="40"/>
      <c r="DN49" s="40">
        <v>1</v>
      </c>
      <c r="DO49" s="156">
        <f t="shared" si="109"/>
        <v>0</v>
      </c>
      <c r="DP49" s="156">
        <f t="shared" si="110"/>
        <v>4</v>
      </c>
      <c r="DQ49" s="18">
        <f t="shared" si="111"/>
        <v>4</v>
      </c>
      <c r="DR49" s="108"/>
      <c r="DS49" s="40"/>
      <c r="DT49" s="40"/>
      <c r="DU49" s="40">
        <v>4</v>
      </c>
      <c r="DV49" s="156">
        <f t="shared" si="74"/>
        <v>0</v>
      </c>
      <c r="DW49" s="156">
        <f t="shared" si="75"/>
        <v>4</v>
      </c>
      <c r="DX49" s="18">
        <f t="shared" si="76"/>
        <v>4</v>
      </c>
      <c r="DY49" s="108"/>
      <c r="DZ49" s="40">
        <v>1</v>
      </c>
      <c r="EA49" s="40"/>
      <c r="EB49" s="40">
        <v>2</v>
      </c>
      <c r="EC49" s="156">
        <f t="shared" si="77"/>
        <v>0</v>
      </c>
      <c r="ED49" s="156">
        <f t="shared" si="78"/>
        <v>5</v>
      </c>
      <c r="EE49" s="18">
        <f t="shared" si="79"/>
        <v>5</v>
      </c>
      <c r="EF49" s="108"/>
      <c r="EG49" s="40">
        <v>1</v>
      </c>
      <c r="EH49" s="40"/>
      <c r="EI49" s="40">
        <v>2</v>
      </c>
      <c r="EJ49" s="156">
        <f t="shared" si="80"/>
        <v>0</v>
      </c>
      <c r="EK49" s="156">
        <f t="shared" si="81"/>
        <v>5</v>
      </c>
      <c r="EL49" s="18">
        <f t="shared" si="82"/>
        <v>5</v>
      </c>
      <c r="EM49" s="74">
        <f t="shared" si="83"/>
        <v>8</v>
      </c>
      <c r="EN49" s="75">
        <f t="shared" ca="1" si="84"/>
        <v>1.6359918200408999E-2</v>
      </c>
      <c r="EO49" s="76">
        <f t="shared" si="85"/>
        <v>49</v>
      </c>
      <c r="EP49" s="75">
        <f t="shared" ca="1" si="86"/>
        <v>0.10020449897750511</v>
      </c>
      <c r="EQ49" s="76">
        <f t="shared" si="87"/>
        <v>57</v>
      </c>
      <c r="ER49" s="75">
        <f t="shared" ca="1" si="88"/>
        <v>0.1165644171779141</v>
      </c>
      <c r="ES49" s="76">
        <f t="shared" si="89"/>
        <v>2</v>
      </c>
      <c r="ET49" s="76">
        <f t="shared" si="90"/>
        <v>8</v>
      </c>
      <c r="EU49" s="76">
        <f t="shared" si="91"/>
        <v>10</v>
      </c>
    </row>
    <row r="50" spans="1:151" hidden="1" x14ac:dyDescent="0.25">
      <c r="A50" s="10">
        <v>474</v>
      </c>
      <c r="B50" s="24" t="s">
        <v>124</v>
      </c>
      <c r="C50" s="11" t="str">
        <f t="shared" si="73"/>
        <v>שובל 474</v>
      </c>
      <c r="D50" s="23" t="s">
        <v>7</v>
      </c>
      <c r="E50" s="23" t="s">
        <v>7</v>
      </c>
      <c r="F50" s="31" t="s">
        <v>147</v>
      </c>
      <c r="G50" s="30">
        <v>43101</v>
      </c>
      <c r="H50" s="31"/>
      <c r="I50" s="245"/>
      <c r="J50" s="51"/>
      <c r="K50" s="52"/>
      <c r="L50" s="52"/>
      <c r="M50" s="52"/>
      <c r="N50" s="50">
        <f>J50*3+L50</f>
        <v>0</v>
      </c>
      <c r="O50" s="50">
        <f>K50*3+M50</f>
        <v>0</v>
      </c>
      <c r="P50" s="15">
        <f>O50+N50</f>
        <v>0</v>
      </c>
      <c r="Q50" s="25"/>
      <c r="R50" s="27"/>
      <c r="S50" s="27"/>
      <c r="T50" s="27"/>
      <c r="U50" s="14">
        <f>Q50*3+S50</f>
        <v>0</v>
      </c>
      <c r="V50" s="14">
        <f>R50*3+T50</f>
        <v>0</v>
      </c>
      <c r="W50" s="16">
        <f>V50+U50</f>
        <v>0</v>
      </c>
      <c r="X50" s="25"/>
      <c r="Y50" s="27"/>
      <c r="Z50" s="27"/>
      <c r="AA50" s="27"/>
      <c r="AB50" s="17">
        <f>X50*3+Z50</f>
        <v>0</v>
      </c>
      <c r="AC50" s="17">
        <f>Y50*3+AA50</f>
        <v>0</v>
      </c>
      <c r="AD50" s="18">
        <f>AC50+AB50</f>
        <v>0</v>
      </c>
      <c r="AE50" s="25"/>
      <c r="AF50" s="27"/>
      <c r="AG50" s="27"/>
      <c r="AH50" s="27"/>
      <c r="AI50" s="14">
        <f>AE50*3+AG50</f>
        <v>0</v>
      </c>
      <c r="AJ50" s="14">
        <f>AF50*3+AH50</f>
        <v>0</v>
      </c>
      <c r="AK50" s="16">
        <f>AJ50+AI50</f>
        <v>0</v>
      </c>
      <c r="AL50" s="25"/>
      <c r="AM50" s="27"/>
      <c r="AN50" s="27"/>
      <c r="AO50" s="27"/>
      <c r="AP50" s="14">
        <f>AL50*3+AN50</f>
        <v>0</v>
      </c>
      <c r="AQ50" s="14">
        <f>AM50*3+AO50</f>
        <v>0</v>
      </c>
      <c r="AR50" s="16">
        <f>AQ50+AP50</f>
        <v>0</v>
      </c>
      <c r="AS50" s="25"/>
      <c r="AT50" s="27"/>
      <c r="AU50" s="27"/>
      <c r="AV50" s="27"/>
      <c r="AW50" s="14">
        <f>AS50*3+AU50</f>
        <v>0</v>
      </c>
      <c r="AX50" s="14">
        <f>AT50*3+AV50</f>
        <v>0</v>
      </c>
      <c r="AY50" s="16">
        <f>AX50+AW50</f>
        <v>0</v>
      </c>
      <c r="AZ50" s="25"/>
      <c r="BA50" s="27"/>
      <c r="BB50" s="27"/>
      <c r="BC50" s="27"/>
      <c r="BD50" s="14">
        <f>AZ50*3+BB50</f>
        <v>0</v>
      </c>
      <c r="BE50" s="14">
        <f>BA50*3+BC50</f>
        <v>0</v>
      </c>
      <c r="BF50" s="16">
        <f>BE50+BD50</f>
        <v>0</v>
      </c>
      <c r="BG50" s="47">
        <v>1</v>
      </c>
      <c r="BH50" s="53"/>
      <c r="BI50" s="27"/>
      <c r="BJ50" s="27"/>
      <c r="BK50" s="14">
        <f>BG50*3+BI50</f>
        <v>3</v>
      </c>
      <c r="BL50" s="14">
        <f>BH50*3+BJ50</f>
        <v>0</v>
      </c>
      <c r="BM50" s="39">
        <f>BL50+BK50</f>
        <v>3</v>
      </c>
      <c r="BN50" s="47"/>
      <c r="BO50" s="53"/>
      <c r="BP50" s="53">
        <v>3</v>
      </c>
      <c r="BQ50" s="53">
        <v>1</v>
      </c>
      <c r="BR50" s="14">
        <f>BN50*3+BP50</f>
        <v>3</v>
      </c>
      <c r="BS50" s="14">
        <f>BO50*3+BQ50</f>
        <v>1</v>
      </c>
      <c r="BT50" s="39">
        <f>BS50+BR50</f>
        <v>4</v>
      </c>
      <c r="BU50" s="47">
        <v>1</v>
      </c>
      <c r="BV50" s="53"/>
      <c r="BW50" s="53">
        <v>1</v>
      </c>
      <c r="BX50" s="53"/>
      <c r="BY50" s="14">
        <f>BU50*3+BW50</f>
        <v>4</v>
      </c>
      <c r="BZ50" s="14">
        <f>BV50*3+BX50</f>
        <v>0</v>
      </c>
      <c r="CA50" s="39">
        <f>BZ50+BY50</f>
        <v>4</v>
      </c>
      <c r="CB50" s="47"/>
      <c r="CC50" s="53"/>
      <c r="CD50" s="53">
        <v>2</v>
      </c>
      <c r="CE50" s="81"/>
      <c r="CF50" s="14">
        <f>CB50*3+CD50</f>
        <v>2</v>
      </c>
      <c r="CG50" s="14">
        <f>CC50*3+CE50</f>
        <v>0</v>
      </c>
      <c r="CH50" s="39">
        <f>CG50+CF50</f>
        <v>2</v>
      </c>
      <c r="CI50" s="40"/>
      <c r="CJ50" s="40">
        <v>1</v>
      </c>
      <c r="CK50" s="40"/>
      <c r="CL50" s="83">
        <v>1</v>
      </c>
      <c r="CM50" s="14">
        <f>CI50*3+CK50</f>
        <v>0</v>
      </c>
      <c r="CN50" s="14">
        <f>CJ50*3+CL50</f>
        <v>4</v>
      </c>
      <c r="CO50" s="39">
        <f>CN50+CM50</f>
        <v>4</v>
      </c>
      <c r="CP50" s="109"/>
      <c r="CQ50" s="53"/>
      <c r="CR50" s="53"/>
      <c r="CS50" s="53">
        <v>2</v>
      </c>
      <c r="CT50" s="14">
        <f>CP50*3+CR50</f>
        <v>0</v>
      </c>
      <c r="CU50" s="14">
        <f>CQ50*3+CS50</f>
        <v>2</v>
      </c>
      <c r="CV50" s="39">
        <f>CU50+CT50</f>
        <v>2</v>
      </c>
      <c r="CW50" s="32"/>
      <c r="CX50" s="40">
        <v>1</v>
      </c>
      <c r="CY50" s="40"/>
      <c r="CZ50" s="40">
        <v>1</v>
      </c>
      <c r="DA50" s="17">
        <f>CW50*3+CY50</f>
        <v>0</v>
      </c>
      <c r="DB50" s="17">
        <f>CX50*3+CZ50</f>
        <v>4</v>
      </c>
      <c r="DC50" s="18">
        <f>DB50+DA50</f>
        <v>4</v>
      </c>
      <c r="DD50" s="108"/>
      <c r="DE50" s="40"/>
      <c r="DF50" s="40"/>
      <c r="DG50" s="40">
        <v>3</v>
      </c>
      <c r="DH50" s="156">
        <f t="shared" si="106"/>
        <v>0</v>
      </c>
      <c r="DI50" s="156">
        <f t="shared" si="107"/>
        <v>3</v>
      </c>
      <c r="DJ50" s="18">
        <f t="shared" si="108"/>
        <v>3</v>
      </c>
      <c r="DK50" s="108"/>
      <c r="DL50" s="40">
        <v>1</v>
      </c>
      <c r="DM50" s="40"/>
      <c r="DN50" s="40"/>
      <c r="DO50" s="156">
        <f t="shared" si="109"/>
        <v>0</v>
      </c>
      <c r="DP50" s="156">
        <f t="shared" si="110"/>
        <v>3</v>
      </c>
      <c r="DQ50" s="18">
        <f t="shared" si="111"/>
        <v>3</v>
      </c>
      <c r="DR50" s="108"/>
      <c r="DS50" s="40"/>
      <c r="DT50" s="40"/>
      <c r="DU50" s="40">
        <v>3</v>
      </c>
      <c r="DV50" s="156">
        <f t="shared" si="74"/>
        <v>0</v>
      </c>
      <c r="DW50" s="156">
        <f t="shared" si="75"/>
        <v>3</v>
      </c>
      <c r="DX50" s="18">
        <f t="shared" si="76"/>
        <v>3</v>
      </c>
      <c r="DY50" s="108"/>
      <c r="DZ50" s="40">
        <v>1</v>
      </c>
      <c r="EA50" s="40"/>
      <c r="EB50" s="40">
        <v>2</v>
      </c>
      <c r="EC50" s="156">
        <f t="shared" si="77"/>
        <v>0</v>
      </c>
      <c r="ED50" s="156">
        <f t="shared" si="78"/>
        <v>5</v>
      </c>
      <c r="EE50" s="18">
        <f t="shared" si="79"/>
        <v>5</v>
      </c>
      <c r="EF50" s="108"/>
      <c r="EG50" s="40">
        <v>1</v>
      </c>
      <c r="EH50" s="40"/>
      <c r="EI50" s="40">
        <v>2</v>
      </c>
      <c r="EJ50" s="156">
        <f t="shared" si="80"/>
        <v>0</v>
      </c>
      <c r="EK50" s="156">
        <f t="shared" si="81"/>
        <v>5</v>
      </c>
      <c r="EL50" s="18">
        <f t="shared" si="82"/>
        <v>5</v>
      </c>
      <c r="EM50" s="74">
        <f t="shared" si="83"/>
        <v>12</v>
      </c>
      <c r="EN50" s="75">
        <f t="shared" ca="1" si="84"/>
        <v>3.2697547683923703E-2</v>
      </c>
      <c r="EO50" s="76">
        <f t="shared" si="85"/>
        <v>30</v>
      </c>
      <c r="EP50" s="75">
        <f t="shared" ca="1" si="86"/>
        <v>8.1743869209809264E-2</v>
      </c>
      <c r="EQ50" s="76">
        <f t="shared" si="87"/>
        <v>42</v>
      </c>
      <c r="ER50" s="75">
        <f t="shared" ca="1" si="88"/>
        <v>0.11444141689373297</v>
      </c>
      <c r="ES50" s="76">
        <f t="shared" si="89"/>
        <v>2</v>
      </c>
      <c r="ET50" s="76">
        <f t="shared" si="90"/>
        <v>5</v>
      </c>
      <c r="EU50" s="76">
        <f t="shared" si="91"/>
        <v>7</v>
      </c>
    </row>
    <row r="51" spans="1:15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  <c r="EF51" s="153"/>
      <c r="EG51" s="153"/>
      <c r="EH51" s="153"/>
      <c r="EI51" s="153"/>
      <c r="EJ51" s="153"/>
      <c r="EK51" s="154"/>
      <c r="EL51" s="154"/>
    </row>
    <row r="52" spans="1:151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  <c r="EF52" s="153"/>
      <c r="EG52" s="153"/>
      <c r="EH52" s="153"/>
      <c r="EI52" s="153"/>
      <c r="EJ52" s="153"/>
      <c r="EK52" s="154"/>
      <c r="EL52" s="154"/>
    </row>
    <row r="53" spans="1:151" ht="21" x14ac:dyDescent="0.35">
      <c r="A53" s="9"/>
      <c r="F53" s="115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15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  <c r="EF56" s="153"/>
      <c r="EG56" s="153"/>
      <c r="EH56" s="153"/>
      <c r="EI56" s="153"/>
      <c r="EJ56" s="153"/>
      <c r="EK56" s="154"/>
      <c r="EL56" s="154"/>
    </row>
    <row r="57" spans="1:15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  <c r="EF57" s="153"/>
      <c r="EG57" s="153"/>
      <c r="EH57" s="153"/>
      <c r="EI57" s="153"/>
      <c r="EJ57" s="153"/>
      <c r="EK57" s="154"/>
      <c r="EL57" s="154"/>
    </row>
    <row r="58" spans="1:15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  <c r="EF58" s="153"/>
      <c r="EG58" s="153"/>
      <c r="EH58" s="153"/>
      <c r="EI58" s="153"/>
      <c r="EJ58" s="153"/>
      <c r="EK58" s="154"/>
      <c r="EL58" s="154"/>
    </row>
    <row r="59" spans="1:15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  <c r="EF59" s="153"/>
      <c r="EG59" s="153"/>
      <c r="EH59" s="153"/>
      <c r="EI59" s="153"/>
      <c r="EJ59" s="153"/>
      <c r="EK59" s="154"/>
      <c r="EL59" s="154"/>
    </row>
    <row r="60" spans="1:15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  <c r="EF60" s="153"/>
      <c r="EG60" s="153"/>
      <c r="EH60" s="153"/>
      <c r="EI60" s="153"/>
      <c r="EJ60" s="153"/>
      <c r="EK60" s="154"/>
      <c r="EL60" s="154"/>
    </row>
    <row r="61" spans="1:15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  <c r="EF61" s="153"/>
      <c r="EG61" s="153"/>
      <c r="EH61" s="153"/>
      <c r="EI61" s="153"/>
      <c r="EJ61" s="153"/>
      <c r="EK61" s="154"/>
      <c r="EL61" s="154"/>
    </row>
    <row r="62" spans="1:15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  <c r="EF62" s="153"/>
      <c r="EG62" s="153"/>
      <c r="EH62" s="153"/>
      <c r="EI62" s="153"/>
      <c r="EJ62" s="153"/>
      <c r="EK62" s="154"/>
      <c r="EL62" s="154"/>
    </row>
    <row r="63" spans="1:15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  <c r="EF63" s="153"/>
      <c r="EG63" s="153"/>
      <c r="EH63" s="153"/>
      <c r="EI63" s="153"/>
      <c r="EJ63" s="153"/>
      <c r="EK63" s="154"/>
      <c r="EL63" s="154"/>
    </row>
    <row r="64" spans="1:15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  <c r="EF64" s="153"/>
      <c r="EG64" s="153"/>
      <c r="EH64" s="153"/>
      <c r="EI64" s="153"/>
      <c r="EJ64" s="153"/>
      <c r="EK64" s="154"/>
      <c r="EL64" s="154"/>
    </row>
    <row r="65" spans="1:142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  <c r="EF65" s="153"/>
      <c r="EG65" s="153"/>
      <c r="EH65" s="153"/>
      <c r="EI65" s="153"/>
      <c r="EJ65" s="153"/>
      <c r="EK65" s="154"/>
      <c r="EL65" s="154"/>
    </row>
    <row r="66" spans="1:142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  <c r="EF66" s="153"/>
      <c r="EG66" s="153"/>
      <c r="EH66" s="153"/>
      <c r="EI66" s="153"/>
      <c r="EJ66" s="153"/>
      <c r="EK66" s="154"/>
      <c r="EL66" s="154"/>
    </row>
    <row r="67" spans="1:142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  <c r="EF67" s="153"/>
      <c r="EG67" s="153"/>
      <c r="EH67" s="153"/>
      <c r="EI67" s="153"/>
      <c r="EJ67" s="153"/>
      <c r="EK67" s="154"/>
      <c r="EL67" s="154"/>
    </row>
    <row r="68" spans="1:142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  <c r="EF68" s="153"/>
      <c r="EG68" s="153"/>
      <c r="EH68" s="153"/>
      <c r="EI68" s="153"/>
      <c r="EJ68" s="153"/>
      <c r="EK68" s="154"/>
      <c r="EL68" s="154"/>
    </row>
    <row r="69" spans="1:142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  <c r="EF69" s="153"/>
      <c r="EG69" s="153"/>
      <c r="EH69" s="153"/>
      <c r="EI69" s="153"/>
      <c r="EJ69" s="153"/>
      <c r="EK69" s="154"/>
      <c r="EL69" s="154"/>
    </row>
    <row r="70" spans="1:142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  <c r="EF70" s="153"/>
      <c r="EG70" s="153"/>
      <c r="EH70" s="153"/>
      <c r="EI70" s="153"/>
      <c r="EJ70" s="153"/>
      <c r="EK70" s="154"/>
      <c r="EL70" s="154"/>
    </row>
    <row r="71" spans="1:142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  <c r="EF71" s="153"/>
      <c r="EG71" s="153"/>
      <c r="EH71" s="153"/>
      <c r="EI71" s="153"/>
      <c r="EJ71" s="153"/>
      <c r="EK71" s="154"/>
      <c r="EL71" s="154"/>
    </row>
    <row r="72" spans="1:142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  <c r="EF72" s="153"/>
      <c r="EG72" s="153"/>
      <c r="EH72" s="153"/>
      <c r="EI72" s="153"/>
      <c r="EJ72" s="153"/>
      <c r="EK72" s="154"/>
      <c r="EL72" s="154"/>
    </row>
    <row r="73" spans="1:142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  <c r="EF73" s="153"/>
      <c r="EG73" s="153"/>
      <c r="EH73" s="153"/>
      <c r="EI73" s="153"/>
      <c r="EJ73" s="153"/>
      <c r="EK73" s="154"/>
      <c r="EL73" s="154"/>
    </row>
    <row r="74" spans="1:142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  <c r="EF74" s="153"/>
      <c r="EG74" s="153"/>
      <c r="EH74" s="153"/>
      <c r="EI74" s="153"/>
      <c r="EJ74" s="153"/>
      <c r="EK74" s="154"/>
      <c r="EL74" s="154"/>
    </row>
    <row r="75" spans="1:142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  <c r="EF75" s="153"/>
      <c r="EG75" s="153"/>
      <c r="EH75" s="153"/>
      <c r="EI75" s="153"/>
      <c r="EJ75" s="153"/>
      <c r="EK75" s="154"/>
      <c r="EL75" s="154"/>
    </row>
    <row r="76" spans="1:142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  <c r="EF76" s="153"/>
      <c r="EG76" s="153"/>
      <c r="EH76" s="153"/>
      <c r="EI76" s="153"/>
      <c r="EJ76" s="153"/>
      <c r="EK76" s="154"/>
      <c r="EL76" s="154"/>
    </row>
    <row r="77" spans="1:142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  <c r="EF77" s="153"/>
      <c r="EG77" s="153"/>
      <c r="EH77" s="153"/>
      <c r="EI77" s="153"/>
      <c r="EJ77" s="153"/>
      <c r="EK77" s="154"/>
      <c r="EL77" s="154"/>
    </row>
    <row r="78" spans="1:142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  <c r="EF78" s="153"/>
      <c r="EG78" s="153"/>
      <c r="EH78" s="153"/>
      <c r="EI78" s="153"/>
      <c r="EJ78" s="153"/>
      <c r="EK78" s="154"/>
      <c r="EL78" s="154"/>
    </row>
    <row r="79" spans="1:142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  <c r="EF79" s="153"/>
      <c r="EG79" s="153"/>
      <c r="EH79" s="153"/>
      <c r="EI79" s="153"/>
      <c r="EJ79" s="153"/>
      <c r="EK79" s="154"/>
      <c r="EL79" s="154"/>
    </row>
    <row r="80" spans="1:142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  <c r="EF80" s="153"/>
      <c r="EG80" s="153"/>
      <c r="EH80" s="153"/>
      <c r="EI80" s="153"/>
      <c r="EJ80" s="153"/>
      <c r="EK80" s="154"/>
      <c r="EL80" s="154"/>
    </row>
    <row r="81" spans="1:142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3"/>
      <c r="DI81" s="154"/>
      <c r="DJ81" s="154"/>
      <c r="DK81" s="153"/>
      <c r="DL81" s="153"/>
      <c r="DM81" s="153"/>
      <c r="DN81" s="153"/>
      <c r="DO81" s="153"/>
      <c r="DP81" s="154"/>
      <c r="DQ81" s="154"/>
      <c r="DR81" s="153"/>
      <c r="DS81" s="153"/>
      <c r="DT81" s="153"/>
      <c r="DU81" s="153"/>
      <c r="DV81" s="153"/>
      <c r="DW81" s="154"/>
      <c r="DX81" s="154"/>
      <c r="DY81" s="153"/>
      <c r="DZ81" s="153"/>
      <c r="EA81" s="153"/>
      <c r="EB81" s="153"/>
      <c r="EC81" s="153"/>
      <c r="ED81" s="154"/>
      <c r="EE81" s="154"/>
      <c r="EF81" s="153"/>
      <c r="EG81" s="153"/>
      <c r="EH81" s="153"/>
      <c r="EI81" s="153"/>
      <c r="EJ81" s="153"/>
      <c r="EK81" s="154"/>
      <c r="EL81" s="154"/>
    </row>
    <row r="82" spans="1:142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3"/>
      <c r="DI82" s="154"/>
      <c r="DJ82" s="154"/>
      <c r="DK82" s="153"/>
      <c r="DL82" s="153"/>
      <c r="DM82" s="153"/>
      <c r="DN82" s="153"/>
      <c r="DO82" s="153"/>
      <c r="DP82" s="154"/>
      <c r="DQ82" s="154"/>
      <c r="DR82" s="153"/>
      <c r="DS82" s="153"/>
      <c r="DT82" s="153"/>
      <c r="DU82" s="153"/>
      <c r="DV82" s="153"/>
      <c r="DW82" s="154"/>
      <c r="DX82" s="154"/>
      <c r="DY82" s="153"/>
      <c r="DZ82" s="153"/>
      <c r="EA82" s="153"/>
      <c r="EB82" s="153"/>
      <c r="EC82" s="153"/>
      <c r="ED82" s="154"/>
      <c r="EE82" s="154"/>
      <c r="EF82" s="153"/>
      <c r="EG82" s="153"/>
      <c r="EH82" s="153"/>
      <c r="EI82" s="153"/>
      <c r="EJ82" s="153"/>
      <c r="EK82" s="154"/>
      <c r="EL82" s="154"/>
    </row>
    <row r="83" spans="1:142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3"/>
      <c r="DI83" s="154"/>
      <c r="DJ83" s="154"/>
      <c r="DK83" s="153"/>
      <c r="DL83" s="153"/>
      <c r="DM83" s="153"/>
      <c r="DN83" s="153"/>
      <c r="DO83" s="153"/>
      <c r="DP83" s="154"/>
      <c r="DQ83" s="154"/>
      <c r="DR83" s="153"/>
      <c r="DS83" s="153"/>
      <c r="DT83" s="153"/>
      <c r="DU83" s="153"/>
      <c r="DV83" s="153"/>
      <c r="DW83" s="154"/>
      <c r="DX83" s="154"/>
      <c r="DY83" s="153"/>
      <c r="DZ83" s="153"/>
      <c r="EA83" s="153"/>
      <c r="EB83" s="153"/>
      <c r="EC83" s="153"/>
      <c r="ED83" s="154"/>
      <c r="EE83" s="154"/>
      <c r="EF83" s="153"/>
      <c r="EG83" s="153"/>
      <c r="EH83" s="153"/>
      <c r="EI83" s="153"/>
      <c r="EJ83" s="153"/>
      <c r="EK83" s="154"/>
      <c r="EL83" s="154"/>
    </row>
    <row r="84" spans="1:142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3"/>
      <c r="DI84" s="154"/>
      <c r="DJ84" s="154"/>
      <c r="DK84" s="153"/>
      <c r="DL84" s="153"/>
      <c r="DM84" s="153"/>
      <c r="DN84" s="153"/>
      <c r="DO84" s="153"/>
      <c r="DP84" s="154"/>
      <c r="DQ84" s="154"/>
      <c r="DR84" s="153"/>
      <c r="DS84" s="153"/>
      <c r="DT84" s="153"/>
      <c r="DU84" s="153"/>
      <c r="DV84" s="153"/>
      <c r="DW84" s="154"/>
      <c r="DX84" s="154"/>
      <c r="DY84" s="153"/>
      <c r="DZ84" s="153"/>
      <c r="EA84" s="153"/>
      <c r="EB84" s="153"/>
      <c r="EC84" s="153"/>
      <c r="ED84" s="154"/>
      <c r="EE84" s="154"/>
      <c r="EF84" s="153"/>
      <c r="EG84" s="153"/>
      <c r="EH84" s="153"/>
      <c r="EI84" s="153"/>
      <c r="EJ84" s="153"/>
      <c r="EK84" s="154"/>
      <c r="EL84" s="154"/>
    </row>
    <row r="85" spans="1:142" x14ac:dyDescent="0.25">
      <c r="A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37"/>
      <c r="BO85" s="37"/>
      <c r="BP85" s="37"/>
      <c r="BQ85" s="37"/>
      <c r="BR85" s="37"/>
      <c r="BS85" s="9"/>
      <c r="BT85" s="9"/>
      <c r="BU85" s="37"/>
      <c r="BV85" s="37"/>
      <c r="BW85" s="37"/>
      <c r="BY85" s="37"/>
      <c r="BZ85" s="9"/>
      <c r="CA85" s="9"/>
      <c r="CB85" s="37"/>
      <c r="CC85" s="37"/>
      <c r="CD85" s="37"/>
      <c r="CE85" s="37"/>
      <c r="CF85" s="37"/>
      <c r="CG85" s="9"/>
      <c r="CH85" s="9"/>
      <c r="CI85" s="37"/>
      <c r="CJ85" s="37"/>
      <c r="CK85" s="37"/>
      <c r="CM85" s="37"/>
      <c r="CN85" s="9"/>
      <c r="CO85" s="9"/>
      <c r="CP85" s="37"/>
      <c r="CQ85" s="37"/>
      <c r="CR85" s="37"/>
      <c r="CS85" s="37"/>
      <c r="CT85" s="37"/>
      <c r="CU85" s="9"/>
      <c r="CV85" s="9"/>
      <c r="CW85" s="37"/>
      <c r="CX85" s="37"/>
      <c r="CY85" s="37"/>
      <c r="CZ85" s="37"/>
      <c r="DA85" s="37"/>
      <c r="DB85" s="9"/>
      <c r="DC85" s="9"/>
      <c r="DD85" s="37"/>
      <c r="DE85" s="37"/>
      <c r="DF85" s="37"/>
      <c r="DG85" s="37"/>
      <c r="DH85" s="153"/>
      <c r="DI85" s="154"/>
      <c r="DJ85" s="154"/>
      <c r="DK85" s="153"/>
      <c r="DL85" s="153"/>
      <c r="DM85" s="153"/>
      <c r="DN85" s="153"/>
      <c r="DO85" s="153"/>
      <c r="DP85" s="154"/>
      <c r="DQ85" s="154"/>
      <c r="DR85" s="153"/>
      <c r="DS85" s="153"/>
      <c r="DT85" s="153"/>
      <c r="DU85" s="153"/>
      <c r="DV85" s="153"/>
      <c r="DW85" s="154"/>
      <c r="DX85" s="154"/>
      <c r="DY85" s="153"/>
      <c r="DZ85" s="153"/>
      <c r="EA85" s="153"/>
      <c r="EB85" s="153"/>
      <c r="EC85" s="153"/>
      <c r="ED85" s="154"/>
      <c r="EE85" s="154"/>
      <c r="EF85" s="153"/>
      <c r="EG85" s="153"/>
      <c r="EH85" s="153"/>
      <c r="EI85" s="153"/>
      <c r="EJ85" s="153"/>
      <c r="EK85" s="154"/>
      <c r="EL85" s="154"/>
    </row>
  </sheetData>
  <autoFilter ref="A1:EU50" xr:uid="{DA75E99E-1839-4257-BB20-5CA653D41E22}">
    <filterColumn colId="4">
      <filters>
        <filter val="לא"/>
      </filters>
    </filterColumn>
  </autoFilter>
  <conditionalFormatting sqref="E114:H1048576 H27 E50:G50 H22 G23:H24 E18:F27 G18:G22 E46:G47 F45:G45 H41:H50 E2:H8 E10:H11 F9:H9 H12:H20 E16:G17 E28:H34 E35:G44">
    <cfRule type="cellIs" dxfId="28" priority="91" operator="equal">
      <formula>"לא"</formula>
    </cfRule>
  </conditionalFormatting>
  <conditionalFormatting sqref="D114:D1048576 D46:D47 D40:D44 D2:D8 D10:D11 D16:D35">
    <cfRule type="cellIs" dxfId="27" priority="90" operator="equal">
      <formula>"כן"</formula>
    </cfRule>
  </conditionalFormatting>
  <conditionalFormatting sqref="Q51:W71">
    <cfRule type="cellIs" dxfId="26" priority="84" operator="notEqual">
      <formula>0</formula>
    </cfRule>
  </conditionalFormatting>
  <conditionalFormatting sqref="E12:E15">
    <cfRule type="cellIs" dxfId="25" priority="76" operator="equal">
      <formula>"לא"</formula>
    </cfRule>
  </conditionalFormatting>
  <conditionalFormatting sqref="D12:D15">
    <cfRule type="cellIs" dxfId="24" priority="75" operator="equal">
      <formula>"כן"</formula>
    </cfRule>
  </conditionalFormatting>
  <conditionalFormatting sqref="H21 H26">
    <cfRule type="cellIs" dxfId="23" priority="72" operator="equal">
      <formula>"לא"</formula>
    </cfRule>
  </conditionalFormatting>
  <conditionalFormatting sqref="H25">
    <cfRule type="cellIs" dxfId="22" priority="70" operator="equal">
      <formula>"לא"</formula>
    </cfRule>
  </conditionalFormatting>
  <conditionalFormatting sqref="G25">
    <cfRule type="cellIs" dxfId="21" priority="59" operator="equal">
      <formula>"לא"</formula>
    </cfRule>
  </conditionalFormatting>
  <conditionalFormatting sqref="D36:D39">
    <cfRule type="cellIs" dxfId="20" priority="53" operator="equal">
      <formula>"כן"</formula>
    </cfRule>
  </conditionalFormatting>
  <conditionalFormatting sqref="G12:G15">
    <cfRule type="cellIs" dxfId="19" priority="44" operator="equal">
      <formula>"לא"</formula>
    </cfRule>
  </conditionalFormatting>
  <conditionalFormatting sqref="G26">
    <cfRule type="cellIs" dxfId="18" priority="34" operator="equal">
      <formula>"לא"</formula>
    </cfRule>
  </conditionalFormatting>
  <conditionalFormatting sqref="G27">
    <cfRule type="cellIs" dxfId="17" priority="33" operator="equal">
      <formula>"לא"</formula>
    </cfRule>
  </conditionalFormatting>
  <conditionalFormatting sqref="H35">
    <cfRule type="cellIs" dxfId="16" priority="31" operator="equal">
      <formula>"לא"</formula>
    </cfRule>
  </conditionalFormatting>
  <conditionalFormatting sqref="H36:H39">
    <cfRule type="cellIs" dxfId="15" priority="30" operator="equal">
      <formula>"לא"</formula>
    </cfRule>
  </conditionalFormatting>
  <conditionalFormatting sqref="H40">
    <cfRule type="cellIs" dxfId="14" priority="29" operator="equal">
      <formula>"לא"</formula>
    </cfRule>
  </conditionalFormatting>
  <conditionalFormatting sqref="F12:F15">
    <cfRule type="cellIs" dxfId="13" priority="23" operator="equal">
      <formula>"לא"</formula>
    </cfRule>
  </conditionalFormatting>
  <conditionalFormatting sqref="E48">
    <cfRule type="cellIs" dxfId="12" priority="14" operator="equal">
      <formula>"לא"</formula>
    </cfRule>
  </conditionalFormatting>
  <conditionalFormatting sqref="D48">
    <cfRule type="cellIs" dxfId="11" priority="13" operator="equal">
      <formula>"כן"</formula>
    </cfRule>
  </conditionalFormatting>
  <conditionalFormatting sqref="F48">
    <cfRule type="cellIs" dxfId="10" priority="11" operator="equal">
      <formula>"לא"</formula>
    </cfRule>
  </conditionalFormatting>
  <conditionalFormatting sqref="E45">
    <cfRule type="cellIs" dxfId="9" priority="10" operator="equal">
      <formula>"לא"</formula>
    </cfRule>
  </conditionalFormatting>
  <conditionalFormatting sqref="D45">
    <cfRule type="cellIs" dxfId="8" priority="9" operator="equal">
      <formula>"כן"</formula>
    </cfRule>
  </conditionalFormatting>
  <conditionalFormatting sqref="D50">
    <cfRule type="cellIs" dxfId="7" priority="8" operator="equal">
      <formula>"כן"</formula>
    </cfRule>
  </conditionalFormatting>
  <conditionalFormatting sqref="E9">
    <cfRule type="cellIs" dxfId="6" priority="7" operator="equal">
      <formula>"לא"</formula>
    </cfRule>
  </conditionalFormatting>
  <conditionalFormatting sqref="D9">
    <cfRule type="cellIs" dxfId="5" priority="6" operator="equal">
      <formula>"כן"</formula>
    </cfRule>
  </conditionalFormatting>
  <conditionalFormatting sqref="G48">
    <cfRule type="cellIs" dxfId="4" priority="5" operator="equal">
      <formula>"לא"</formula>
    </cfRule>
  </conditionalFormatting>
  <conditionalFormatting sqref="E49">
    <cfRule type="cellIs" dxfId="3" priority="4" operator="equal">
      <formula>"לא"</formula>
    </cfRule>
  </conditionalFormatting>
  <conditionalFormatting sqref="D49">
    <cfRule type="cellIs" dxfId="2" priority="3" operator="equal">
      <formula>"כן"</formula>
    </cfRule>
  </conditionalFormatting>
  <conditionalFormatting sqref="F49">
    <cfRule type="cellIs" dxfId="1" priority="2" operator="equal">
      <formula>"לא"</formula>
    </cfRule>
  </conditionalFormatting>
  <conditionalFormatting sqref="G4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opLeftCell="C1" zoomScale="130" zoomScaleNormal="130" workbookViewId="0">
      <selection activeCell="J5" sqref="J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299</v>
      </c>
      <c r="C2" s="3">
        <f>COUNTIF(חיילים!D:D,"=כן")</f>
        <v>4</v>
      </c>
    </row>
    <row r="3" spans="2:10" ht="17.25" customHeight="1" thickBot="1" x14ac:dyDescent="0.3">
      <c r="B3" s="1" t="s">
        <v>16</v>
      </c>
      <c r="C3" s="1">
        <f>COUNTIF(חיילים!$D:D,"=לא")</f>
        <v>45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49</v>
      </c>
      <c r="F4" s="86" t="s">
        <v>29</v>
      </c>
      <c r="G4" s="59">
        <f>SUM(חיילים!EF:EF)</f>
        <v>12</v>
      </c>
      <c r="H4" s="60">
        <f>SUM(חיילים!EG:EG)</f>
        <v>4</v>
      </c>
      <c r="I4" s="60">
        <f>SUM(חיילים!EH:EH)</f>
        <v>48</v>
      </c>
      <c r="J4" s="61">
        <f>SUM(חיילים!EI:EI)</f>
        <v>16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0</v>
      </c>
      <c r="J5" s="64">
        <f>J6-J4</f>
        <v>0</v>
      </c>
    </row>
    <row r="6" spans="2:10" ht="15.75" thickBot="1" x14ac:dyDescent="0.3">
      <c r="F6" s="88" t="s">
        <v>31</v>
      </c>
      <c r="G6" s="65">
        <f>4*3</f>
        <v>12</v>
      </c>
      <c r="H6" s="66">
        <f>4*1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17</v>
      </c>
      <c r="C7" s="1">
        <f>COUNTIF(חיילים!E:E,"=כן")</f>
        <v>31</v>
      </c>
    </row>
    <row r="8" spans="2:10" x14ac:dyDescent="0.25">
      <c r="B8" s="3" t="s">
        <v>18</v>
      </c>
      <c r="C8" s="3">
        <f>COUNTIF(חיילים!E:E,"=לא")</f>
        <v>18</v>
      </c>
    </row>
    <row r="9" spans="2:10" x14ac:dyDescent="0.25">
      <c r="B9" s="1" t="s">
        <v>15</v>
      </c>
      <c r="C9" s="2">
        <f>C8+C7</f>
        <v>49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K80"/>
  <sheetViews>
    <sheetView rightToLeft="1" topLeftCell="A22" zoomScale="178" zoomScaleNormal="178" workbookViewId="0">
      <selection activeCell="H28" sqref="H28"/>
    </sheetView>
  </sheetViews>
  <sheetFormatPr defaultRowHeight="15" x14ac:dyDescent="0.25"/>
  <cols>
    <col min="1" max="1" width="7.28515625" style="21" customWidth="1"/>
    <col min="2" max="2" width="7" style="9" bestFit="1" customWidth="1"/>
    <col min="3" max="10" width="7.7109375" style="38" customWidth="1"/>
  </cols>
  <sheetData>
    <row r="1" spans="1:11" ht="60.75" thickBot="1" x14ac:dyDescent="0.3">
      <c r="A1" s="157" t="s">
        <v>0</v>
      </c>
      <c r="B1" s="158" t="s">
        <v>1</v>
      </c>
      <c r="C1" s="172" t="s">
        <v>72</v>
      </c>
      <c r="D1" s="224" t="s">
        <v>72</v>
      </c>
      <c r="E1" s="168" t="s">
        <v>73</v>
      </c>
      <c r="F1" s="223" t="s">
        <v>73</v>
      </c>
      <c r="G1" s="168" t="s">
        <v>74</v>
      </c>
      <c r="H1" s="223" t="s">
        <v>74</v>
      </c>
      <c r="I1" s="168" t="s">
        <v>75</v>
      </c>
      <c r="J1" s="223" t="s">
        <v>75</v>
      </c>
    </row>
    <row r="2" spans="1:11" x14ac:dyDescent="0.25">
      <c r="A2" s="32">
        <v>11</v>
      </c>
      <c r="B2" s="237" t="s">
        <v>133</v>
      </c>
      <c r="C2" s="108"/>
      <c r="D2" s="108"/>
      <c r="E2" s="40"/>
      <c r="F2" s="108"/>
      <c r="G2" s="40">
        <v>3</v>
      </c>
      <c r="H2" s="40">
        <v>3</v>
      </c>
      <c r="I2" s="40"/>
      <c r="J2" s="108"/>
    </row>
    <row r="3" spans="1:11" ht="33.75" x14ac:dyDescent="0.5">
      <c r="A3" s="177">
        <v>209</v>
      </c>
      <c r="B3" s="24" t="s">
        <v>273</v>
      </c>
      <c r="C3" s="108"/>
      <c r="D3" s="108"/>
      <c r="E3" s="40"/>
      <c r="F3" s="108"/>
      <c r="G3" s="40">
        <v>3</v>
      </c>
      <c r="H3" s="40">
        <v>3</v>
      </c>
      <c r="I3" s="40"/>
      <c r="J3" s="108"/>
      <c r="K3" s="46"/>
    </row>
    <row r="4" spans="1:11" ht="33.75" x14ac:dyDescent="0.5">
      <c r="A4" s="32">
        <v>209</v>
      </c>
      <c r="B4" s="24" t="s">
        <v>274</v>
      </c>
      <c r="C4" s="108"/>
      <c r="D4" s="108"/>
      <c r="E4" s="40"/>
      <c r="F4" s="108"/>
      <c r="G4" s="40">
        <v>3</v>
      </c>
      <c r="H4" s="40">
        <v>4</v>
      </c>
      <c r="I4" s="40"/>
      <c r="J4" s="108"/>
      <c r="K4" s="46"/>
    </row>
    <row r="5" spans="1:11" x14ac:dyDescent="0.25">
      <c r="A5" s="10">
        <v>474</v>
      </c>
      <c r="B5" s="24" t="s">
        <v>166</v>
      </c>
      <c r="C5" s="108"/>
      <c r="D5" s="108"/>
      <c r="E5" s="40"/>
      <c r="F5" s="108"/>
      <c r="G5" s="40">
        <v>3</v>
      </c>
      <c r="H5" s="40">
        <v>3</v>
      </c>
      <c r="I5" s="40"/>
      <c r="J5" s="108"/>
    </row>
    <row r="6" spans="1:11" x14ac:dyDescent="0.25">
      <c r="A6" s="32">
        <v>679</v>
      </c>
      <c r="B6" s="237" t="s">
        <v>49</v>
      </c>
      <c r="C6" s="108"/>
      <c r="D6" s="108"/>
      <c r="E6" s="40"/>
      <c r="F6" s="108"/>
      <c r="G6" s="40">
        <v>3</v>
      </c>
      <c r="H6" s="40">
        <v>3</v>
      </c>
      <c r="I6" s="40"/>
      <c r="J6" s="108"/>
    </row>
    <row r="7" spans="1:11" x14ac:dyDescent="0.25">
      <c r="A7" s="32">
        <v>679</v>
      </c>
      <c r="B7" s="237" t="s">
        <v>276</v>
      </c>
      <c r="C7" s="108"/>
      <c r="D7" s="108"/>
      <c r="E7" s="40"/>
      <c r="F7" s="108"/>
      <c r="G7" s="40">
        <v>3</v>
      </c>
      <c r="H7" s="40">
        <v>3</v>
      </c>
      <c r="I7" s="40"/>
      <c r="J7" s="108"/>
    </row>
    <row r="8" spans="1:11" x14ac:dyDescent="0.25">
      <c r="A8" s="216" t="s">
        <v>63</v>
      </c>
      <c r="B8" s="218" t="s">
        <v>11</v>
      </c>
      <c r="C8" s="108"/>
      <c r="D8" s="108"/>
      <c r="E8" s="40"/>
      <c r="F8" s="108"/>
      <c r="G8" s="40">
        <v>3</v>
      </c>
      <c r="H8" s="40">
        <v>3</v>
      </c>
      <c r="I8" s="40"/>
      <c r="J8" s="108"/>
    </row>
    <row r="9" spans="1:11" x14ac:dyDescent="0.25">
      <c r="A9" s="177" t="s">
        <v>14</v>
      </c>
      <c r="B9" s="237" t="s">
        <v>189</v>
      </c>
      <c r="C9" s="108">
        <v>1</v>
      </c>
      <c r="D9" s="108">
        <v>1</v>
      </c>
      <c r="E9" s="40"/>
      <c r="F9" s="108"/>
      <c r="G9" s="40">
        <v>2</v>
      </c>
      <c r="H9" s="40">
        <v>2</v>
      </c>
      <c r="I9" s="40"/>
      <c r="J9" s="108"/>
    </row>
    <row r="10" spans="1:11" x14ac:dyDescent="0.25">
      <c r="A10" s="32">
        <v>9</v>
      </c>
      <c r="B10" s="33" t="s">
        <v>48</v>
      </c>
      <c r="C10" s="108"/>
      <c r="D10" s="108"/>
      <c r="E10" s="40"/>
      <c r="F10" s="108"/>
      <c r="G10" s="40">
        <v>2</v>
      </c>
      <c r="H10" s="40">
        <v>2</v>
      </c>
      <c r="I10" s="40"/>
      <c r="J10" s="108"/>
    </row>
    <row r="11" spans="1:11" x14ac:dyDescent="0.25">
      <c r="A11" s="32">
        <v>9</v>
      </c>
      <c r="B11" s="33" t="s">
        <v>10</v>
      </c>
      <c r="C11" s="108"/>
      <c r="D11" s="108"/>
      <c r="E11" s="40"/>
      <c r="F11" s="108"/>
      <c r="G11" s="40">
        <v>2</v>
      </c>
      <c r="H11" s="40">
        <v>2</v>
      </c>
      <c r="I11" s="40"/>
      <c r="J11" s="108"/>
    </row>
    <row r="12" spans="1:11" x14ac:dyDescent="0.25">
      <c r="A12" s="177" t="s">
        <v>12</v>
      </c>
      <c r="B12" s="237" t="s">
        <v>254</v>
      </c>
      <c r="C12" s="108"/>
      <c r="D12" s="108"/>
      <c r="E12" s="40"/>
      <c r="F12" s="108"/>
      <c r="G12" s="40">
        <v>2</v>
      </c>
      <c r="H12" s="40">
        <v>2</v>
      </c>
      <c r="I12" s="40"/>
      <c r="J12" s="108"/>
    </row>
    <row r="13" spans="1:11" x14ac:dyDescent="0.25">
      <c r="A13" s="219" t="s">
        <v>12</v>
      </c>
      <c r="B13" s="24" t="s">
        <v>98</v>
      </c>
      <c r="C13" s="108"/>
      <c r="D13" s="108"/>
      <c r="E13" s="40"/>
      <c r="F13" s="108"/>
      <c r="G13" s="40">
        <v>2</v>
      </c>
      <c r="H13" s="40">
        <v>2</v>
      </c>
      <c r="I13" s="40"/>
      <c r="J13" s="108"/>
    </row>
    <row r="14" spans="1:11" x14ac:dyDescent="0.25">
      <c r="A14" s="32">
        <v>9</v>
      </c>
      <c r="B14" s="237" t="s">
        <v>226</v>
      </c>
      <c r="C14" s="108">
        <v>1</v>
      </c>
      <c r="D14" s="108">
        <v>1</v>
      </c>
      <c r="E14" s="40"/>
      <c r="F14" s="108"/>
      <c r="G14" s="40">
        <v>1</v>
      </c>
      <c r="H14" s="40">
        <v>1</v>
      </c>
      <c r="I14" s="40">
        <v>2</v>
      </c>
      <c r="J14" s="108">
        <v>2</v>
      </c>
    </row>
    <row r="15" spans="1:11" x14ac:dyDescent="0.25">
      <c r="A15" s="177" t="s">
        <v>63</v>
      </c>
      <c r="B15" s="237" t="s">
        <v>279</v>
      </c>
      <c r="C15" s="108"/>
      <c r="D15" s="108"/>
      <c r="E15" s="40"/>
      <c r="F15" s="108"/>
      <c r="G15" s="40">
        <v>1</v>
      </c>
      <c r="H15" s="40">
        <v>1</v>
      </c>
      <c r="I15" s="40">
        <v>2</v>
      </c>
      <c r="J15" s="108">
        <v>2</v>
      </c>
    </row>
    <row r="16" spans="1:11" x14ac:dyDescent="0.25">
      <c r="A16" s="10">
        <v>11</v>
      </c>
      <c r="B16" s="24" t="s">
        <v>300</v>
      </c>
      <c r="C16" s="108">
        <v>1</v>
      </c>
      <c r="D16" s="108">
        <v>1</v>
      </c>
      <c r="E16" s="40"/>
      <c r="F16" s="108"/>
      <c r="G16" s="40">
        <v>1</v>
      </c>
      <c r="H16" s="40">
        <v>1</v>
      </c>
      <c r="I16" s="40">
        <v>1</v>
      </c>
      <c r="J16" s="108">
        <v>1</v>
      </c>
    </row>
    <row r="17" spans="1:10" x14ac:dyDescent="0.25">
      <c r="A17" s="10">
        <v>9</v>
      </c>
      <c r="B17" s="11" t="s">
        <v>9</v>
      </c>
      <c r="C17" s="108"/>
      <c r="D17" s="108"/>
      <c r="E17" s="40"/>
      <c r="F17" s="108"/>
      <c r="G17" s="40">
        <v>1</v>
      </c>
      <c r="H17" s="40">
        <v>1</v>
      </c>
      <c r="I17" s="40">
        <v>1</v>
      </c>
      <c r="J17" s="108">
        <v>1</v>
      </c>
    </row>
    <row r="18" spans="1:10" x14ac:dyDescent="0.25">
      <c r="A18" s="10">
        <v>474</v>
      </c>
      <c r="B18" s="24" t="s">
        <v>123</v>
      </c>
      <c r="C18" s="108"/>
      <c r="D18" s="108"/>
      <c r="E18" s="40"/>
      <c r="F18" s="108"/>
      <c r="G18" s="40">
        <v>1</v>
      </c>
      <c r="H18" s="40">
        <v>1</v>
      </c>
      <c r="I18" s="40">
        <v>1</v>
      </c>
      <c r="J18" s="108">
        <v>1</v>
      </c>
    </row>
    <row r="19" spans="1:10" x14ac:dyDescent="0.25">
      <c r="A19" s="10">
        <v>474</v>
      </c>
      <c r="B19" s="24" t="s">
        <v>68</v>
      </c>
      <c r="C19" s="108"/>
      <c r="D19" s="108"/>
      <c r="E19" s="40"/>
      <c r="F19" s="108"/>
      <c r="G19" s="40">
        <v>1</v>
      </c>
      <c r="H19" s="40">
        <v>1</v>
      </c>
      <c r="I19" s="40">
        <v>1</v>
      </c>
      <c r="J19" s="108">
        <v>1</v>
      </c>
    </row>
    <row r="20" spans="1:10" x14ac:dyDescent="0.25">
      <c r="A20" s="32" t="s">
        <v>63</v>
      </c>
      <c r="B20" s="24" t="s">
        <v>132</v>
      </c>
      <c r="C20" s="108"/>
      <c r="D20" s="108"/>
      <c r="E20" s="40"/>
      <c r="F20" s="108"/>
      <c r="G20" s="40">
        <v>1</v>
      </c>
      <c r="H20" s="40">
        <v>1</v>
      </c>
      <c r="I20" s="40">
        <v>1</v>
      </c>
      <c r="J20" s="108">
        <v>1</v>
      </c>
    </row>
    <row r="21" spans="1:10" x14ac:dyDescent="0.25">
      <c r="A21" s="32">
        <v>679</v>
      </c>
      <c r="B21" s="33" t="s">
        <v>13</v>
      </c>
      <c r="C21" s="108"/>
      <c r="D21" s="108"/>
      <c r="E21" s="40">
        <v>1</v>
      </c>
      <c r="F21" s="108">
        <v>1</v>
      </c>
      <c r="G21" s="40">
        <v>1</v>
      </c>
      <c r="H21" s="40">
        <v>1</v>
      </c>
      <c r="I21" s="40"/>
      <c r="J21" s="108"/>
    </row>
    <row r="22" spans="1:10" x14ac:dyDescent="0.25">
      <c r="A22" s="32" t="s">
        <v>63</v>
      </c>
      <c r="B22" s="24" t="s">
        <v>284</v>
      </c>
      <c r="C22" s="108"/>
      <c r="D22" s="108"/>
      <c r="E22" s="40">
        <v>1</v>
      </c>
      <c r="F22" s="108">
        <v>1</v>
      </c>
      <c r="G22" s="40">
        <v>1</v>
      </c>
      <c r="H22" s="40">
        <v>1</v>
      </c>
      <c r="I22" s="40"/>
      <c r="J22" s="108"/>
    </row>
    <row r="23" spans="1:10" x14ac:dyDescent="0.25">
      <c r="A23" s="32" t="s">
        <v>63</v>
      </c>
      <c r="B23" s="237" t="s">
        <v>8</v>
      </c>
      <c r="C23" s="108"/>
      <c r="D23" s="108"/>
      <c r="E23" s="40">
        <v>1</v>
      </c>
      <c r="F23" s="108">
        <v>1</v>
      </c>
      <c r="G23" s="40">
        <v>1</v>
      </c>
      <c r="H23" s="40">
        <v>1</v>
      </c>
      <c r="I23" s="40"/>
      <c r="J23" s="108"/>
    </row>
    <row r="24" spans="1:10" x14ac:dyDescent="0.25">
      <c r="A24" s="32">
        <v>9</v>
      </c>
      <c r="B24" s="237" t="s">
        <v>257</v>
      </c>
      <c r="C24" s="108">
        <v>1</v>
      </c>
      <c r="D24" s="108">
        <v>1</v>
      </c>
      <c r="E24" s="40"/>
      <c r="F24" s="108"/>
      <c r="G24" s="40">
        <v>1</v>
      </c>
      <c r="H24" s="40">
        <v>1</v>
      </c>
      <c r="I24" s="40"/>
      <c r="J24" s="108"/>
    </row>
    <row r="25" spans="1:10" x14ac:dyDescent="0.25">
      <c r="A25" s="32">
        <v>9</v>
      </c>
      <c r="B25" s="237" t="s">
        <v>262</v>
      </c>
      <c r="C25" s="108">
        <v>1</v>
      </c>
      <c r="D25" s="108">
        <v>1</v>
      </c>
      <c r="E25" s="40"/>
      <c r="F25" s="108"/>
      <c r="G25" s="40">
        <v>1</v>
      </c>
      <c r="H25" s="40">
        <v>1</v>
      </c>
      <c r="I25" s="40"/>
      <c r="J25" s="108"/>
    </row>
    <row r="26" spans="1:10" x14ac:dyDescent="0.25">
      <c r="A26" s="10">
        <v>474</v>
      </c>
      <c r="B26" s="24" t="s">
        <v>165</v>
      </c>
      <c r="C26" s="108">
        <v>1</v>
      </c>
      <c r="D26" s="108">
        <v>1</v>
      </c>
      <c r="E26" s="40"/>
      <c r="F26" s="108"/>
      <c r="G26" s="40">
        <v>1</v>
      </c>
      <c r="H26" s="40">
        <v>1</v>
      </c>
      <c r="I26" s="40"/>
      <c r="J26" s="108"/>
    </row>
    <row r="27" spans="1:10" x14ac:dyDescent="0.25">
      <c r="A27" s="177" t="s">
        <v>12</v>
      </c>
      <c r="B27" s="237" t="s">
        <v>223</v>
      </c>
      <c r="C27" s="108">
        <v>1</v>
      </c>
      <c r="D27" s="108">
        <v>1</v>
      </c>
      <c r="E27" s="40"/>
      <c r="F27" s="108"/>
      <c r="G27" s="40">
        <v>1</v>
      </c>
      <c r="H27" s="40">
        <v>1</v>
      </c>
      <c r="I27" s="40"/>
      <c r="J27" s="108"/>
    </row>
    <row r="28" spans="1:10" x14ac:dyDescent="0.25">
      <c r="A28" s="10">
        <v>209</v>
      </c>
      <c r="B28" s="24" t="s">
        <v>116</v>
      </c>
      <c r="C28" s="108"/>
      <c r="D28" s="108"/>
      <c r="E28" s="40"/>
      <c r="F28" s="108"/>
      <c r="G28" s="40">
        <v>1</v>
      </c>
      <c r="H28" s="40"/>
      <c r="I28" s="40"/>
      <c r="J28" s="108"/>
    </row>
    <row r="29" spans="1:10" x14ac:dyDescent="0.25">
      <c r="A29" s="10">
        <v>209</v>
      </c>
      <c r="B29" s="24" t="s">
        <v>97</v>
      </c>
      <c r="C29" s="108"/>
      <c r="D29" s="108"/>
      <c r="E29" s="40"/>
      <c r="F29" s="108"/>
      <c r="G29" s="40">
        <v>1</v>
      </c>
      <c r="H29" s="40">
        <v>1</v>
      </c>
      <c r="I29" s="40"/>
      <c r="J29" s="108"/>
    </row>
    <row r="30" spans="1:10" x14ac:dyDescent="0.25">
      <c r="A30" s="177" t="s">
        <v>63</v>
      </c>
      <c r="B30" s="237" t="s">
        <v>165</v>
      </c>
      <c r="C30" s="108"/>
      <c r="D30" s="108"/>
      <c r="E30" s="40"/>
      <c r="F30" s="108"/>
      <c r="G30" s="40">
        <v>1</v>
      </c>
      <c r="H30" s="40">
        <v>1</v>
      </c>
      <c r="I30" s="40"/>
      <c r="J30" s="108"/>
    </row>
    <row r="31" spans="1:10" x14ac:dyDescent="0.25">
      <c r="A31" s="10">
        <v>474</v>
      </c>
      <c r="B31" s="11" t="s">
        <v>5</v>
      </c>
      <c r="C31" s="108"/>
      <c r="D31" s="108"/>
      <c r="E31" s="40"/>
      <c r="F31" s="108"/>
      <c r="G31" s="40"/>
      <c r="H31" s="40"/>
      <c r="I31" s="40">
        <v>4</v>
      </c>
      <c r="J31" s="108">
        <v>4</v>
      </c>
    </row>
    <row r="32" spans="1:10" x14ac:dyDescent="0.25">
      <c r="A32" s="10">
        <v>474</v>
      </c>
      <c r="B32" s="24" t="s">
        <v>124</v>
      </c>
      <c r="C32" s="108"/>
      <c r="D32" s="108"/>
      <c r="E32" s="40"/>
      <c r="F32" s="108"/>
      <c r="G32" s="40"/>
      <c r="H32" s="40"/>
      <c r="I32" s="40">
        <v>3</v>
      </c>
      <c r="J32" s="108">
        <v>3</v>
      </c>
    </row>
    <row r="33" spans="1:10" x14ac:dyDescent="0.25">
      <c r="A33" s="10">
        <v>11</v>
      </c>
      <c r="B33" s="24" t="s">
        <v>164</v>
      </c>
      <c r="C33" s="108"/>
      <c r="D33" s="108"/>
      <c r="E33" s="40">
        <v>1</v>
      </c>
      <c r="F33" s="108">
        <v>1</v>
      </c>
      <c r="G33" s="40"/>
      <c r="H33" s="40"/>
      <c r="I33" s="40"/>
      <c r="J33" s="108"/>
    </row>
    <row r="34" spans="1:10" x14ac:dyDescent="0.25">
      <c r="A34" s="10">
        <v>11</v>
      </c>
      <c r="B34" s="24" t="s">
        <v>123</v>
      </c>
      <c r="C34" s="108">
        <v>1</v>
      </c>
      <c r="D34" s="108">
        <v>1</v>
      </c>
      <c r="E34" s="40"/>
      <c r="F34" s="108"/>
      <c r="G34" s="40"/>
      <c r="H34" s="40"/>
      <c r="I34" s="40"/>
      <c r="J34" s="108"/>
    </row>
    <row r="35" spans="1:10" x14ac:dyDescent="0.25">
      <c r="A35" s="32">
        <v>679</v>
      </c>
      <c r="B35" s="33" t="s">
        <v>11</v>
      </c>
      <c r="C35" s="108">
        <v>1</v>
      </c>
      <c r="D35" s="108">
        <v>1</v>
      </c>
      <c r="E35" s="40"/>
      <c r="F35" s="108"/>
      <c r="G35" s="40"/>
      <c r="H35" s="40"/>
      <c r="I35" s="40"/>
      <c r="J35" s="108"/>
    </row>
    <row r="36" spans="1:10" x14ac:dyDescent="0.25">
      <c r="A36" s="32" t="s">
        <v>63</v>
      </c>
      <c r="B36" s="24" t="s">
        <v>125</v>
      </c>
      <c r="C36" s="108">
        <v>1</v>
      </c>
      <c r="D36" s="108">
        <v>1</v>
      </c>
      <c r="E36" s="40"/>
      <c r="F36" s="108"/>
      <c r="G36" s="40"/>
      <c r="H36" s="40"/>
      <c r="I36" s="40"/>
      <c r="J36" s="108"/>
    </row>
    <row r="37" spans="1:10" x14ac:dyDescent="0.25">
      <c r="A37" s="110" t="s">
        <v>12</v>
      </c>
      <c r="B37" s="240" t="s">
        <v>278</v>
      </c>
      <c r="C37" s="108">
        <v>1</v>
      </c>
      <c r="D37" s="108">
        <v>1</v>
      </c>
      <c r="E37" s="40"/>
      <c r="F37" s="108"/>
      <c r="G37" s="40"/>
      <c r="H37" s="40"/>
      <c r="I37" s="40"/>
      <c r="J37" s="108"/>
    </row>
    <row r="38" spans="1:10" x14ac:dyDescent="0.25">
      <c r="A38" s="110" t="s">
        <v>14</v>
      </c>
      <c r="B38" s="45" t="s">
        <v>11</v>
      </c>
      <c r="C38" s="108">
        <v>1</v>
      </c>
      <c r="D38" s="108">
        <v>1</v>
      </c>
      <c r="E38" s="40"/>
      <c r="F38" s="108"/>
      <c r="G38" s="40"/>
      <c r="H38" s="40"/>
      <c r="I38" s="40"/>
      <c r="J38" s="108"/>
    </row>
    <row r="39" spans="1:10" x14ac:dyDescent="0.25">
      <c r="A39" s="25">
        <v>9</v>
      </c>
      <c r="B39" s="45" t="s">
        <v>96</v>
      </c>
      <c r="C39" s="108"/>
      <c r="D39" s="108"/>
      <c r="E39" s="40"/>
      <c r="F39" s="108"/>
      <c r="G39" s="40"/>
      <c r="H39" s="40"/>
      <c r="I39" s="40"/>
      <c r="J39" s="108"/>
    </row>
    <row r="40" spans="1:10" x14ac:dyDescent="0.25">
      <c r="A40" s="243">
        <v>9</v>
      </c>
      <c r="B40" s="242" t="s">
        <v>5</v>
      </c>
      <c r="C40" s="108"/>
      <c r="D40" s="108"/>
      <c r="E40" s="40"/>
      <c r="F40" s="108"/>
      <c r="G40" s="40"/>
      <c r="H40" s="40"/>
      <c r="I40" s="40"/>
      <c r="J40" s="108"/>
    </row>
    <row r="41" spans="1:10" x14ac:dyDescent="0.25">
      <c r="A41" s="47">
        <v>9</v>
      </c>
      <c r="B41" s="240" t="s">
        <v>303</v>
      </c>
      <c r="C41" s="108"/>
      <c r="D41" s="108"/>
      <c r="E41" s="40"/>
      <c r="F41" s="108"/>
      <c r="G41" s="40"/>
      <c r="H41" s="40"/>
      <c r="I41" s="40"/>
      <c r="J41" s="108"/>
    </row>
    <row r="42" spans="1:10" x14ac:dyDescent="0.25">
      <c r="A42" s="243">
        <v>11</v>
      </c>
      <c r="B42" s="242" t="s">
        <v>258</v>
      </c>
      <c r="C42" s="108"/>
      <c r="D42" s="108"/>
      <c r="E42" s="40"/>
      <c r="F42" s="108"/>
      <c r="G42" s="40"/>
      <c r="H42" s="40"/>
      <c r="I42" s="40"/>
      <c r="J42" s="108"/>
    </row>
    <row r="43" spans="1:10" x14ac:dyDescent="0.25">
      <c r="A43" s="217">
        <v>209</v>
      </c>
      <c r="B43" s="45" t="s">
        <v>301</v>
      </c>
      <c r="C43" s="108"/>
      <c r="D43" s="108"/>
      <c r="E43" s="40"/>
      <c r="F43" s="108"/>
      <c r="G43" s="40"/>
      <c r="H43" s="40"/>
      <c r="I43" s="40"/>
      <c r="J43" s="108"/>
    </row>
    <row r="44" spans="1:10" x14ac:dyDescent="0.25">
      <c r="A44" s="241" t="s">
        <v>63</v>
      </c>
      <c r="B44" s="242" t="s">
        <v>272</v>
      </c>
      <c r="C44" s="108"/>
      <c r="D44" s="108"/>
      <c r="E44" s="40"/>
      <c r="F44" s="108"/>
      <c r="G44" s="40"/>
      <c r="H44" s="40"/>
      <c r="I44" s="40"/>
      <c r="J44" s="108"/>
    </row>
    <row r="45" spans="1:10" x14ac:dyDescent="0.25">
      <c r="A45" s="219" t="s">
        <v>12</v>
      </c>
      <c r="B45" s="24" t="s">
        <v>11</v>
      </c>
      <c r="C45" s="108"/>
      <c r="D45" s="108"/>
      <c r="E45" s="40"/>
      <c r="F45" s="108"/>
      <c r="G45" s="40"/>
      <c r="H45" s="40"/>
      <c r="I45" s="40"/>
      <c r="J45" s="108"/>
    </row>
    <row r="46" spans="1:10" x14ac:dyDescent="0.25">
      <c r="A46" s="9"/>
      <c r="C46" s="153"/>
      <c r="D46" s="153"/>
      <c r="E46" s="153"/>
      <c r="F46" s="153"/>
      <c r="G46" s="153"/>
      <c r="H46" s="153"/>
      <c r="I46" s="153"/>
      <c r="J46" s="153"/>
    </row>
    <row r="47" spans="1:10" x14ac:dyDescent="0.25">
      <c r="A47" s="9"/>
      <c r="C47" s="153"/>
      <c r="D47" s="153"/>
      <c r="E47" s="153"/>
      <c r="F47" s="153"/>
      <c r="G47" s="153"/>
      <c r="H47" s="153"/>
      <c r="I47" s="153"/>
      <c r="J47" s="153"/>
    </row>
    <row r="48" spans="1:10" x14ac:dyDescent="0.25">
      <c r="A48" s="9"/>
    </row>
    <row r="49" spans="1:10" x14ac:dyDescent="0.25">
      <c r="A49" s="9"/>
    </row>
    <row r="50" spans="1:10" x14ac:dyDescent="0.25">
      <c r="A50" s="9"/>
    </row>
    <row r="51" spans="1:10" x14ac:dyDescent="0.25">
      <c r="A51" s="9"/>
      <c r="C51" s="153"/>
      <c r="D51" s="153"/>
      <c r="E51" s="153"/>
      <c r="F51" s="153"/>
      <c r="G51" s="153"/>
      <c r="H51" s="153"/>
      <c r="I51" s="153"/>
      <c r="J51" s="153"/>
    </row>
    <row r="52" spans="1:10" x14ac:dyDescent="0.25">
      <c r="A52" s="9"/>
      <c r="C52" s="153"/>
      <c r="D52" s="153"/>
      <c r="E52" s="153"/>
      <c r="F52" s="153"/>
      <c r="G52" s="153"/>
      <c r="H52" s="153"/>
      <c r="I52" s="153"/>
      <c r="J52" s="153"/>
    </row>
    <row r="53" spans="1:10" x14ac:dyDescent="0.25">
      <c r="A53" s="9"/>
      <c r="C53" s="153"/>
      <c r="D53" s="153"/>
      <c r="E53" s="153"/>
      <c r="F53" s="153"/>
      <c r="G53" s="153"/>
      <c r="H53" s="153"/>
      <c r="I53" s="153"/>
      <c r="J53" s="153"/>
    </row>
    <row r="54" spans="1:10" x14ac:dyDescent="0.25">
      <c r="A54" s="9"/>
      <c r="C54" s="153"/>
      <c r="D54" s="153"/>
      <c r="E54" s="153"/>
      <c r="F54" s="153"/>
      <c r="G54" s="153"/>
      <c r="H54" s="153"/>
      <c r="I54" s="153"/>
      <c r="J54" s="153"/>
    </row>
    <row r="55" spans="1:10" x14ac:dyDescent="0.25">
      <c r="A55" s="9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9"/>
      <c r="C56" s="153"/>
      <c r="D56" s="153"/>
      <c r="E56" s="153"/>
      <c r="F56" s="153"/>
      <c r="G56" s="153"/>
      <c r="H56" s="153"/>
      <c r="I56" s="153"/>
      <c r="J56" s="153"/>
    </row>
    <row r="57" spans="1:10" x14ac:dyDescent="0.25">
      <c r="A57" s="9"/>
      <c r="C57" s="153"/>
      <c r="D57" s="153"/>
      <c r="E57" s="153"/>
      <c r="F57" s="153"/>
      <c r="G57" s="153"/>
      <c r="H57" s="153"/>
      <c r="I57" s="153"/>
      <c r="J57" s="153"/>
    </row>
    <row r="58" spans="1:10" x14ac:dyDescent="0.25">
      <c r="A58" s="9"/>
      <c r="C58" s="153"/>
      <c r="D58" s="153"/>
      <c r="E58" s="153"/>
      <c r="F58" s="153"/>
      <c r="G58" s="153"/>
      <c r="H58" s="153"/>
      <c r="I58" s="153"/>
      <c r="J58" s="153"/>
    </row>
    <row r="59" spans="1:10" x14ac:dyDescent="0.25">
      <c r="A59" s="9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9"/>
      <c r="C60" s="153"/>
      <c r="D60" s="153"/>
      <c r="E60" s="153"/>
      <c r="F60" s="153"/>
      <c r="G60" s="153"/>
      <c r="H60" s="153"/>
      <c r="I60" s="153"/>
      <c r="J60" s="153"/>
    </row>
    <row r="61" spans="1:10" x14ac:dyDescent="0.25">
      <c r="A61" s="9"/>
      <c r="C61" s="153"/>
      <c r="D61" s="153"/>
      <c r="E61" s="153"/>
      <c r="F61" s="153"/>
      <c r="G61" s="153"/>
      <c r="H61" s="153"/>
      <c r="I61" s="153"/>
      <c r="J61" s="153"/>
    </row>
    <row r="62" spans="1:10" x14ac:dyDescent="0.25">
      <c r="A62" s="9"/>
      <c r="C62" s="153"/>
      <c r="D62" s="153"/>
      <c r="E62" s="153"/>
      <c r="F62" s="153"/>
      <c r="G62" s="153"/>
      <c r="H62" s="153"/>
      <c r="I62" s="153"/>
      <c r="J62" s="153"/>
    </row>
    <row r="63" spans="1:10" x14ac:dyDescent="0.25">
      <c r="A63" s="9"/>
      <c r="C63" s="153"/>
      <c r="D63" s="153"/>
      <c r="E63" s="153"/>
      <c r="F63" s="153"/>
      <c r="G63" s="153"/>
      <c r="H63" s="153"/>
      <c r="I63" s="153"/>
      <c r="J63" s="153"/>
    </row>
    <row r="64" spans="1:10" x14ac:dyDescent="0.25">
      <c r="A64" s="9"/>
      <c r="C64" s="153"/>
      <c r="D64" s="153"/>
      <c r="E64" s="153"/>
      <c r="F64" s="153"/>
      <c r="G64" s="153"/>
      <c r="H64" s="153"/>
      <c r="I64" s="153"/>
      <c r="J64" s="153"/>
    </row>
    <row r="65" spans="1:10" x14ac:dyDescent="0.25">
      <c r="A65" s="9"/>
      <c r="C65" s="153"/>
      <c r="D65" s="153"/>
      <c r="E65" s="153"/>
      <c r="F65" s="153"/>
      <c r="G65" s="153"/>
      <c r="H65" s="153"/>
      <c r="I65" s="153"/>
      <c r="J65" s="153"/>
    </row>
    <row r="66" spans="1:10" x14ac:dyDescent="0.25">
      <c r="A66" s="9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9"/>
      <c r="C67" s="153"/>
      <c r="D67" s="153"/>
      <c r="E67" s="153"/>
      <c r="F67" s="153"/>
      <c r="G67" s="153"/>
      <c r="H67" s="153"/>
      <c r="I67" s="153"/>
      <c r="J67" s="153"/>
    </row>
    <row r="68" spans="1:10" x14ac:dyDescent="0.25">
      <c r="A68" s="9"/>
      <c r="C68" s="153"/>
      <c r="D68" s="153"/>
      <c r="E68" s="153"/>
      <c r="F68" s="153"/>
      <c r="G68" s="153"/>
      <c r="H68" s="153"/>
      <c r="I68" s="153"/>
      <c r="J68" s="153"/>
    </row>
    <row r="69" spans="1:10" x14ac:dyDescent="0.25">
      <c r="A69" s="9"/>
      <c r="C69" s="153"/>
      <c r="D69" s="153"/>
      <c r="E69" s="153"/>
      <c r="F69" s="153"/>
      <c r="G69" s="153"/>
      <c r="H69" s="153"/>
      <c r="I69" s="153"/>
      <c r="J69" s="153"/>
    </row>
    <row r="70" spans="1:10" x14ac:dyDescent="0.25">
      <c r="A70" s="9"/>
      <c r="C70" s="153"/>
      <c r="D70" s="153"/>
      <c r="E70" s="153"/>
      <c r="F70" s="153"/>
      <c r="G70" s="153"/>
      <c r="H70" s="153"/>
      <c r="I70" s="153"/>
      <c r="J70" s="153"/>
    </row>
    <row r="71" spans="1:10" x14ac:dyDescent="0.25">
      <c r="A71" s="9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9"/>
      <c r="C72" s="153"/>
      <c r="D72" s="153"/>
      <c r="E72" s="153"/>
      <c r="F72" s="153"/>
      <c r="G72" s="153"/>
      <c r="H72" s="153"/>
      <c r="I72" s="153"/>
      <c r="J72" s="153"/>
    </row>
    <row r="73" spans="1:10" x14ac:dyDescent="0.25">
      <c r="A73" s="9"/>
      <c r="C73" s="153"/>
      <c r="D73" s="153"/>
      <c r="E73" s="153"/>
      <c r="F73" s="153"/>
      <c r="G73" s="153"/>
      <c r="H73" s="153"/>
      <c r="I73" s="153"/>
      <c r="J73" s="153"/>
    </row>
    <row r="74" spans="1:10" x14ac:dyDescent="0.25">
      <c r="A74" s="9"/>
      <c r="C74" s="153"/>
      <c r="D74" s="153"/>
      <c r="E74" s="153"/>
      <c r="F74" s="153"/>
      <c r="G74" s="153"/>
      <c r="H74" s="153"/>
      <c r="I74" s="153"/>
      <c r="J74" s="153"/>
    </row>
    <row r="75" spans="1:10" x14ac:dyDescent="0.25">
      <c r="A75" s="9"/>
      <c r="C75" s="153"/>
      <c r="D75" s="153"/>
      <c r="E75" s="153"/>
      <c r="F75" s="153"/>
      <c r="G75" s="153"/>
      <c r="H75" s="153"/>
      <c r="I75" s="153"/>
      <c r="J75" s="153"/>
    </row>
    <row r="76" spans="1:10" x14ac:dyDescent="0.25">
      <c r="A76" s="9"/>
      <c r="C76" s="153"/>
      <c r="D76" s="153"/>
      <c r="E76" s="153"/>
      <c r="F76" s="153"/>
      <c r="G76" s="153"/>
      <c r="H76" s="153"/>
      <c r="I76" s="153"/>
      <c r="J76" s="153"/>
    </row>
    <row r="77" spans="1:10" x14ac:dyDescent="0.25">
      <c r="A77" s="9"/>
      <c r="C77" s="153"/>
      <c r="D77" s="153"/>
      <c r="E77" s="153"/>
      <c r="F77" s="153"/>
      <c r="G77" s="153"/>
      <c r="H77" s="153"/>
      <c r="I77" s="153"/>
      <c r="J77" s="153"/>
    </row>
    <row r="78" spans="1:10" x14ac:dyDescent="0.25">
      <c r="A78" s="9"/>
      <c r="C78" s="153"/>
      <c r="D78" s="153"/>
      <c r="E78" s="153"/>
      <c r="F78" s="153"/>
      <c r="G78" s="153"/>
      <c r="H78" s="153"/>
      <c r="I78" s="153"/>
      <c r="J78" s="153"/>
    </row>
    <row r="79" spans="1:10" x14ac:dyDescent="0.25">
      <c r="A79" s="9"/>
      <c r="C79" s="153"/>
      <c r="D79" s="153"/>
      <c r="E79" s="153"/>
      <c r="F79" s="153"/>
      <c r="G79" s="153"/>
      <c r="H79" s="153"/>
      <c r="I79" s="153"/>
      <c r="J79" s="153"/>
    </row>
    <row r="80" spans="1:10" x14ac:dyDescent="0.25">
      <c r="A80" s="9"/>
      <c r="C80" s="153"/>
      <c r="D80" s="153"/>
      <c r="E80" s="153"/>
      <c r="F80" s="153"/>
      <c r="G80" s="153"/>
      <c r="H80" s="153"/>
      <c r="I80" s="153"/>
      <c r="J80" s="153"/>
    </row>
  </sheetData>
  <autoFilter ref="A1:J45" xr:uid="{DBE45F1D-CCD6-497A-9677-5E75A77F9EE4}">
    <sortState xmlns:xlrd2="http://schemas.microsoft.com/office/spreadsheetml/2017/richdata2" ref="A2:J45">
      <sortCondition descending="1" ref="G1:G45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255</v>
      </c>
      <c r="B17" s="1" t="s">
        <v>256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58">
        <v>3</v>
      </c>
      <c r="G2" s="258"/>
      <c r="H2" s="259"/>
    </row>
    <row r="3" spans="1:8" x14ac:dyDescent="0.25">
      <c r="A3" s="7" t="s">
        <v>19</v>
      </c>
      <c r="B3" s="235"/>
      <c r="C3" s="235"/>
      <c r="D3" s="236"/>
      <c r="E3" s="236"/>
      <c r="F3" s="264" t="s">
        <v>280</v>
      </c>
      <c r="G3" s="265"/>
      <c r="H3" s="266"/>
    </row>
    <row r="4" spans="1:8" x14ac:dyDescent="0.25">
      <c r="A4" s="7" t="s">
        <v>20</v>
      </c>
      <c r="B4" s="227"/>
      <c r="C4" s="228"/>
      <c r="D4" s="228"/>
      <c r="E4" s="227"/>
      <c r="F4" s="264" t="s">
        <v>129</v>
      </c>
      <c r="G4" s="265"/>
      <c r="H4" s="266"/>
    </row>
    <row r="5" spans="1:8" x14ac:dyDescent="0.25">
      <c r="A5" s="7" t="s">
        <v>21</v>
      </c>
      <c r="B5" s="228"/>
      <c r="C5" s="227"/>
      <c r="D5" s="227"/>
      <c r="E5" s="228"/>
      <c r="F5" s="269" t="s">
        <v>269</v>
      </c>
      <c r="G5" s="270"/>
      <c r="H5" s="271"/>
    </row>
    <row r="6" spans="1:8" ht="15.75" thickBot="1" x14ac:dyDescent="0.3">
      <c r="A6" s="7" t="s">
        <v>79</v>
      </c>
      <c r="B6" s="231"/>
      <c r="C6" s="231"/>
      <c r="D6" s="231"/>
      <c r="E6" s="232"/>
      <c r="F6" s="274" t="s">
        <v>221</v>
      </c>
      <c r="G6" s="274"/>
      <c r="H6" s="275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7">
        <v>3</v>
      </c>
      <c r="C8" s="228">
        <v>3</v>
      </c>
      <c r="D8" s="227">
        <v>3</v>
      </c>
      <c r="E8" s="228">
        <v>3</v>
      </c>
      <c r="F8" s="258">
        <v>3</v>
      </c>
      <c r="G8" s="258"/>
      <c r="H8" s="259"/>
    </row>
    <row r="9" spans="1:8" x14ac:dyDescent="0.25">
      <c r="A9" s="7" t="s">
        <v>19</v>
      </c>
      <c r="B9" s="227" t="s">
        <v>141</v>
      </c>
      <c r="C9" s="230" t="s">
        <v>112</v>
      </c>
      <c r="D9" s="229" t="s">
        <v>127</v>
      </c>
      <c r="E9" s="228" t="s">
        <v>222</v>
      </c>
      <c r="F9" s="258" t="s">
        <v>60</v>
      </c>
      <c r="G9" s="258"/>
      <c r="H9" s="259"/>
    </row>
    <row r="10" spans="1:8" x14ac:dyDescent="0.25">
      <c r="A10" s="7" t="s">
        <v>20</v>
      </c>
      <c r="B10" s="227" t="s">
        <v>267</v>
      </c>
      <c r="C10" s="227" t="s">
        <v>114</v>
      </c>
      <c r="D10" s="227" t="s">
        <v>61</v>
      </c>
      <c r="E10" s="230" t="s">
        <v>267</v>
      </c>
      <c r="F10" s="267" t="s">
        <v>59</v>
      </c>
      <c r="G10" s="267"/>
      <c r="H10" s="268"/>
    </row>
    <row r="11" spans="1:8" x14ac:dyDescent="0.25">
      <c r="A11" s="7" t="s">
        <v>21</v>
      </c>
      <c r="B11" s="230" t="s">
        <v>71</v>
      </c>
      <c r="C11" s="227" t="s">
        <v>162</v>
      </c>
      <c r="D11" s="227" t="s">
        <v>58</v>
      </c>
      <c r="E11" s="228" t="s">
        <v>69</v>
      </c>
      <c r="F11" s="258" t="s">
        <v>130</v>
      </c>
      <c r="G11" s="258"/>
      <c r="H11" s="259"/>
    </row>
    <row r="12" spans="1:8" x14ac:dyDescent="0.25">
      <c r="A12" s="7" t="s">
        <v>79</v>
      </c>
      <c r="B12" s="227" t="s">
        <v>260</v>
      </c>
      <c r="C12" s="227" t="s">
        <v>225</v>
      </c>
      <c r="D12" s="227" t="s">
        <v>282</v>
      </c>
      <c r="E12" s="227" t="s">
        <v>71</v>
      </c>
      <c r="F12" s="258" t="s">
        <v>266</v>
      </c>
      <c r="G12" s="258"/>
      <c r="H12" s="259"/>
    </row>
    <row r="13" spans="1:8" x14ac:dyDescent="0.25">
      <c r="A13" s="221" t="s">
        <v>307</v>
      </c>
      <c r="B13" s="225"/>
      <c r="C13" s="225"/>
      <c r="D13" s="225"/>
      <c r="E13" s="225"/>
      <c r="F13" s="258"/>
      <c r="G13" s="258"/>
      <c r="H13" s="259"/>
    </row>
    <row r="14" spans="1:8" ht="15.75" thickBot="1" x14ac:dyDescent="0.3">
      <c r="A14" s="221" t="s">
        <v>308</v>
      </c>
      <c r="B14" s="80" t="s">
        <v>58</v>
      </c>
      <c r="C14" s="80" t="s">
        <v>92</v>
      </c>
      <c r="D14" s="80" t="s">
        <v>191</v>
      </c>
      <c r="E14" s="80" t="s">
        <v>281</v>
      </c>
      <c r="F14" s="267" t="s">
        <v>225</v>
      </c>
      <c r="G14" s="267"/>
      <c r="H14" s="268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7">
        <v>3</v>
      </c>
      <c r="C16" s="228">
        <v>3</v>
      </c>
      <c r="D16" s="227">
        <v>3</v>
      </c>
      <c r="E16" s="228">
        <v>3</v>
      </c>
      <c r="F16" s="258">
        <v>2</v>
      </c>
      <c r="G16" s="258"/>
      <c r="H16" s="259"/>
    </row>
    <row r="17" spans="1:8" x14ac:dyDescent="0.25">
      <c r="A17" s="7" t="s">
        <v>19</v>
      </c>
      <c r="B17" s="228" t="s">
        <v>277</v>
      </c>
      <c r="C17" s="227" t="s">
        <v>281</v>
      </c>
      <c r="D17" s="228" t="s">
        <v>112</v>
      </c>
      <c r="E17" s="228" t="s">
        <v>195</v>
      </c>
      <c r="F17" s="258" t="s">
        <v>92</v>
      </c>
      <c r="G17" s="258"/>
      <c r="H17" s="259"/>
    </row>
    <row r="18" spans="1:8" x14ac:dyDescent="0.25">
      <c r="A18" s="7" t="s">
        <v>20</v>
      </c>
      <c r="B18" s="229" t="s">
        <v>58</v>
      </c>
      <c r="C18" s="234" t="s">
        <v>280</v>
      </c>
      <c r="D18" s="233" t="s">
        <v>176</v>
      </c>
      <c r="E18" s="228" t="s">
        <v>269</v>
      </c>
      <c r="F18" s="267" t="s">
        <v>126</v>
      </c>
      <c r="G18" s="267"/>
      <c r="H18" s="268"/>
    </row>
    <row r="19" spans="1:8" x14ac:dyDescent="0.25">
      <c r="A19" s="7" t="s">
        <v>21</v>
      </c>
      <c r="B19" s="228" t="s">
        <v>64</v>
      </c>
      <c r="C19" s="227" t="s">
        <v>162</v>
      </c>
      <c r="D19" s="229" t="s">
        <v>141</v>
      </c>
      <c r="E19" s="230" t="s">
        <v>59</v>
      </c>
      <c r="F19" s="267" t="s">
        <v>127</v>
      </c>
      <c r="G19" s="267"/>
      <c r="H19" s="268"/>
    </row>
    <row r="20" spans="1:8" x14ac:dyDescent="0.25">
      <c r="A20" s="7" t="s">
        <v>79</v>
      </c>
      <c r="B20" s="227" t="s">
        <v>227</v>
      </c>
      <c r="C20" s="227" t="s">
        <v>306</v>
      </c>
      <c r="D20" s="227" t="s">
        <v>282</v>
      </c>
      <c r="E20" s="228" t="s">
        <v>142</v>
      </c>
      <c r="F20" s="258" t="s">
        <v>283</v>
      </c>
      <c r="G20" s="258"/>
      <c r="H20" s="259"/>
    </row>
    <row r="21" spans="1:8" x14ac:dyDescent="0.25">
      <c r="A21" s="221" t="s">
        <v>307</v>
      </c>
      <c r="B21" s="225"/>
      <c r="C21" s="225"/>
      <c r="D21" s="225"/>
      <c r="E21" s="80"/>
      <c r="F21" s="258"/>
      <c r="G21" s="258"/>
      <c r="H21" s="259"/>
    </row>
    <row r="22" spans="1:8" ht="15.75" thickBot="1" x14ac:dyDescent="0.3">
      <c r="A22" s="221" t="s">
        <v>308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67" t="s">
        <v>115</v>
      </c>
      <c r="G22" s="267"/>
      <c r="H22" s="268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7">
        <v>3</v>
      </c>
      <c r="C24" s="228">
        <v>3</v>
      </c>
      <c r="D24" s="227">
        <v>3</v>
      </c>
      <c r="E24" s="228">
        <v>3</v>
      </c>
      <c r="F24" s="258">
        <v>3</v>
      </c>
      <c r="G24" s="258"/>
      <c r="H24" s="259"/>
    </row>
    <row r="25" spans="1:8" x14ac:dyDescent="0.25">
      <c r="A25" s="7" t="s">
        <v>19</v>
      </c>
      <c r="B25" s="230" t="s">
        <v>113</v>
      </c>
      <c r="C25" s="228" t="s">
        <v>60</v>
      </c>
      <c r="D25" s="228" t="s">
        <v>191</v>
      </c>
      <c r="E25" s="230" t="s">
        <v>174</v>
      </c>
      <c r="F25" s="264" t="s">
        <v>281</v>
      </c>
      <c r="G25" s="265"/>
      <c r="H25" s="266"/>
    </row>
    <row r="26" spans="1:8" x14ac:dyDescent="0.25">
      <c r="A26" s="7" t="s">
        <v>20</v>
      </c>
      <c r="B26" s="233" t="s">
        <v>277</v>
      </c>
      <c r="C26" s="230" t="s">
        <v>268</v>
      </c>
      <c r="D26" s="233" t="s">
        <v>280</v>
      </c>
      <c r="E26" s="228" t="s">
        <v>64</v>
      </c>
      <c r="F26" s="269" t="s">
        <v>114</v>
      </c>
      <c r="G26" s="270"/>
      <c r="H26" s="271"/>
    </row>
    <row r="27" spans="1:8" x14ac:dyDescent="0.25">
      <c r="A27" s="7" t="s">
        <v>21</v>
      </c>
      <c r="B27" s="227" t="s">
        <v>112</v>
      </c>
      <c r="C27" s="227" t="s">
        <v>115</v>
      </c>
      <c r="D27" s="229" t="s">
        <v>130</v>
      </c>
      <c r="E27" s="228" t="s">
        <v>129</v>
      </c>
      <c r="F27" s="258" t="s">
        <v>141</v>
      </c>
      <c r="G27" s="258"/>
      <c r="H27" s="259"/>
    </row>
    <row r="28" spans="1:8" x14ac:dyDescent="0.25">
      <c r="A28" s="7" t="s">
        <v>79</v>
      </c>
      <c r="B28" s="227" t="s">
        <v>306</v>
      </c>
      <c r="C28" s="227" t="s">
        <v>162</v>
      </c>
      <c r="D28" s="227" t="s">
        <v>304</v>
      </c>
      <c r="E28" s="227" t="s">
        <v>282</v>
      </c>
      <c r="F28" s="258" t="s">
        <v>305</v>
      </c>
      <c r="G28" s="258"/>
      <c r="H28" s="259"/>
    </row>
    <row r="29" spans="1:8" x14ac:dyDescent="0.25">
      <c r="A29" s="221" t="s">
        <v>307</v>
      </c>
      <c r="B29" s="225"/>
      <c r="C29" s="225"/>
      <c r="D29" s="225"/>
      <c r="E29" s="80" t="s">
        <v>266</v>
      </c>
      <c r="F29" s="272"/>
      <c r="G29" s="272"/>
      <c r="H29" s="273"/>
    </row>
    <row r="30" spans="1:8" ht="15.75" thickBot="1" x14ac:dyDescent="0.3">
      <c r="A30" s="221" t="s">
        <v>308</v>
      </c>
      <c r="B30" s="80" t="s">
        <v>174</v>
      </c>
      <c r="C30" s="80" t="s">
        <v>176</v>
      </c>
      <c r="D30" s="80" t="s">
        <v>71</v>
      </c>
      <c r="E30" s="80" t="s">
        <v>283</v>
      </c>
      <c r="F30" s="267" t="s">
        <v>69</v>
      </c>
      <c r="G30" s="267"/>
      <c r="H30" s="268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7">
        <v>3</v>
      </c>
      <c r="C32" s="228">
        <v>3</v>
      </c>
      <c r="D32" s="227">
        <v>3</v>
      </c>
      <c r="E32" s="228">
        <v>3</v>
      </c>
      <c r="F32" s="258">
        <v>3</v>
      </c>
      <c r="G32" s="258"/>
      <c r="H32" s="259"/>
    </row>
    <row r="33" spans="1:8" x14ac:dyDescent="0.25">
      <c r="A33" s="7" t="s">
        <v>19</v>
      </c>
      <c r="B33" s="227" t="s">
        <v>61</v>
      </c>
      <c r="C33" s="228" t="s">
        <v>280</v>
      </c>
      <c r="D33" s="228" t="s">
        <v>112</v>
      </c>
      <c r="E33" s="228" t="s">
        <v>69</v>
      </c>
      <c r="F33" s="264" t="s">
        <v>174</v>
      </c>
      <c r="G33" s="265"/>
      <c r="H33" s="266"/>
    </row>
    <row r="34" spans="1:8" x14ac:dyDescent="0.25">
      <c r="A34" s="7" t="s">
        <v>20</v>
      </c>
      <c r="B34" s="228" t="s">
        <v>142</v>
      </c>
      <c r="C34" s="230" t="s">
        <v>115</v>
      </c>
      <c r="D34" s="230" t="s">
        <v>268</v>
      </c>
      <c r="E34" s="228" t="s">
        <v>64</v>
      </c>
      <c r="F34" s="264" t="s">
        <v>113</v>
      </c>
      <c r="G34" s="265"/>
      <c r="H34" s="266"/>
    </row>
    <row r="35" spans="1:8" x14ac:dyDescent="0.25">
      <c r="A35" s="7" t="s">
        <v>21</v>
      </c>
      <c r="B35" s="229" t="s">
        <v>127</v>
      </c>
      <c r="C35" s="227" t="s">
        <v>126</v>
      </c>
      <c r="D35" s="227" t="s">
        <v>92</v>
      </c>
      <c r="E35" s="230" t="s">
        <v>129</v>
      </c>
      <c r="F35" s="267" t="s">
        <v>175</v>
      </c>
      <c r="G35" s="267"/>
      <c r="H35" s="268"/>
    </row>
    <row r="36" spans="1:8" x14ac:dyDescent="0.25">
      <c r="A36" s="7" t="s">
        <v>79</v>
      </c>
      <c r="B36" s="227" t="s">
        <v>306</v>
      </c>
      <c r="C36" s="227" t="s">
        <v>304</v>
      </c>
      <c r="D36" s="227" t="s">
        <v>225</v>
      </c>
      <c r="E36" s="227" t="s">
        <v>114</v>
      </c>
      <c r="F36" s="264" t="s">
        <v>176</v>
      </c>
      <c r="G36" s="265"/>
      <c r="H36" s="266"/>
    </row>
    <row r="37" spans="1:8" x14ac:dyDescent="0.25">
      <c r="A37" s="221" t="s">
        <v>307</v>
      </c>
      <c r="B37" s="225"/>
      <c r="C37" s="80" t="s">
        <v>282</v>
      </c>
      <c r="D37" s="80"/>
      <c r="E37" s="80" t="s">
        <v>305</v>
      </c>
      <c r="F37" s="272"/>
      <c r="G37" s="272"/>
      <c r="H37" s="273"/>
    </row>
    <row r="38" spans="1:8" ht="15.75" thickBot="1" x14ac:dyDescent="0.3">
      <c r="A38" s="221" t="s">
        <v>308</v>
      </c>
      <c r="B38" s="80" t="s">
        <v>269</v>
      </c>
      <c r="C38" s="80" t="s">
        <v>162</v>
      </c>
      <c r="D38" s="80" t="s">
        <v>277</v>
      </c>
      <c r="E38" s="80" t="s">
        <v>130</v>
      </c>
      <c r="F38" s="267" t="s">
        <v>195</v>
      </c>
      <c r="G38" s="267"/>
      <c r="H38" s="268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7">
        <v>3</v>
      </c>
      <c r="C40" s="228">
        <v>3</v>
      </c>
      <c r="D40" s="227">
        <v>3</v>
      </c>
      <c r="E40" s="228">
        <v>3</v>
      </c>
      <c r="F40" s="258">
        <v>2</v>
      </c>
      <c r="G40" s="258"/>
      <c r="H40" s="259"/>
    </row>
    <row r="41" spans="1:8" x14ac:dyDescent="0.25">
      <c r="A41" s="7" t="s">
        <v>19</v>
      </c>
      <c r="B41" s="227" t="s">
        <v>225</v>
      </c>
      <c r="C41" s="228" t="s">
        <v>195</v>
      </c>
      <c r="D41" s="228" t="s">
        <v>277</v>
      </c>
      <c r="E41" s="228" t="s">
        <v>142</v>
      </c>
      <c r="F41" s="269" t="s">
        <v>58</v>
      </c>
      <c r="G41" s="270"/>
      <c r="H41" s="271"/>
    </row>
    <row r="42" spans="1:8" x14ac:dyDescent="0.25">
      <c r="A42" s="7" t="s">
        <v>20</v>
      </c>
      <c r="B42" s="228" t="s">
        <v>267</v>
      </c>
      <c r="C42" s="230" t="s">
        <v>59</v>
      </c>
      <c r="D42" s="230" t="s">
        <v>64</v>
      </c>
      <c r="E42" s="227" t="s">
        <v>269</v>
      </c>
      <c r="F42" s="269" t="s">
        <v>61</v>
      </c>
      <c r="G42" s="270"/>
      <c r="H42" s="271"/>
    </row>
    <row r="43" spans="1:8" x14ac:dyDescent="0.25">
      <c r="A43" s="7" t="s">
        <v>21</v>
      </c>
      <c r="B43" s="230" t="s">
        <v>142</v>
      </c>
      <c r="C43" s="227" t="s">
        <v>283</v>
      </c>
      <c r="D43" s="228" t="s">
        <v>129</v>
      </c>
      <c r="E43" s="229" t="s">
        <v>115</v>
      </c>
      <c r="F43" s="258" t="s">
        <v>191</v>
      </c>
      <c r="G43" s="258"/>
      <c r="H43" s="259"/>
    </row>
    <row r="44" spans="1:8" x14ac:dyDescent="0.25">
      <c r="A44" s="7" t="s">
        <v>79</v>
      </c>
      <c r="B44" s="227" t="s">
        <v>304</v>
      </c>
      <c r="C44" s="220" t="s">
        <v>222</v>
      </c>
      <c r="D44" s="227" t="s">
        <v>305</v>
      </c>
      <c r="E44" s="220" t="s">
        <v>282</v>
      </c>
      <c r="F44" s="258" t="s">
        <v>71</v>
      </c>
      <c r="G44" s="258"/>
      <c r="H44" s="259"/>
    </row>
    <row r="45" spans="1:8" x14ac:dyDescent="0.25">
      <c r="A45" s="221" t="s">
        <v>307</v>
      </c>
      <c r="B45" s="178"/>
      <c r="C45" s="178"/>
      <c r="D45" s="178"/>
      <c r="E45" s="80" t="s">
        <v>306</v>
      </c>
      <c r="F45" s="272"/>
      <c r="G45" s="272"/>
      <c r="H45" s="273"/>
    </row>
    <row r="46" spans="1:8" ht="15.75" thickBot="1" x14ac:dyDescent="0.3">
      <c r="A46" s="222" t="s">
        <v>308</v>
      </c>
      <c r="B46" s="226" t="s">
        <v>112</v>
      </c>
      <c r="C46" s="226" t="s">
        <v>126</v>
      </c>
      <c r="D46" s="226" t="s">
        <v>113</v>
      </c>
      <c r="E46" s="226" t="s">
        <v>141</v>
      </c>
      <c r="F46" s="262" t="s">
        <v>227</v>
      </c>
      <c r="G46" s="262"/>
      <c r="H46" s="263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4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58">
        <v>2</v>
      </c>
      <c r="G2" s="258"/>
      <c r="H2" s="259"/>
    </row>
    <row r="3" spans="1:10" x14ac:dyDescent="0.25">
      <c r="A3" s="7" t="s">
        <v>19</v>
      </c>
      <c r="B3" s="55"/>
      <c r="C3" s="55"/>
      <c r="D3" s="56"/>
      <c r="E3" s="56"/>
      <c r="F3" s="267" t="s">
        <v>81</v>
      </c>
      <c r="G3" s="267"/>
      <c r="H3" s="268"/>
    </row>
    <row r="4" spans="1:10" x14ac:dyDescent="0.25">
      <c r="A4" s="7" t="s">
        <v>20</v>
      </c>
      <c r="B4" s="55"/>
      <c r="C4" s="56"/>
      <c r="D4" s="56"/>
      <c r="E4" s="55"/>
      <c r="F4" s="267" t="s">
        <v>59</v>
      </c>
      <c r="G4" s="267"/>
      <c r="H4" s="268"/>
    </row>
    <row r="5" spans="1:10" x14ac:dyDescent="0.25">
      <c r="A5" s="7" t="s">
        <v>21</v>
      </c>
      <c r="B5" s="56"/>
      <c r="C5" s="55"/>
      <c r="D5" s="55"/>
      <c r="E5" s="56"/>
      <c r="F5" s="280" t="s">
        <v>112</v>
      </c>
      <c r="G5" s="280"/>
      <c r="H5" s="281"/>
    </row>
    <row r="6" spans="1:10" ht="15.75" thickBot="1" x14ac:dyDescent="0.3">
      <c r="A6" s="7" t="s">
        <v>79</v>
      </c>
      <c r="B6" s="57"/>
      <c r="C6" s="57"/>
      <c r="D6" s="57"/>
      <c r="E6" s="58"/>
      <c r="F6" s="258" t="s">
        <v>261</v>
      </c>
      <c r="G6" s="258"/>
      <c r="H6" s="259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58">
        <v>3</v>
      </c>
      <c r="G8" s="258"/>
      <c r="H8" s="259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67" t="s">
        <v>162</v>
      </c>
      <c r="G9" s="267"/>
      <c r="H9" s="268"/>
    </row>
    <row r="10" spans="1:10" x14ac:dyDescent="0.25">
      <c r="A10" s="7" t="s">
        <v>20</v>
      </c>
      <c r="B10" s="205" t="s">
        <v>263</v>
      </c>
      <c r="C10" s="206" t="s">
        <v>126</v>
      </c>
      <c r="D10" s="152" t="s">
        <v>114</v>
      </c>
      <c r="E10" s="206" t="s">
        <v>59</v>
      </c>
      <c r="F10" s="258" t="s">
        <v>267</v>
      </c>
      <c r="G10" s="258"/>
      <c r="H10" s="259"/>
      <c r="J10" s="214" t="s">
        <v>290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269</v>
      </c>
      <c r="E11" s="203" t="s">
        <v>113</v>
      </c>
      <c r="F11" s="258" t="s">
        <v>191</v>
      </c>
      <c r="G11" s="258"/>
      <c r="H11" s="259"/>
      <c r="J11" s="214" t="s">
        <v>293</v>
      </c>
    </row>
    <row r="12" spans="1:10" x14ac:dyDescent="0.25">
      <c r="A12" s="7" t="s">
        <v>79</v>
      </c>
      <c r="B12" s="152" t="s">
        <v>282</v>
      </c>
      <c r="C12" s="152" t="s">
        <v>141</v>
      </c>
      <c r="D12" s="28" t="s">
        <v>71</v>
      </c>
      <c r="E12" s="152" t="s">
        <v>281</v>
      </c>
      <c r="F12" s="258" t="s">
        <v>225</v>
      </c>
      <c r="G12" s="258"/>
      <c r="H12" s="259"/>
      <c r="J12" s="214" t="s">
        <v>298</v>
      </c>
    </row>
    <row r="13" spans="1:10" ht="15.75" thickBot="1" x14ac:dyDescent="0.3">
      <c r="A13" s="189" t="s">
        <v>264</v>
      </c>
      <c r="B13" s="190" t="s">
        <v>270</v>
      </c>
      <c r="C13" s="190"/>
      <c r="D13" s="190" t="s">
        <v>227</v>
      </c>
      <c r="E13" s="190"/>
      <c r="F13" s="278"/>
      <c r="G13" s="278"/>
      <c r="H13" s="279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58">
        <v>3</v>
      </c>
      <c r="G15" s="258"/>
      <c r="H15" s="259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58" t="s">
        <v>175</v>
      </c>
      <c r="G16" s="258"/>
      <c r="H16" s="259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270</v>
      </c>
      <c r="F17" s="258" t="s">
        <v>195</v>
      </c>
      <c r="G17" s="258"/>
      <c r="H17" s="259"/>
      <c r="J17" s="214" t="s">
        <v>285</v>
      </c>
      <c r="K17" t="s">
        <v>288</v>
      </c>
    </row>
    <row r="18" spans="1:11" x14ac:dyDescent="0.25">
      <c r="A18" s="7" t="s">
        <v>21</v>
      </c>
      <c r="B18" s="205" t="s">
        <v>127</v>
      </c>
      <c r="C18" s="204" t="s">
        <v>283</v>
      </c>
      <c r="D18" s="203" t="s">
        <v>141</v>
      </c>
      <c r="E18" s="203" t="s">
        <v>58</v>
      </c>
      <c r="F18" s="267" t="s">
        <v>174</v>
      </c>
      <c r="G18" s="267"/>
      <c r="H18" s="268"/>
      <c r="K18" t="s">
        <v>295</v>
      </c>
    </row>
    <row r="19" spans="1:11" x14ac:dyDescent="0.25">
      <c r="A19" s="7" t="s">
        <v>79</v>
      </c>
      <c r="B19" s="152" t="s">
        <v>261</v>
      </c>
      <c r="C19" s="152" t="s">
        <v>281</v>
      </c>
      <c r="D19" s="152" t="s">
        <v>266</v>
      </c>
      <c r="E19" s="202" t="s">
        <v>71</v>
      </c>
      <c r="F19" s="258" t="s">
        <v>227</v>
      </c>
      <c r="G19" s="258"/>
      <c r="H19" s="259"/>
    </row>
    <row r="20" spans="1:11" ht="15.75" thickBot="1" x14ac:dyDescent="0.3">
      <c r="A20" s="189" t="s">
        <v>264</v>
      </c>
      <c r="B20" s="190"/>
      <c r="C20" s="190"/>
      <c r="D20" s="190"/>
      <c r="E20" s="190" t="s">
        <v>263</v>
      </c>
      <c r="F20" s="278"/>
      <c r="G20" s="278"/>
      <c r="H20" s="279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58">
        <v>3</v>
      </c>
      <c r="G22" s="258"/>
      <c r="H22" s="259"/>
    </row>
    <row r="23" spans="1:11" x14ac:dyDescent="0.25">
      <c r="A23" s="7" t="s">
        <v>19</v>
      </c>
      <c r="B23" s="204" t="s">
        <v>191</v>
      </c>
      <c r="C23" s="150" t="s">
        <v>141</v>
      </c>
      <c r="D23" s="212" t="s">
        <v>142</v>
      </c>
      <c r="E23" s="206" t="s">
        <v>59</v>
      </c>
      <c r="F23" s="264" t="s">
        <v>64</v>
      </c>
      <c r="G23" s="265"/>
      <c r="H23" s="266"/>
    </row>
    <row r="24" spans="1:11" x14ac:dyDescent="0.25">
      <c r="A24" s="7" t="s">
        <v>20</v>
      </c>
      <c r="B24" s="205" t="s">
        <v>263</v>
      </c>
      <c r="C24" s="152" t="s">
        <v>267</v>
      </c>
      <c r="D24" s="204" t="s">
        <v>283</v>
      </c>
      <c r="E24" s="203" t="s">
        <v>60</v>
      </c>
      <c r="F24" s="269" t="s">
        <v>69</v>
      </c>
      <c r="G24" s="270"/>
      <c r="H24" s="271"/>
      <c r="J24" s="215" t="s">
        <v>286</v>
      </c>
      <c r="K24" t="s">
        <v>291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3" t="s">
        <v>92</v>
      </c>
      <c r="E25" s="204" t="s">
        <v>194</v>
      </c>
      <c r="F25" s="258" t="s">
        <v>277</v>
      </c>
      <c r="G25" s="258"/>
      <c r="H25" s="259"/>
      <c r="K25" t="s">
        <v>292</v>
      </c>
    </row>
    <row r="26" spans="1:11" x14ac:dyDescent="0.25">
      <c r="A26" s="7" t="s">
        <v>79</v>
      </c>
      <c r="B26" s="203" t="s">
        <v>266</v>
      </c>
      <c r="C26" s="203" t="s">
        <v>61</v>
      </c>
      <c r="D26" s="203" t="s">
        <v>281</v>
      </c>
      <c r="E26" s="203" t="s">
        <v>282</v>
      </c>
      <c r="F26" s="258" t="s">
        <v>260</v>
      </c>
      <c r="G26" s="258"/>
      <c r="H26" s="259"/>
      <c r="K26" t="s">
        <v>296</v>
      </c>
    </row>
    <row r="27" spans="1:11" ht="15.75" thickBot="1" x14ac:dyDescent="0.3">
      <c r="A27" s="210" t="s">
        <v>264</v>
      </c>
      <c r="B27" s="211" t="s">
        <v>270</v>
      </c>
      <c r="C27" s="211" t="s">
        <v>225</v>
      </c>
      <c r="D27" s="211"/>
      <c r="E27" s="211"/>
      <c r="F27" s="276"/>
      <c r="G27" s="276"/>
      <c r="H27" s="277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58">
        <v>3</v>
      </c>
      <c r="G29" s="258"/>
      <c r="H29" s="259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64" t="s">
        <v>280</v>
      </c>
      <c r="G30" s="265"/>
      <c r="H30" s="266"/>
    </row>
    <row r="31" spans="1:11" x14ac:dyDescent="0.25">
      <c r="A31" s="7" t="s">
        <v>20</v>
      </c>
      <c r="B31" s="203" t="s">
        <v>61</v>
      </c>
      <c r="C31" s="209" t="s">
        <v>92</v>
      </c>
      <c r="D31" s="201" t="s">
        <v>270</v>
      </c>
      <c r="E31" s="205" t="s">
        <v>127</v>
      </c>
      <c r="F31" s="264" t="s">
        <v>129</v>
      </c>
      <c r="G31" s="265"/>
      <c r="H31" s="266"/>
      <c r="J31" s="215" t="s">
        <v>287</v>
      </c>
      <c r="K31" s="215" t="s">
        <v>289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69" t="s">
        <v>269</v>
      </c>
      <c r="G32" s="270"/>
      <c r="H32" s="271"/>
      <c r="K32" t="s">
        <v>294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283</v>
      </c>
      <c r="E33" s="203" t="s">
        <v>282</v>
      </c>
      <c r="F33" s="274" t="s">
        <v>261</v>
      </c>
      <c r="G33" s="274"/>
      <c r="H33" s="275"/>
      <c r="K33" t="s">
        <v>297</v>
      </c>
    </row>
    <row r="34" spans="1:11" ht="15.75" thickBot="1" x14ac:dyDescent="0.3">
      <c r="A34" s="189" t="s">
        <v>264</v>
      </c>
      <c r="B34" s="190"/>
      <c r="C34" s="190" t="s">
        <v>266</v>
      </c>
      <c r="D34" s="190" t="s">
        <v>263</v>
      </c>
      <c r="E34" s="190"/>
      <c r="F34" s="278"/>
      <c r="G34" s="278"/>
      <c r="H34" s="279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58">
        <v>2</v>
      </c>
      <c r="G2" s="258"/>
      <c r="H2" s="259"/>
    </row>
    <row r="3" spans="1:10" x14ac:dyDescent="0.25">
      <c r="A3" s="7" t="s">
        <v>19</v>
      </c>
      <c r="B3" s="55"/>
      <c r="C3" s="55"/>
      <c r="D3" s="56"/>
      <c r="E3" s="56"/>
      <c r="F3" s="258" t="s">
        <v>141</v>
      </c>
      <c r="G3" s="258"/>
      <c r="H3" s="259"/>
    </row>
    <row r="4" spans="1:10" x14ac:dyDescent="0.25">
      <c r="A4" s="7" t="s">
        <v>20</v>
      </c>
      <c r="B4" s="55"/>
      <c r="C4" s="56"/>
      <c r="D4" s="56"/>
      <c r="E4" s="55"/>
      <c r="F4" s="267" t="s">
        <v>162</v>
      </c>
      <c r="G4" s="267"/>
      <c r="H4" s="268"/>
    </row>
    <row r="5" spans="1:10" x14ac:dyDescent="0.25">
      <c r="A5" s="7" t="s">
        <v>21</v>
      </c>
      <c r="B5" s="56"/>
      <c r="C5" s="55"/>
      <c r="D5" s="55"/>
      <c r="E5" s="56"/>
      <c r="F5" s="267" t="s">
        <v>80</v>
      </c>
      <c r="G5" s="267"/>
      <c r="H5" s="268"/>
    </row>
    <row r="6" spans="1:10" ht="15.75" thickBot="1" x14ac:dyDescent="0.3">
      <c r="A6" s="186" t="s">
        <v>79</v>
      </c>
      <c r="B6" s="193"/>
      <c r="C6" s="193"/>
      <c r="D6" s="193"/>
      <c r="E6" s="194"/>
      <c r="F6" s="274" t="s">
        <v>225</v>
      </c>
      <c r="G6" s="274"/>
      <c r="H6" s="275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58">
        <v>3</v>
      </c>
      <c r="G8" s="258"/>
      <c r="H8" s="259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58" t="s">
        <v>126</v>
      </c>
      <c r="G9" s="258"/>
      <c r="H9" s="259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268</v>
      </c>
      <c r="E10" s="196" t="s">
        <v>175</v>
      </c>
      <c r="F10" s="267" t="s">
        <v>127</v>
      </c>
      <c r="G10" s="267"/>
      <c r="H10" s="268"/>
    </row>
    <row r="11" spans="1:10" x14ac:dyDescent="0.25">
      <c r="A11" s="7" t="s">
        <v>21</v>
      </c>
      <c r="B11" s="182" t="s">
        <v>64</v>
      </c>
      <c r="C11" s="182" t="s">
        <v>269</v>
      </c>
      <c r="D11" s="182" t="s">
        <v>91</v>
      </c>
      <c r="E11" s="185" t="s">
        <v>60</v>
      </c>
      <c r="F11" s="258" t="s">
        <v>194</v>
      </c>
      <c r="G11" s="258"/>
      <c r="H11" s="259"/>
    </row>
    <row r="12" spans="1:10" x14ac:dyDescent="0.25">
      <c r="A12" s="7" t="s">
        <v>79</v>
      </c>
      <c r="B12" s="182" t="s">
        <v>222</v>
      </c>
      <c r="C12" s="182" t="s">
        <v>267</v>
      </c>
      <c r="D12" s="182" t="s">
        <v>227</v>
      </c>
      <c r="E12" s="182" t="s">
        <v>266</v>
      </c>
      <c r="F12" s="258" t="s">
        <v>69</v>
      </c>
      <c r="G12" s="258"/>
      <c r="H12" s="259"/>
    </row>
    <row r="13" spans="1:10" x14ac:dyDescent="0.25">
      <c r="A13" s="192" t="s">
        <v>264</v>
      </c>
      <c r="B13" s="191" t="s">
        <v>263</v>
      </c>
      <c r="C13" s="191" t="s">
        <v>114</v>
      </c>
      <c r="D13" s="191" t="s">
        <v>271</v>
      </c>
      <c r="E13" s="191" t="s">
        <v>270</v>
      </c>
      <c r="F13" s="258"/>
      <c r="G13" s="258"/>
      <c r="H13" s="259"/>
    </row>
    <row r="14" spans="1:10" ht="15.75" thickBot="1" x14ac:dyDescent="0.3">
      <c r="A14" s="189" t="s">
        <v>265</v>
      </c>
      <c r="B14" s="190"/>
      <c r="C14" s="190"/>
      <c r="D14" s="190" t="s">
        <v>176</v>
      </c>
      <c r="E14" s="190"/>
      <c r="F14" s="285"/>
      <c r="G14" s="285"/>
      <c r="H14" s="286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58">
        <v>3</v>
      </c>
      <c r="G16" s="258"/>
      <c r="H16" s="259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58" t="s">
        <v>112</v>
      </c>
      <c r="G17" s="258"/>
      <c r="H17" s="259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58" t="s">
        <v>58</v>
      </c>
      <c r="G18" s="258"/>
      <c r="H18" s="259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67" t="s">
        <v>71</v>
      </c>
      <c r="G19" s="267"/>
      <c r="H19" s="268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260</v>
      </c>
      <c r="F20" s="258" t="s">
        <v>176</v>
      </c>
      <c r="G20" s="258"/>
      <c r="H20" s="259"/>
      <c r="J20" s="176"/>
    </row>
    <row r="21" spans="1:10" x14ac:dyDescent="0.25">
      <c r="A21" s="187" t="s">
        <v>264</v>
      </c>
      <c r="B21" s="188" t="s">
        <v>266</v>
      </c>
      <c r="C21" s="188" t="s">
        <v>271</v>
      </c>
      <c r="D21" s="188" t="s">
        <v>268</v>
      </c>
      <c r="E21" s="188" t="s">
        <v>267</v>
      </c>
      <c r="F21" s="264"/>
      <c r="G21" s="265"/>
      <c r="H21" s="266"/>
    </row>
    <row r="22" spans="1:10" ht="15.75" thickBot="1" x14ac:dyDescent="0.3">
      <c r="A22" s="189" t="s">
        <v>265</v>
      </c>
      <c r="B22" s="190"/>
      <c r="C22" s="190"/>
      <c r="D22" s="190"/>
      <c r="E22" s="190"/>
      <c r="F22" s="287"/>
      <c r="G22" s="288"/>
      <c r="H22" s="289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58">
        <v>3</v>
      </c>
      <c r="G24" s="258"/>
      <c r="H24" s="259"/>
    </row>
    <row r="25" spans="1:10" x14ac:dyDescent="0.25">
      <c r="A25" s="7" t="s">
        <v>19</v>
      </c>
      <c r="B25" s="180" t="s">
        <v>268</v>
      </c>
      <c r="C25" s="180" t="s">
        <v>130</v>
      </c>
      <c r="D25" s="183" t="s">
        <v>142</v>
      </c>
      <c r="E25" s="182" t="s">
        <v>67</v>
      </c>
      <c r="F25" s="258" t="s">
        <v>115</v>
      </c>
      <c r="G25" s="258"/>
      <c r="H25" s="259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58" t="s">
        <v>61</v>
      </c>
      <c r="G26" s="258"/>
      <c r="H26" s="259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67" t="s">
        <v>59</v>
      </c>
      <c r="G27" s="267"/>
      <c r="H27" s="268"/>
    </row>
    <row r="28" spans="1:10" x14ac:dyDescent="0.25">
      <c r="A28" s="7" t="s">
        <v>79</v>
      </c>
      <c r="B28" s="180" t="s">
        <v>261</v>
      </c>
      <c r="C28" s="180" t="s">
        <v>227</v>
      </c>
      <c r="D28" s="182" t="s">
        <v>266</v>
      </c>
      <c r="E28" s="182" t="s">
        <v>57</v>
      </c>
      <c r="F28" s="258" t="s">
        <v>260</v>
      </c>
      <c r="G28" s="258"/>
      <c r="H28" s="259"/>
    </row>
    <row r="29" spans="1:10" x14ac:dyDescent="0.25">
      <c r="A29" s="187" t="s">
        <v>264</v>
      </c>
      <c r="B29" s="188" t="s">
        <v>141</v>
      </c>
      <c r="C29" s="188" t="s">
        <v>222</v>
      </c>
      <c r="D29" s="188" t="s">
        <v>225</v>
      </c>
      <c r="E29" s="188" t="s">
        <v>270</v>
      </c>
      <c r="F29" s="282"/>
      <c r="G29" s="283"/>
      <c r="H29" s="284"/>
    </row>
    <row r="30" spans="1:10" ht="15.75" thickBot="1" x14ac:dyDescent="0.3">
      <c r="A30" s="187" t="s">
        <v>265</v>
      </c>
      <c r="B30" s="188"/>
      <c r="C30" s="188"/>
      <c r="D30" s="188"/>
      <c r="E30" s="188"/>
      <c r="F30" s="282"/>
      <c r="G30" s="283"/>
      <c r="H30" s="284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58">
        <v>2</v>
      </c>
      <c r="G32" s="258"/>
      <c r="H32" s="259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67" t="s">
        <v>81</v>
      </c>
      <c r="G33" s="267"/>
      <c r="H33" s="268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67" t="s">
        <v>141</v>
      </c>
      <c r="G34" s="267"/>
      <c r="H34" s="268"/>
    </row>
    <row r="35" spans="1:8" x14ac:dyDescent="0.25">
      <c r="A35" s="7" t="s">
        <v>21</v>
      </c>
      <c r="B35" s="196" t="s">
        <v>195</v>
      </c>
      <c r="C35" s="182" t="s">
        <v>269</v>
      </c>
      <c r="D35" s="183" t="s">
        <v>174</v>
      </c>
      <c r="E35" s="182" t="s">
        <v>67</v>
      </c>
      <c r="F35" s="258" t="s">
        <v>191</v>
      </c>
      <c r="G35" s="258"/>
      <c r="H35" s="259"/>
    </row>
    <row r="36" spans="1:8" x14ac:dyDescent="0.25">
      <c r="A36" s="7" t="s">
        <v>79</v>
      </c>
      <c r="B36" s="182" t="s">
        <v>225</v>
      </c>
      <c r="C36" s="182" t="s">
        <v>267</v>
      </c>
      <c r="D36" s="182" t="s">
        <v>91</v>
      </c>
      <c r="E36" s="182" t="s">
        <v>222</v>
      </c>
      <c r="F36" s="258" t="s">
        <v>261</v>
      </c>
      <c r="G36" s="258"/>
      <c r="H36" s="259"/>
    </row>
    <row r="37" spans="1:8" x14ac:dyDescent="0.25">
      <c r="A37" s="192" t="s">
        <v>264</v>
      </c>
      <c r="B37" s="191" t="s">
        <v>194</v>
      </c>
      <c r="C37" s="191" t="s">
        <v>227</v>
      </c>
      <c r="D37" s="191" t="s">
        <v>271</v>
      </c>
      <c r="E37" s="191" t="s">
        <v>69</v>
      </c>
      <c r="F37" s="258"/>
      <c r="G37" s="258"/>
      <c r="H37" s="259"/>
    </row>
    <row r="38" spans="1:8" ht="15.75" thickBot="1" x14ac:dyDescent="0.3">
      <c r="A38" s="189" t="s">
        <v>265</v>
      </c>
      <c r="B38" s="190"/>
      <c r="C38" s="190" t="s">
        <v>263</v>
      </c>
      <c r="D38" s="190"/>
      <c r="E38" s="190"/>
      <c r="F38" s="285"/>
      <c r="G38" s="285"/>
      <c r="H38" s="286"/>
    </row>
    <row r="64" spans="11:11" x14ac:dyDescent="0.25">
      <c r="K64" s="197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58">
        <v>3</v>
      </c>
      <c r="G2" s="258"/>
      <c r="H2" s="259"/>
    </row>
    <row r="3" spans="1:18" ht="15.75" thickBot="1" x14ac:dyDescent="0.3">
      <c r="A3" s="7" t="s">
        <v>19</v>
      </c>
      <c r="B3" s="55"/>
      <c r="C3" s="55"/>
      <c r="D3" s="56"/>
      <c r="E3" s="56"/>
      <c r="F3" s="264" t="s">
        <v>176</v>
      </c>
      <c r="G3" s="265"/>
      <c r="H3" s="266"/>
    </row>
    <row r="4" spans="1:18" ht="15.75" thickBot="1" x14ac:dyDescent="0.3">
      <c r="A4" s="7" t="s">
        <v>20</v>
      </c>
      <c r="B4" s="55"/>
      <c r="C4" s="56"/>
      <c r="D4" s="56"/>
      <c r="E4" s="55"/>
      <c r="F4" s="258" t="s">
        <v>114</v>
      </c>
      <c r="G4" s="258"/>
      <c r="H4" s="259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69" t="s">
        <v>58</v>
      </c>
      <c r="G5" s="270"/>
      <c r="H5" s="271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85" t="s">
        <v>71</v>
      </c>
      <c r="G6" s="285"/>
      <c r="H6" s="286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58">
        <v>3</v>
      </c>
      <c r="G8" s="258"/>
      <c r="H8" s="259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67" t="s">
        <v>57</v>
      </c>
      <c r="G9" s="267"/>
      <c r="H9" s="268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58" t="s">
        <v>126</v>
      </c>
      <c r="G10" s="258"/>
      <c r="H10" s="259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58" t="s">
        <v>128</v>
      </c>
      <c r="G11" s="258"/>
      <c r="H11" s="259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58" t="s">
        <v>129</v>
      </c>
      <c r="G12" s="258"/>
      <c r="H12" s="259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64" t="s">
        <v>210</v>
      </c>
      <c r="C14" s="265"/>
      <c r="D14" s="290"/>
      <c r="E14" s="94">
        <v>3</v>
      </c>
      <c r="F14" s="258">
        <v>3</v>
      </c>
      <c r="G14" s="258"/>
      <c r="H14" s="259"/>
    </row>
    <row r="15" spans="1:18" x14ac:dyDescent="0.25">
      <c r="A15" s="7" t="s">
        <v>19</v>
      </c>
      <c r="B15" s="264" t="s">
        <v>113</v>
      </c>
      <c r="C15" s="265"/>
      <c r="D15" s="290"/>
      <c r="E15" s="148" t="s">
        <v>195</v>
      </c>
      <c r="F15" s="258" t="s">
        <v>81</v>
      </c>
      <c r="G15" s="258"/>
      <c r="H15" s="259"/>
    </row>
    <row r="16" spans="1:18" x14ac:dyDescent="0.25">
      <c r="A16" s="7" t="s">
        <v>20</v>
      </c>
      <c r="B16" s="269" t="s">
        <v>112</v>
      </c>
      <c r="C16" s="270"/>
      <c r="D16" s="292"/>
      <c r="E16" s="145" t="s">
        <v>176</v>
      </c>
      <c r="F16" s="269" t="s">
        <v>92</v>
      </c>
      <c r="G16" s="270"/>
      <c r="H16" s="271"/>
    </row>
    <row r="17" spans="1:8" x14ac:dyDescent="0.25">
      <c r="A17" s="7" t="s">
        <v>21</v>
      </c>
      <c r="B17" s="264" t="s">
        <v>114</v>
      </c>
      <c r="C17" s="265"/>
      <c r="D17" s="290"/>
      <c r="E17" s="94" t="s">
        <v>67</v>
      </c>
      <c r="F17" s="258" t="s">
        <v>191</v>
      </c>
      <c r="G17" s="258"/>
      <c r="H17" s="259"/>
    </row>
    <row r="18" spans="1:8" ht="15.75" thickBot="1" x14ac:dyDescent="0.3">
      <c r="A18" s="7" t="s">
        <v>79</v>
      </c>
      <c r="B18" s="264" t="s">
        <v>222</v>
      </c>
      <c r="C18" s="265"/>
      <c r="D18" s="290"/>
      <c r="E18" s="94" t="s">
        <v>64</v>
      </c>
      <c r="F18" s="258" t="s">
        <v>221</v>
      </c>
      <c r="G18" s="258"/>
      <c r="H18" s="259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64" t="s">
        <v>211</v>
      </c>
      <c r="E20" s="290"/>
      <c r="F20" s="258">
        <v>2</v>
      </c>
      <c r="G20" s="258"/>
      <c r="H20" s="259"/>
    </row>
    <row r="21" spans="1:8" x14ac:dyDescent="0.25">
      <c r="A21" s="29" t="s">
        <v>19</v>
      </c>
      <c r="B21" s="145" t="s">
        <v>176</v>
      </c>
      <c r="C21" s="94" t="s">
        <v>71</v>
      </c>
      <c r="D21" s="264" t="s">
        <v>195</v>
      </c>
      <c r="E21" s="290"/>
      <c r="F21" s="258" t="s">
        <v>115</v>
      </c>
      <c r="G21" s="258"/>
      <c r="H21" s="259"/>
    </row>
    <row r="22" spans="1:8" x14ac:dyDescent="0.25">
      <c r="A22" s="7" t="s">
        <v>20</v>
      </c>
      <c r="B22" s="145" t="s">
        <v>58</v>
      </c>
      <c r="C22" s="148" t="s">
        <v>59</v>
      </c>
      <c r="D22" s="269" t="s">
        <v>80</v>
      </c>
      <c r="E22" s="292"/>
      <c r="F22" s="269" t="s">
        <v>60</v>
      </c>
      <c r="G22" s="270"/>
      <c r="H22" s="271"/>
    </row>
    <row r="23" spans="1:8" x14ac:dyDescent="0.25">
      <c r="A23" s="7" t="s">
        <v>21</v>
      </c>
      <c r="B23" s="146" t="s">
        <v>127</v>
      </c>
      <c r="C23" s="142" t="s">
        <v>67</v>
      </c>
      <c r="D23" s="264" t="s">
        <v>174</v>
      </c>
      <c r="E23" s="290"/>
      <c r="F23" s="258" t="s">
        <v>61</v>
      </c>
      <c r="G23" s="258"/>
      <c r="H23" s="259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64" t="s">
        <v>175</v>
      </c>
      <c r="E24" s="290"/>
      <c r="F24" s="258" t="s">
        <v>227</v>
      </c>
      <c r="G24" s="258"/>
      <c r="H24" s="259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64" t="s">
        <v>212</v>
      </c>
      <c r="C26" s="290"/>
      <c r="D26" s="92">
        <v>3</v>
      </c>
      <c r="E26" s="94">
        <v>3</v>
      </c>
      <c r="F26" s="258">
        <v>3</v>
      </c>
      <c r="G26" s="258"/>
      <c r="H26" s="259"/>
    </row>
    <row r="27" spans="1:8" x14ac:dyDescent="0.25">
      <c r="A27" s="7" t="s">
        <v>19</v>
      </c>
      <c r="B27" s="269" t="s">
        <v>126</v>
      </c>
      <c r="C27" s="292"/>
      <c r="D27" s="149" t="s">
        <v>71</v>
      </c>
      <c r="E27" s="145" t="s">
        <v>57</v>
      </c>
      <c r="F27" s="264" t="s">
        <v>67</v>
      </c>
      <c r="G27" s="265"/>
      <c r="H27" s="266"/>
    </row>
    <row r="28" spans="1:8" x14ac:dyDescent="0.25">
      <c r="A28" s="7" t="s">
        <v>20</v>
      </c>
      <c r="B28" s="264" t="s">
        <v>69</v>
      </c>
      <c r="C28" s="290"/>
      <c r="D28" s="93" t="s">
        <v>127</v>
      </c>
      <c r="E28" s="92" t="s">
        <v>175</v>
      </c>
      <c r="F28" s="269" t="s">
        <v>91</v>
      </c>
      <c r="G28" s="270"/>
      <c r="H28" s="271"/>
    </row>
    <row r="29" spans="1:8" x14ac:dyDescent="0.25">
      <c r="A29" s="7" t="s">
        <v>21</v>
      </c>
      <c r="B29" s="264" t="s">
        <v>81</v>
      </c>
      <c r="C29" s="290"/>
      <c r="D29" s="92" t="s">
        <v>163</v>
      </c>
      <c r="E29" s="146" t="s">
        <v>59</v>
      </c>
      <c r="F29" s="258" t="s">
        <v>161</v>
      </c>
      <c r="G29" s="258"/>
      <c r="H29" s="259"/>
    </row>
    <row r="30" spans="1:8" ht="15.75" thickBot="1" x14ac:dyDescent="0.3">
      <c r="A30" s="8" t="s">
        <v>79</v>
      </c>
      <c r="B30" s="264" t="s">
        <v>142</v>
      </c>
      <c r="C30" s="290"/>
      <c r="D30" s="96" t="s">
        <v>112</v>
      </c>
      <c r="E30" s="95" t="s">
        <v>195</v>
      </c>
      <c r="F30" s="285" t="s">
        <v>130</v>
      </c>
      <c r="G30" s="285"/>
      <c r="H30" s="286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64" t="s">
        <v>213</v>
      </c>
      <c r="C32" s="290"/>
      <c r="D32" s="92">
        <v>3</v>
      </c>
      <c r="E32" s="94">
        <v>3</v>
      </c>
      <c r="F32" s="258">
        <v>2</v>
      </c>
      <c r="G32" s="258"/>
      <c r="H32" s="259"/>
    </row>
    <row r="33" spans="1:8" x14ac:dyDescent="0.25">
      <c r="A33" s="7" t="s">
        <v>19</v>
      </c>
      <c r="B33" s="264" t="s">
        <v>221</v>
      </c>
      <c r="C33" s="290"/>
      <c r="D33" s="94" t="s">
        <v>61</v>
      </c>
      <c r="E33" s="145" t="s">
        <v>71</v>
      </c>
      <c r="F33" s="264" t="s">
        <v>141</v>
      </c>
      <c r="G33" s="265"/>
      <c r="H33" s="266"/>
    </row>
    <row r="34" spans="1:8" x14ac:dyDescent="0.25">
      <c r="A34" s="7" t="s">
        <v>20</v>
      </c>
      <c r="B34" s="269" t="s">
        <v>64</v>
      </c>
      <c r="C34" s="292"/>
      <c r="D34" s="147" t="s">
        <v>176</v>
      </c>
      <c r="E34" s="148" t="s">
        <v>92</v>
      </c>
      <c r="F34" s="269" t="s">
        <v>162</v>
      </c>
      <c r="G34" s="270"/>
      <c r="H34" s="271"/>
    </row>
    <row r="35" spans="1:8" x14ac:dyDescent="0.25">
      <c r="A35" s="7" t="s">
        <v>21</v>
      </c>
      <c r="B35" s="264" t="s">
        <v>163</v>
      </c>
      <c r="C35" s="290"/>
      <c r="D35" s="148" t="s">
        <v>127</v>
      </c>
      <c r="E35" s="94" t="s">
        <v>69</v>
      </c>
      <c r="F35" s="267" t="s">
        <v>80</v>
      </c>
      <c r="G35" s="267"/>
      <c r="H35" s="268"/>
    </row>
    <row r="36" spans="1:8" ht="15.75" thickBot="1" x14ac:dyDescent="0.3">
      <c r="A36" s="8" t="s">
        <v>79</v>
      </c>
      <c r="B36" s="287" t="s">
        <v>194</v>
      </c>
      <c r="C36" s="291"/>
      <c r="D36" s="96" t="s">
        <v>227</v>
      </c>
      <c r="E36" s="95" t="s">
        <v>222</v>
      </c>
      <c r="F36" s="285" t="s">
        <v>225</v>
      </c>
      <c r="G36" s="285"/>
      <c r="H36" s="286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58">
        <v>3</v>
      </c>
      <c r="G2" s="258"/>
      <c r="H2" s="259"/>
    </row>
    <row r="3" spans="1:8" x14ac:dyDescent="0.25">
      <c r="A3" s="7" t="s">
        <v>19</v>
      </c>
      <c r="B3" s="55"/>
      <c r="C3" s="55"/>
      <c r="D3" s="56"/>
      <c r="E3" s="56"/>
      <c r="F3" s="258" t="s">
        <v>92</v>
      </c>
      <c r="G3" s="258"/>
      <c r="H3" s="259"/>
    </row>
    <row r="4" spans="1:8" x14ac:dyDescent="0.25">
      <c r="A4" s="7" t="s">
        <v>20</v>
      </c>
      <c r="B4" s="55"/>
      <c r="C4" s="56"/>
      <c r="D4" s="56"/>
      <c r="E4" s="55"/>
      <c r="F4" s="267" t="s">
        <v>129</v>
      </c>
      <c r="G4" s="267"/>
      <c r="H4" s="268"/>
    </row>
    <row r="5" spans="1:8" x14ac:dyDescent="0.25">
      <c r="A5" s="7" t="s">
        <v>21</v>
      </c>
      <c r="B5" s="56"/>
      <c r="C5" s="55"/>
      <c r="D5" s="55"/>
      <c r="E5" s="56"/>
      <c r="F5" s="258" t="s">
        <v>128</v>
      </c>
      <c r="G5" s="258"/>
      <c r="H5" s="259"/>
    </row>
    <row r="6" spans="1:8" ht="15.75" thickBot="1" x14ac:dyDescent="0.3">
      <c r="A6" s="7" t="s">
        <v>79</v>
      </c>
      <c r="B6" s="57"/>
      <c r="C6" s="57"/>
      <c r="D6" s="57"/>
      <c r="E6" s="58"/>
      <c r="F6" s="258" t="s">
        <v>141</v>
      </c>
      <c r="G6" s="258"/>
      <c r="H6" s="259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58">
        <v>3</v>
      </c>
      <c r="G8" s="258"/>
      <c r="H8" s="259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64" t="s">
        <v>130</v>
      </c>
      <c r="G9" s="265"/>
      <c r="H9" s="266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67" t="s">
        <v>57</v>
      </c>
      <c r="G10" s="267"/>
      <c r="H10" s="268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58" t="s">
        <v>60</v>
      </c>
      <c r="G11" s="258"/>
      <c r="H11" s="259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58" t="s">
        <v>222</v>
      </c>
      <c r="G12" s="258"/>
      <c r="H12" s="259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58">
        <v>3</v>
      </c>
      <c r="G14" s="258"/>
      <c r="H14" s="259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58" t="s">
        <v>112</v>
      </c>
      <c r="G15" s="258"/>
      <c r="H15" s="259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67" t="s">
        <v>59</v>
      </c>
      <c r="G16" s="267"/>
      <c r="H16" s="268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58" t="s">
        <v>174</v>
      </c>
      <c r="G17" s="258"/>
      <c r="H17" s="259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58" t="s">
        <v>195</v>
      </c>
      <c r="G18" s="258"/>
      <c r="H18" s="259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58" t="str">
        <f>"-"</f>
        <v>-</v>
      </c>
      <c r="G19" s="258"/>
      <c r="H19" s="259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58">
        <v>3</v>
      </c>
      <c r="G21" s="258"/>
      <c r="H21" s="259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64" t="s">
        <v>175</v>
      </c>
      <c r="G22" s="265"/>
      <c r="H22" s="266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69" t="s">
        <v>127</v>
      </c>
      <c r="G23" s="270"/>
      <c r="H23" s="271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58" t="s">
        <v>81</v>
      </c>
      <c r="G24" s="258"/>
      <c r="H24" s="259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85" t="s">
        <v>221</v>
      </c>
      <c r="G25" s="285"/>
      <c r="H25" s="286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58">
        <v>3</v>
      </c>
      <c r="G27" s="258"/>
      <c r="H27" s="259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64" t="s">
        <v>176</v>
      </c>
      <c r="G28" s="265"/>
      <c r="H28" s="266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58" t="s">
        <v>114</v>
      </c>
      <c r="G29" s="258"/>
      <c r="H29" s="259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69" t="s">
        <v>58</v>
      </c>
      <c r="G30" s="270"/>
      <c r="H30" s="271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85" t="s">
        <v>131</v>
      </c>
      <c r="G31" s="285"/>
      <c r="H31" s="286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לוח ינואר</vt:lpstr>
      <vt:lpstr>חיילים</vt:lpstr>
      <vt:lpstr>סטטיסטיקה</vt:lpstr>
      <vt:lpstr>הזנת לוח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2018-12-24T17:30:26Z</dcterms:modified>
</cp:coreProperties>
</file>