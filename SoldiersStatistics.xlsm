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דצמבר" sheetId="10" r:id="rId2"/>
    <sheet name="לוח נובמבר" sheetId="8" r:id="rId3"/>
    <sheet name="סתם" sheetId="9" r:id="rId4"/>
    <sheet name="סטטיסטיקה" sheetId="3" r:id="rId5"/>
    <sheet name="לוח ינואר" sheetId="11" r:id="rId6"/>
    <sheet name="לוח פברואר" sheetId="12" r:id="rId7"/>
  </sheets>
  <definedNames>
    <definedName name="_xlnm._FilterDatabase" localSheetId="0" hidden="1">חיילים!$A$1:$BB$41</definedName>
    <definedName name="_xlnm._FilterDatabase" localSheetId="3" hidden="1">סתם!$A$1:$H$41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G5" i="3"/>
  <c r="G4" i="3"/>
  <c r="G3" i="3"/>
  <c r="AW39" i="1" l="1"/>
  <c r="AV39" i="1"/>
  <c r="AW41" i="1"/>
  <c r="AV41" i="1"/>
  <c r="AW38" i="1"/>
  <c r="AV38" i="1"/>
  <c r="AW29" i="1"/>
  <c r="AV29" i="1"/>
  <c r="AW40" i="1"/>
  <c r="AV40" i="1"/>
  <c r="AW30" i="1"/>
  <c r="AV30" i="1"/>
  <c r="AW37" i="1"/>
  <c r="AV37" i="1"/>
  <c r="AW34" i="1"/>
  <c r="AV34" i="1"/>
  <c r="AW26" i="1"/>
  <c r="AV26" i="1"/>
  <c r="AW36" i="1"/>
  <c r="AV36" i="1"/>
  <c r="AW27" i="1"/>
  <c r="AV27" i="1"/>
  <c r="AW33" i="1"/>
  <c r="AV33" i="1"/>
  <c r="AW32" i="1"/>
  <c r="AV32" i="1"/>
  <c r="AW35" i="1"/>
  <c r="AV35" i="1"/>
  <c r="AW31" i="1"/>
  <c r="AV31" i="1"/>
  <c r="AW21" i="1"/>
  <c r="AV21" i="1"/>
  <c r="AW25" i="1"/>
  <c r="AV25" i="1"/>
  <c r="AW28" i="1"/>
  <c r="AV28" i="1"/>
  <c r="AW23" i="1"/>
  <c r="AV23" i="1"/>
  <c r="AW24" i="1"/>
  <c r="AV24" i="1"/>
  <c r="AW14" i="1"/>
  <c r="AV14" i="1"/>
  <c r="AW16" i="1"/>
  <c r="AV16" i="1"/>
  <c r="AW20" i="1"/>
  <c r="AV20" i="1"/>
  <c r="AW13" i="1"/>
  <c r="AV13" i="1"/>
  <c r="AW15" i="1"/>
  <c r="AV15" i="1"/>
  <c r="AW12" i="1"/>
  <c r="AV12" i="1"/>
  <c r="AW11" i="1"/>
  <c r="AV11" i="1"/>
  <c r="AW19" i="1"/>
  <c r="AV19" i="1"/>
  <c r="AW18" i="1"/>
  <c r="AV18" i="1"/>
  <c r="AW9" i="1"/>
  <c r="AV9" i="1"/>
  <c r="AW8" i="1"/>
  <c r="AV8" i="1"/>
  <c r="AW22" i="1"/>
  <c r="AV22" i="1"/>
  <c r="AW17" i="1"/>
  <c r="AV17" i="1"/>
  <c r="AW7" i="1"/>
  <c r="AV7" i="1"/>
  <c r="AW10" i="1"/>
  <c r="AV10" i="1"/>
  <c r="AW3" i="1"/>
  <c r="AV3" i="1"/>
  <c r="AW5" i="1"/>
  <c r="AV5" i="1"/>
  <c r="AW2" i="1"/>
  <c r="AV2" i="1"/>
  <c r="AX2" i="1" s="1"/>
  <c r="AW6" i="1"/>
  <c r="AV6" i="1"/>
  <c r="AW4" i="1"/>
  <c r="AV4" i="1"/>
  <c r="AX27" i="1" l="1"/>
  <c r="AX25" i="1"/>
  <c r="AX23" i="1"/>
  <c r="AX14" i="1"/>
  <c r="AX31" i="1"/>
  <c r="AX12" i="1"/>
  <c r="AX7" i="1"/>
  <c r="AX19" i="1"/>
  <c r="AX13" i="1"/>
  <c r="AX16" i="1"/>
  <c r="AX29" i="1"/>
  <c r="AX41" i="1"/>
  <c r="AX3" i="1"/>
  <c r="AX30" i="1"/>
  <c r="AX36" i="1"/>
  <c r="AX32" i="1"/>
  <c r="AX10" i="1"/>
  <c r="AX8" i="1"/>
  <c r="AX11" i="1"/>
  <c r="AX24" i="1"/>
  <c r="AX33" i="1"/>
  <c r="AX40" i="1"/>
  <c r="AX39" i="1"/>
  <c r="AX4" i="1"/>
  <c r="AX9" i="1"/>
  <c r="AX34" i="1"/>
  <c r="AX28" i="1"/>
  <c r="AX35" i="1"/>
  <c r="AX38" i="1"/>
  <c r="AX6" i="1"/>
  <c r="AX5" i="1"/>
  <c r="AX22" i="1"/>
  <c r="AX15" i="1"/>
  <c r="AX20" i="1"/>
  <c r="AX21" i="1"/>
  <c r="AX26" i="1"/>
  <c r="AX37" i="1"/>
  <c r="AX17" i="1"/>
  <c r="AX18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C25" i="11"/>
  <c r="D25" i="11"/>
  <c r="E25" i="11" s="1"/>
  <c r="G25" i="11" s="1"/>
  <c r="H25" i="11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I4" i="3"/>
  <c r="I3" i="3"/>
  <c r="I6" i="3"/>
  <c r="I5" i="3"/>
  <c r="C19" i="11" l="1"/>
  <c r="D19" i="11" s="1"/>
  <c r="E19" i="11" s="1"/>
  <c r="F19" i="11" s="1"/>
  <c r="G19" i="11" s="1"/>
  <c r="H19" i="11" s="1"/>
  <c r="B25" i="11"/>
  <c r="N4" i="1"/>
  <c r="AO41" i="1" l="1"/>
  <c r="AP41" i="1"/>
  <c r="AH41" i="1"/>
  <c r="AI41" i="1"/>
  <c r="AA41" i="1"/>
  <c r="AB41" i="1"/>
  <c r="T41" i="1"/>
  <c r="U41" i="1"/>
  <c r="M41" i="1"/>
  <c r="N41" i="1"/>
  <c r="C41" i="1"/>
  <c r="AY41" i="1" l="1"/>
  <c r="V41" i="1"/>
  <c r="AJ41" i="1"/>
  <c r="O41" i="1"/>
  <c r="AC41" i="1"/>
  <c r="AQ41" i="1"/>
  <c r="AZ4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B41" i="1" l="1"/>
  <c r="BA41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2" i="1"/>
  <c r="AP2" i="1"/>
  <c r="AO10" i="1"/>
  <c r="AP10" i="1"/>
  <c r="AO19" i="1"/>
  <c r="AP19" i="1"/>
  <c r="AO32" i="1"/>
  <c r="AP32" i="1"/>
  <c r="AO26" i="1"/>
  <c r="AP26" i="1"/>
  <c r="AO38" i="1"/>
  <c r="AP38" i="1"/>
  <c r="AO20" i="1"/>
  <c r="AP20" i="1"/>
  <c r="AO11" i="1"/>
  <c r="AP11" i="1"/>
  <c r="AO17" i="1"/>
  <c r="AP17" i="1"/>
  <c r="AO3" i="1"/>
  <c r="AP3" i="1"/>
  <c r="AO4" i="1"/>
  <c r="AP4" i="1"/>
  <c r="AO14" i="1"/>
  <c r="AP14" i="1"/>
  <c r="AO27" i="1"/>
  <c r="AP27" i="1"/>
  <c r="AO18" i="1"/>
  <c r="AP18" i="1"/>
  <c r="AO8" i="1"/>
  <c r="AP8" i="1"/>
  <c r="AO15" i="1"/>
  <c r="AP15" i="1"/>
  <c r="AO23" i="1"/>
  <c r="AP23" i="1"/>
  <c r="AO39" i="1"/>
  <c r="AP39" i="1"/>
  <c r="AO33" i="1"/>
  <c r="AP33" i="1"/>
  <c r="AO16" i="1"/>
  <c r="AP16" i="1"/>
  <c r="AO40" i="1"/>
  <c r="AP40" i="1"/>
  <c r="AO12" i="1"/>
  <c r="AP12" i="1"/>
  <c r="AO9" i="1"/>
  <c r="AP9" i="1"/>
  <c r="AO5" i="1"/>
  <c r="AP5" i="1"/>
  <c r="AO6" i="1"/>
  <c r="AP6" i="1"/>
  <c r="AO24" i="1"/>
  <c r="AP24" i="1"/>
  <c r="AO37" i="1"/>
  <c r="AP37" i="1"/>
  <c r="AO29" i="1"/>
  <c r="AP29" i="1"/>
  <c r="AO21" i="1"/>
  <c r="AP21" i="1"/>
  <c r="AO25" i="1"/>
  <c r="AP25" i="1"/>
  <c r="AO28" i="1"/>
  <c r="AP28" i="1"/>
  <c r="AO35" i="1"/>
  <c r="AP35" i="1"/>
  <c r="AO34" i="1"/>
  <c r="AP34" i="1"/>
  <c r="AO30" i="1"/>
  <c r="AP30" i="1"/>
  <c r="AO13" i="1"/>
  <c r="AP13" i="1"/>
  <c r="AO22" i="1"/>
  <c r="AP22" i="1"/>
  <c r="AO36" i="1"/>
  <c r="AP36" i="1"/>
  <c r="AO31" i="1"/>
  <c r="AP31" i="1"/>
  <c r="AO7" i="1"/>
  <c r="AP7" i="1"/>
  <c r="M39" i="1"/>
  <c r="N39" i="1"/>
  <c r="T39" i="1"/>
  <c r="U39" i="1"/>
  <c r="AA39" i="1"/>
  <c r="AB39" i="1"/>
  <c r="AH39" i="1"/>
  <c r="AI39" i="1"/>
  <c r="C39" i="1"/>
  <c r="AY39" i="1" l="1"/>
  <c r="O39" i="1"/>
  <c r="AC39" i="1"/>
  <c r="AQ36" i="1"/>
  <c r="AQ21" i="1"/>
  <c r="AQ8" i="1"/>
  <c r="AQ20" i="1"/>
  <c r="AQ7" i="1"/>
  <c r="AQ34" i="1"/>
  <c r="AQ6" i="1"/>
  <c r="AQ39" i="1"/>
  <c r="AQ4" i="1"/>
  <c r="AQ32" i="1"/>
  <c r="AQ13" i="1"/>
  <c r="AQ28" i="1"/>
  <c r="AQ37" i="1"/>
  <c r="AQ9" i="1"/>
  <c r="AQ16" i="1"/>
  <c r="AQ27" i="1"/>
  <c r="AQ17" i="1"/>
  <c r="AQ10" i="1"/>
  <c r="AQ31" i="1"/>
  <c r="AQ22" i="1"/>
  <c r="AQ30" i="1"/>
  <c r="AQ35" i="1"/>
  <c r="AQ25" i="1"/>
  <c r="AQ29" i="1"/>
  <c r="AQ24" i="1"/>
  <c r="AQ5" i="1"/>
  <c r="AQ12" i="1"/>
  <c r="AQ40" i="1"/>
  <c r="AQ33" i="1"/>
  <c r="AZ39" i="1"/>
  <c r="AQ23" i="1"/>
  <c r="AQ15" i="1"/>
  <c r="AQ18" i="1"/>
  <c r="AQ14" i="1"/>
  <c r="AQ3" i="1"/>
  <c r="AQ11" i="1"/>
  <c r="AQ38" i="1"/>
  <c r="AQ26" i="1"/>
  <c r="AQ19" i="1"/>
  <c r="AQ2" i="1"/>
  <c r="AJ39" i="1"/>
  <c r="V39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B39" i="1" l="1"/>
  <c r="BA39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32" i="1"/>
  <c r="N32" i="1"/>
  <c r="M26" i="1"/>
  <c r="N26" i="1"/>
  <c r="M10" i="1"/>
  <c r="N10" i="1"/>
  <c r="M38" i="1"/>
  <c r="N38" i="1"/>
  <c r="M20" i="1"/>
  <c r="N20" i="1"/>
  <c r="M11" i="1"/>
  <c r="N11" i="1"/>
  <c r="M17" i="1"/>
  <c r="N17" i="1"/>
  <c r="M27" i="1"/>
  <c r="N27" i="1"/>
  <c r="M4" i="1"/>
  <c r="M3" i="1"/>
  <c r="N3" i="1"/>
  <c r="M14" i="1"/>
  <c r="N14" i="1"/>
  <c r="M18" i="1"/>
  <c r="N18" i="1"/>
  <c r="M15" i="1"/>
  <c r="N15" i="1"/>
  <c r="M8" i="1"/>
  <c r="N8" i="1"/>
  <c r="M23" i="1"/>
  <c r="N23" i="1"/>
  <c r="M16" i="1"/>
  <c r="N16" i="1"/>
  <c r="M40" i="1"/>
  <c r="N40" i="1"/>
  <c r="M33" i="1"/>
  <c r="N33" i="1"/>
  <c r="M29" i="1"/>
  <c r="N29" i="1"/>
  <c r="M37" i="1"/>
  <c r="N37" i="1"/>
  <c r="M9" i="1"/>
  <c r="N9" i="1"/>
  <c r="M5" i="1"/>
  <c r="N5" i="1"/>
  <c r="M6" i="1"/>
  <c r="N6" i="1"/>
  <c r="M12" i="1"/>
  <c r="N12" i="1"/>
  <c r="M24" i="1"/>
  <c r="N24" i="1"/>
  <c r="M34" i="1"/>
  <c r="N34" i="1"/>
  <c r="M28" i="1"/>
  <c r="N28" i="1"/>
  <c r="M25" i="1"/>
  <c r="N25" i="1"/>
  <c r="M30" i="1"/>
  <c r="N30" i="1"/>
  <c r="M35" i="1"/>
  <c r="N35" i="1"/>
  <c r="M21" i="1"/>
  <c r="N21" i="1"/>
  <c r="M22" i="1"/>
  <c r="N22" i="1"/>
  <c r="M13" i="1"/>
  <c r="N13" i="1"/>
  <c r="M36" i="1"/>
  <c r="N36" i="1"/>
  <c r="M31" i="1"/>
  <c r="N31" i="1"/>
  <c r="M7" i="1"/>
  <c r="N7" i="1"/>
  <c r="T32" i="1"/>
  <c r="U32" i="1"/>
  <c r="T26" i="1"/>
  <c r="U26" i="1"/>
  <c r="T10" i="1"/>
  <c r="U10" i="1"/>
  <c r="T38" i="1"/>
  <c r="U38" i="1"/>
  <c r="T20" i="1"/>
  <c r="U20" i="1"/>
  <c r="T11" i="1"/>
  <c r="U11" i="1"/>
  <c r="T17" i="1"/>
  <c r="U17" i="1"/>
  <c r="T27" i="1"/>
  <c r="U27" i="1"/>
  <c r="T4" i="1"/>
  <c r="U4" i="1"/>
  <c r="T3" i="1"/>
  <c r="U3" i="1"/>
  <c r="T14" i="1"/>
  <c r="U14" i="1"/>
  <c r="T18" i="1"/>
  <c r="U18" i="1"/>
  <c r="T15" i="1"/>
  <c r="U15" i="1"/>
  <c r="T8" i="1"/>
  <c r="U8" i="1"/>
  <c r="T23" i="1"/>
  <c r="U23" i="1"/>
  <c r="T16" i="1"/>
  <c r="U16" i="1"/>
  <c r="T40" i="1"/>
  <c r="U40" i="1"/>
  <c r="T33" i="1"/>
  <c r="U33" i="1"/>
  <c r="T29" i="1"/>
  <c r="U29" i="1"/>
  <c r="T37" i="1"/>
  <c r="U37" i="1"/>
  <c r="T9" i="1"/>
  <c r="U9" i="1"/>
  <c r="T5" i="1"/>
  <c r="U5" i="1"/>
  <c r="T6" i="1"/>
  <c r="U6" i="1"/>
  <c r="T12" i="1"/>
  <c r="U12" i="1"/>
  <c r="T24" i="1"/>
  <c r="U24" i="1"/>
  <c r="T34" i="1"/>
  <c r="U34" i="1"/>
  <c r="T28" i="1"/>
  <c r="U28" i="1"/>
  <c r="T25" i="1"/>
  <c r="U25" i="1"/>
  <c r="T30" i="1"/>
  <c r="U30" i="1"/>
  <c r="T35" i="1"/>
  <c r="U35" i="1"/>
  <c r="T21" i="1"/>
  <c r="U21" i="1"/>
  <c r="T22" i="1"/>
  <c r="U22" i="1"/>
  <c r="T13" i="1"/>
  <c r="U13" i="1"/>
  <c r="T36" i="1"/>
  <c r="U36" i="1"/>
  <c r="T31" i="1"/>
  <c r="U31" i="1"/>
  <c r="T7" i="1"/>
  <c r="U7" i="1"/>
  <c r="AA32" i="1"/>
  <c r="AB32" i="1"/>
  <c r="AA26" i="1"/>
  <c r="AB26" i="1"/>
  <c r="AA10" i="1"/>
  <c r="AB10" i="1"/>
  <c r="AA38" i="1"/>
  <c r="AB38" i="1"/>
  <c r="AA20" i="1"/>
  <c r="AB20" i="1"/>
  <c r="AA11" i="1"/>
  <c r="AB11" i="1"/>
  <c r="AA17" i="1"/>
  <c r="AB17" i="1"/>
  <c r="AA27" i="1"/>
  <c r="AB27" i="1"/>
  <c r="AA4" i="1"/>
  <c r="AB4" i="1"/>
  <c r="AA3" i="1"/>
  <c r="AB3" i="1"/>
  <c r="AA14" i="1"/>
  <c r="AB14" i="1"/>
  <c r="AA18" i="1"/>
  <c r="AB18" i="1"/>
  <c r="AA15" i="1"/>
  <c r="AB15" i="1"/>
  <c r="AA8" i="1"/>
  <c r="AB8" i="1"/>
  <c r="AA23" i="1"/>
  <c r="AB23" i="1"/>
  <c r="AA16" i="1"/>
  <c r="AB16" i="1"/>
  <c r="AA40" i="1"/>
  <c r="AB40" i="1"/>
  <c r="AA33" i="1"/>
  <c r="AB33" i="1"/>
  <c r="AA29" i="1"/>
  <c r="AB29" i="1"/>
  <c r="AA37" i="1"/>
  <c r="AB37" i="1"/>
  <c r="AA9" i="1"/>
  <c r="AB9" i="1"/>
  <c r="AA5" i="1"/>
  <c r="AB5" i="1"/>
  <c r="AA6" i="1"/>
  <c r="AB6" i="1"/>
  <c r="AA12" i="1"/>
  <c r="AB12" i="1"/>
  <c r="AA24" i="1"/>
  <c r="AB24" i="1"/>
  <c r="AA34" i="1"/>
  <c r="AB34" i="1"/>
  <c r="AA28" i="1"/>
  <c r="AB28" i="1"/>
  <c r="AA25" i="1"/>
  <c r="AB25" i="1"/>
  <c r="AA30" i="1"/>
  <c r="AB30" i="1"/>
  <c r="AA35" i="1"/>
  <c r="AB35" i="1"/>
  <c r="AA21" i="1"/>
  <c r="AB21" i="1"/>
  <c r="AA22" i="1"/>
  <c r="AB22" i="1"/>
  <c r="AA13" i="1"/>
  <c r="AB13" i="1"/>
  <c r="AA36" i="1"/>
  <c r="AB36" i="1"/>
  <c r="AA31" i="1"/>
  <c r="AB31" i="1"/>
  <c r="AA7" i="1"/>
  <c r="AB7" i="1"/>
  <c r="AH32" i="1"/>
  <c r="AY32" i="1" s="1"/>
  <c r="AI32" i="1"/>
  <c r="AH26" i="1"/>
  <c r="AY26" i="1" s="1"/>
  <c r="AI26" i="1"/>
  <c r="AH10" i="1"/>
  <c r="AY10" i="1" s="1"/>
  <c r="AI10" i="1"/>
  <c r="AH38" i="1"/>
  <c r="AY38" i="1" s="1"/>
  <c r="AI38" i="1"/>
  <c r="AH20" i="1"/>
  <c r="AY20" i="1" s="1"/>
  <c r="AI20" i="1"/>
  <c r="AH11" i="1"/>
  <c r="AY11" i="1" s="1"/>
  <c r="AI11" i="1"/>
  <c r="AH17" i="1"/>
  <c r="AY17" i="1" s="1"/>
  <c r="AI17" i="1"/>
  <c r="AH27" i="1"/>
  <c r="AY27" i="1" s="1"/>
  <c r="AI27" i="1"/>
  <c r="AH4" i="1"/>
  <c r="AY4" i="1" s="1"/>
  <c r="AI4" i="1"/>
  <c r="AH3" i="1"/>
  <c r="AY3" i="1" s="1"/>
  <c r="AI3" i="1"/>
  <c r="AH14" i="1"/>
  <c r="AY14" i="1" s="1"/>
  <c r="AI14" i="1"/>
  <c r="AH18" i="1"/>
  <c r="AY18" i="1" s="1"/>
  <c r="AI18" i="1"/>
  <c r="AH15" i="1"/>
  <c r="AY15" i="1" s="1"/>
  <c r="AI15" i="1"/>
  <c r="AH8" i="1"/>
  <c r="AY8" i="1" s="1"/>
  <c r="AI8" i="1"/>
  <c r="AH23" i="1"/>
  <c r="AY23" i="1" s="1"/>
  <c r="AI23" i="1"/>
  <c r="AH16" i="1"/>
  <c r="AY16" i="1" s="1"/>
  <c r="AI16" i="1"/>
  <c r="AH40" i="1"/>
  <c r="AY40" i="1" s="1"/>
  <c r="AI40" i="1"/>
  <c r="AH33" i="1"/>
  <c r="AY33" i="1" s="1"/>
  <c r="AI33" i="1"/>
  <c r="AH29" i="1"/>
  <c r="AY29" i="1" s="1"/>
  <c r="AI29" i="1"/>
  <c r="AH37" i="1"/>
  <c r="AY37" i="1" s="1"/>
  <c r="AI37" i="1"/>
  <c r="AH9" i="1"/>
  <c r="AY9" i="1" s="1"/>
  <c r="AI9" i="1"/>
  <c r="AH5" i="1"/>
  <c r="AY5" i="1" s="1"/>
  <c r="AI5" i="1"/>
  <c r="AH6" i="1"/>
  <c r="AY6" i="1" s="1"/>
  <c r="AI6" i="1"/>
  <c r="AH12" i="1"/>
  <c r="AY12" i="1" s="1"/>
  <c r="AI12" i="1"/>
  <c r="AH24" i="1"/>
  <c r="AY24" i="1" s="1"/>
  <c r="AI24" i="1"/>
  <c r="AH34" i="1"/>
  <c r="AY34" i="1" s="1"/>
  <c r="AI34" i="1"/>
  <c r="AH28" i="1"/>
  <c r="AY28" i="1" s="1"/>
  <c r="AI28" i="1"/>
  <c r="AH25" i="1"/>
  <c r="AY25" i="1" s="1"/>
  <c r="AI25" i="1"/>
  <c r="AH30" i="1"/>
  <c r="AY30" i="1" s="1"/>
  <c r="AI30" i="1"/>
  <c r="AH35" i="1"/>
  <c r="AY35" i="1" s="1"/>
  <c r="AI35" i="1"/>
  <c r="AH21" i="1"/>
  <c r="AY21" i="1" s="1"/>
  <c r="AI21" i="1"/>
  <c r="AH22" i="1"/>
  <c r="AY22" i="1" s="1"/>
  <c r="AI22" i="1"/>
  <c r="AH13" i="1"/>
  <c r="AY13" i="1" s="1"/>
  <c r="AI13" i="1"/>
  <c r="AH36" i="1"/>
  <c r="AY36" i="1" s="1"/>
  <c r="AI36" i="1"/>
  <c r="AH31" i="1"/>
  <c r="AY31" i="1" s="1"/>
  <c r="AI31" i="1"/>
  <c r="AH7" i="1"/>
  <c r="AY7" i="1" s="1"/>
  <c r="AI7" i="1"/>
  <c r="AH2" i="1"/>
  <c r="AI2" i="1"/>
  <c r="AA2" i="1"/>
  <c r="AB2" i="1"/>
  <c r="C38" i="1"/>
  <c r="C40" i="1"/>
  <c r="AY2" i="1" l="1"/>
  <c r="AJ20" i="1"/>
  <c r="AZ13" i="1"/>
  <c r="AZ21" i="1"/>
  <c r="AZ30" i="1"/>
  <c r="AZ28" i="1"/>
  <c r="AZ24" i="1"/>
  <c r="AZ12" i="1"/>
  <c r="AZ5" i="1"/>
  <c r="AZ37" i="1"/>
  <c r="AZ33" i="1"/>
  <c r="AZ16" i="1"/>
  <c r="AZ8" i="1"/>
  <c r="AZ18" i="1"/>
  <c r="AZ14" i="1"/>
  <c r="AZ4" i="1"/>
  <c r="AZ17" i="1"/>
  <c r="AZ20" i="1"/>
  <c r="AZ26" i="1"/>
  <c r="AZ7" i="1"/>
  <c r="AZ31" i="1"/>
  <c r="AZ36" i="1"/>
  <c r="AZ22" i="1"/>
  <c r="AZ35" i="1"/>
  <c r="AZ25" i="1"/>
  <c r="AZ34" i="1"/>
  <c r="AZ6" i="1"/>
  <c r="AZ9" i="1"/>
  <c r="AZ29" i="1"/>
  <c r="AZ40" i="1"/>
  <c r="AZ23" i="1"/>
  <c r="AZ15" i="1"/>
  <c r="AZ3" i="1"/>
  <c r="AZ27" i="1"/>
  <c r="AZ11" i="1"/>
  <c r="AZ38" i="1"/>
  <c r="AZ10" i="1"/>
  <c r="AZ32" i="1"/>
  <c r="AZ2" i="1"/>
  <c r="O13" i="1"/>
  <c r="O21" i="1"/>
  <c r="O30" i="1"/>
  <c r="O28" i="1"/>
  <c r="O5" i="1"/>
  <c r="O37" i="1"/>
  <c r="O4" i="1"/>
  <c r="O17" i="1"/>
  <c r="O20" i="1"/>
  <c r="O38" i="1"/>
  <c r="O10" i="1"/>
  <c r="O15" i="1"/>
  <c r="O3" i="1"/>
  <c r="O27" i="1"/>
  <c r="O11" i="1"/>
  <c r="V35" i="1"/>
  <c r="V23" i="1"/>
  <c r="V3" i="1"/>
  <c r="V27" i="1"/>
  <c r="V11" i="1"/>
  <c r="O31" i="1"/>
  <c r="AC12" i="1"/>
  <c r="AC5" i="1"/>
  <c r="AC37" i="1"/>
  <c r="O32" i="1"/>
  <c r="O35" i="1"/>
  <c r="O25" i="1"/>
  <c r="O26" i="1"/>
  <c r="AJ9" i="1"/>
  <c r="AC10" i="1"/>
  <c r="AC32" i="1"/>
  <c r="AJ13" i="1"/>
  <c r="V18" i="1"/>
  <c r="AJ7" i="1"/>
  <c r="AJ22" i="1"/>
  <c r="O34" i="1"/>
  <c r="V13" i="1"/>
  <c r="AC36" i="1"/>
  <c r="V20" i="1"/>
  <c r="AC15" i="1"/>
  <c r="AJ40" i="1"/>
  <c r="AJ26" i="1"/>
  <c r="V14" i="1"/>
  <c r="AJ33" i="1"/>
  <c r="AJ8" i="1"/>
  <c r="AJ14" i="1"/>
  <c r="AC34" i="1"/>
  <c r="AJ2" i="1"/>
  <c r="AJ6" i="1"/>
  <c r="AJ15" i="1"/>
  <c r="AJ27" i="1"/>
  <c r="V21" i="1"/>
  <c r="V6" i="1"/>
  <c r="V15" i="1"/>
  <c r="O29" i="1"/>
  <c r="AJ31" i="1"/>
  <c r="AJ29" i="1"/>
  <c r="AC16" i="1"/>
  <c r="V4" i="1"/>
  <c r="AJ36" i="1"/>
  <c r="AJ35" i="1"/>
  <c r="AJ23" i="1"/>
  <c r="AJ32" i="1"/>
  <c r="AC35" i="1"/>
  <c r="AC11" i="1"/>
  <c r="AC26" i="1"/>
  <c r="V36" i="1"/>
  <c r="V22" i="1"/>
  <c r="AJ25" i="1"/>
  <c r="AJ10" i="1"/>
  <c r="AC7" i="1"/>
  <c r="AC33" i="1"/>
  <c r="AC8" i="1"/>
  <c r="AC4" i="1"/>
  <c r="AC17" i="1"/>
  <c r="V7" i="1"/>
  <c r="V34" i="1"/>
  <c r="V29" i="1"/>
  <c r="V40" i="1"/>
  <c r="V26" i="1"/>
  <c r="O8" i="1"/>
  <c r="AJ3" i="1"/>
  <c r="AJ24" i="1"/>
  <c r="AC21" i="1"/>
  <c r="AC28" i="1"/>
  <c r="AC29" i="1"/>
  <c r="AC3" i="1"/>
  <c r="V24" i="1"/>
  <c r="V12" i="1"/>
  <c r="V33" i="1"/>
  <c r="V38" i="1"/>
  <c r="V10" i="1"/>
  <c r="O36" i="1"/>
  <c r="O6" i="1"/>
  <c r="O9" i="1"/>
  <c r="O23" i="1"/>
  <c r="AJ21" i="1"/>
  <c r="AJ28" i="1"/>
  <c r="AJ34" i="1"/>
  <c r="AJ5" i="1"/>
  <c r="AJ16" i="1"/>
  <c r="AJ18" i="1"/>
  <c r="AJ17" i="1"/>
  <c r="AJ11" i="1"/>
  <c r="AC22" i="1"/>
  <c r="AC30" i="1"/>
  <c r="AC40" i="1"/>
  <c r="AC18" i="1"/>
  <c r="AC14" i="1"/>
  <c r="AC27" i="1"/>
  <c r="V25" i="1"/>
  <c r="V5" i="1"/>
  <c r="V37" i="1"/>
  <c r="O33" i="1"/>
  <c r="O16" i="1"/>
  <c r="V16" i="1"/>
  <c r="O7" i="1"/>
  <c r="AC2" i="1"/>
  <c r="AJ30" i="1"/>
  <c r="AJ12" i="1"/>
  <c r="AJ37" i="1"/>
  <c r="AJ4" i="1"/>
  <c r="AJ38" i="1"/>
  <c r="AC31" i="1"/>
  <c r="AC13" i="1"/>
  <c r="AC25" i="1"/>
  <c r="AC24" i="1"/>
  <c r="AC9" i="1"/>
  <c r="AC23" i="1"/>
  <c r="AC20" i="1"/>
  <c r="AC38" i="1"/>
  <c r="V31" i="1"/>
  <c r="V30" i="1"/>
  <c r="V28" i="1"/>
  <c r="V9" i="1"/>
  <c r="V8" i="1"/>
  <c r="V17" i="1"/>
  <c r="V32" i="1"/>
  <c r="O22" i="1"/>
  <c r="O24" i="1"/>
  <c r="O12" i="1"/>
  <c r="O40" i="1"/>
  <c r="O18" i="1"/>
  <c r="O14" i="1"/>
  <c r="AC6" i="1"/>
  <c r="BB21" i="1" l="1"/>
  <c r="BB4" i="1"/>
  <c r="BB37" i="1"/>
  <c r="BB11" i="1"/>
  <c r="BB34" i="1"/>
  <c r="BB16" i="1"/>
  <c r="BB25" i="1"/>
  <c r="BB35" i="1"/>
  <c r="BB29" i="1"/>
  <c r="BB6" i="1"/>
  <c r="BB8" i="1"/>
  <c r="BB40" i="1"/>
  <c r="BB9" i="1"/>
  <c r="BB12" i="1"/>
  <c r="BB5" i="1"/>
  <c r="BB36" i="1"/>
  <c r="BB31" i="1"/>
  <c r="BB33" i="1"/>
  <c r="BB13" i="1"/>
  <c r="BB38" i="1"/>
  <c r="BB30" i="1"/>
  <c r="BB17" i="1"/>
  <c r="BB24" i="1"/>
  <c r="BB32" i="1"/>
  <c r="BB27" i="1"/>
  <c r="BB22" i="1"/>
  <c r="BB20" i="1"/>
  <c r="BB18" i="1"/>
  <c r="BB28" i="1"/>
  <c r="BB3" i="1"/>
  <c r="BB10" i="1"/>
  <c r="BB23" i="1"/>
  <c r="BB15" i="1"/>
  <c r="BB14" i="1"/>
  <c r="BB26" i="1"/>
  <c r="BB7" i="1"/>
  <c r="BA35" i="1"/>
  <c r="BA28" i="1"/>
  <c r="BA14" i="1"/>
  <c r="BA13" i="1"/>
  <c r="BA33" i="1"/>
  <c r="BA18" i="1"/>
  <c r="BA17" i="1"/>
  <c r="BA8" i="1"/>
  <c r="BA5" i="1"/>
  <c r="BA30" i="1"/>
  <c r="BA20" i="1"/>
  <c r="BA37" i="1"/>
  <c r="BA26" i="1"/>
  <c r="BA4" i="1"/>
  <c r="BA12" i="1"/>
  <c r="BA21" i="1"/>
  <c r="BA16" i="1"/>
  <c r="BA24" i="1"/>
  <c r="BA3" i="1"/>
  <c r="BA40" i="1"/>
  <c r="BA38" i="1"/>
  <c r="BA29" i="1"/>
  <c r="BA34" i="1"/>
  <c r="BA36" i="1"/>
  <c r="BA32" i="1"/>
  <c r="BA27" i="1"/>
  <c r="BA23" i="1"/>
  <c r="BA6" i="1"/>
  <c r="BA7" i="1"/>
  <c r="BA10" i="1"/>
  <c r="BA22" i="1"/>
  <c r="BA11" i="1"/>
  <c r="BA15" i="1"/>
  <c r="BA9" i="1"/>
  <c r="BA25" i="1"/>
  <c r="BA31" i="1"/>
  <c r="BA2" i="1"/>
  <c r="C7" i="3" l="1"/>
  <c r="C3" i="3"/>
  <c r="H5" i="3" l="1"/>
  <c r="H4" i="3"/>
  <c r="H3" i="3"/>
  <c r="C2" i="1"/>
  <c r="C19" i="1"/>
  <c r="C10" i="1"/>
  <c r="C26" i="1"/>
  <c r="C3" i="1"/>
  <c r="C4" i="1"/>
  <c r="C17" i="1"/>
  <c r="C14" i="1"/>
  <c r="C27" i="1"/>
  <c r="C20" i="1"/>
  <c r="C15" i="1"/>
  <c r="C18" i="1"/>
  <c r="C23" i="1"/>
  <c r="C16" i="1"/>
  <c r="C11" i="1"/>
  <c r="C33" i="1"/>
  <c r="C9" i="1"/>
  <c r="C5" i="1"/>
  <c r="C24" i="1"/>
  <c r="C35" i="1"/>
  <c r="C6" i="1"/>
  <c r="C29" i="1"/>
  <c r="C37" i="1"/>
  <c r="C34" i="1"/>
  <c r="C21" i="1"/>
  <c r="C28" i="1"/>
  <c r="C25" i="1"/>
  <c r="C30" i="1"/>
  <c r="C8" i="1"/>
  <c r="C13" i="1"/>
  <c r="C22" i="1"/>
  <c r="C36" i="1"/>
  <c r="C31" i="1"/>
  <c r="C12" i="1"/>
  <c r="C7" i="1"/>
  <c r="C32" i="1"/>
  <c r="H6" i="3" l="1"/>
  <c r="AI19" i="1"/>
  <c r="AH19" i="1"/>
  <c r="AJ19" i="1" l="1"/>
  <c r="C8" i="3"/>
  <c r="C9" i="3" s="1"/>
  <c r="C2" i="3"/>
  <c r="C4" i="3" s="1"/>
  <c r="AB19" i="1" l="1"/>
  <c r="AZ19" i="1" s="1"/>
  <c r="AA19" i="1"/>
  <c r="AY19" i="1" s="1"/>
  <c r="U19" i="1"/>
  <c r="T19" i="1"/>
  <c r="N19" i="1"/>
  <c r="M19" i="1"/>
  <c r="O19" i="1" l="1"/>
  <c r="BA19" i="1"/>
  <c r="V19" i="1"/>
  <c r="AC19" i="1"/>
  <c r="U2" i="1"/>
  <c r="T2" i="1"/>
  <c r="N2" i="1"/>
  <c r="M2" i="1"/>
  <c r="BB19" i="1" l="1"/>
  <c r="V2" i="1"/>
  <c r="O2" i="1"/>
  <c r="BB2" i="1" l="1"/>
</calcChain>
</file>

<file path=xl/sharedStrings.xml><?xml version="1.0" encoding="utf-8"?>
<sst xmlns="http://schemas.openxmlformats.org/spreadsheetml/2006/main" count="512" uniqueCount="169">
  <si>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</si>
  <si>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</si>
  <si>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</si>
  <si>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</si>
  <si>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</si>
  <si>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</si>
  <si>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</si>
  <si>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</si>
  <si>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</si>
  <si>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</si>
  <si>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</si>
  <si>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</si>
  <si>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</si>
  <si>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</si>
  <si>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</si>
  <si>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</si>
  <si>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</si>
  <si>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</si>
  <si>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</si>
  <si>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</si>
  <si>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</si>
  <si>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</si>
  <si>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</si>
  <si>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ספיר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</si>
  <si>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</si>
  <si>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</si>
  <si>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</si>
  <si>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</si>
  <si>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</si>
  <si>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</si>
  <si>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</si>
  <si>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</si>
  <si>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</si>
  <si>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</si>
  <si>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</si>
  <si>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</si>
  <si>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</si>
  <si>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</si>
  <si>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</si>
  <si>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</si>
  <si>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</si>
  <si>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</si>
  <si>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</si>
  <si>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</si>
  <si>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</si>
  <si>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</si>
  <si>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</si>
  <si>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</si>
  <si>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</si>
  <si>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</si>
  <si>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</si>
  <si>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</si>
  <si>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</si>
  <si>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</si>
  <si>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</si>
  <si>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</si>
  <si>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</si>
  <si>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</si>
  <si>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</si>
  <si>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</si>
  <si>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</si>
  <si>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</si>
  <si>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</si>
  <si>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</si>
  <si>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</si>
  <si>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</si>
  <si>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</si>
  <si>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</si>
  <si>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</si>
  <si>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</si>
  <si>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</si>
  <si>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</si>
  <si>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</si>
  <si>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</si>
  <si>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</si>
  <si>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</si>
  <si>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</si>
  <si>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תאריך הגעה לבסיס</t>
  </si>
  <si>
    <t>כלנית</t>
  </si>
  <si>
    <t>נילי</t>
  </si>
  <si>
    <t>שר</t>
  </si>
  <si>
    <t>אלכס</t>
  </si>
  <si>
    <t>מעיין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</si>
  <si>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</si>
  <si>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</si>
  <si>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</si>
  <si>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</si>
  <si>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</si>
  <si>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</si>
  <si>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</si>
  <si>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</si>
  <si>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</si>
  <si>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</si>
  <si>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</si>
  <si>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</si>
  <si>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</si>
  <si>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</si>
  <si>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</si>
  <si>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</si>
  <si>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</si>
  <si>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</si>
  <si>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</si>
  <si>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</si>
  <si>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</si>
  <si>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</si>
  <si>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</si>
  <si>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</si>
  <si>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</si>
  <si>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</si>
  <si>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</si>
  <si>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</si>
  <si>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</si>
  <si>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</si>
  <si>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</si>
  <si>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</si>
  <si>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</si>
  <si>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</si>
  <si>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</si>
  <si>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</si>
  <si>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</si>
  <si>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</si>
  <si>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</si>
  <si>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</si>
  <si>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</si>
  <si>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</si>
  <si>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</si>
  <si>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</si>
  <si>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</si>
  <si>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</si>
  <si>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</si>
  <si>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</si>
  <si>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</si>
  <si>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</si>
  <si>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</si>
  <si>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</si>
  <si>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27/9/2017</t>
  </si>
  <si>
    <t>קקצ ינואר</t>
  </si>
  <si>
    <t>גילי</t>
  </si>
  <si>
    <t>ספטמבר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</si>
  <si>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</si>
  <si>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</si>
  <si>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</si>
  <si>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</si>
  <si>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</si>
  <si>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</si>
  <si>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</si>
  <si>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</si>
  <si>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</si>
  <si>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</si>
  <si>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</si>
  <si>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</si>
  <si>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16/10/17</t>
  </si>
  <si>
    <t>חודש הסתגלות, צריכה פנקס מטווחים</t>
  </si>
  <si>
    <t>דיאנה אחודה</t>
  </si>
  <si>
    <t>גילי 209</t>
  </si>
  <si>
    <t>עדן 11</t>
  </si>
  <si>
    <t>סה"כ</t>
  </si>
  <si>
    <t>נילי 11 פטור שמירות?, מה עם ליאור אחודה, וגילי 209, אסי, סול אלגרבלי, דיקלה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</si>
  <si>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</si>
  <si>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</si>
  <si>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</si>
  <si>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</si>
  <si>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</si>
  <si>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</si>
  <si>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</si>
  <si>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שמירה מחושב</t>
  </si>
  <si>
    <t>בלי שמירה מחושב</t>
  </si>
  <si>
    <t>מעין 9</t>
  </si>
  <si>
    <t>מעין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</si>
</sst>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21" xfId="0" applyFont="1" applyFill="1" applyBorder="1"/>
    <xf numFmtId="0" fontId="4" fillId="0" borderId="18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3" fillId="0" borderId="7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21" xfId="0" applyFont="1" applyFill="1" applyBorder="1"/>
    <xf numFmtId="0" fontId="6" fillId="0" borderId="18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5" fillId="0" borderId="0" xfId="0" applyFont="1"/>
    <xf numFmtId="0" fontId="5" fillId="0" borderId="6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5" fillId="0" borderId="7" xfId="0" applyFont="1" applyFill="1" applyBorder="1"/>
    <xf numFmtId="0" fontId="6" fillId="0" borderId="10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6" xfId="0" applyFont="1" applyBorder="1"/>
    <xf numFmtId="0" fontId="8" fillId="0" borderId="1" xfId="0" applyFont="1" applyBorder="1"/>
    <xf numFmtId="0" fontId="8" fillId="4" borderId="10" xfId="0" applyFont="1" applyFill="1" applyBorder="1"/>
    <xf numFmtId="0" fontId="8" fillId="3" borderId="19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9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4" fontId="8" fillId="0" borderId="4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9" xfId="0" applyFont="1" applyBorder="1"/>
    <xf numFmtId="0" fontId="8" fillId="0" borderId="7" xfId="0" applyFont="1" applyBorder="1"/>
    <xf numFmtId="0" fontId="8" fillId="0" borderId="8" xfId="0" applyFont="1" applyBorder="1"/>
    <xf numFmtId="0" fontId="8" fillId="4" borderId="17" xfId="0" applyFont="1" applyFill="1" applyBorder="1"/>
    <xf numFmtId="0" fontId="8" fillId="3" borderId="24" xfId="0" applyFont="1" applyFill="1" applyBorder="1" applyAlignment="1">
      <alignment horizontal="center"/>
    </xf>
    <xf numFmtId="0" fontId="8" fillId="3" borderId="25" xfId="0" applyFont="1" applyFill="1" applyBorder="1" applyAlignment="1">
      <alignment horizontal="center" vertical="center"/>
    </xf>
    <xf numFmtId="0" fontId="8" fillId="4" borderId="8" xfId="0" applyFont="1" applyFill="1" applyBorder="1"/>
    <xf numFmtId="0" fontId="8" fillId="3" borderId="24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14" fontId="8" fillId="0" borderId="9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0" fillId="0" borderId="28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B77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H23" sqref="H23"/>
    </sheetView>
  </sheetViews>
  <sheetFormatPr defaultRowHeight="15" x14ac:dyDescent="0.25"/>
  <cols>
    <col min="1" max="1" width="7.140625" style="82" customWidth="1"/>
    <col min="2" max="2" width="8" style="47" bestFit="1" customWidth="1"/>
    <col min="3" max="3" width="12.140625" style="47" customWidth="1"/>
    <col min="4" max="4" width="8" style="47" customWidth="1"/>
    <col min="5" max="5" width="9.5703125" style="47" customWidth="1"/>
    <col min="6" max="7" width="11.28515625" style="47" customWidth="1"/>
    <col min="8" max="8" width="6.85546875" style="83" customWidth="1"/>
    <col min="9" max="10" width="8.5703125" style="83" customWidth="1"/>
    <col min="11" max="12" width="9.28515625" style="83" hidden="1" customWidth="1"/>
    <col min="13" max="14" width="12.140625" style="83" hidden="1" customWidth="1"/>
    <col min="15" max="15" width="6.7109375" style="83" hidden="1" customWidth="1"/>
    <col min="16" max="16" width="13" style="81" customWidth="1"/>
    <col min="17" max="17" width="15.85546875" style="81" customWidth="1"/>
    <col min="18" max="18" width="13" style="81" hidden="1" customWidth="1"/>
    <col min="19" max="19" width="16.28515625" style="81" hidden="1" customWidth="1"/>
    <col min="20" max="21" width="9.28515625" style="81" hidden="1" customWidth="1"/>
    <col min="22" max="22" width="6.42578125" style="81" hidden="1" customWidth="1"/>
    <col min="23" max="23" width="13" style="81" customWidth="1"/>
    <col min="24" max="24" width="13.7109375" style="81" customWidth="1"/>
    <col min="25" max="25" width="13" style="81" hidden="1" customWidth="1"/>
    <col min="26" max="26" width="8.85546875" style="81" hidden="1" customWidth="1"/>
    <col min="27" max="27" width="7.5703125" style="81" hidden="1" customWidth="1"/>
    <col min="28" max="28" width="8.85546875" style="81" hidden="1" customWidth="1"/>
    <col min="29" max="29" width="8.42578125" style="81" hidden="1" customWidth="1"/>
    <col min="30" max="31" width="8.42578125" style="81" customWidth="1"/>
    <col min="32" max="32" width="8.42578125" style="81" hidden="1" customWidth="1"/>
    <col min="33" max="33" width="13" style="81" hidden="1" customWidth="1"/>
    <col min="34" max="36" width="8.42578125" style="81" hidden="1" customWidth="1"/>
    <col min="37" max="38" width="8.42578125" style="81" customWidth="1"/>
    <col min="39" max="39" width="8.42578125" style="81" hidden="1" customWidth="1"/>
    <col min="40" max="40" width="13" style="81" hidden="1" customWidth="1"/>
    <col min="41" max="43" width="8.42578125" style="81" hidden="1" customWidth="1"/>
    <col min="44" max="46" width="8.42578125" style="81" customWidth="1"/>
    <col min="47" max="47" width="13" style="81" customWidth="1"/>
    <col min="48" max="50" width="8.42578125" style="81" customWidth="1"/>
    <col min="51" max="51" width="12.42578125" style="81" customWidth="1"/>
    <col min="52" max="52" width="14.42578125" style="81" customWidth="1"/>
    <col min="53" max="53" width="10.42578125" style="47" customWidth="1"/>
    <col min="54" max="16384" width="9.140625" style="47"/>
  </cols>
  <sheetData>
    <row r="1" spans="1:54" ht="60.75" thickBot="1" x14ac:dyDescent="0.3">
      <c r="A1" s="39" t="s">
        <v>0</v>
      </c>
      <c r="B1" s="40" t="s">
        <v>1</v>
      </c>
      <c r="C1" s="40" t="s">
        <v>106</v>
      </c>
      <c r="D1" s="40" t="s">
        <v>3</v>
      </c>
      <c r="E1" s="40" t="s">
        <v>4</v>
      </c>
      <c r="F1" s="41" t="s">
        <v>77</v>
      </c>
      <c r="G1" s="41" t="s">
        <v>64</v>
      </c>
      <c r="H1" s="41" t="s">
        <v>2</v>
      </c>
      <c r="I1" s="39" t="s">
        <v>46</v>
      </c>
      <c r="J1" s="40" t="s">
        <v>47</v>
      </c>
      <c r="K1" s="40" t="s">
        <v>48</v>
      </c>
      <c r="L1" s="40" t="s">
        <v>49</v>
      </c>
      <c r="M1" s="42" t="s">
        <v>62</v>
      </c>
      <c r="N1" s="42" t="s">
        <v>63</v>
      </c>
      <c r="O1" s="43" t="s">
        <v>61</v>
      </c>
      <c r="P1" s="39" t="s">
        <v>37</v>
      </c>
      <c r="Q1" s="40" t="s">
        <v>38</v>
      </c>
      <c r="R1" s="40" t="s">
        <v>39</v>
      </c>
      <c r="S1" s="40" t="s">
        <v>40</v>
      </c>
      <c r="T1" s="42" t="s">
        <v>41</v>
      </c>
      <c r="U1" s="42" t="s">
        <v>42</v>
      </c>
      <c r="V1" s="43" t="s">
        <v>60</v>
      </c>
      <c r="W1" s="39" t="s">
        <v>56</v>
      </c>
      <c r="X1" s="40" t="s">
        <v>57</v>
      </c>
      <c r="Y1" s="40" t="s">
        <v>58</v>
      </c>
      <c r="Z1" s="40" t="s">
        <v>59</v>
      </c>
      <c r="AA1" s="42" t="s">
        <v>50</v>
      </c>
      <c r="AB1" s="42" t="s">
        <v>51</v>
      </c>
      <c r="AC1" s="43" t="s">
        <v>52</v>
      </c>
      <c r="AD1" s="39" t="s">
        <v>83</v>
      </c>
      <c r="AE1" s="40" t="s">
        <v>84</v>
      </c>
      <c r="AF1" s="40" t="s">
        <v>85</v>
      </c>
      <c r="AG1" s="40" t="s">
        <v>86</v>
      </c>
      <c r="AH1" s="42" t="s">
        <v>87</v>
      </c>
      <c r="AI1" s="42" t="s">
        <v>88</v>
      </c>
      <c r="AJ1" s="43" t="s">
        <v>89</v>
      </c>
      <c r="AK1" s="39" t="s">
        <v>142</v>
      </c>
      <c r="AL1" s="40" t="s">
        <v>143</v>
      </c>
      <c r="AM1" s="40" t="s">
        <v>144</v>
      </c>
      <c r="AN1" s="40" t="s">
        <v>145</v>
      </c>
      <c r="AO1" s="42" t="s">
        <v>146</v>
      </c>
      <c r="AP1" s="42" t="s">
        <v>147</v>
      </c>
      <c r="AQ1" s="43" t="s">
        <v>148</v>
      </c>
      <c r="AR1" s="92" t="s">
        <v>158</v>
      </c>
      <c r="AS1" s="93" t="s">
        <v>159</v>
      </c>
      <c r="AT1" s="93" t="s">
        <v>160</v>
      </c>
      <c r="AU1" s="93" t="s">
        <v>161</v>
      </c>
      <c r="AV1" s="94" t="s">
        <v>162</v>
      </c>
      <c r="AW1" s="94" t="s">
        <v>163</v>
      </c>
      <c r="AX1" s="95" t="s">
        <v>164</v>
      </c>
      <c r="AY1" s="44" t="s">
        <v>54</v>
      </c>
      <c r="AZ1" s="45" t="s">
        <v>55</v>
      </c>
      <c r="BA1" s="46" t="s">
        <v>53</v>
      </c>
      <c r="BB1" s="46" t="s">
        <v>156</v>
      </c>
    </row>
    <row r="2" spans="1:54" x14ac:dyDescent="0.25">
      <c r="A2" s="48">
        <v>9</v>
      </c>
      <c r="B2" s="49" t="s">
        <v>8</v>
      </c>
      <c r="C2" s="49" t="str">
        <f>B2&amp;" "&amp;A2</f>
        <v>יובל 9</v>
      </c>
      <c r="D2" s="50" t="s">
        <v>6</v>
      </c>
      <c r="E2" s="50" t="s">
        <v>7</v>
      </c>
      <c r="F2" s="52"/>
      <c r="G2" s="63">
        <v>43139</v>
      </c>
      <c r="H2" s="53"/>
      <c r="I2" s="54"/>
      <c r="J2" s="55">
        <v>1</v>
      </c>
      <c r="K2" s="55">
        <v>2</v>
      </c>
      <c r="L2" s="55"/>
      <c r="M2" s="56">
        <f>I2*3+K2</f>
        <v>2</v>
      </c>
      <c r="N2" s="56">
        <f>J2*3+L2</f>
        <v>3</v>
      </c>
      <c r="O2" s="57">
        <f>N2+M2</f>
        <v>5</v>
      </c>
      <c r="P2" s="48"/>
      <c r="Q2" s="50"/>
      <c r="R2" s="50">
        <v>3</v>
      </c>
      <c r="S2" s="50">
        <v>2</v>
      </c>
      <c r="T2" s="56">
        <f>P2*3+R2</f>
        <v>3</v>
      </c>
      <c r="U2" s="56">
        <f>Q2*3+S2</f>
        <v>2</v>
      </c>
      <c r="V2" s="58">
        <f>U2+T2</f>
        <v>5</v>
      </c>
      <c r="W2" s="48">
        <v>1</v>
      </c>
      <c r="X2" s="50"/>
      <c r="Y2" s="50">
        <v>1</v>
      </c>
      <c r="Z2" s="50"/>
      <c r="AA2" s="59">
        <f>W2*3+Y2</f>
        <v>4</v>
      </c>
      <c r="AB2" s="59">
        <f>X2*3+Z2</f>
        <v>0</v>
      </c>
      <c r="AC2" s="60">
        <f>AB2+AA2</f>
        <v>4</v>
      </c>
      <c r="AD2" s="48"/>
      <c r="AE2" s="50"/>
      <c r="AF2" s="50"/>
      <c r="AG2" s="50">
        <v>3</v>
      </c>
      <c r="AH2" s="56">
        <f>AD2*3+AF2</f>
        <v>0</v>
      </c>
      <c r="AI2" s="56">
        <f>AE2*3+AG2</f>
        <v>3</v>
      </c>
      <c r="AJ2" s="58">
        <f>AI2+AH2</f>
        <v>3</v>
      </c>
      <c r="AK2" s="48"/>
      <c r="AL2" s="50">
        <v>1</v>
      </c>
      <c r="AM2" s="50"/>
      <c r="AN2" s="50"/>
      <c r="AO2" s="56">
        <f>AK2*3+AM2</f>
        <v>0</v>
      </c>
      <c r="AP2" s="56">
        <f>AL2*3+AN2</f>
        <v>3</v>
      </c>
      <c r="AQ2" s="58">
        <f>AP2+AO2</f>
        <v>3</v>
      </c>
      <c r="AR2" s="48">
        <v>1</v>
      </c>
      <c r="AS2" s="50"/>
      <c r="AT2" s="50"/>
      <c r="AU2" s="50"/>
      <c r="AV2" s="56">
        <f>AR2*3+AT2</f>
        <v>3</v>
      </c>
      <c r="AW2" s="56">
        <f>AS2*3+AU2</f>
        <v>0</v>
      </c>
      <c r="AX2" s="58">
        <f>AW2+AV2</f>
        <v>3</v>
      </c>
      <c r="AY2" s="61">
        <f>AO2+AH2+AA2</f>
        <v>4</v>
      </c>
      <c r="AZ2" s="61">
        <f>AP2+AI2+AB2</f>
        <v>6</v>
      </c>
      <c r="BA2" s="62">
        <f>AZ2+AY2</f>
        <v>10</v>
      </c>
      <c r="BB2" s="62">
        <f>SUM(AQ2,AJ2,AC2,V2,O2,AX2)</f>
        <v>23</v>
      </c>
    </row>
    <row r="3" spans="1:54" x14ac:dyDescent="0.25">
      <c r="A3" s="48">
        <v>11</v>
      </c>
      <c r="B3" s="49" t="s">
        <v>16</v>
      </c>
      <c r="C3" s="49" t="str">
        <f>B3&amp;" "&amp;A3</f>
        <v>עדן 11</v>
      </c>
      <c r="D3" s="50" t="s">
        <v>6</v>
      </c>
      <c r="E3" s="50" t="s">
        <v>7</v>
      </c>
      <c r="F3" s="52"/>
      <c r="G3" s="63">
        <v>43490</v>
      </c>
      <c r="H3" s="53" t="s">
        <v>65</v>
      </c>
      <c r="I3" s="54">
        <v>1</v>
      </c>
      <c r="J3" s="55"/>
      <c r="K3" s="55">
        <v>4</v>
      </c>
      <c r="L3" s="55"/>
      <c r="M3" s="56">
        <f>I3*3+K3</f>
        <v>7</v>
      </c>
      <c r="N3" s="56">
        <f>J3*3+L3</f>
        <v>0</v>
      </c>
      <c r="O3" s="57">
        <f>N3+M3</f>
        <v>7</v>
      </c>
      <c r="P3" s="48"/>
      <c r="Q3" s="50"/>
      <c r="R3" s="50">
        <v>3</v>
      </c>
      <c r="S3" s="50"/>
      <c r="T3" s="56">
        <f>P3*3+R3</f>
        <v>3</v>
      </c>
      <c r="U3" s="56">
        <f>Q3*3+S3</f>
        <v>0</v>
      </c>
      <c r="V3" s="58">
        <f>U3+T3</f>
        <v>3</v>
      </c>
      <c r="W3" s="48">
        <v>1</v>
      </c>
      <c r="X3" s="50">
        <v>1</v>
      </c>
      <c r="Y3" s="50"/>
      <c r="Z3" s="50">
        <v>1</v>
      </c>
      <c r="AA3" s="59">
        <f>W3*3+Y3</f>
        <v>3</v>
      </c>
      <c r="AB3" s="59">
        <f>X3*3+Z3</f>
        <v>4</v>
      </c>
      <c r="AC3" s="60">
        <f>AB3+AA3</f>
        <v>7</v>
      </c>
      <c r="AD3" s="48"/>
      <c r="AE3" s="50"/>
      <c r="AF3" s="50">
        <v>1</v>
      </c>
      <c r="AG3" s="50"/>
      <c r="AH3" s="56">
        <f>AD3*3+AF3</f>
        <v>1</v>
      </c>
      <c r="AI3" s="56">
        <f>AE3*3+AG3</f>
        <v>0</v>
      </c>
      <c r="AJ3" s="58">
        <f>AI3+AH3</f>
        <v>1</v>
      </c>
      <c r="AK3" s="48"/>
      <c r="AL3" s="50"/>
      <c r="AM3" s="50">
        <v>2</v>
      </c>
      <c r="AN3" s="50"/>
      <c r="AO3" s="56">
        <f>AK3*3+AM3</f>
        <v>2</v>
      </c>
      <c r="AP3" s="56">
        <f>AL3*3+AN3</f>
        <v>0</v>
      </c>
      <c r="AQ3" s="58">
        <f>AP3+AO3</f>
        <v>2</v>
      </c>
      <c r="AR3" s="48">
        <v>1</v>
      </c>
      <c r="AS3" s="50"/>
      <c r="AT3" s="50"/>
      <c r="AU3" s="50"/>
      <c r="AV3" s="56">
        <f>AR3*3+AT3</f>
        <v>3</v>
      </c>
      <c r="AW3" s="56">
        <f>AS3*3+AU3</f>
        <v>0</v>
      </c>
      <c r="AX3" s="58">
        <f>AW3+AV3</f>
        <v>3</v>
      </c>
      <c r="AY3" s="61">
        <f>AO3+AH3+AA3</f>
        <v>6</v>
      </c>
      <c r="AZ3" s="61">
        <f>AP3+AI3+AB3</f>
        <v>4</v>
      </c>
      <c r="BA3" s="62">
        <f>AZ3+AY3</f>
        <v>10</v>
      </c>
      <c r="BB3" s="62">
        <f>SUM(AQ3,AJ3,AC3,V3,O3,AX3)</f>
        <v>23</v>
      </c>
    </row>
    <row r="4" spans="1:54" x14ac:dyDescent="0.25">
      <c r="A4" s="48">
        <v>11</v>
      </c>
      <c r="B4" s="49" t="s">
        <v>10</v>
      </c>
      <c r="C4" s="49" t="str">
        <f>B4&amp;" "&amp;A4</f>
        <v>סברינה 11</v>
      </c>
      <c r="D4" s="50" t="s">
        <v>6</v>
      </c>
      <c r="E4" s="50" t="s">
        <v>7</v>
      </c>
      <c r="F4" s="64"/>
      <c r="G4" s="65">
        <v>43515</v>
      </c>
      <c r="H4" s="53"/>
      <c r="I4" s="54">
        <v>1</v>
      </c>
      <c r="J4" s="55"/>
      <c r="K4" s="55">
        <v>4</v>
      </c>
      <c r="L4" s="55"/>
      <c r="M4" s="56">
        <f>I4*3+K4</f>
        <v>7</v>
      </c>
      <c r="N4" s="56">
        <f>J4*3+L4</f>
        <v>0</v>
      </c>
      <c r="O4" s="57">
        <f>N4+M4</f>
        <v>7</v>
      </c>
      <c r="P4" s="48">
        <v>1</v>
      </c>
      <c r="Q4" s="50"/>
      <c r="R4" s="50">
        <v>3</v>
      </c>
      <c r="S4" s="50"/>
      <c r="T4" s="56">
        <f>P4*3+R4</f>
        <v>6</v>
      </c>
      <c r="U4" s="56">
        <f>Q4*3+S4</f>
        <v>0</v>
      </c>
      <c r="V4" s="58">
        <f>U4+T4</f>
        <v>6</v>
      </c>
      <c r="W4" s="48"/>
      <c r="X4" s="50"/>
      <c r="Y4" s="50"/>
      <c r="Z4" s="50"/>
      <c r="AA4" s="59">
        <f>W4*3+Y4</f>
        <v>0</v>
      </c>
      <c r="AB4" s="59">
        <f>X4*3+Z4</f>
        <v>0</v>
      </c>
      <c r="AC4" s="60">
        <f>AB4+AA4</f>
        <v>0</v>
      </c>
      <c r="AD4" s="48"/>
      <c r="AE4" s="50">
        <v>1</v>
      </c>
      <c r="AF4" s="50">
        <v>1</v>
      </c>
      <c r="AG4" s="50">
        <v>1</v>
      </c>
      <c r="AH4" s="56">
        <f>AD4*3+AF4</f>
        <v>1</v>
      </c>
      <c r="AI4" s="56">
        <f>AE4*3+AG4</f>
        <v>4</v>
      </c>
      <c r="AJ4" s="58">
        <f>AI4+AH4</f>
        <v>5</v>
      </c>
      <c r="AK4" s="48">
        <v>1</v>
      </c>
      <c r="AL4" s="50"/>
      <c r="AM4" s="50">
        <v>1</v>
      </c>
      <c r="AN4" s="50"/>
      <c r="AO4" s="56">
        <f>AK4*3+AM4</f>
        <v>4</v>
      </c>
      <c r="AP4" s="56">
        <f>AL4*3+AN4</f>
        <v>0</v>
      </c>
      <c r="AQ4" s="58">
        <f>AP4+AO4</f>
        <v>4</v>
      </c>
      <c r="AR4" s="48"/>
      <c r="AS4" s="50"/>
      <c r="AT4" s="50"/>
      <c r="AU4" s="50"/>
      <c r="AV4" s="56">
        <f>AR4*3+AT4</f>
        <v>0</v>
      </c>
      <c r="AW4" s="56">
        <f>AS4*3+AU4</f>
        <v>0</v>
      </c>
      <c r="AX4" s="58">
        <f>AW4+AV4</f>
        <v>0</v>
      </c>
      <c r="AY4" s="61">
        <f>AO4+AH4+AA4</f>
        <v>5</v>
      </c>
      <c r="AZ4" s="61">
        <f>AP4+AI4+AB4</f>
        <v>4</v>
      </c>
      <c r="BA4" s="62">
        <f>AZ4+AY4</f>
        <v>9</v>
      </c>
      <c r="BB4" s="62">
        <f>SUM(AQ4,AJ4,AC4,V4,O4,AX4)</f>
        <v>22</v>
      </c>
    </row>
    <row r="5" spans="1:54" x14ac:dyDescent="0.25">
      <c r="A5" s="48">
        <v>679</v>
      </c>
      <c r="B5" s="49" t="s">
        <v>5</v>
      </c>
      <c r="C5" s="49" t="str">
        <f>B5&amp;" "&amp;A5</f>
        <v>מאי 679</v>
      </c>
      <c r="D5" s="50" t="s">
        <v>6</v>
      </c>
      <c r="E5" s="50" t="s">
        <v>7</v>
      </c>
      <c r="F5" s="64"/>
      <c r="G5" s="65">
        <v>43360</v>
      </c>
      <c r="H5" s="53"/>
      <c r="I5" s="54"/>
      <c r="J5" s="55">
        <v>1</v>
      </c>
      <c r="K5" s="55">
        <v>2</v>
      </c>
      <c r="L5" s="55"/>
      <c r="M5" s="56">
        <f>I5*3+K5</f>
        <v>2</v>
      </c>
      <c r="N5" s="56">
        <f>J5*3+L5</f>
        <v>3</v>
      </c>
      <c r="O5" s="57">
        <f>N5+M5</f>
        <v>5</v>
      </c>
      <c r="P5" s="48">
        <v>1</v>
      </c>
      <c r="Q5" s="50"/>
      <c r="R5" s="50">
        <v>1</v>
      </c>
      <c r="S5" s="50">
        <v>1</v>
      </c>
      <c r="T5" s="56">
        <f>P5*3+R5</f>
        <v>4</v>
      </c>
      <c r="U5" s="56">
        <f>Q5*3+S5</f>
        <v>1</v>
      </c>
      <c r="V5" s="58">
        <f>U5+T5</f>
        <v>5</v>
      </c>
      <c r="W5" s="48"/>
      <c r="X5" s="50">
        <v>1</v>
      </c>
      <c r="Y5" s="50">
        <v>2</v>
      </c>
      <c r="Z5" s="50"/>
      <c r="AA5" s="59">
        <f>W5*3+Y5</f>
        <v>2</v>
      </c>
      <c r="AB5" s="59">
        <f>X5*3+Z5</f>
        <v>3</v>
      </c>
      <c r="AC5" s="60">
        <f>AB5+AA5</f>
        <v>5</v>
      </c>
      <c r="AD5" s="48"/>
      <c r="AE5" s="50"/>
      <c r="AF5" s="50">
        <v>2</v>
      </c>
      <c r="AG5" s="50"/>
      <c r="AH5" s="56">
        <f>AD5*3+AF5</f>
        <v>2</v>
      </c>
      <c r="AI5" s="56">
        <f>AE5*3+AG5</f>
        <v>0</v>
      </c>
      <c r="AJ5" s="58">
        <f>AI5+AH5</f>
        <v>2</v>
      </c>
      <c r="AK5" s="48">
        <v>1</v>
      </c>
      <c r="AL5" s="50"/>
      <c r="AM5" s="50"/>
      <c r="AN5" s="50">
        <v>1</v>
      </c>
      <c r="AO5" s="56">
        <f>AK5*3+AM5</f>
        <v>3</v>
      </c>
      <c r="AP5" s="56">
        <f>AL5*3+AN5</f>
        <v>1</v>
      </c>
      <c r="AQ5" s="58">
        <f>AP5+AO5</f>
        <v>4</v>
      </c>
      <c r="AR5" s="48"/>
      <c r="AS5" s="50"/>
      <c r="AT5" s="50"/>
      <c r="AU5" s="50"/>
      <c r="AV5" s="56">
        <f>AR5*3+AT5</f>
        <v>0</v>
      </c>
      <c r="AW5" s="56">
        <f>AS5*3+AU5</f>
        <v>0</v>
      </c>
      <c r="AX5" s="58">
        <f>AW5+AV5</f>
        <v>0</v>
      </c>
      <c r="AY5" s="61">
        <f>AO5+AH5+AA5</f>
        <v>7</v>
      </c>
      <c r="AZ5" s="61">
        <f>AP5+AI5+AB5</f>
        <v>4</v>
      </c>
      <c r="BA5" s="62">
        <f>AZ5+AY5</f>
        <v>11</v>
      </c>
      <c r="BB5" s="62">
        <f>SUM(AQ5,AJ5,AC5,V5,O5,AX5)</f>
        <v>21</v>
      </c>
    </row>
    <row r="6" spans="1:54" x14ac:dyDescent="0.25">
      <c r="A6" s="48">
        <v>679</v>
      </c>
      <c r="B6" s="49" t="s">
        <v>14</v>
      </c>
      <c r="C6" s="49" t="str">
        <f>B6&amp;" "&amp;A6</f>
        <v>מירב 679</v>
      </c>
      <c r="D6" s="50" t="s">
        <v>6</v>
      </c>
      <c r="E6" s="50" t="s">
        <v>7</v>
      </c>
      <c r="F6" s="52"/>
      <c r="G6" s="65">
        <v>43421</v>
      </c>
      <c r="H6" s="53"/>
      <c r="I6" s="54">
        <v>1</v>
      </c>
      <c r="J6" s="55"/>
      <c r="K6" s="55">
        <v>3</v>
      </c>
      <c r="L6" s="55">
        <v>1</v>
      </c>
      <c r="M6" s="56">
        <f>I6*3+K6</f>
        <v>6</v>
      </c>
      <c r="N6" s="56">
        <f>J6*3+L6</f>
        <v>1</v>
      </c>
      <c r="O6" s="57">
        <f>N6+M6</f>
        <v>7</v>
      </c>
      <c r="P6" s="48"/>
      <c r="Q6" s="50"/>
      <c r="R6" s="50">
        <v>1</v>
      </c>
      <c r="S6" s="50">
        <v>1</v>
      </c>
      <c r="T6" s="56">
        <f>P6*3+R6</f>
        <v>1</v>
      </c>
      <c r="U6" s="56">
        <f>Q6*3+S6</f>
        <v>1</v>
      </c>
      <c r="V6" s="58">
        <f>U6+T6</f>
        <v>2</v>
      </c>
      <c r="W6" s="48"/>
      <c r="X6" s="50"/>
      <c r="Y6" s="50">
        <v>3</v>
      </c>
      <c r="Z6" s="50"/>
      <c r="AA6" s="59">
        <f>W6*3+Y6</f>
        <v>3</v>
      </c>
      <c r="AB6" s="59">
        <f>X6*3+Z6</f>
        <v>0</v>
      </c>
      <c r="AC6" s="60">
        <f>AB6+AA6</f>
        <v>3</v>
      </c>
      <c r="AD6" s="48">
        <v>1</v>
      </c>
      <c r="AE6" s="50">
        <v>1</v>
      </c>
      <c r="AF6" s="50">
        <v>1</v>
      </c>
      <c r="AG6" s="50">
        <v>1</v>
      </c>
      <c r="AH6" s="56">
        <f>AD6*3+AF6</f>
        <v>4</v>
      </c>
      <c r="AI6" s="56">
        <f>AE6*3+AG6</f>
        <v>4</v>
      </c>
      <c r="AJ6" s="58">
        <f>AI6+AH6</f>
        <v>8</v>
      </c>
      <c r="AK6" s="48"/>
      <c r="AL6" s="50"/>
      <c r="AM6" s="50">
        <v>1</v>
      </c>
      <c r="AN6" s="50"/>
      <c r="AO6" s="56">
        <f>AK6*3+AM6</f>
        <v>1</v>
      </c>
      <c r="AP6" s="56">
        <f>AL6*3+AN6</f>
        <v>0</v>
      </c>
      <c r="AQ6" s="58">
        <f>AP6+AO6</f>
        <v>1</v>
      </c>
      <c r="AR6" s="48"/>
      <c r="AS6" s="50"/>
      <c r="AT6" s="50"/>
      <c r="AU6" s="50"/>
      <c r="AV6" s="56">
        <f>AR6*3+AT6</f>
        <v>0</v>
      </c>
      <c r="AW6" s="56">
        <f>AS6*3+AU6</f>
        <v>0</v>
      </c>
      <c r="AX6" s="58">
        <f>AW6+AV6</f>
        <v>0</v>
      </c>
      <c r="AY6" s="61">
        <f>AO6+AH6+AA6</f>
        <v>8</v>
      </c>
      <c r="AZ6" s="61">
        <f>AP6+AI6+AB6</f>
        <v>4</v>
      </c>
      <c r="BA6" s="62">
        <f>AZ6+AY6</f>
        <v>12</v>
      </c>
      <c r="BB6" s="62">
        <f>SUM(AQ6,AJ6,AC6,V6,O6,AX6)</f>
        <v>21</v>
      </c>
    </row>
    <row r="7" spans="1:54" x14ac:dyDescent="0.25">
      <c r="A7" s="48" t="s">
        <v>25</v>
      </c>
      <c r="B7" s="49" t="s">
        <v>21</v>
      </c>
      <c r="C7" s="49" t="str">
        <f>B7&amp;" "&amp;A7</f>
        <v>שיר מרחבים</v>
      </c>
      <c r="D7" s="50" t="s">
        <v>6</v>
      </c>
      <c r="E7" s="50" t="s">
        <v>7</v>
      </c>
      <c r="F7" s="52"/>
      <c r="G7" s="65">
        <v>43524</v>
      </c>
      <c r="H7" s="53"/>
      <c r="I7" s="54">
        <v>1</v>
      </c>
      <c r="J7" s="55"/>
      <c r="K7" s="55">
        <v>2</v>
      </c>
      <c r="L7" s="55">
        <v>1</v>
      </c>
      <c r="M7" s="56">
        <f>I7*3+K7</f>
        <v>5</v>
      </c>
      <c r="N7" s="56">
        <f>J7*3+L7</f>
        <v>1</v>
      </c>
      <c r="O7" s="57">
        <f>N7+M7</f>
        <v>6</v>
      </c>
      <c r="P7" s="48"/>
      <c r="Q7" s="50"/>
      <c r="R7" s="50"/>
      <c r="S7" s="50">
        <v>1</v>
      </c>
      <c r="T7" s="56">
        <f>P7*3+R7</f>
        <v>0</v>
      </c>
      <c r="U7" s="56">
        <f>Q7*3+S7</f>
        <v>1</v>
      </c>
      <c r="V7" s="58">
        <f>U7+T7</f>
        <v>1</v>
      </c>
      <c r="W7" s="48">
        <v>1</v>
      </c>
      <c r="X7" s="50"/>
      <c r="Y7" s="50">
        <v>1</v>
      </c>
      <c r="Z7" s="50"/>
      <c r="AA7" s="59">
        <f>W7*3+Y7</f>
        <v>4</v>
      </c>
      <c r="AB7" s="59">
        <f>X7*3+Z7</f>
        <v>0</v>
      </c>
      <c r="AC7" s="60">
        <f>AB7+AA7</f>
        <v>4</v>
      </c>
      <c r="AD7" s="48"/>
      <c r="AE7" s="50"/>
      <c r="AF7" s="50">
        <v>3</v>
      </c>
      <c r="AG7" s="50">
        <v>1</v>
      </c>
      <c r="AH7" s="56">
        <f>AD7*3+AF7</f>
        <v>3</v>
      </c>
      <c r="AI7" s="56">
        <f>AE7*3+AG7</f>
        <v>1</v>
      </c>
      <c r="AJ7" s="58">
        <f>AI7+AH7</f>
        <v>4</v>
      </c>
      <c r="AK7" s="48"/>
      <c r="AL7" s="50"/>
      <c r="AM7" s="50">
        <v>2</v>
      </c>
      <c r="AN7" s="50">
        <v>1</v>
      </c>
      <c r="AO7" s="56">
        <f>AK7*3+AM7</f>
        <v>2</v>
      </c>
      <c r="AP7" s="56">
        <f>AL7*3+AN7</f>
        <v>1</v>
      </c>
      <c r="AQ7" s="58">
        <f>AP7+AO7</f>
        <v>3</v>
      </c>
      <c r="AR7" s="48">
        <v>1</v>
      </c>
      <c r="AS7" s="50"/>
      <c r="AT7" s="50"/>
      <c r="AU7" s="50"/>
      <c r="AV7" s="56">
        <f>AR7*3+AT7</f>
        <v>3</v>
      </c>
      <c r="AW7" s="56">
        <f>AS7*3+AU7</f>
        <v>0</v>
      </c>
      <c r="AX7" s="58">
        <f>AW7+AV7</f>
        <v>3</v>
      </c>
      <c r="AY7" s="61">
        <f>AO7+AH7+AA7</f>
        <v>9</v>
      </c>
      <c r="AZ7" s="61">
        <f>AP7+AI7+AB7</f>
        <v>2</v>
      </c>
      <c r="BA7" s="62">
        <f>AZ7+AY7</f>
        <v>11</v>
      </c>
      <c r="BB7" s="62">
        <f>SUM(AQ7,AJ7,AC7,V7,O7,AX7)</f>
        <v>21</v>
      </c>
    </row>
    <row r="8" spans="1:54" x14ac:dyDescent="0.25">
      <c r="A8" s="48">
        <v>209</v>
      </c>
      <c r="B8" s="49" t="s">
        <v>18</v>
      </c>
      <c r="C8" s="49" t="str">
        <f>B8&amp;" "&amp;A8</f>
        <v>עדי 209</v>
      </c>
      <c r="D8" s="50" t="s">
        <v>7</v>
      </c>
      <c r="E8" s="50" t="s">
        <v>7</v>
      </c>
      <c r="F8" s="52"/>
      <c r="G8" s="65">
        <v>43421</v>
      </c>
      <c r="H8" s="53"/>
      <c r="I8" s="54"/>
      <c r="J8" s="55"/>
      <c r="K8" s="55"/>
      <c r="L8" s="55">
        <v>2</v>
      </c>
      <c r="M8" s="56">
        <f>I8*3+K8</f>
        <v>0</v>
      </c>
      <c r="N8" s="56">
        <f>J8*3+L8</f>
        <v>2</v>
      </c>
      <c r="O8" s="57">
        <f>N8+M8</f>
        <v>2</v>
      </c>
      <c r="P8" s="48"/>
      <c r="Q8" s="50">
        <v>1</v>
      </c>
      <c r="R8" s="50"/>
      <c r="S8" s="50">
        <v>2</v>
      </c>
      <c r="T8" s="56">
        <f>P8*3+R8</f>
        <v>0</v>
      </c>
      <c r="U8" s="56">
        <f>Q8*3+S8</f>
        <v>5</v>
      </c>
      <c r="V8" s="58">
        <f>U8+T8</f>
        <v>5</v>
      </c>
      <c r="W8" s="48"/>
      <c r="X8" s="50"/>
      <c r="Y8" s="50"/>
      <c r="Z8" s="50">
        <v>3</v>
      </c>
      <c r="AA8" s="59">
        <f>W8*3+Y8</f>
        <v>0</v>
      </c>
      <c r="AB8" s="59">
        <f>X8*3+Z8</f>
        <v>3</v>
      </c>
      <c r="AC8" s="60">
        <f>AB8+AA8</f>
        <v>3</v>
      </c>
      <c r="AD8" s="48"/>
      <c r="AE8" s="50">
        <v>1</v>
      </c>
      <c r="AF8" s="50"/>
      <c r="AG8" s="50">
        <v>2</v>
      </c>
      <c r="AH8" s="56">
        <f>AD8*3+AF8</f>
        <v>0</v>
      </c>
      <c r="AI8" s="56">
        <f>AE8*3+AG8</f>
        <v>5</v>
      </c>
      <c r="AJ8" s="58">
        <f>AI8+AH8</f>
        <v>5</v>
      </c>
      <c r="AK8" s="48"/>
      <c r="AL8" s="50"/>
      <c r="AM8" s="50"/>
      <c r="AN8" s="50">
        <v>2</v>
      </c>
      <c r="AO8" s="56">
        <f>AK8*3+AM8</f>
        <v>0</v>
      </c>
      <c r="AP8" s="56">
        <f>AL8*3+AN8</f>
        <v>2</v>
      </c>
      <c r="AQ8" s="58">
        <f>AP8+AO8</f>
        <v>2</v>
      </c>
      <c r="AR8" s="48"/>
      <c r="AS8" s="50">
        <v>1</v>
      </c>
      <c r="AT8" s="50"/>
      <c r="AU8" s="50"/>
      <c r="AV8" s="56">
        <f>AR8*3+AT8</f>
        <v>0</v>
      </c>
      <c r="AW8" s="56">
        <f>AS8*3+AU8</f>
        <v>3</v>
      </c>
      <c r="AX8" s="58">
        <f>AW8+AV8</f>
        <v>3</v>
      </c>
      <c r="AY8" s="61">
        <f>AO8+AH8+AA8</f>
        <v>0</v>
      </c>
      <c r="AZ8" s="61">
        <f>AP8+AI8+AB8</f>
        <v>10</v>
      </c>
      <c r="BA8" s="62">
        <f>AZ8+AY8</f>
        <v>10</v>
      </c>
      <c r="BB8" s="62">
        <f>SUM(AQ8,AJ8,AC8,V8,O8,AX8)</f>
        <v>20</v>
      </c>
    </row>
    <row r="9" spans="1:54" x14ac:dyDescent="0.25">
      <c r="A9" s="48">
        <v>679</v>
      </c>
      <c r="B9" s="49" t="s">
        <v>26</v>
      </c>
      <c r="C9" s="49" t="str">
        <f>B9&amp;" "&amp;A9</f>
        <v>הדס 679</v>
      </c>
      <c r="D9" s="50" t="s">
        <v>7</v>
      </c>
      <c r="E9" s="50" t="s">
        <v>7</v>
      </c>
      <c r="F9" s="52"/>
      <c r="G9" s="65">
        <v>43360</v>
      </c>
      <c r="H9" s="53"/>
      <c r="I9" s="54"/>
      <c r="J9" s="55"/>
      <c r="K9" s="55"/>
      <c r="L9" s="55">
        <v>1</v>
      </c>
      <c r="M9" s="56">
        <f>I9*3+K9</f>
        <v>0</v>
      </c>
      <c r="N9" s="56">
        <f>J9*3+L9</f>
        <v>1</v>
      </c>
      <c r="O9" s="57">
        <f>N9+M9</f>
        <v>1</v>
      </c>
      <c r="P9" s="48"/>
      <c r="Q9" s="50">
        <v>1</v>
      </c>
      <c r="R9" s="50"/>
      <c r="S9" s="50">
        <v>1</v>
      </c>
      <c r="T9" s="56">
        <f>P9*3+R9</f>
        <v>0</v>
      </c>
      <c r="U9" s="56">
        <f>Q9*3+S9</f>
        <v>4</v>
      </c>
      <c r="V9" s="58">
        <f>U9+T9</f>
        <v>4</v>
      </c>
      <c r="W9" s="48"/>
      <c r="X9" s="50">
        <v>1</v>
      </c>
      <c r="Y9" s="50"/>
      <c r="Z9" s="50">
        <v>4</v>
      </c>
      <c r="AA9" s="59">
        <f>W9*3+Y9</f>
        <v>0</v>
      </c>
      <c r="AB9" s="59">
        <f>X9*3+Z9</f>
        <v>7</v>
      </c>
      <c r="AC9" s="60">
        <f>AB9+AA9</f>
        <v>7</v>
      </c>
      <c r="AD9" s="48"/>
      <c r="AE9" s="50">
        <v>1</v>
      </c>
      <c r="AF9" s="50"/>
      <c r="AG9" s="50">
        <v>1</v>
      </c>
      <c r="AH9" s="56">
        <f>AD9*3+AF9</f>
        <v>0</v>
      </c>
      <c r="AI9" s="56">
        <f>AE9*3+AG9</f>
        <v>4</v>
      </c>
      <c r="AJ9" s="58">
        <f>AI9+AH9</f>
        <v>4</v>
      </c>
      <c r="AK9" s="48"/>
      <c r="AL9" s="50"/>
      <c r="AM9" s="50"/>
      <c r="AN9" s="50">
        <v>1</v>
      </c>
      <c r="AO9" s="56">
        <f>AK9*3+AM9</f>
        <v>0</v>
      </c>
      <c r="AP9" s="56">
        <f>AL9*3+AN9</f>
        <v>1</v>
      </c>
      <c r="AQ9" s="58">
        <f>AP9+AO9</f>
        <v>1</v>
      </c>
      <c r="AR9" s="48"/>
      <c r="AS9" s="50">
        <v>1</v>
      </c>
      <c r="AT9" s="50"/>
      <c r="AU9" s="50"/>
      <c r="AV9" s="56">
        <f>AR9*3+AT9</f>
        <v>0</v>
      </c>
      <c r="AW9" s="56">
        <f>AS9*3+AU9</f>
        <v>3</v>
      </c>
      <c r="AX9" s="58">
        <f>AW9+AV9</f>
        <v>3</v>
      </c>
      <c r="AY9" s="61">
        <f>AO9+AH9+AA9</f>
        <v>0</v>
      </c>
      <c r="AZ9" s="61">
        <f>AP9+AI9+AB9</f>
        <v>12</v>
      </c>
      <c r="BA9" s="62">
        <f>AZ9+AY9</f>
        <v>12</v>
      </c>
      <c r="BB9" s="62">
        <f>SUM(AQ9,AJ9,AC9,V9,O9,AX9)</f>
        <v>20</v>
      </c>
    </row>
    <row r="10" spans="1:54" x14ac:dyDescent="0.25">
      <c r="A10" s="48">
        <v>9</v>
      </c>
      <c r="B10" s="49" t="s">
        <v>19</v>
      </c>
      <c r="C10" s="49" t="str">
        <f>B10&amp;" "&amp;A10</f>
        <v>קארין 9</v>
      </c>
      <c r="D10" s="50" t="s">
        <v>6</v>
      </c>
      <c r="E10" s="50" t="s">
        <v>7</v>
      </c>
      <c r="F10" s="52"/>
      <c r="G10" s="65">
        <v>43490</v>
      </c>
      <c r="H10" s="53" t="s">
        <v>65</v>
      </c>
      <c r="I10" s="54"/>
      <c r="J10" s="55"/>
      <c r="K10" s="55">
        <v>2</v>
      </c>
      <c r="L10" s="55"/>
      <c r="M10" s="56">
        <f>I10*3+K10</f>
        <v>2</v>
      </c>
      <c r="N10" s="56">
        <f>J10*3+L10</f>
        <v>0</v>
      </c>
      <c r="O10" s="57">
        <f>N10+M10</f>
        <v>2</v>
      </c>
      <c r="P10" s="48"/>
      <c r="Q10" s="50"/>
      <c r="R10" s="50">
        <v>1</v>
      </c>
      <c r="S10" s="50">
        <v>2</v>
      </c>
      <c r="T10" s="56">
        <f>P10*3+R10</f>
        <v>1</v>
      </c>
      <c r="U10" s="56">
        <f>Q10*3+S10</f>
        <v>2</v>
      </c>
      <c r="V10" s="58">
        <f>U10+T10</f>
        <v>3</v>
      </c>
      <c r="W10" s="48"/>
      <c r="X10" s="50"/>
      <c r="Y10" s="50">
        <v>4</v>
      </c>
      <c r="Z10" s="50"/>
      <c r="AA10" s="59">
        <f>W10*3+Y10</f>
        <v>4</v>
      </c>
      <c r="AB10" s="59">
        <f>X10*3+Z10</f>
        <v>0</v>
      </c>
      <c r="AC10" s="60">
        <f>AB10+AA10</f>
        <v>4</v>
      </c>
      <c r="AD10" s="48"/>
      <c r="AE10" s="50">
        <v>1</v>
      </c>
      <c r="AF10" s="50">
        <v>1</v>
      </c>
      <c r="AG10" s="50">
        <v>3</v>
      </c>
      <c r="AH10" s="56">
        <f>AD10*3+AF10</f>
        <v>1</v>
      </c>
      <c r="AI10" s="56">
        <f>AE10*3+AG10</f>
        <v>6</v>
      </c>
      <c r="AJ10" s="58">
        <f>AI10+AH10</f>
        <v>7</v>
      </c>
      <c r="AK10" s="48">
        <v>1</v>
      </c>
      <c r="AL10" s="50"/>
      <c r="AM10" s="50"/>
      <c r="AN10" s="50"/>
      <c r="AO10" s="56">
        <f>AK10*3+AM10</f>
        <v>3</v>
      </c>
      <c r="AP10" s="56">
        <f>AL10*3+AN10</f>
        <v>0</v>
      </c>
      <c r="AQ10" s="58">
        <f>AP10+AO10</f>
        <v>3</v>
      </c>
      <c r="AR10" s="48"/>
      <c r="AS10" s="50"/>
      <c r="AT10" s="50"/>
      <c r="AU10" s="50"/>
      <c r="AV10" s="56">
        <f>AR10*3+AT10</f>
        <v>0</v>
      </c>
      <c r="AW10" s="56">
        <f>AS10*3+AU10</f>
        <v>0</v>
      </c>
      <c r="AX10" s="58">
        <f>AW10+AV10</f>
        <v>0</v>
      </c>
      <c r="AY10" s="61">
        <f>AO10+AH10+AA10</f>
        <v>8</v>
      </c>
      <c r="AZ10" s="61">
        <f>AP10+AI10+AB10</f>
        <v>6</v>
      </c>
      <c r="BA10" s="62">
        <f>AZ10+AY10</f>
        <v>14</v>
      </c>
      <c r="BB10" s="62">
        <f>SUM(AQ10,AJ10,AC10,V10,O10,AX10)</f>
        <v>19</v>
      </c>
    </row>
    <row r="11" spans="1:54" x14ac:dyDescent="0.25">
      <c r="A11" s="48">
        <v>11</v>
      </c>
      <c r="B11" s="49" t="s">
        <v>13</v>
      </c>
      <c r="C11" s="49" t="str">
        <f>B11&amp;" "&amp;A11</f>
        <v>דנה 11</v>
      </c>
      <c r="D11" s="50" t="s">
        <v>7</v>
      </c>
      <c r="E11" s="50" t="s">
        <v>7</v>
      </c>
      <c r="F11" s="52"/>
      <c r="G11" s="63">
        <v>43139</v>
      </c>
      <c r="H11" s="53"/>
      <c r="I11" s="54"/>
      <c r="J11" s="55">
        <v>1</v>
      </c>
      <c r="K11" s="55"/>
      <c r="L11" s="55">
        <v>1</v>
      </c>
      <c r="M11" s="56">
        <f>I11*3+K11</f>
        <v>0</v>
      </c>
      <c r="N11" s="56">
        <f>J11*3+L11</f>
        <v>4</v>
      </c>
      <c r="O11" s="57">
        <f>N11+M11</f>
        <v>4</v>
      </c>
      <c r="P11" s="48"/>
      <c r="Q11" s="50"/>
      <c r="R11" s="50"/>
      <c r="S11" s="50">
        <v>2</v>
      </c>
      <c r="T11" s="56">
        <f>P11*3+R11</f>
        <v>0</v>
      </c>
      <c r="U11" s="56">
        <f>Q11*3+S11</f>
        <v>2</v>
      </c>
      <c r="V11" s="58">
        <f>U11+T11</f>
        <v>2</v>
      </c>
      <c r="W11" s="48"/>
      <c r="X11" s="50">
        <v>1</v>
      </c>
      <c r="Y11" s="50"/>
      <c r="Z11" s="50">
        <v>2</v>
      </c>
      <c r="AA11" s="59">
        <f>W11*3+Y11</f>
        <v>0</v>
      </c>
      <c r="AB11" s="59">
        <f>X11*3+Z11</f>
        <v>5</v>
      </c>
      <c r="AC11" s="60">
        <f>AB11+AA11</f>
        <v>5</v>
      </c>
      <c r="AD11" s="48"/>
      <c r="AE11" s="50"/>
      <c r="AF11" s="50"/>
      <c r="AG11" s="50">
        <v>3</v>
      </c>
      <c r="AH11" s="56">
        <f>AD11*3+AF11</f>
        <v>0</v>
      </c>
      <c r="AI11" s="56">
        <f>AE11*3+AG11</f>
        <v>3</v>
      </c>
      <c r="AJ11" s="58">
        <f>AI11+AH11</f>
        <v>3</v>
      </c>
      <c r="AK11" s="48"/>
      <c r="AL11" s="50"/>
      <c r="AM11" s="50"/>
      <c r="AN11" s="50">
        <v>2</v>
      </c>
      <c r="AO11" s="56">
        <f>AK11*3+AM11</f>
        <v>0</v>
      </c>
      <c r="AP11" s="56">
        <f>AL11*3+AN11</f>
        <v>2</v>
      </c>
      <c r="AQ11" s="58">
        <f>AP11+AO11</f>
        <v>2</v>
      </c>
      <c r="AR11" s="48"/>
      <c r="AS11" s="50">
        <v>1</v>
      </c>
      <c r="AT11" s="50"/>
      <c r="AU11" s="50"/>
      <c r="AV11" s="56">
        <f>AR11*3+AT11</f>
        <v>0</v>
      </c>
      <c r="AW11" s="56">
        <f>AS11*3+AU11</f>
        <v>3</v>
      </c>
      <c r="AX11" s="58">
        <f>AW11+AV11</f>
        <v>3</v>
      </c>
      <c r="AY11" s="61">
        <f>AO11+AH11+AA11</f>
        <v>0</v>
      </c>
      <c r="AZ11" s="61">
        <f>AP11+AI11+AB11</f>
        <v>10</v>
      </c>
      <c r="BA11" s="62">
        <f>AZ11+AY11</f>
        <v>10</v>
      </c>
      <c r="BB11" s="62">
        <f>SUM(AQ11,AJ11,AC11,V11,O11,AX11)</f>
        <v>19</v>
      </c>
    </row>
    <row r="12" spans="1:54" x14ac:dyDescent="0.25">
      <c r="A12" s="48">
        <v>679</v>
      </c>
      <c r="B12" s="49" t="s">
        <v>15</v>
      </c>
      <c r="C12" s="49" t="str">
        <f>B12&amp;" "&amp;A12</f>
        <v>שגית 679</v>
      </c>
      <c r="D12" s="50" t="s">
        <v>7</v>
      </c>
      <c r="E12" s="50" t="s">
        <v>7</v>
      </c>
      <c r="F12" s="52"/>
      <c r="G12" s="63">
        <v>43297</v>
      </c>
      <c r="H12" s="53"/>
      <c r="I12" s="54"/>
      <c r="J12" s="55">
        <v>1</v>
      </c>
      <c r="K12" s="55"/>
      <c r="L12" s="55">
        <v>1</v>
      </c>
      <c r="M12" s="56">
        <f>I12*3+K12</f>
        <v>0</v>
      </c>
      <c r="N12" s="56">
        <f>J12*3+L12</f>
        <v>4</v>
      </c>
      <c r="O12" s="57">
        <f>N12+M12</f>
        <v>4</v>
      </c>
      <c r="P12" s="48"/>
      <c r="Q12" s="50">
        <v>1</v>
      </c>
      <c r="R12" s="50"/>
      <c r="S12" s="50">
        <v>1</v>
      </c>
      <c r="T12" s="56">
        <f>P12*3+R12</f>
        <v>0</v>
      </c>
      <c r="U12" s="56">
        <f>Q12*3+S12</f>
        <v>4</v>
      </c>
      <c r="V12" s="58">
        <f>U12+T12</f>
        <v>4</v>
      </c>
      <c r="W12" s="48"/>
      <c r="X12" s="50"/>
      <c r="Y12" s="50"/>
      <c r="Z12" s="50">
        <v>2</v>
      </c>
      <c r="AA12" s="59">
        <f>W12*3+Y12</f>
        <v>0</v>
      </c>
      <c r="AB12" s="59">
        <f>X12*3+Z12</f>
        <v>2</v>
      </c>
      <c r="AC12" s="60">
        <f>AB12+AA12</f>
        <v>2</v>
      </c>
      <c r="AD12" s="48"/>
      <c r="AE12" s="50"/>
      <c r="AF12" s="50"/>
      <c r="AG12" s="50">
        <v>3</v>
      </c>
      <c r="AH12" s="56">
        <f>AD12*3+AF12</f>
        <v>0</v>
      </c>
      <c r="AI12" s="56">
        <f>AE12*3+AG12</f>
        <v>3</v>
      </c>
      <c r="AJ12" s="58">
        <f>AI12+AH12</f>
        <v>3</v>
      </c>
      <c r="AK12" s="48"/>
      <c r="AL12" s="50">
        <v>1</v>
      </c>
      <c r="AM12" s="50"/>
      <c r="AN12" s="50"/>
      <c r="AO12" s="56">
        <f>AK12*3+AM12</f>
        <v>0</v>
      </c>
      <c r="AP12" s="56">
        <f>AL12*3+AN12</f>
        <v>3</v>
      </c>
      <c r="AQ12" s="58">
        <f>AP12+AO12</f>
        <v>3</v>
      </c>
      <c r="AR12" s="48"/>
      <c r="AS12" s="50">
        <v>1</v>
      </c>
      <c r="AT12" s="50"/>
      <c r="AU12" s="50"/>
      <c r="AV12" s="56">
        <f>AR12*3+AT12</f>
        <v>0</v>
      </c>
      <c r="AW12" s="56">
        <f>AS12*3+AU12</f>
        <v>3</v>
      </c>
      <c r="AX12" s="58">
        <f>AW12+AV12</f>
        <v>3</v>
      </c>
      <c r="AY12" s="61">
        <f>AO12+AH12+AA12</f>
        <v>0</v>
      </c>
      <c r="AZ12" s="61">
        <f>AP12+AI12+AB12</f>
        <v>8</v>
      </c>
      <c r="BA12" s="62">
        <f>AZ12+AY12</f>
        <v>8</v>
      </c>
      <c r="BB12" s="62">
        <f>SUM(AQ12,AJ12,AC12,V12,O12,AX12)</f>
        <v>19</v>
      </c>
    </row>
    <row r="13" spans="1:54" x14ac:dyDescent="0.25">
      <c r="A13" s="48" t="s">
        <v>22</v>
      </c>
      <c r="B13" s="49" t="s">
        <v>21</v>
      </c>
      <c r="C13" s="49" t="str">
        <f>B13&amp;" "&amp;A13</f>
        <v>שיר מפאוג</v>
      </c>
      <c r="D13" s="50" t="s">
        <v>6</v>
      </c>
      <c r="E13" s="50" t="s">
        <v>7</v>
      </c>
      <c r="F13" s="52"/>
      <c r="G13" s="63">
        <v>43360</v>
      </c>
      <c r="H13" s="53"/>
      <c r="I13" s="54"/>
      <c r="J13" s="55"/>
      <c r="K13" s="55">
        <v>2</v>
      </c>
      <c r="L13" s="55"/>
      <c r="M13" s="56">
        <f>I13*3+K13</f>
        <v>2</v>
      </c>
      <c r="N13" s="56">
        <f>J13*3+L13</f>
        <v>0</v>
      </c>
      <c r="O13" s="57">
        <f>N13+M13</f>
        <v>2</v>
      </c>
      <c r="P13" s="48">
        <v>1</v>
      </c>
      <c r="Q13" s="50"/>
      <c r="R13" s="50"/>
      <c r="S13" s="50"/>
      <c r="T13" s="56">
        <f>P13*3+R13</f>
        <v>3</v>
      </c>
      <c r="U13" s="56">
        <f>Q13*3+S13</f>
        <v>0</v>
      </c>
      <c r="V13" s="58">
        <f>U13+T13</f>
        <v>3</v>
      </c>
      <c r="W13" s="48"/>
      <c r="X13" s="50">
        <v>1</v>
      </c>
      <c r="Y13" s="50">
        <v>2</v>
      </c>
      <c r="Z13" s="50"/>
      <c r="AA13" s="59">
        <f>W13*3+Y13</f>
        <v>2</v>
      </c>
      <c r="AB13" s="59">
        <f>X13*3+Z13</f>
        <v>3</v>
      </c>
      <c r="AC13" s="60">
        <f>AB13+AA13</f>
        <v>5</v>
      </c>
      <c r="AD13" s="48"/>
      <c r="AE13" s="50"/>
      <c r="AF13" s="50">
        <v>3</v>
      </c>
      <c r="AG13" s="50"/>
      <c r="AH13" s="56">
        <f>AD13*3+AF13</f>
        <v>3</v>
      </c>
      <c r="AI13" s="56">
        <f>AE13*3+AG13</f>
        <v>0</v>
      </c>
      <c r="AJ13" s="58">
        <f>AI13+AH13</f>
        <v>3</v>
      </c>
      <c r="AK13" s="48"/>
      <c r="AL13" s="50"/>
      <c r="AM13" s="50">
        <v>2</v>
      </c>
      <c r="AN13" s="50">
        <v>1</v>
      </c>
      <c r="AO13" s="56">
        <f>AK13*3+AM13</f>
        <v>2</v>
      </c>
      <c r="AP13" s="56">
        <f>AL13*3+AN13</f>
        <v>1</v>
      </c>
      <c r="AQ13" s="58">
        <f>AP13+AO13</f>
        <v>3</v>
      </c>
      <c r="AR13" s="48">
        <v>1</v>
      </c>
      <c r="AS13" s="50"/>
      <c r="AT13" s="50"/>
      <c r="AU13" s="50"/>
      <c r="AV13" s="56">
        <f>AR13*3+AT13</f>
        <v>3</v>
      </c>
      <c r="AW13" s="56">
        <f>AS13*3+AU13</f>
        <v>0</v>
      </c>
      <c r="AX13" s="58">
        <f>AW13+AV13</f>
        <v>3</v>
      </c>
      <c r="AY13" s="61">
        <f>AO13+AH13+AA13</f>
        <v>7</v>
      </c>
      <c r="AZ13" s="61">
        <f>AP13+AI13+AB13</f>
        <v>4</v>
      </c>
      <c r="BA13" s="62">
        <f>AZ13+AY13</f>
        <v>11</v>
      </c>
      <c r="BB13" s="62">
        <f>SUM(AQ13,AJ13,AC13,V13,O13,AX13)</f>
        <v>19</v>
      </c>
    </row>
    <row r="14" spans="1:54" x14ac:dyDescent="0.25">
      <c r="A14" s="48">
        <v>11</v>
      </c>
      <c r="B14" s="49" t="s">
        <v>11</v>
      </c>
      <c r="C14" s="49" t="str">
        <f>B14&amp;" "&amp;A14</f>
        <v>שחר 11</v>
      </c>
      <c r="D14" s="50" t="s">
        <v>6</v>
      </c>
      <c r="E14" s="50" t="s">
        <v>7</v>
      </c>
      <c r="F14" s="52"/>
      <c r="G14" s="63">
        <v>43560</v>
      </c>
      <c r="H14" s="53" t="s">
        <v>65</v>
      </c>
      <c r="I14" s="54"/>
      <c r="J14" s="55"/>
      <c r="K14" s="55">
        <v>1</v>
      </c>
      <c r="L14" s="55"/>
      <c r="M14" s="56">
        <f>I14*3+K14</f>
        <v>1</v>
      </c>
      <c r="N14" s="56">
        <f>J14*3+L14</f>
        <v>0</v>
      </c>
      <c r="O14" s="57">
        <f>N14+M14</f>
        <v>1</v>
      </c>
      <c r="P14" s="48">
        <v>1</v>
      </c>
      <c r="Q14" s="50"/>
      <c r="R14" s="50">
        <v>2</v>
      </c>
      <c r="S14" s="50"/>
      <c r="T14" s="56">
        <f>P14*3+R14</f>
        <v>5</v>
      </c>
      <c r="U14" s="56">
        <f>Q14*3+S14</f>
        <v>0</v>
      </c>
      <c r="V14" s="58">
        <f>U14+T14</f>
        <v>5</v>
      </c>
      <c r="W14" s="48">
        <v>1</v>
      </c>
      <c r="X14" s="50"/>
      <c r="Y14" s="50">
        <v>1</v>
      </c>
      <c r="Z14" s="50"/>
      <c r="AA14" s="59">
        <f>W14*3+Y14</f>
        <v>4</v>
      </c>
      <c r="AB14" s="59">
        <f>X14*3+Z14</f>
        <v>0</v>
      </c>
      <c r="AC14" s="60">
        <f>AB14+AA14</f>
        <v>4</v>
      </c>
      <c r="AD14" s="48"/>
      <c r="AE14" s="50"/>
      <c r="AF14" s="50">
        <v>2</v>
      </c>
      <c r="AG14" s="50"/>
      <c r="AH14" s="56">
        <f>AD14*3+AF14</f>
        <v>2</v>
      </c>
      <c r="AI14" s="56">
        <f>AE14*3+AG14</f>
        <v>0</v>
      </c>
      <c r="AJ14" s="58">
        <f>AI14+AH14</f>
        <v>2</v>
      </c>
      <c r="AK14" s="48"/>
      <c r="AL14" s="50"/>
      <c r="AM14" s="50">
        <v>2</v>
      </c>
      <c r="AN14" s="50">
        <v>1</v>
      </c>
      <c r="AO14" s="56">
        <f>AK14*3+AM14</f>
        <v>2</v>
      </c>
      <c r="AP14" s="56">
        <f>AL14*3+AN14</f>
        <v>1</v>
      </c>
      <c r="AQ14" s="58">
        <f>AP14+AO14</f>
        <v>3</v>
      </c>
      <c r="AR14" s="48">
        <v>1</v>
      </c>
      <c r="AS14" s="50"/>
      <c r="AT14" s="50"/>
      <c r="AU14" s="50"/>
      <c r="AV14" s="56">
        <f>AR14*3+AT14</f>
        <v>3</v>
      </c>
      <c r="AW14" s="56">
        <f>AS14*3+AU14</f>
        <v>0</v>
      </c>
      <c r="AX14" s="58">
        <f>AW14+AV14</f>
        <v>3</v>
      </c>
      <c r="AY14" s="61">
        <f>AO14+AH14+AA14</f>
        <v>8</v>
      </c>
      <c r="AZ14" s="61">
        <f>AP14+AI14+AB14</f>
        <v>1</v>
      </c>
      <c r="BA14" s="62">
        <f>AZ14+AY14</f>
        <v>9</v>
      </c>
      <c r="BB14" s="62">
        <f>SUM(AQ14,AJ14,AC14,V14,O14,AX14)</f>
        <v>18</v>
      </c>
    </row>
    <row r="15" spans="1:54" x14ac:dyDescent="0.25">
      <c r="A15" s="48">
        <v>209</v>
      </c>
      <c r="B15" s="49" t="s">
        <v>8</v>
      </c>
      <c r="C15" s="49" t="str">
        <f>B15&amp;" "&amp;A15</f>
        <v>יובל 209</v>
      </c>
      <c r="D15" s="50" t="s">
        <v>6</v>
      </c>
      <c r="E15" s="50" t="s">
        <v>7</v>
      </c>
      <c r="F15" s="52"/>
      <c r="G15" s="63">
        <v>43437</v>
      </c>
      <c r="H15" s="53"/>
      <c r="I15" s="54"/>
      <c r="J15" s="55"/>
      <c r="K15" s="55">
        <v>2</v>
      </c>
      <c r="L15" s="55">
        <v>1</v>
      </c>
      <c r="M15" s="56">
        <f>I15*3+K15</f>
        <v>2</v>
      </c>
      <c r="N15" s="56">
        <f>J15*3+L15</f>
        <v>1</v>
      </c>
      <c r="O15" s="57">
        <f>N15+M15</f>
        <v>3</v>
      </c>
      <c r="P15" s="48"/>
      <c r="Q15" s="50">
        <v>1</v>
      </c>
      <c r="R15" s="50">
        <v>2</v>
      </c>
      <c r="S15" s="50"/>
      <c r="T15" s="56">
        <f>P15*3+R15</f>
        <v>2</v>
      </c>
      <c r="U15" s="56">
        <f>Q15*3+S15</f>
        <v>3</v>
      </c>
      <c r="V15" s="58">
        <f>U15+T15</f>
        <v>5</v>
      </c>
      <c r="W15" s="48">
        <v>1</v>
      </c>
      <c r="X15" s="50"/>
      <c r="Y15" s="50"/>
      <c r="Z15" s="50"/>
      <c r="AA15" s="59">
        <f>W15*3+Y15</f>
        <v>3</v>
      </c>
      <c r="AB15" s="59">
        <f>X15*3+Z15</f>
        <v>0</v>
      </c>
      <c r="AC15" s="60">
        <f>AB15+AA15</f>
        <v>3</v>
      </c>
      <c r="AD15" s="48"/>
      <c r="AE15" s="50"/>
      <c r="AF15" s="50">
        <v>3</v>
      </c>
      <c r="AG15" s="50"/>
      <c r="AH15" s="56">
        <f>AD15*3+AF15</f>
        <v>3</v>
      </c>
      <c r="AI15" s="56">
        <f>AE15*3+AG15</f>
        <v>0</v>
      </c>
      <c r="AJ15" s="58">
        <f>AI15+AH15</f>
        <v>3</v>
      </c>
      <c r="AK15" s="48"/>
      <c r="AL15" s="50"/>
      <c r="AM15" s="50"/>
      <c r="AN15" s="50">
        <v>1</v>
      </c>
      <c r="AO15" s="56">
        <f>AK15*3+AM15</f>
        <v>0</v>
      </c>
      <c r="AP15" s="56">
        <f>AL15*3+AN15</f>
        <v>1</v>
      </c>
      <c r="AQ15" s="58">
        <f>AP15+AO15</f>
        <v>1</v>
      </c>
      <c r="AR15" s="48">
        <v>1</v>
      </c>
      <c r="AS15" s="50"/>
      <c r="AT15" s="50"/>
      <c r="AU15" s="50"/>
      <c r="AV15" s="56">
        <f>AR15*3+AT15</f>
        <v>3</v>
      </c>
      <c r="AW15" s="56">
        <f>AS15*3+AU15</f>
        <v>0</v>
      </c>
      <c r="AX15" s="58">
        <f>AW15+AV15</f>
        <v>3</v>
      </c>
      <c r="AY15" s="61">
        <f>AO15+AH15+AA15</f>
        <v>6</v>
      </c>
      <c r="AZ15" s="61">
        <f>AP15+AI15+AB15</f>
        <v>1</v>
      </c>
      <c r="BA15" s="62">
        <f>AZ15+AY15</f>
        <v>7</v>
      </c>
      <c r="BB15" s="62">
        <f>SUM(AQ15,AJ15,AC15,V15,O15,AX15)</f>
        <v>18</v>
      </c>
    </row>
    <row r="16" spans="1:54" x14ac:dyDescent="0.25">
      <c r="A16" s="48">
        <v>474</v>
      </c>
      <c r="B16" s="49" t="s">
        <v>127</v>
      </c>
      <c r="C16" s="49" t="str">
        <f>B16&amp;" "&amp;A16</f>
        <v>יהל אור 474</v>
      </c>
      <c r="D16" s="50" t="s">
        <v>6</v>
      </c>
      <c r="E16" s="50" t="s">
        <v>7</v>
      </c>
      <c r="F16" s="52"/>
      <c r="G16" s="63">
        <v>43748</v>
      </c>
      <c r="H16" s="53"/>
      <c r="I16" s="54"/>
      <c r="J16" s="55"/>
      <c r="K16" s="55"/>
      <c r="L16" s="55"/>
      <c r="M16" s="56">
        <f>I16*3+K16</f>
        <v>0</v>
      </c>
      <c r="N16" s="56">
        <f>J16*3+L16</f>
        <v>0</v>
      </c>
      <c r="O16" s="57">
        <f>N16+M16</f>
        <v>0</v>
      </c>
      <c r="P16" s="48"/>
      <c r="Q16" s="50"/>
      <c r="R16" s="50">
        <v>4</v>
      </c>
      <c r="S16" s="50"/>
      <c r="T16" s="56">
        <f>P16*3+R16</f>
        <v>4</v>
      </c>
      <c r="U16" s="56">
        <f>Q16*3+S16</f>
        <v>0</v>
      </c>
      <c r="V16" s="58">
        <f>U16+T16</f>
        <v>4</v>
      </c>
      <c r="W16" s="48">
        <v>1</v>
      </c>
      <c r="X16" s="50"/>
      <c r="Y16" s="50">
        <v>1</v>
      </c>
      <c r="Z16" s="50"/>
      <c r="AA16" s="59">
        <f>W16*3+Y16</f>
        <v>4</v>
      </c>
      <c r="AB16" s="59">
        <f>X16*3+Z16</f>
        <v>0</v>
      </c>
      <c r="AC16" s="60">
        <f>AB16+AA16</f>
        <v>4</v>
      </c>
      <c r="AD16" s="48"/>
      <c r="AE16" s="50"/>
      <c r="AF16" s="50">
        <v>2</v>
      </c>
      <c r="AG16" s="50">
        <v>2</v>
      </c>
      <c r="AH16" s="56">
        <f>AD16*3+AF16</f>
        <v>2</v>
      </c>
      <c r="AI16" s="56">
        <f>AE16*3+AG16</f>
        <v>2</v>
      </c>
      <c r="AJ16" s="58">
        <f>AI16+AH16</f>
        <v>4</v>
      </c>
      <c r="AK16" s="48"/>
      <c r="AL16" s="50"/>
      <c r="AM16" s="50">
        <v>2</v>
      </c>
      <c r="AN16" s="50">
        <v>1</v>
      </c>
      <c r="AO16" s="56">
        <f>AK16*3+AM16</f>
        <v>2</v>
      </c>
      <c r="AP16" s="56">
        <f>AL16*3+AN16</f>
        <v>1</v>
      </c>
      <c r="AQ16" s="58">
        <f>AP16+AO16</f>
        <v>3</v>
      </c>
      <c r="AR16" s="48">
        <v>1</v>
      </c>
      <c r="AS16" s="50"/>
      <c r="AT16" s="50"/>
      <c r="AU16" s="50"/>
      <c r="AV16" s="56">
        <f>AR16*3+AT16</f>
        <v>3</v>
      </c>
      <c r="AW16" s="56">
        <f>AS16*3+AU16</f>
        <v>0</v>
      </c>
      <c r="AX16" s="58">
        <f>AW16+AV16</f>
        <v>3</v>
      </c>
      <c r="AY16" s="61">
        <f>AO16+AH16+AA16</f>
        <v>8</v>
      </c>
      <c r="AZ16" s="61">
        <f>AP16+AI16+AB16</f>
        <v>3</v>
      </c>
      <c r="BA16" s="62">
        <f>AZ16+AY16</f>
        <v>11</v>
      </c>
      <c r="BB16" s="62">
        <f>SUM(AQ16,AJ16,AC16,V16,O16,AX16)</f>
        <v>18</v>
      </c>
    </row>
    <row r="17" spans="1:54" x14ac:dyDescent="0.25">
      <c r="A17" s="48">
        <v>11</v>
      </c>
      <c r="B17" s="49" t="s">
        <v>12</v>
      </c>
      <c r="C17" s="49" t="str">
        <f>B17&amp;" "&amp;A17</f>
        <v>טאי 11</v>
      </c>
      <c r="D17" s="50" t="s">
        <v>6</v>
      </c>
      <c r="E17" s="50" t="s">
        <v>7</v>
      </c>
      <c r="F17" s="52"/>
      <c r="G17" s="63">
        <v>43360</v>
      </c>
      <c r="H17" s="53"/>
      <c r="I17" s="54">
        <v>1</v>
      </c>
      <c r="J17" s="55"/>
      <c r="K17" s="55">
        <v>1</v>
      </c>
      <c r="L17" s="55">
        <v>1</v>
      </c>
      <c r="M17" s="56">
        <f>I17*3+K17</f>
        <v>4</v>
      </c>
      <c r="N17" s="56">
        <f>J17*3+L17</f>
        <v>1</v>
      </c>
      <c r="O17" s="57">
        <f>N17+M17</f>
        <v>5</v>
      </c>
      <c r="P17" s="48">
        <v>1</v>
      </c>
      <c r="Q17" s="50"/>
      <c r="R17" s="50"/>
      <c r="S17" s="50">
        <v>1</v>
      </c>
      <c r="T17" s="56">
        <f>P17*3+R17</f>
        <v>3</v>
      </c>
      <c r="U17" s="56">
        <f>Q17*3+S17</f>
        <v>1</v>
      </c>
      <c r="V17" s="58">
        <f>U17+T17</f>
        <v>4</v>
      </c>
      <c r="W17" s="48"/>
      <c r="X17" s="50"/>
      <c r="Y17" s="50">
        <v>2</v>
      </c>
      <c r="Z17" s="50"/>
      <c r="AA17" s="59">
        <f>W17*3+Y17</f>
        <v>2</v>
      </c>
      <c r="AB17" s="59">
        <f>X17*3+Z17</f>
        <v>0</v>
      </c>
      <c r="AC17" s="60">
        <f>AB17+AA17</f>
        <v>2</v>
      </c>
      <c r="AD17" s="48">
        <v>1</v>
      </c>
      <c r="AE17" s="50"/>
      <c r="AF17" s="50">
        <v>1</v>
      </c>
      <c r="AG17" s="50"/>
      <c r="AH17" s="56">
        <f>AD17*3+AF17</f>
        <v>4</v>
      </c>
      <c r="AI17" s="56">
        <f>AE17*3+AG17</f>
        <v>0</v>
      </c>
      <c r="AJ17" s="58">
        <f>AI17+AH17</f>
        <v>4</v>
      </c>
      <c r="AK17" s="48"/>
      <c r="AL17" s="50"/>
      <c r="AM17" s="50">
        <v>2</v>
      </c>
      <c r="AN17" s="50"/>
      <c r="AO17" s="56">
        <f>AK17*3+AM17</f>
        <v>2</v>
      </c>
      <c r="AP17" s="56">
        <f>AL17*3+AN17</f>
        <v>0</v>
      </c>
      <c r="AQ17" s="58">
        <f>AP17+AO17</f>
        <v>2</v>
      </c>
      <c r="AR17" s="48"/>
      <c r="AS17" s="50"/>
      <c r="AT17" s="50"/>
      <c r="AU17" s="50"/>
      <c r="AV17" s="56">
        <f>AR17*3+AT17</f>
        <v>0</v>
      </c>
      <c r="AW17" s="56">
        <f>AS17*3+AU17</f>
        <v>0</v>
      </c>
      <c r="AX17" s="58">
        <f>AW17+AV17</f>
        <v>0</v>
      </c>
      <c r="AY17" s="61">
        <f>AO17+AH17+AA17</f>
        <v>8</v>
      </c>
      <c r="AZ17" s="61">
        <f>AP17+AI17+AB17</f>
        <v>0</v>
      </c>
      <c r="BA17" s="62">
        <f>AZ17+AY17</f>
        <v>8</v>
      </c>
      <c r="BB17" s="62">
        <f>SUM(AQ17,AJ17,AC17,V17,O17,AX17)</f>
        <v>17</v>
      </c>
    </row>
    <row r="18" spans="1:54" x14ac:dyDescent="0.25">
      <c r="A18" s="48">
        <v>209</v>
      </c>
      <c r="B18" s="49" t="s">
        <v>17</v>
      </c>
      <c r="C18" s="49" t="str">
        <f>B18&amp;" "&amp;A18</f>
        <v>בר 209</v>
      </c>
      <c r="D18" s="50" t="s">
        <v>6</v>
      </c>
      <c r="E18" s="50" t="s">
        <v>7</v>
      </c>
      <c r="F18" s="52"/>
      <c r="G18" s="63">
        <v>43360</v>
      </c>
      <c r="H18" s="53"/>
      <c r="I18" s="54"/>
      <c r="J18" s="55">
        <v>1</v>
      </c>
      <c r="K18" s="55">
        <v>1</v>
      </c>
      <c r="L18" s="55"/>
      <c r="M18" s="56">
        <f>I18*3+K18</f>
        <v>1</v>
      </c>
      <c r="N18" s="56">
        <f>J18*3+L18</f>
        <v>3</v>
      </c>
      <c r="O18" s="57">
        <f>N18+M18</f>
        <v>4</v>
      </c>
      <c r="P18" s="48">
        <v>1</v>
      </c>
      <c r="Q18" s="50"/>
      <c r="R18" s="50">
        <v>2</v>
      </c>
      <c r="S18" s="50"/>
      <c r="T18" s="56">
        <f>P18*3+R18</f>
        <v>5</v>
      </c>
      <c r="U18" s="56">
        <f>Q18*3+S18</f>
        <v>0</v>
      </c>
      <c r="V18" s="58">
        <f>U18+T18</f>
        <v>5</v>
      </c>
      <c r="W18" s="48"/>
      <c r="X18" s="50"/>
      <c r="Y18" s="50">
        <v>2</v>
      </c>
      <c r="Z18" s="50"/>
      <c r="AA18" s="59">
        <f>W18*3+Y18</f>
        <v>2</v>
      </c>
      <c r="AB18" s="59">
        <f>X18*3+Z18</f>
        <v>0</v>
      </c>
      <c r="AC18" s="60">
        <f>AB18+AA18</f>
        <v>2</v>
      </c>
      <c r="AD18" s="48"/>
      <c r="AE18" s="50"/>
      <c r="AF18" s="50">
        <v>1</v>
      </c>
      <c r="AG18" s="50"/>
      <c r="AH18" s="56">
        <f>AD18*3+AF18</f>
        <v>1</v>
      </c>
      <c r="AI18" s="56">
        <f>AE18*3+AG18</f>
        <v>0</v>
      </c>
      <c r="AJ18" s="58">
        <f>AI18+AH18</f>
        <v>1</v>
      </c>
      <c r="AK18" s="48">
        <v>1</v>
      </c>
      <c r="AL18" s="50"/>
      <c r="AM18" s="50">
        <v>1</v>
      </c>
      <c r="AN18" s="50">
        <v>1</v>
      </c>
      <c r="AO18" s="56">
        <f>AK18*3+AM18</f>
        <v>4</v>
      </c>
      <c r="AP18" s="56">
        <f>AL18*3+AN18</f>
        <v>1</v>
      </c>
      <c r="AQ18" s="58">
        <f>AP18+AO18</f>
        <v>5</v>
      </c>
      <c r="AR18" s="48"/>
      <c r="AS18" s="50"/>
      <c r="AT18" s="50"/>
      <c r="AU18" s="50"/>
      <c r="AV18" s="56">
        <f>AR18*3+AT18</f>
        <v>0</v>
      </c>
      <c r="AW18" s="56">
        <f>AS18*3+AU18</f>
        <v>0</v>
      </c>
      <c r="AX18" s="58">
        <f>AW18+AV18</f>
        <v>0</v>
      </c>
      <c r="AY18" s="61">
        <f>AO18+AH18+AA18</f>
        <v>7</v>
      </c>
      <c r="AZ18" s="61">
        <f>AP18+AI18+AB18</f>
        <v>1</v>
      </c>
      <c r="BA18" s="62">
        <f>AZ18+AY18</f>
        <v>8</v>
      </c>
      <c r="BB18" s="62">
        <f>SUM(AQ18,AJ18,AC18,V18,O18,AX18)</f>
        <v>17</v>
      </c>
    </row>
    <row r="19" spans="1:54" x14ac:dyDescent="0.25">
      <c r="A19" s="48">
        <v>9</v>
      </c>
      <c r="B19" s="49" t="s">
        <v>17</v>
      </c>
      <c r="C19" s="49" t="str">
        <f>B19&amp;" "&amp;A19</f>
        <v>בר 9</v>
      </c>
      <c r="D19" s="50" t="s">
        <v>6</v>
      </c>
      <c r="E19" s="50" t="s">
        <v>7</v>
      </c>
      <c r="F19" s="52"/>
      <c r="G19" s="63">
        <v>43560</v>
      </c>
      <c r="H19" s="53" t="s">
        <v>65</v>
      </c>
      <c r="I19" s="54"/>
      <c r="J19" s="55"/>
      <c r="K19" s="55"/>
      <c r="L19" s="55"/>
      <c r="M19" s="56">
        <f>I19*3+K19</f>
        <v>0</v>
      </c>
      <c r="N19" s="56">
        <f>J19*3+L19</f>
        <v>0</v>
      </c>
      <c r="O19" s="57">
        <f>N19+M19</f>
        <v>0</v>
      </c>
      <c r="P19" s="48">
        <v>1</v>
      </c>
      <c r="Q19" s="50"/>
      <c r="R19" s="50">
        <v>2</v>
      </c>
      <c r="S19" s="50"/>
      <c r="T19" s="56">
        <f>P19*3+R19</f>
        <v>5</v>
      </c>
      <c r="U19" s="56">
        <f>Q19*3+S19</f>
        <v>0</v>
      </c>
      <c r="V19" s="58">
        <f>U19+T19</f>
        <v>5</v>
      </c>
      <c r="W19" s="48"/>
      <c r="X19" s="50"/>
      <c r="Y19" s="50">
        <v>2</v>
      </c>
      <c r="Z19" s="50"/>
      <c r="AA19" s="59">
        <f>W19*3+Y19</f>
        <v>2</v>
      </c>
      <c r="AB19" s="59">
        <f>X19*3+Z19</f>
        <v>0</v>
      </c>
      <c r="AC19" s="60">
        <f>AB19+AA19</f>
        <v>2</v>
      </c>
      <c r="AD19" s="48"/>
      <c r="AE19" s="50">
        <v>1</v>
      </c>
      <c r="AF19" s="50">
        <v>2</v>
      </c>
      <c r="AG19" s="50">
        <v>1</v>
      </c>
      <c r="AH19" s="56">
        <f>AD19*3+AF19</f>
        <v>2</v>
      </c>
      <c r="AI19" s="56">
        <f>AE19*3+AG19</f>
        <v>4</v>
      </c>
      <c r="AJ19" s="58">
        <f>AI19+AH19</f>
        <v>6</v>
      </c>
      <c r="AK19" s="48">
        <v>1</v>
      </c>
      <c r="AL19" s="50"/>
      <c r="AM19" s="50"/>
      <c r="AN19" s="50"/>
      <c r="AO19" s="56">
        <f>AK19*3+AM19</f>
        <v>3</v>
      </c>
      <c r="AP19" s="56">
        <f>AL19*3+AN19</f>
        <v>0</v>
      </c>
      <c r="AQ19" s="58">
        <f>AP19+AO19</f>
        <v>3</v>
      </c>
      <c r="AR19" s="48"/>
      <c r="AS19" s="50"/>
      <c r="AT19" s="50"/>
      <c r="AU19" s="50"/>
      <c r="AV19" s="56">
        <f>AR19*3+AT19</f>
        <v>0</v>
      </c>
      <c r="AW19" s="56">
        <f>AS19*3+AU19</f>
        <v>0</v>
      </c>
      <c r="AX19" s="58">
        <f>AW19+AV19</f>
        <v>0</v>
      </c>
      <c r="AY19" s="61">
        <f>AO19+AH19+AA19</f>
        <v>7</v>
      </c>
      <c r="AZ19" s="61">
        <f>AP19+AI19+AB19</f>
        <v>4</v>
      </c>
      <c r="BA19" s="62">
        <f>AZ19+AY19</f>
        <v>11</v>
      </c>
      <c r="BB19" s="62">
        <f>SUM(AQ19,AJ19,AC19,V19,O19,AX19)</f>
        <v>16</v>
      </c>
    </row>
    <row r="20" spans="1:54" x14ac:dyDescent="0.25">
      <c r="A20" s="48">
        <v>11</v>
      </c>
      <c r="B20" s="49" t="s">
        <v>9</v>
      </c>
      <c r="C20" s="49" t="str">
        <f>B20&amp;" "&amp;A20</f>
        <v>אסיה 11</v>
      </c>
      <c r="D20" s="50" t="s">
        <v>7</v>
      </c>
      <c r="E20" s="50" t="s">
        <v>7</v>
      </c>
      <c r="F20" s="52"/>
      <c r="G20" s="63">
        <v>43139</v>
      </c>
      <c r="H20" s="53"/>
      <c r="I20" s="54"/>
      <c r="J20" s="55"/>
      <c r="K20" s="55"/>
      <c r="L20" s="55">
        <v>3</v>
      </c>
      <c r="M20" s="56">
        <f>I20*3+K20</f>
        <v>0</v>
      </c>
      <c r="N20" s="56">
        <f>J20*3+L20</f>
        <v>3</v>
      </c>
      <c r="O20" s="57">
        <f>N20+M20</f>
        <v>3</v>
      </c>
      <c r="P20" s="48"/>
      <c r="Q20" s="50"/>
      <c r="R20" s="50"/>
      <c r="S20" s="50">
        <v>3</v>
      </c>
      <c r="T20" s="56">
        <f>P20*3+R20</f>
        <v>0</v>
      </c>
      <c r="U20" s="56">
        <f>Q20*3+S20</f>
        <v>3</v>
      </c>
      <c r="V20" s="58">
        <f>U20+T20</f>
        <v>3</v>
      </c>
      <c r="W20" s="48"/>
      <c r="X20" s="50"/>
      <c r="Y20" s="50"/>
      <c r="Z20" s="50"/>
      <c r="AA20" s="59">
        <f>W20*3+Y20</f>
        <v>0</v>
      </c>
      <c r="AB20" s="59">
        <f>X20*3+Z20</f>
        <v>0</v>
      </c>
      <c r="AC20" s="60">
        <f>AB20+AA20</f>
        <v>0</v>
      </c>
      <c r="AD20" s="48"/>
      <c r="AE20" s="50">
        <v>1</v>
      </c>
      <c r="AF20" s="50"/>
      <c r="AG20" s="50">
        <v>2</v>
      </c>
      <c r="AH20" s="56">
        <f>AD20*3+AF20</f>
        <v>0</v>
      </c>
      <c r="AI20" s="56">
        <f>AE20*3+AG20</f>
        <v>5</v>
      </c>
      <c r="AJ20" s="58">
        <f>AI20+AH20</f>
        <v>5</v>
      </c>
      <c r="AK20" s="48"/>
      <c r="AL20" s="50">
        <v>1</v>
      </c>
      <c r="AM20" s="50"/>
      <c r="AN20" s="50">
        <v>1</v>
      </c>
      <c r="AO20" s="56">
        <f>AK20*3+AM20</f>
        <v>0</v>
      </c>
      <c r="AP20" s="56">
        <f>AL20*3+AN20</f>
        <v>4</v>
      </c>
      <c r="AQ20" s="58">
        <f>AP20+AO20</f>
        <v>4</v>
      </c>
      <c r="AR20" s="48"/>
      <c r="AS20" s="50"/>
      <c r="AT20" s="50"/>
      <c r="AU20" s="50"/>
      <c r="AV20" s="56">
        <f>AR20*3+AT20</f>
        <v>0</v>
      </c>
      <c r="AW20" s="56">
        <f>AS20*3+AU20</f>
        <v>0</v>
      </c>
      <c r="AX20" s="58">
        <f>AW20+AV20</f>
        <v>0</v>
      </c>
      <c r="AY20" s="61">
        <f>AO20+AH20+AA20</f>
        <v>0</v>
      </c>
      <c r="AZ20" s="61">
        <f>AP20+AI20+AB20</f>
        <v>9</v>
      </c>
      <c r="BA20" s="62">
        <f>AZ20+AY20</f>
        <v>9</v>
      </c>
      <c r="BB20" s="62">
        <f>SUM(AQ20,AJ20,AC20,V20,O20,AX20)</f>
        <v>15</v>
      </c>
    </row>
    <row r="21" spans="1:54" x14ac:dyDescent="0.25">
      <c r="A21" s="48" t="s">
        <v>107</v>
      </c>
      <c r="B21" s="49" t="s">
        <v>73</v>
      </c>
      <c r="C21" s="49" t="str">
        <f>B21&amp;" "&amp;A21</f>
        <v>שני אחודה</v>
      </c>
      <c r="D21" s="50" t="s">
        <v>6</v>
      </c>
      <c r="E21" s="50" t="s">
        <v>7</v>
      </c>
      <c r="F21" s="51"/>
      <c r="G21" s="63">
        <v>43139</v>
      </c>
      <c r="H21" s="53"/>
      <c r="I21" s="54"/>
      <c r="J21" s="55"/>
      <c r="K21" s="55"/>
      <c r="L21" s="55"/>
      <c r="M21" s="56">
        <f>I21*3+K21</f>
        <v>0</v>
      </c>
      <c r="N21" s="56">
        <f>J21*3+L21</f>
        <v>0</v>
      </c>
      <c r="O21" s="57">
        <f>N21+M21</f>
        <v>0</v>
      </c>
      <c r="P21" s="48"/>
      <c r="Q21" s="50"/>
      <c r="R21" s="50"/>
      <c r="S21" s="50"/>
      <c r="T21" s="56">
        <f>P21*3+R21</f>
        <v>0</v>
      </c>
      <c r="U21" s="56">
        <f>Q21*3+S21</f>
        <v>0</v>
      </c>
      <c r="V21" s="58">
        <f>U21+T21</f>
        <v>0</v>
      </c>
      <c r="W21" s="48">
        <v>1</v>
      </c>
      <c r="X21" s="50"/>
      <c r="Y21" s="50"/>
      <c r="Z21" s="50"/>
      <c r="AA21" s="59">
        <f>W21*3+Y21</f>
        <v>3</v>
      </c>
      <c r="AB21" s="59">
        <f>X21*3+Z21</f>
        <v>0</v>
      </c>
      <c r="AC21" s="60">
        <f>AB21+AA21</f>
        <v>3</v>
      </c>
      <c r="AD21" s="48"/>
      <c r="AE21" s="50"/>
      <c r="AF21" s="50">
        <v>4</v>
      </c>
      <c r="AG21" s="50"/>
      <c r="AH21" s="56">
        <f>AD21*3+AF21</f>
        <v>4</v>
      </c>
      <c r="AI21" s="56">
        <f>AE21*3+AG21</f>
        <v>0</v>
      </c>
      <c r="AJ21" s="58">
        <f>AI21+AH21</f>
        <v>4</v>
      </c>
      <c r="AK21" s="48"/>
      <c r="AL21" s="50"/>
      <c r="AM21" s="50">
        <v>1</v>
      </c>
      <c r="AN21" s="50">
        <v>1</v>
      </c>
      <c r="AO21" s="56">
        <f>AK21*3+AM21</f>
        <v>1</v>
      </c>
      <c r="AP21" s="56">
        <f>AL21*3+AN21</f>
        <v>1</v>
      </c>
      <c r="AQ21" s="58">
        <f>AP21+AO21</f>
        <v>2</v>
      </c>
      <c r="AR21" s="48">
        <v>1</v>
      </c>
      <c r="AS21" s="50">
        <v>1</v>
      </c>
      <c r="AT21" s="50"/>
      <c r="AU21" s="50"/>
      <c r="AV21" s="56">
        <f>AR21*3+AT21</f>
        <v>3</v>
      </c>
      <c r="AW21" s="56">
        <f>AS21*3+AU21</f>
        <v>3</v>
      </c>
      <c r="AX21" s="58">
        <f>AW21+AV21</f>
        <v>6</v>
      </c>
      <c r="AY21" s="61">
        <f>AO21+AH21+AA21</f>
        <v>8</v>
      </c>
      <c r="AZ21" s="61">
        <f>AP21+AI21+AB21</f>
        <v>1</v>
      </c>
      <c r="BA21" s="62">
        <f>AZ21+AY21</f>
        <v>9</v>
      </c>
      <c r="BB21" s="62">
        <f>SUM(AQ21,AJ21,AC21,V21,O21,AX21)</f>
        <v>15</v>
      </c>
    </row>
    <row r="22" spans="1:54" x14ac:dyDescent="0.25">
      <c r="A22" s="48" t="s">
        <v>22</v>
      </c>
      <c r="B22" s="49" t="s">
        <v>27</v>
      </c>
      <c r="C22" s="49" t="str">
        <f>B22&amp;" "&amp;A22</f>
        <v>מורז מפאוג</v>
      </c>
      <c r="D22" s="50" t="s">
        <v>6</v>
      </c>
      <c r="E22" s="50" t="s">
        <v>7</v>
      </c>
      <c r="F22" s="52"/>
      <c r="G22" s="63">
        <v>43416</v>
      </c>
      <c r="H22" s="53"/>
      <c r="I22" s="54">
        <v>1</v>
      </c>
      <c r="J22" s="55"/>
      <c r="K22" s="55">
        <v>1</v>
      </c>
      <c r="L22" s="55"/>
      <c r="M22" s="56">
        <f>I22*3+K22</f>
        <v>4</v>
      </c>
      <c r="N22" s="56">
        <f>J22*3+L22</f>
        <v>0</v>
      </c>
      <c r="O22" s="57">
        <f>N22+M22</f>
        <v>4</v>
      </c>
      <c r="P22" s="48">
        <v>1</v>
      </c>
      <c r="Q22" s="50"/>
      <c r="R22" s="50">
        <v>2</v>
      </c>
      <c r="S22" s="50"/>
      <c r="T22" s="56">
        <f>P22*3+R22</f>
        <v>5</v>
      </c>
      <c r="U22" s="56">
        <f>Q22*3+S22</f>
        <v>0</v>
      </c>
      <c r="V22" s="58">
        <f>U22+T22</f>
        <v>5</v>
      </c>
      <c r="W22" s="48"/>
      <c r="X22" s="50"/>
      <c r="Y22" s="50">
        <v>1</v>
      </c>
      <c r="Z22" s="50">
        <v>2</v>
      </c>
      <c r="AA22" s="59">
        <f>W22*3+Y22</f>
        <v>1</v>
      </c>
      <c r="AB22" s="59">
        <f>X22*3+Z22</f>
        <v>2</v>
      </c>
      <c r="AC22" s="60">
        <f>AB22+AA22</f>
        <v>3</v>
      </c>
      <c r="AD22" s="48">
        <v>1</v>
      </c>
      <c r="AE22" s="50"/>
      <c r="AF22" s="50"/>
      <c r="AG22" s="50"/>
      <c r="AH22" s="56">
        <f>AD22*3+AF22</f>
        <v>3</v>
      </c>
      <c r="AI22" s="56">
        <f>AE22*3+AG22</f>
        <v>0</v>
      </c>
      <c r="AJ22" s="58">
        <f>AI22+AH22</f>
        <v>3</v>
      </c>
      <c r="AK22" s="48"/>
      <c r="AL22" s="50"/>
      <c r="AM22" s="50"/>
      <c r="AN22" s="50"/>
      <c r="AO22" s="56">
        <f>AK22*3+AM22</f>
        <v>0</v>
      </c>
      <c r="AP22" s="56">
        <f>AL22*3+AN22</f>
        <v>0</v>
      </c>
      <c r="AQ22" s="58">
        <f>AP22+AO22</f>
        <v>0</v>
      </c>
      <c r="AR22" s="48"/>
      <c r="AS22" s="50"/>
      <c r="AT22" s="50"/>
      <c r="AU22" s="50"/>
      <c r="AV22" s="56">
        <f>AR22*3+AT22</f>
        <v>0</v>
      </c>
      <c r="AW22" s="56">
        <f>AS22*3+AU22</f>
        <v>0</v>
      </c>
      <c r="AX22" s="58">
        <f>AW22+AV22</f>
        <v>0</v>
      </c>
      <c r="AY22" s="61">
        <f>AO22+AH22+AA22</f>
        <v>4</v>
      </c>
      <c r="AZ22" s="61">
        <f>AP22+AI22+AB22</f>
        <v>2</v>
      </c>
      <c r="BA22" s="62">
        <f>AZ22+AY22</f>
        <v>6</v>
      </c>
      <c r="BB22" s="62">
        <f>SUM(AQ22,AJ22,AC22,V22,O22,AX22)</f>
        <v>15</v>
      </c>
    </row>
    <row r="23" spans="1:54" x14ac:dyDescent="0.25">
      <c r="A23" s="48">
        <v>209</v>
      </c>
      <c r="B23" s="49" t="s">
        <v>71</v>
      </c>
      <c r="C23" s="49" t="str">
        <f>B23&amp;" "&amp;A23</f>
        <v>שי 209</v>
      </c>
      <c r="D23" s="50" t="s">
        <v>6</v>
      </c>
      <c r="E23" s="50" t="s">
        <v>7</v>
      </c>
      <c r="F23" s="51"/>
      <c r="G23" s="63">
        <v>43659</v>
      </c>
      <c r="H23" s="53"/>
      <c r="I23" s="54"/>
      <c r="J23" s="55"/>
      <c r="K23" s="55"/>
      <c r="L23" s="55"/>
      <c r="M23" s="56">
        <f>I23*3+K23</f>
        <v>0</v>
      </c>
      <c r="N23" s="56">
        <f>J23*3+L23</f>
        <v>0</v>
      </c>
      <c r="O23" s="57">
        <f>N23+M23</f>
        <v>0</v>
      </c>
      <c r="P23" s="48"/>
      <c r="Q23" s="50"/>
      <c r="R23" s="50"/>
      <c r="S23" s="50"/>
      <c r="T23" s="56">
        <f>P23*3+R23</f>
        <v>0</v>
      </c>
      <c r="U23" s="56">
        <f>Q23*3+S23</f>
        <v>0</v>
      </c>
      <c r="V23" s="58">
        <f>U23+T23</f>
        <v>0</v>
      </c>
      <c r="W23" s="48">
        <v>1</v>
      </c>
      <c r="X23" s="50"/>
      <c r="Y23" s="50">
        <v>1</v>
      </c>
      <c r="Z23" s="50"/>
      <c r="AA23" s="59">
        <f>W23*3+Y23</f>
        <v>4</v>
      </c>
      <c r="AB23" s="59">
        <f>X23*3+Z23</f>
        <v>0</v>
      </c>
      <c r="AC23" s="60">
        <f>AB23+AA23</f>
        <v>4</v>
      </c>
      <c r="AD23" s="48"/>
      <c r="AE23" s="50"/>
      <c r="AF23" s="50">
        <v>3</v>
      </c>
      <c r="AG23" s="50">
        <v>1</v>
      </c>
      <c r="AH23" s="56">
        <f>AD23*3+AF23</f>
        <v>3</v>
      </c>
      <c r="AI23" s="56">
        <f>AE23*3+AG23</f>
        <v>1</v>
      </c>
      <c r="AJ23" s="58">
        <f>AI23+AH23</f>
        <v>4</v>
      </c>
      <c r="AK23" s="48"/>
      <c r="AL23" s="50"/>
      <c r="AM23" s="50">
        <v>1</v>
      </c>
      <c r="AN23" s="50">
        <v>1</v>
      </c>
      <c r="AO23" s="56">
        <f>AK23*3+AM23</f>
        <v>1</v>
      </c>
      <c r="AP23" s="56">
        <f>AL23*3+AN23</f>
        <v>1</v>
      </c>
      <c r="AQ23" s="58">
        <f>AP23+AO23</f>
        <v>2</v>
      </c>
      <c r="AR23" s="48">
        <v>1</v>
      </c>
      <c r="AS23" s="50"/>
      <c r="AT23" s="50"/>
      <c r="AU23" s="50"/>
      <c r="AV23" s="56">
        <f>AR23*3+AT23</f>
        <v>3</v>
      </c>
      <c r="AW23" s="56">
        <f>AS23*3+AU23</f>
        <v>0</v>
      </c>
      <c r="AX23" s="58">
        <f>AW23+AV23</f>
        <v>3</v>
      </c>
      <c r="AY23" s="61">
        <f>AO23+AH23+AA23</f>
        <v>8</v>
      </c>
      <c r="AZ23" s="61">
        <f>AP23+AI23+AB23</f>
        <v>2</v>
      </c>
      <c r="BA23" s="62">
        <f>AZ23+AY23</f>
        <v>10</v>
      </c>
      <c r="BB23" s="62">
        <f>SUM(AQ23,AJ23,AC23,V23,O23,AX23)</f>
        <v>13</v>
      </c>
    </row>
    <row r="24" spans="1:54" x14ac:dyDescent="0.25">
      <c r="A24" s="48">
        <v>679</v>
      </c>
      <c r="B24" s="49" t="s">
        <v>21</v>
      </c>
      <c r="C24" s="49" t="str">
        <f>B24&amp;" "&amp;A24</f>
        <v>שיר 679</v>
      </c>
      <c r="D24" s="50" t="s">
        <v>6</v>
      </c>
      <c r="E24" s="50" t="s">
        <v>7</v>
      </c>
      <c r="F24" s="64"/>
      <c r="G24" s="63">
        <v>43558</v>
      </c>
      <c r="H24" s="53" t="s">
        <v>66</v>
      </c>
      <c r="I24" s="54"/>
      <c r="J24" s="55"/>
      <c r="K24" s="55"/>
      <c r="L24" s="55"/>
      <c r="M24" s="56">
        <f>I24*3+K24</f>
        <v>0</v>
      </c>
      <c r="N24" s="56">
        <f>J24*3+L24</f>
        <v>0</v>
      </c>
      <c r="O24" s="57">
        <f>N24+M24</f>
        <v>0</v>
      </c>
      <c r="P24" s="48">
        <v>1</v>
      </c>
      <c r="Q24" s="50"/>
      <c r="R24" s="50"/>
      <c r="S24" s="50"/>
      <c r="T24" s="56">
        <f>P24*3+R24</f>
        <v>3</v>
      </c>
      <c r="U24" s="56">
        <f>Q24*3+S24</f>
        <v>0</v>
      </c>
      <c r="V24" s="58">
        <f>U24+T24</f>
        <v>3</v>
      </c>
      <c r="W24" s="48">
        <v>1</v>
      </c>
      <c r="X24" s="50"/>
      <c r="Y24" s="50">
        <v>1</v>
      </c>
      <c r="Z24" s="50"/>
      <c r="AA24" s="59">
        <f>W24*3+Y24</f>
        <v>4</v>
      </c>
      <c r="AB24" s="59">
        <f>X24*3+Z24</f>
        <v>0</v>
      </c>
      <c r="AC24" s="60">
        <f>AB24+AA24</f>
        <v>4</v>
      </c>
      <c r="AD24" s="48"/>
      <c r="AE24" s="50"/>
      <c r="AF24" s="50">
        <v>1</v>
      </c>
      <c r="AG24" s="50">
        <v>2</v>
      </c>
      <c r="AH24" s="56">
        <f>AD24*3+AF24</f>
        <v>1</v>
      </c>
      <c r="AI24" s="56">
        <f>AE24*3+AG24</f>
        <v>2</v>
      </c>
      <c r="AJ24" s="58">
        <f>AI24+AH24</f>
        <v>3</v>
      </c>
      <c r="AK24" s="48"/>
      <c r="AL24" s="50"/>
      <c r="AM24" s="50">
        <v>2</v>
      </c>
      <c r="AN24" s="50"/>
      <c r="AO24" s="56">
        <f>AK24*3+AM24</f>
        <v>2</v>
      </c>
      <c r="AP24" s="56">
        <f>AL24*3+AN24</f>
        <v>0</v>
      </c>
      <c r="AQ24" s="58">
        <f>AP24+AO24</f>
        <v>2</v>
      </c>
      <c r="AR24" s="48"/>
      <c r="AS24" s="50"/>
      <c r="AT24" s="50"/>
      <c r="AU24" s="50"/>
      <c r="AV24" s="56">
        <f>AR24*3+AT24</f>
        <v>0</v>
      </c>
      <c r="AW24" s="56">
        <f>AS24*3+AU24</f>
        <v>0</v>
      </c>
      <c r="AX24" s="58">
        <f>AW24+AV24</f>
        <v>0</v>
      </c>
      <c r="AY24" s="61">
        <f>AO24+AH24+AA24</f>
        <v>7</v>
      </c>
      <c r="AZ24" s="61">
        <f>AP24+AI24+AB24</f>
        <v>2</v>
      </c>
      <c r="BA24" s="62">
        <f>AZ24+AY24</f>
        <v>9</v>
      </c>
      <c r="BB24" s="62">
        <f>SUM(AQ24,AJ24,AC24,V24,O24,AX24)</f>
        <v>12</v>
      </c>
    </row>
    <row r="25" spans="1:54" x14ac:dyDescent="0.25">
      <c r="A25" s="48" t="s">
        <v>107</v>
      </c>
      <c r="B25" s="49" t="s">
        <v>75</v>
      </c>
      <c r="C25" s="49" t="str">
        <f>B25&amp;" "&amp;A25</f>
        <v>מאיה אחודה</v>
      </c>
      <c r="D25" s="50" t="s">
        <v>6</v>
      </c>
      <c r="E25" s="87" t="s">
        <v>7</v>
      </c>
      <c r="F25" s="66"/>
      <c r="G25" s="63">
        <v>43437</v>
      </c>
      <c r="H25" s="53" t="s">
        <v>66</v>
      </c>
      <c r="I25" s="54"/>
      <c r="J25" s="55"/>
      <c r="K25" s="55"/>
      <c r="L25" s="55"/>
      <c r="M25" s="56">
        <f>I25*3+K25</f>
        <v>0</v>
      </c>
      <c r="N25" s="56">
        <f>J25*3+L25</f>
        <v>0</v>
      </c>
      <c r="O25" s="57">
        <f>N25+M25</f>
        <v>0</v>
      </c>
      <c r="P25" s="48"/>
      <c r="Q25" s="50"/>
      <c r="R25" s="50"/>
      <c r="S25" s="50"/>
      <c r="T25" s="56">
        <f>P25*3+R25</f>
        <v>0</v>
      </c>
      <c r="U25" s="56">
        <f>Q25*3+S25</f>
        <v>0</v>
      </c>
      <c r="V25" s="58">
        <f>U25+T25</f>
        <v>0</v>
      </c>
      <c r="W25" s="48"/>
      <c r="X25" s="50"/>
      <c r="Y25" s="50">
        <v>2</v>
      </c>
      <c r="Z25" s="50"/>
      <c r="AA25" s="59">
        <f>W25*3+Y25</f>
        <v>2</v>
      </c>
      <c r="AB25" s="59">
        <f>X25*3+Z25</f>
        <v>0</v>
      </c>
      <c r="AC25" s="60">
        <f>AB25+AA25</f>
        <v>2</v>
      </c>
      <c r="AD25" s="48">
        <v>1</v>
      </c>
      <c r="AE25" s="50"/>
      <c r="AF25" s="50">
        <v>2</v>
      </c>
      <c r="AG25" s="50"/>
      <c r="AH25" s="56">
        <f>AD25*3+AF25</f>
        <v>5</v>
      </c>
      <c r="AI25" s="56">
        <f>AE25*3+AG25</f>
        <v>0</v>
      </c>
      <c r="AJ25" s="58">
        <f>AI25+AH25</f>
        <v>5</v>
      </c>
      <c r="AK25" s="48"/>
      <c r="AL25" s="50"/>
      <c r="AM25" s="50">
        <v>2</v>
      </c>
      <c r="AN25" s="50"/>
      <c r="AO25" s="56">
        <f>AK25*3+AM25</f>
        <v>2</v>
      </c>
      <c r="AP25" s="56">
        <f>AL25*3+AN25</f>
        <v>0</v>
      </c>
      <c r="AQ25" s="58">
        <f>AP25+AO25</f>
        <v>2</v>
      </c>
      <c r="AR25" s="48">
        <v>1</v>
      </c>
      <c r="AS25" s="50"/>
      <c r="AT25" s="50"/>
      <c r="AU25" s="50"/>
      <c r="AV25" s="56">
        <f>AR25*3+AT25</f>
        <v>3</v>
      </c>
      <c r="AW25" s="56">
        <f>AS25*3+AU25</f>
        <v>0</v>
      </c>
      <c r="AX25" s="58">
        <f>AW25+AV25</f>
        <v>3</v>
      </c>
      <c r="AY25" s="61">
        <f>AO25+AH25+AA25</f>
        <v>9</v>
      </c>
      <c r="AZ25" s="61">
        <f>AP25+AI25+AB25</f>
        <v>0</v>
      </c>
      <c r="BA25" s="62">
        <f>AZ25+AY25</f>
        <v>9</v>
      </c>
      <c r="BB25" s="62">
        <f>SUM(AQ25,AJ25,AC25,V25,O25,AX25)</f>
        <v>12</v>
      </c>
    </row>
    <row r="26" spans="1:54" x14ac:dyDescent="0.25">
      <c r="A26" s="48">
        <v>9</v>
      </c>
      <c r="B26" s="124" t="s">
        <v>168</v>
      </c>
      <c r="C26" s="49" t="str">
        <f>B26&amp;" "&amp;A26</f>
        <v>מעין 9</v>
      </c>
      <c r="D26" s="50" t="s">
        <v>6</v>
      </c>
      <c r="E26" s="87" t="s">
        <v>7</v>
      </c>
      <c r="F26" s="66"/>
      <c r="G26" s="63">
        <v>43661</v>
      </c>
      <c r="H26" s="53"/>
      <c r="I26" s="54"/>
      <c r="J26" s="55"/>
      <c r="K26" s="55"/>
      <c r="L26" s="55"/>
      <c r="M26" s="56">
        <f>I26*3+K26</f>
        <v>0</v>
      </c>
      <c r="N26" s="56">
        <f>J26*3+L26</f>
        <v>0</v>
      </c>
      <c r="O26" s="57">
        <f>N26+M26</f>
        <v>0</v>
      </c>
      <c r="P26" s="48"/>
      <c r="Q26" s="50"/>
      <c r="R26" s="50"/>
      <c r="S26" s="50"/>
      <c r="T26" s="56">
        <f>P26*3+R26</f>
        <v>0</v>
      </c>
      <c r="U26" s="56">
        <f>Q26*3+S26</f>
        <v>0</v>
      </c>
      <c r="V26" s="58">
        <f>U26+T26</f>
        <v>0</v>
      </c>
      <c r="W26" s="48"/>
      <c r="X26" s="50"/>
      <c r="Y26" s="50"/>
      <c r="Z26" s="50"/>
      <c r="AA26" s="59">
        <f>W26*3+Y26</f>
        <v>0</v>
      </c>
      <c r="AB26" s="59">
        <f>X26*3+Z26</f>
        <v>0</v>
      </c>
      <c r="AC26" s="60">
        <f>AB26+AA26</f>
        <v>0</v>
      </c>
      <c r="AD26" s="48">
        <v>1</v>
      </c>
      <c r="AE26" s="50"/>
      <c r="AF26" s="50">
        <v>3</v>
      </c>
      <c r="AG26" s="50"/>
      <c r="AH26" s="56">
        <f>AD26*3+AF26</f>
        <v>6</v>
      </c>
      <c r="AI26" s="56">
        <f>AE26*3+AG26</f>
        <v>0</v>
      </c>
      <c r="AJ26" s="58">
        <f>AI26+AH26</f>
        <v>6</v>
      </c>
      <c r="AK26" s="48"/>
      <c r="AL26" s="50"/>
      <c r="AM26" s="50">
        <v>1</v>
      </c>
      <c r="AN26" s="50"/>
      <c r="AO26" s="56">
        <f>AK26*3+AM26</f>
        <v>1</v>
      </c>
      <c r="AP26" s="56">
        <f>AL26*3+AN26</f>
        <v>0</v>
      </c>
      <c r="AQ26" s="58">
        <f>AP26+AO26</f>
        <v>1</v>
      </c>
      <c r="AR26" s="48">
        <v>1</v>
      </c>
      <c r="AS26" s="50"/>
      <c r="AT26" s="50"/>
      <c r="AU26" s="50"/>
      <c r="AV26" s="56">
        <f>AR26*3+AT26</f>
        <v>3</v>
      </c>
      <c r="AW26" s="56">
        <f>AS26*3+AU26</f>
        <v>0</v>
      </c>
      <c r="AX26" s="58">
        <f>AW26+AV26</f>
        <v>3</v>
      </c>
      <c r="AY26" s="61">
        <f>AO26+AH26+AA26</f>
        <v>7</v>
      </c>
      <c r="AZ26" s="61">
        <f>AP26+AI26+AB26</f>
        <v>0</v>
      </c>
      <c r="BA26" s="62">
        <f>AZ26+AY26</f>
        <v>7</v>
      </c>
      <c r="BB26" s="62">
        <f>SUM(AQ26,AJ26,AC26,V26,O26,AX26)</f>
        <v>10</v>
      </c>
    </row>
    <row r="27" spans="1:54" x14ac:dyDescent="0.25">
      <c r="A27" s="48">
        <v>11</v>
      </c>
      <c r="B27" s="49" t="s">
        <v>79</v>
      </c>
      <c r="C27" s="49" t="str">
        <f>B27&amp;" "&amp;A27</f>
        <v>נילי 11</v>
      </c>
      <c r="D27" s="87" t="s">
        <v>7</v>
      </c>
      <c r="E27" s="50" t="s">
        <v>7</v>
      </c>
      <c r="F27" s="66"/>
      <c r="G27" s="63">
        <v>43661</v>
      </c>
      <c r="H27" s="53"/>
      <c r="I27" s="54"/>
      <c r="J27" s="55"/>
      <c r="K27" s="55"/>
      <c r="L27" s="55"/>
      <c r="M27" s="56">
        <f>I27*3+K27</f>
        <v>0</v>
      </c>
      <c r="N27" s="56">
        <f>J27*3+L27</f>
        <v>0</v>
      </c>
      <c r="O27" s="57">
        <f>N27+M27</f>
        <v>0</v>
      </c>
      <c r="P27" s="48"/>
      <c r="Q27" s="50"/>
      <c r="R27" s="50"/>
      <c r="S27" s="50"/>
      <c r="T27" s="56">
        <f>P27*3+R27</f>
        <v>0</v>
      </c>
      <c r="U27" s="56">
        <f>Q27*3+S27</f>
        <v>0</v>
      </c>
      <c r="V27" s="58">
        <f>U27+T27</f>
        <v>0</v>
      </c>
      <c r="W27" s="48"/>
      <c r="X27" s="50"/>
      <c r="Y27" s="50"/>
      <c r="Z27" s="50"/>
      <c r="AA27" s="59">
        <f>W27*3+Y27</f>
        <v>0</v>
      </c>
      <c r="AB27" s="59">
        <f>X27*3+Z27</f>
        <v>0</v>
      </c>
      <c r="AC27" s="60">
        <f>AB27+AA27</f>
        <v>0</v>
      </c>
      <c r="AD27" s="48">
        <v>1</v>
      </c>
      <c r="AE27" s="50"/>
      <c r="AF27" s="50">
        <v>1</v>
      </c>
      <c r="AG27" s="50"/>
      <c r="AH27" s="56">
        <f>AD27*3+AF27</f>
        <v>4</v>
      </c>
      <c r="AI27" s="56">
        <f>AE27*3+AG27</f>
        <v>0</v>
      </c>
      <c r="AJ27" s="58">
        <f>AI27+AH27</f>
        <v>4</v>
      </c>
      <c r="AK27" s="48"/>
      <c r="AL27" s="50"/>
      <c r="AM27" s="50">
        <v>1</v>
      </c>
      <c r="AN27" s="50">
        <v>2</v>
      </c>
      <c r="AO27" s="56">
        <f>AK27*3+AM27</f>
        <v>1</v>
      </c>
      <c r="AP27" s="56">
        <f>AL27*3+AN27</f>
        <v>2</v>
      </c>
      <c r="AQ27" s="58">
        <f>AP27+AO27</f>
        <v>3</v>
      </c>
      <c r="AR27" s="48"/>
      <c r="AS27" s="50">
        <v>1</v>
      </c>
      <c r="AT27" s="50"/>
      <c r="AU27" s="50"/>
      <c r="AV27" s="56">
        <f>AR27*3+AT27</f>
        <v>0</v>
      </c>
      <c r="AW27" s="56">
        <f>AS27*3+AU27</f>
        <v>3</v>
      </c>
      <c r="AX27" s="58">
        <f>AW27+AV27</f>
        <v>3</v>
      </c>
      <c r="AY27" s="61">
        <f>AO27+AH27+AA27</f>
        <v>5</v>
      </c>
      <c r="AZ27" s="61">
        <f>AP27+AI27+AB27</f>
        <v>2</v>
      </c>
      <c r="BA27" s="62">
        <f>AZ27+AY27</f>
        <v>7</v>
      </c>
      <c r="BB27" s="62">
        <f>SUM(AQ27,AJ27,AC27,V27,O27,AX27)</f>
        <v>10</v>
      </c>
    </row>
    <row r="28" spans="1:54" x14ac:dyDescent="0.25">
      <c r="A28" s="48" t="s">
        <v>107</v>
      </c>
      <c r="B28" s="49" t="s">
        <v>76</v>
      </c>
      <c r="C28" s="49" t="str">
        <f>B28&amp;" "&amp;A28</f>
        <v>לירון אחודה</v>
      </c>
      <c r="D28" s="50" t="s">
        <v>6</v>
      </c>
      <c r="E28" s="50" t="s">
        <v>7</v>
      </c>
      <c r="F28" s="51"/>
      <c r="G28" s="63">
        <v>43501</v>
      </c>
      <c r="H28" s="53"/>
      <c r="I28" s="54"/>
      <c r="J28" s="55"/>
      <c r="K28" s="55"/>
      <c r="L28" s="55"/>
      <c r="M28" s="56">
        <f>I28*3+K28</f>
        <v>0</v>
      </c>
      <c r="N28" s="56">
        <f>J28*3+L28</f>
        <v>0</v>
      </c>
      <c r="O28" s="57">
        <f>N28+M28</f>
        <v>0</v>
      </c>
      <c r="P28" s="48"/>
      <c r="Q28" s="50"/>
      <c r="R28" s="50"/>
      <c r="S28" s="50"/>
      <c r="T28" s="56">
        <f>P28*3+R28</f>
        <v>0</v>
      </c>
      <c r="U28" s="56">
        <f>Q28*3+S28</f>
        <v>0</v>
      </c>
      <c r="V28" s="58">
        <f>U28+T28</f>
        <v>0</v>
      </c>
      <c r="W28" s="48"/>
      <c r="X28" s="50"/>
      <c r="Y28" s="50">
        <v>2</v>
      </c>
      <c r="Z28" s="50"/>
      <c r="AA28" s="59">
        <f>W28*3+Y28</f>
        <v>2</v>
      </c>
      <c r="AB28" s="59">
        <f>X28*3+Z28</f>
        <v>0</v>
      </c>
      <c r="AC28" s="60">
        <f>AB28+AA28</f>
        <v>2</v>
      </c>
      <c r="AD28" s="48">
        <v>1</v>
      </c>
      <c r="AE28" s="50"/>
      <c r="AF28" s="50">
        <v>2</v>
      </c>
      <c r="AG28" s="50"/>
      <c r="AH28" s="56">
        <f>AD28*3+AF28</f>
        <v>5</v>
      </c>
      <c r="AI28" s="56">
        <f>AE28*3+AG28</f>
        <v>0</v>
      </c>
      <c r="AJ28" s="58">
        <f>AI28+AH28</f>
        <v>5</v>
      </c>
      <c r="AK28" s="48"/>
      <c r="AL28" s="50"/>
      <c r="AM28" s="50">
        <v>1</v>
      </c>
      <c r="AN28" s="50">
        <v>2</v>
      </c>
      <c r="AO28" s="56">
        <f>AK28*3+AM28</f>
        <v>1</v>
      </c>
      <c r="AP28" s="56">
        <f>AL28*3+AN28</f>
        <v>2</v>
      </c>
      <c r="AQ28" s="58">
        <f>AP28+AO28</f>
        <v>3</v>
      </c>
      <c r="AR28" s="48"/>
      <c r="AS28" s="50"/>
      <c r="AT28" s="50"/>
      <c r="AU28" s="50"/>
      <c r="AV28" s="56">
        <f>AR28*3+AT28</f>
        <v>0</v>
      </c>
      <c r="AW28" s="56">
        <f>AS28*3+AU28</f>
        <v>0</v>
      </c>
      <c r="AX28" s="58">
        <f>AW28+AV28</f>
        <v>0</v>
      </c>
      <c r="AY28" s="61">
        <f>AO28+AH28+AA28</f>
        <v>8</v>
      </c>
      <c r="AZ28" s="61">
        <f>AP28+AI28+AB28</f>
        <v>2</v>
      </c>
      <c r="BA28" s="62">
        <f>AZ28+AY28</f>
        <v>10</v>
      </c>
      <c r="BB28" s="62">
        <f>SUM(AQ28,AJ28,AC28,V28,O28,AX28)</f>
        <v>10</v>
      </c>
    </row>
    <row r="29" spans="1:54" x14ac:dyDescent="0.25">
      <c r="A29" s="48">
        <v>679</v>
      </c>
      <c r="B29" s="49" t="s">
        <v>24</v>
      </c>
      <c r="C29" s="49" t="str">
        <f>B29&amp;" "&amp;A29</f>
        <v>אופיר 679</v>
      </c>
      <c r="D29" s="50" t="s">
        <v>6</v>
      </c>
      <c r="E29" s="50" t="s">
        <v>6</v>
      </c>
      <c r="F29" s="51"/>
      <c r="G29" s="63">
        <v>43692</v>
      </c>
      <c r="H29" s="53"/>
      <c r="I29" s="54"/>
      <c r="J29" s="55"/>
      <c r="K29" s="55"/>
      <c r="L29" s="55"/>
      <c r="M29" s="56">
        <f>I29*3+K29</f>
        <v>0</v>
      </c>
      <c r="N29" s="56">
        <f>J29*3+L29</f>
        <v>0</v>
      </c>
      <c r="O29" s="57">
        <f>N29+M29</f>
        <v>0</v>
      </c>
      <c r="P29" s="48"/>
      <c r="Q29" s="50"/>
      <c r="R29" s="50"/>
      <c r="S29" s="50"/>
      <c r="T29" s="56">
        <f>P29*3+R29</f>
        <v>0</v>
      </c>
      <c r="U29" s="56">
        <f>Q29*3+S29</f>
        <v>0</v>
      </c>
      <c r="V29" s="58">
        <f>U29+T29</f>
        <v>0</v>
      </c>
      <c r="W29" s="48"/>
      <c r="X29" s="50"/>
      <c r="Y29" s="50"/>
      <c r="Z29" s="50"/>
      <c r="AA29" s="59">
        <f>W29*3+Y29</f>
        <v>0</v>
      </c>
      <c r="AB29" s="59">
        <f>X29*3+Z29</f>
        <v>0</v>
      </c>
      <c r="AC29" s="60">
        <f>AB29+AA29</f>
        <v>0</v>
      </c>
      <c r="AD29" s="48"/>
      <c r="AE29" s="50"/>
      <c r="AF29" s="50">
        <v>2</v>
      </c>
      <c r="AG29" s="50"/>
      <c r="AH29" s="56">
        <f>AD29*3+AF29</f>
        <v>2</v>
      </c>
      <c r="AI29" s="56">
        <f>AE29*3+AG29</f>
        <v>0</v>
      </c>
      <c r="AJ29" s="58">
        <f>AI29+AH29</f>
        <v>2</v>
      </c>
      <c r="AK29" s="48"/>
      <c r="AL29" s="50"/>
      <c r="AM29" s="50">
        <v>4</v>
      </c>
      <c r="AN29" s="50"/>
      <c r="AO29" s="56">
        <f>AK29*3+AM29</f>
        <v>4</v>
      </c>
      <c r="AP29" s="56">
        <f>AL29*3+AN29</f>
        <v>0</v>
      </c>
      <c r="AQ29" s="58">
        <f>AP29+AO29</f>
        <v>4</v>
      </c>
      <c r="AR29" s="48">
        <v>1</v>
      </c>
      <c r="AS29" s="50"/>
      <c r="AT29" s="50"/>
      <c r="AU29" s="50"/>
      <c r="AV29" s="56">
        <f>AR29*3+AT29</f>
        <v>3</v>
      </c>
      <c r="AW29" s="56">
        <f>AS29*3+AU29</f>
        <v>0</v>
      </c>
      <c r="AX29" s="58">
        <f>AW29+AV29</f>
        <v>3</v>
      </c>
      <c r="AY29" s="61">
        <f>AO29+AH29+AA29</f>
        <v>6</v>
      </c>
      <c r="AZ29" s="61">
        <f>AP29+AI29+AB29</f>
        <v>0</v>
      </c>
      <c r="BA29" s="62">
        <f>AZ29+AY29</f>
        <v>6</v>
      </c>
      <c r="BB29" s="62">
        <f>SUM(AQ29,AJ29,AC29,V29,O29,AX29)</f>
        <v>9</v>
      </c>
    </row>
    <row r="30" spans="1:54" x14ac:dyDescent="0.25">
      <c r="A30" s="48" t="s">
        <v>107</v>
      </c>
      <c r="B30" s="49" t="s">
        <v>90</v>
      </c>
      <c r="C30" s="49" t="str">
        <f>B30&amp;" "&amp;A30</f>
        <v>ניצן אחודה</v>
      </c>
      <c r="D30" s="50" t="s">
        <v>7</v>
      </c>
      <c r="E30" s="50" t="s">
        <v>7</v>
      </c>
      <c r="F30" s="51"/>
      <c r="G30" s="63">
        <v>43139</v>
      </c>
      <c r="H30" s="53" t="s">
        <v>91</v>
      </c>
      <c r="I30" s="54"/>
      <c r="J30" s="55"/>
      <c r="K30" s="55"/>
      <c r="L30" s="55"/>
      <c r="M30" s="56">
        <f>I30*3+K30</f>
        <v>0</v>
      </c>
      <c r="N30" s="56">
        <f>J30*3+L30</f>
        <v>0</v>
      </c>
      <c r="O30" s="57">
        <f>N30+M30</f>
        <v>0</v>
      </c>
      <c r="P30" s="48"/>
      <c r="Q30" s="50"/>
      <c r="R30" s="50"/>
      <c r="S30" s="50"/>
      <c r="T30" s="56">
        <f>P30*3+R30</f>
        <v>0</v>
      </c>
      <c r="U30" s="56">
        <f>Q30*3+S30</f>
        <v>0</v>
      </c>
      <c r="V30" s="58">
        <f>U30+T30</f>
        <v>0</v>
      </c>
      <c r="W30" s="48"/>
      <c r="X30" s="50"/>
      <c r="Y30" s="50"/>
      <c r="Z30" s="50"/>
      <c r="AA30" s="59">
        <f>W30*3+Y30</f>
        <v>0</v>
      </c>
      <c r="AB30" s="59">
        <f>X30*3+Z30</f>
        <v>0</v>
      </c>
      <c r="AC30" s="60">
        <f>AB30+AA30</f>
        <v>0</v>
      </c>
      <c r="AD30" s="48"/>
      <c r="AE30" s="50"/>
      <c r="AF30" s="50"/>
      <c r="AG30" s="50">
        <v>1</v>
      </c>
      <c r="AH30" s="56">
        <f>AD30*3+AF30</f>
        <v>0</v>
      </c>
      <c r="AI30" s="56">
        <f>AE30*3+AG30</f>
        <v>1</v>
      </c>
      <c r="AJ30" s="58">
        <f>AI30+AH30</f>
        <v>1</v>
      </c>
      <c r="AK30" s="48"/>
      <c r="AL30" s="50">
        <v>1</v>
      </c>
      <c r="AM30" s="50"/>
      <c r="AN30" s="50">
        <v>2</v>
      </c>
      <c r="AO30" s="56">
        <f>AK30*3+AM30</f>
        <v>0</v>
      </c>
      <c r="AP30" s="56">
        <f>AL30*3+AN30</f>
        <v>5</v>
      </c>
      <c r="AQ30" s="58">
        <f>AP30+AO30</f>
        <v>5</v>
      </c>
      <c r="AR30" s="48"/>
      <c r="AS30" s="50">
        <v>1</v>
      </c>
      <c r="AT30" s="50"/>
      <c r="AU30" s="50"/>
      <c r="AV30" s="56">
        <f>AR30*3+AT30</f>
        <v>0</v>
      </c>
      <c r="AW30" s="56">
        <f>AS30*3+AU30</f>
        <v>3</v>
      </c>
      <c r="AX30" s="58">
        <f>AW30+AV30</f>
        <v>3</v>
      </c>
      <c r="AY30" s="61">
        <f>AO30+AH30+AA30</f>
        <v>0</v>
      </c>
      <c r="AZ30" s="61">
        <f>AP30+AI30+AB30</f>
        <v>6</v>
      </c>
      <c r="BA30" s="62">
        <f>AZ30+AY30</f>
        <v>6</v>
      </c>
      <c r="BB30" s="62">
        <f>SUM(AQ30,AJ30,AC30,V30,O30,AX30)</f>
        <v>9</v>
      </c>
    </row>
    <row r="31" spans="1:54" x14ac:dyDescent="0.25">
      <c r="A31" s="48" t="s">
        <v>25</v>
      </c>
      <c r="B31" s="49" t="s">
        <v>23</v>
      </c>
      <c r="C31" s="49" t="str">
        <f>B31&amp;" "&amp;A31</f>
        <v>ספיר מרחבים</v>
      </c>
      <c r="D31" s="50" t="s">
        <v>6</v>
      </c>
      <c r="E31" s="50" t="s">
        <v>7</v>
      </c>
      <c r="F31" s="52"/>
      <c r="G31" s="63">
        <v>43479</v>
      </c>
      <c r="H31" s="53" t="s">
        <v>66</v>
      </c>
      <c r="I31" s="54"/>
      <c r="J31" s="55"/>
      <c r="K31" s="55">
        <v>1</v>
      </c>
      <c r="L31" s="55"/>
      <c r="M31" s="56">
        <f>I31*3+K31</f>
        <v>1</v>
      </c>
      <c r="N31" s="56">
        <f>J31*3+L31</f>
        <v>0</v>
      </c>
      <c r="O31" s="57">
        <f>N31+M31</f>
        <v>1</v>
      </c>
      <c r="P31" s="48">
        <v>1</v>
      </c>
      <c r="Q31" s="50"/>
      <c r="R31" s="50">
        <v>1</v>
      </c>
      <c r="S31" s="50"/>
      <c r="T31" s="56">
        <f>P31*3+R31</f>
        <v>4</v>
      </c>
      <c r="U31" s="56">
        <f>Q31*3+S31</f>
        <v>0</v>
      </c>
      <c r="V31" s="58">
        <f>U31+T31</f>
        <v>4</v>
      </c>
      <c r="W31" s="48"/>
      <c r="X31" s="50">
        <v>1</v>
      </c>
      <c r="Y31" s="50">
        <v>1</v>
      </c>
      <c r="Z31" s="50"/>
      <c r="AA31" s="59">
        <f>W31*3+Y31</f>
        <v>1</v>
      </c>
      <c r="AB31" s="59">
        <f>X31*3+Z31</f>
        <v>3</v>
      </c>
      <c r="AC31" s="60">
        <f>AB31+AA31</f>
        <v>4</v>
      </c>
      <c r="AD31" s="48"/>
      <c r="AE31" s="50"/>
      <c r="AF31" s="50"/>
      <c r="AG31" s="50"/>
      <c r="AH31" s="56">
        <f>AD31*3+AF31</f>
        <v>0</v>
      </c>
      <c r="AI31" s="56">
        <f>AE31*3+AG31</f>
        <v>0</v>
      </c>
      <c r="AJ31" s="58">
        <f>AI31+AH31</f>
        <v>0</v>
      </c>
      <c r="AK31" s="48"/>
      <c r="AL31" s="50"/>
      <c r="AM31" s="50"/>
      <c r="AN31" s="50"/>
      <c r="AO31" s="56">
        <f>AK31*3+AM31</f>
        <v>0</v>
      </c>
      <c r="AP31" s="56">
        <f>AL31*3+AN31</f>
        <v>0</v>
      </c>
      <c r="AQ31" s="58">
        <f>AP31+AO31</f>
        <v>0</v>
      </c>
      <c r="AR31" s="48"/>
      <c r="AS31" s="50"/>
      <c r="AT31" s="50"/>
      <c r="AU31" s="50"/>
      <c r="AV31" s="56">
        <f>AR31*3+AT31</f>
        <v>0</v>
      </c>
      <c r="AW31" s="56">
        <f>AS31*3+AU31</f>
        <v>0</v>
      </c>
      <c r="AX31" s="58">
        <f>AW31+AV31</f>
        <v>0</v>
      </c>
      <c r="AY31" s="61">
        <f>AO31+AH31+AA31</f>
        <v>1</v>
      </c>
      <c r="AZ31" s="61">
        <f>AP31+AI31+AB31</f>
        <v>3</v>
      </c>
      <c r="BA31" s="62">
        <f>AZ31+AY31</f>
        <v>4</v>
      </c>
      <c r="BB31" s="62">
        <f>SUM(AQ31,AJ31,AC31,V31,O31,AX31)</f>
        <v>9</v>
      </c>
    </row>
    <row r="32" spans="1:54" x14ac:dyDescent="0.25">
      <c r="A32" s="48">
        <v>9</v>
      </c>
      <c r="B32" s="49" t="s">
        <v>78</v>
      </c>
      <c r="C32" s="49" t="str">
        <f>B32&amp;" "&amp;A32</f>
        <v>כלנית 9</v>
      </c>
      <c r="D32" s="50" t="s">
        <v>6</v>
      </c>
      <c r="E32" s="87" t="s">
        <v>7</v>
      </c>
      <c r="F32" s="51"/>
      <c r="G32" s="65">
        <v>43661</v>
      </c>
      <c r="H32" s="53"/>
      <c r="I32" s="54"/>
      <c r="J32" s="55"/>
      <c r="K32" s="55"/>
      <c r="L32" s="55"/>
      <c r="M32" s="56">
        <f>I32*3+K32</f>
        <v>0</v>
      </c>
      <c r="N32" s="56">
        <f>J32*3+L32</f>
        <v>0</v>
      </c>
      <c r="O32" s="57">
        <f>N32+M32</f>
        <v>0</v>
      </c>
      <c r="P32" s="48"/>
      <c r="Q32" s="50"/>
      <c r="R32" s="50"/>
      <c r="S32" s="50"/>
      <c r="T32" s="56">
        <f>P32*3+R32</f>
        <v>0</v>
      </c>
      <c r="U32" s="56">
        <f>Q32*3+S32</f>
        <v>0</v>
      </c>
      <c r="V32" s="58">
        <f>U32+T32</f>
        <v>0</v>
      </c>
      <c r="W32" s="48"/>
      <c r="X32" s="50"/>
      <c r="Y32" s="50"/>
      <c r="Z32" s="50"/>
      <c r="AA32" s="59">
        <f>W32*3+Y32</f>
        <v>0</v>
      </c>
      <c r="AB32" s="59">
        <f>X32*3+Z32</f>
        <v>0</v>
      </c>
      <c r="AC32" s="60">
        <f>AB32+AA32</f>
        <v>0</v>
      </c>
      <c r="AD32" s="48">
        <v>1</v>
      </c>
      <c r="AE32" s="50"/>
      <c r="AF32" s="50">
        <v>2</v>
      </c>
      <c r="AG32" s="50"/>
      <c r="AH32" s="56">
        <f>AD32*3+AF32</f>
        <v>5</v>
      </c>
      <c r="AI32" s="56">
        <f>AE32*3+AG32</f>
        <v>0</v>
      </c>
      <c r="AJ32" s="58">
        <f>AI32+AH32</f>
        <v>5</v>
      </c>
      <c r="AK32" s="48">
        <v>1</v>
      </c>
      <c r="AL32" s="50"/>
      <c r="AM32" s="50"/>
      <c r="AN32" s="50"/>
      <c r="AO32" s="56">
        <f>AK32*3+AM32</f>
        <v>3</v>
      </c>
      <c r="AP32" s="56">
        <f>AL32*3+AN32</f>
        <v>0</v>
      </c>
      <c r="AQ32" s="58">
        <f>AP32+AO32</f>
        <v>3</v>
      </c>
      <c r="AR32" s="48"/>
      <c r="AS32" s="50"/>
      <c r="AT32" s="50"/>
      <c r="AU32" s="50"/>
      <c r="AV32" s="56">
        <f>AR32*3+AT32</f>
        <v>0</v>
      </c>
      <c r="AW32" s="56">
        <f>AS32*3+AU32</f>
        <v>0</v>
      </c>
      <c r="AX32" s="58">
        <f>AW32+AV32</f>
        <v>0</v>
      </c>
      <c r="AY32" s="61">
        <f>AO32+AH32+AA32</f>
        <v>8</v>
      </c>
      <c r="AZ32" s="61">
        <f>AP32+AI32+AB32</f>
        <v>0</v>
      </c>
      <c r="BA32" s="62">
        <f>AZ32+AY32</f>
        <v>8</v>
      </c>
      <c r="BB32" s="62">
        <f>SUM(AQ32,AJ32,AC32,V32,O32,AX32)</f>
        <v>8</v>
      </c>
    </row>
    <row r="33" spans="1:54" x14ac:dyDescent="0.25">
      <c r="A33" s="48">
        <v>474</v>
      </c>
      <c r="B33" s="49" t="s">
        <v>5</v>
      </c>
      <c r="C33" s="49" t="str">
        <f>B33&amp;" "&amp;A33</f>
        <v>מאי 474</v>
      </c>
      <c r="D33" s="50" t="s">
        <v>6</v>
      </c>
      <c r="E33" s="87" t="s">
        <v>7</v>
      </c>
      <c r="F33" s="51"/>
      <c r="G33" s="65">
        <v>43661</v>
      </c>
      <c r="H33" s="53"/>
      <c r="I33" s="54"/>
      <c r="J33" s="55"/>
      <c r="K33" s="55"/>
      <c r="L33" s="55"/>
      <c r="M33" s="56">
        <f>I33*3+K33</f>
        <v>0</v>
      </c>
      <c r="N33" s="56">
        <f>J33*3+L33</f>
        <v>0</v>
      </c>
      <c r="O33" s="57">
        <f>N33+M33</f>
        <v>0</v>
      </c>
      <c r="P33" s="48"/>
      <c r="Q33" s="50"/>
      <c r="R33" s="50"/>
      <c r="S33" s="50"/>
      <c r="T33" s="56">
        <f>P33*3+R33</f>
        <v>0</v>
      </c>
      <c r="U33" s="56">
        <f>Q33*3+S33</f>
        <v>0</v>
      </c>
      <c r="V33" s="58">
        <f>U33+T33</f>
        <v>0</v>
      </c>
      <c r="W33" s="48"/>
      <c r="X33" s="50"/>
      <c r="Y33" s="50"/>
      <c r="Z33" s="50"/>
      <c r="AA33" s="59">
        <f>W33*3+Y33</f>
        <v>0</v>
      </c>
      <c r="AB33" s="59">
        <f>X33*3+Z33</f>
        <v>0</v>
      </c>
      <c r="AC33" s="60">
        <f>AB33+AA33</f>
        <v>0</v>
      </c>
      <c r="AD33" s="48">
        <v>1</v>
      </c>
      <c r="AE33" s="50"/>
      <c r="AF33" s="50">
        <v>2</v>
      </c>
      <c r="AG33" s="50"/>
      <c r="AH33" s="56">
        <f>AD33*3+AF33</f>
        <v>5</v>
      </c>
      <c r="AI33" s="56">
        <f>AE33*3+AG33</f>
        <v>0</v>
      </c>
      <c r="AJ33" s="58">
        <f>AI33+AH33</f>
        <v>5</v>
      </c>
      <c r="AK33" s="48">
        <v>1</v>
      </c>
      <c r="AL33" s="50"/>
      <c r="AM33" s="50"/>
      <c r="AN33" s="50"/>
      <c r="AO33" s="56">
        <f>AK33*3+AM33</f>
        <v>3</v>
      </c>
      <c r="AP33" s="56">
        <f>AL33*3+AN33</f>
        <v>0</v>
      </c>
      <c r="AQ33" s="58">
        <f>AP33+AO33</f>
        <v>3</v>
      </c>
      <c r="AR33" s="48"/>
      <c r="AS33" s="50"/>
      <c r="AT33" s="50"/>
      <c r="AU33" s="50"/>
      <c r="AV33" s="56">
        <f>AR33*3+AT33</f>
        <v>0</v>
      </c>
      <c r="AW33" s="56">
        <f>AS33*3+AU33</f>
        <v>0</v>
      </c>
      <c r="AX33" s="58">
        <f>AW33+AV33</f>
        <v>0</v>
      </c>
      <c r="AY33" s="61">
        <f>AO33+AH33+AA33</f>
        <v>8</v>
      </c>
      <c r="AZ33" s="61">
        <f>AP33+AI33+AB33</f>
        <v>0</v>
      </c>
      <c r="BA33" s="62">
        <f>AZ33+AY33</f>
        <v>8</v>
      </c>
      <c r="BB33" s="62">
        <f>SUM(AQ33,AJ33,AC33,V33,O33,AX33)</f>
        <v>8</v>
      </c>
    </row>
    <row r="34" spans="1:54" x14ac:dyDescent="0.25">
      <c r="A34" s="48" t="s">
        <v>107</v>
      </c>
      <c r="B34" s="49" t="s">
        <v>72</v>
      </c>
      <c r="C34" s="49" t="str">
        <f>B34&amp;" "&amp;A34</f>
        <v>דקל אחודה</v>
      </c>
      <c r="D34" s="50" t="s">
        <v>6</v>
      </c>
      <c r="E34" s="50" t="s">
        <v>7</v>
      </c>
      <c r="F34" s="51"/>
      <c r="G34" s="65">
        <v>43692</v>
      </c>
      <c r="H34" s="53"/>
      <c r="I34" s="54"/>
      <c r="J34" s="55"/>
      <c r="K34" s="55"/>
      <c r="L34" s="55"/>
      <c r="M34" s="56">
        <f>I34*3+K34</f>
        <v>0</v>
      </c>
      <c r="N34" s="56">
        <f>J34*3+L34</f>
        <v>0</v>
      </c>
      <c r="O34" s="57">
        <f>N34+M34</f>
        <v>0</v>
      </c>
      <c r="P34" s="48"/>
      <c r="Q34" s="50"/>
      <c r="R34" s="50"/>
      <c r="S34" s="50"/>
      <c r="T34" s="56">
        <f>P34*3+R34</f>
        <v>0</v>
      </c>
      <c r="U34" s="56">
        <f>Q34*3+S34</f>
        <v>0</v>
      </c>
      <c r="V34" s="58">
        <f>U34+T34</f>
        <v>0</v>
      </c>
      <c r="W34" s="48">
        <v>1</v>
      </c>
      <c r="X34" s="50"/>
      <c r="Y34" s="50"/>
      <c r="Z34" s="50"/>
      <c r="AA34" s="59">
        <f>W34*3+Y34</f>
        <v>3</v>
      </c>
      <c r="AB34" s="59">
        <f>X34*3+Z34</f>
        <v>0</v>
      </c>
      <c r="AC34" s="60">
        <f>AB34+AA34</f>
        <v>3</v>
      </c>
      <c r="AD34" s="48">
        <v>1</v>
      </c>
      <c r="AE34" s="50"/>
      <c r="AF34" s="50">
        <v>1</v>
      </c>
      <c r="AG34" s="50"/>
      <c r="AH34" s="56">
        <f>AD34*3+AF34</f>
        <v>4</v>
      </c>
      <c r="AI34" s="56">
        <f>AE34*3+AG34</f>
        <v>0</v>
      </c>
      <c r="AJ34" s="58">
        <f>AI34+AH34</f>
        <v>4</v>
      </c>
      <c r="AK34" s="48"/>
      <c r="AL34" s="50"/>
      <c r="AM34" s="50"/>
      <c r="AN34" s="50">
        <v>1</v>
      </c>
      <c r="AO34" s="56">
        <f>AK34*3+AM34</f>
        <v>0</v>
      </c>
      <c r="AP34" s="56">
        <f>AL34*3+AN34</f>
        <v>1</v>
      </c>
      <c r="AQ34" s="58">
        <f>AP34+AO34</f>
        <v>1</v>
      </c>
      <c r="AR34" s="48"/>
      <c r="AS34" s="50"/>
      <c r="AT34" s="50"/>
      <c r="AU34" s="50"/>
      <c r="AV34" s="56">
        <f>AR34*3+AT34</f>
        <v>0</v>
      </c>
      <c r="AW34" s="56">
        <f>AS34*3+AU34</f>
        <v>0</v>
      </c>
      <c r="AX34" s="58">
        <f>AW34+AV34</f>
        <v>0</v>
      </c>
      <c r="AY34" s="61">
        <f>AO34+AH34+AA34</f>
        <v>7</v>
      </c>
      <c r="AZ34" s="61">
        <f>AP34+AI34+AB34</f>
        <v>1</v>
      </c>
      <c r="BA34" s="62">
        <f>AZ34+AY34</f>
        <v>8</v>
      </c>
      <c r="BB34" s="62">
        <f>SUM(AQ34,AJ34,AC34,V34,O34,AX34)</f>
        <v>8</v>
      </c>
    </row>
    <row r="35" spans="1:54" x14ac:dyDescent="0.25">
      <c r="A35" s="48" t="s">
        <v>107</v>
      </c>
      <c r="B35" s="49" t="s">
        <v>74</v>
      </c>
      <c r="C35" s="49" t="str">
        <f>B35&amp;" "&amp;A35</f>
        <v>סופיה אחודה</v>
      </c>
      <c r="D35" s="50" t="s">
        <v>7</v>
      </c>
      <c r="E35" s="50" t="s">
        <v>7</v>
      </c>
      <c r="F35" s="51"/>
      <c r="G35" s="65">
        <v>43659</v>
      </c>
      <c r="H35" s="53"/>
      <c r="I35" s="54"/>
      <c r="J35" s="55"/>
      <c r="K35" s="55"/>
      <c r="L35" s="55"/>
      <c r="M35" s="56">
        <f>I35*3+K35</f>
        <v>0</v>
      </c>
      <c r="N35" s="56">
        <f>J35*3+L35</f>
        <v>0</v>
      </c>
      <c r="O35" s="57">
        <f>N35+M35</f>
        <v>0</v>
      </c>
      <c r="P35" s="48"/>
      <c r="Q35" s="50"/>
      <c r="R35" s="50"/>
      <c r="S35" s="50"/>
      <c r="T35" s="56">
        <f>P35*3+R35</f>
        <v>0</v>
      </c>
      <c r="U35" s="56">
        <f>Q35*3+S35</f>
        <v>0</v>
      </c>
      <c r="V35" s="58">
        <f>U35+T35</f>
        <v>0</v>
      </c>
      <c r="W35" s="48"/>
      <c r="X35" s="50"/>
      <c r="Y35" s="50"/>
      <c r="Z35" s="50"/>
      <c r="AA35" s="59">
        <f>W35*3+Y35</f>
        <v>0</v>
      </c>
      <c r="AB35" s="59">
        <f>X35*3+Z35</f>
        <v>0</v>
      </c>
      <c r="AC35" s="60">
        <f>AB35+AA35</f>
        <v>0</v>
      </c>
      <c r="AD35" s="48"/>
      <c r="AE35" s="50">
        <v>1</v>
      </c>
      <c r="AF35" s="50"/>
      <c r="AG35" s="50">
        <v>1</v>
      </c>
      <c r="AH35" s="56">
        <f>AD35*3+AF35</f>
        <v>0</v>
      </c>
      <c r="AI35" s="56">
        <f>AE35*3+AG35</f>
        <v>4</v>
      </c>
      <c r="AJ35" s="58">
        <f>AI35+AH35</f>
        <v>4</v>
      </c>
      <c r="AK35" s="48"/>
      <c r="AL35" s="50">
        <v>1</v>
      </c>
      <c r="AM35" s="50"/>
      <c r="AN35" s="50">
        <v>1</v>
      </c>
      <c r="AO35" s="56">
        <f>AK35*3+AM35</f>
        <v>0</v>
      </c>
      <c r="AP35" s="56">
        <f>AL35*3+AN35</f>
        <v>4</v>
      </c>
      <c r="AQ35" s="58">
        <f>AP35+AO35</f>
        <v>4</v>
      </c>
      <c r="AR35" s="48"/>
      <c r="AS35" s="50"/>
      <c r="AT35" s="50"/>
      <c r="AU35" s="50"/>
      <c r="AV35" s="56">
        <f>AR35*3+AT35</f>
        <v>0</v>
      </c>
      <c r="AW35" s="56">
        <f>AS35*3+AU35</f>
        <v>0</v>
      </c>
      <c r="AX35" s="58">
        <f>AW35+AV35</f>
        <v>0</v>
      </c>
      <c r="AY35" s="61">
        <f>AO35+AH35+AA35</f>
        <v>0</v>
      </c>
      <c r="AZ35" s="61">
        <f>AP35+AI35+AB35</f>
        <v>8</v>
      </c>
      <c r="BA35" s="62">
        <f>AZ35+AY35</f>
        <v>8</v>
      </c>
      <c r="BB35" s="62">
        <f>SUM(AQ35,AJ35,AC35,V35,O35,AX35)</f>
        <v>8</v>
      </c>
    </row>
    <row r="36" spans="1:54" x14ac:dyDescent="0.25">
      <c r="A36" s="48" t="s">
        <v>22</v>
      </c>
      <c r="B36" s="49" t="s">
        <v>80</v>
      </c>
      <c r="C36" s="49" t="str">
        <f>B36&amp;" "&amp;A36</f>
        <v>שר מפאוג</v>
      </c>
      <c r="D36" s="50" t="s">
        <v>6</v>
      </c>
      <c r="E36" s="87" t="s">
        <v>7</v>
      </c>
      <c r="F36" s="51"/>
      <c r="G36" s="65">
        <v>43560</v>
      </c>
      <c r="H36" s="53"/>
      <c r="I36" s="54"/>
      <c r="J36" s="55"/>
      <c r="K36" s="55"/>
      <c r="L36" s="55"/>
      <c r="M36" s="56">
        <f>I36*3+K36</f>
        <v>0</v>
      </c>
      <c r="N36" s="56">
        <f>J36*3+L36</f>
        <v>0</v>
      </c>
      <c r="O36" s="57">
        <f>N36+M36</f>
        <v>0</v>
      </c>
      <c r="P36" s="48"/>
      <c r="Q36" s="50"/>
      <c r="R36" s="50"/>
      <c r="S36" s="50"/>
      <c r="T36" s="56">
        <f>P36*3+R36</f>
        <v>0</v>
      </c>
      <c r="U36" s="56">
        <f>Q36*3+S36</f>
        <v>0</v>
      </c>
      <c r="V36" s="58">
        <f>U36+T36</f>
        <v>0</v>
      </c>
      <c r="W36" s="48"/>
      <c r="X36" s="50"/>
      <c r="Y36" s="50"/>
      <c r="Z36" s="50"/>
      <c r="AA36" s="59">
        <f>W36*3+Y36</f>
        <v>0</v>
      </c>
      <c r="AB36" s="59">
        <f>X36*3+Z36</f>
        <v>0</v>
      </c>
      <c r="AC36" s="60">
        <f>AB36+AA36</f>
        <v>0</v>
      </c>
      <c r="AD36" s="48"/>
      <c r="AE36" s="50"/>
      <c r="AF36" s="50">
        <v>2</v>
      </c>
      <c r="AG36" s="50"/>
      <c r="AH36" s="56">
        <f>AD36*3+AF36</f>
        <v>2</v>
      </c>
      <c r="AI36" s="56">
        <f>AE36*3+AG36</f>
        <v>0</v>
      </c>
      <c r="AJ36" s="58">
        <f>AI36+AH36</f>
        <v>2</v>
      </c>
      <c r="AK36" s="48">
        <v>1</v>
      </c>
      <c r="AL36" s="50"/>
      <c r="AM36" s="50">
        <v>3</v>
      </c>
      <c r="AN36" s="50"/>
      <c r="AO36" s="56">
        <f>AK36*3+AM36</f>
        <v>6</v>
      </c>
      <c r="AP36" s="56">
        <f>AL36*3+AN36</f>
        <v>0</v>
      </c>
      <c r="AQ36" s="58">
        <f>AP36+AO36</f>
        <v>6</v>
      </c>
      <c r="AR36" s="48"/>
      <c r="AS36" s="50"/>
      <c r="AT36" s="50"/>
      <c r="AU36" s="50"/>
      <c r="AV36" s="56">
        <f>AR36*3+AT36</f>
        <v>0</v>
      </c>
      <c r="AW36" s="56">
        <f>AS36*3+AU36</f>
        <v>0</v>
      </c>
      <c r="AX36" s="58">
        <f>AW36+AV36</f>
        <v>0</v>
      </c>
      <c r="AY36" s="61">
        <f>AO36+AH36+AA36</f>
        <v>8</v>
      </c>
      <c r="AZ36" s="61">
        <f>AP36+AI36+AB36</f>
        <v>0</v>
      </c>
      <c r="BA36" s="62">
        <f>AZ36+AY36</f>
        <v>8</v>
      </c>
      <c r="BB36" s="62">
        <f>SUM(AQ36,AJ36,AC36,V36,O36,AX36)</f>
        <v>8</v>
      </c>
    </row>
    <row r="37" spans="1:54" x14ac:dyDescent="0.25">
      <c r="A37" s="48">
        <v>679</v>
      </c>
      <c r="B37" s="49" t="s">
        <v>81</v>
      </c>
      <c r="C37" s="49" t="str">
        <f>B37&amp;" "&amp;A37</f>
        <v>אלכס 679</v>
      </c>
      <c r="D37" s="50" t="s">
        <v>6</v>
      </c>
      <c r="E37" s="87" t="s">
        <v>7</v>
      </c>
      <c r="F37" s="51"/>
      <c r="G37" s="65">
        <v>43661</v>
      </c>
      <c r="H37" s="53"/>
      <c r="I37" s="54"/>
      <c r="J37" s="55"/>
      <c r="K37" s="55"/>
      <c r="L37" s="55"/>
      <c r="M37" s="56">
        <f>I37*3+K37</f>
        <v>0</v>
      </c>
      <c r="N37" s="56">
        <f>J37*3+L37</f>
        <v>0</v>
      </c>
      <c r="O37" s="57">
        <f>N37+M37</f>
        <v>0</v>
      </c>
      <c r="P37" s="48"/>
      <c r="Q37" s="50"/>
      <c r="R37" s="50"/>
      <c r="S37" s="50"/>
      <c r="T37" s="56">
        <f>P37*3+R37</f>
        <v>0</v>
      </c>
      <c r="U37" s="56">
        <f>Q37*3+S37</f>
        <v>0</v>
      </c>
      <c r="V37" s="58">
        <f>U37+T37</f>
        <v>0</v>
      </c>
      <c r="W37" s="48"/>
      <c r="X37" s="50"/>
      <c r="Y37" s="50"/>
      <c r="Z37" s="50"/>
      <c r="AA37" s="59">
        <f>W37*3+Y37</f>
        <v>0</v>
      </c>
      <c r="AB37" s="59">
        <f>X37*3+Z37</f>
        <v>0</v>
      </c>
      <c r="AC37" s="60">
        <f>AB37+AA37</f>
        <v>0</v>
      </c>
      <c r="AD37" s="48">
        <v>1</v>
      </c>
      <c r="AE37" s="50"/>
      <c r="AF37" s="50"/>
      <c r="AG37" s="50"/>
      <c r="AH37" s="56">
        <f>AD37*3+AF37</f>
        <v>3</v>
      </c>
      <c r="AI37" s="56">
        <f>AE37*3+AG37</f>
        <v>0</v>
      </c>
      <c r="AJ37" s="58">
        <f>AI37+AH37</f>
        <v>3</v>
      </c>
      <c r="AK37" s="48"/>
      <c r="AL37" s="50"/>
      <c r="AM37" s="50">
        <v>4</v>
      </c>
      <c r="AN37" s="50"/>
      <c r="AO37" s="56">
        <f>AK37*3+AM37</f>
        <v>4</v>
      </c>
      <c r="AP37" s="56">
        <f>AL37*3+AN37</f>
        <v>0</v>
      </c>
      <c r="AQ37" s="58">
        <f>AP37+AO37</f>
        <v>4</v>
      </c>
      <c r="AR37" s="48"/>
      <c r="AS37" s="50"/>
      <c r="AT37" s="50"/>
      <c r="AU37" s="50"/>
      <c r="AV37" s="56">
        <f>AR37*3+AT37</f>
        <v>0</v>
      </c>
      <c r="AW37" s="56">
        <f>AS37*3+AU37</f>
        <v>0</v>
      </c>
      <c r="AX37" s="58">
        <f>AW37+AV37</f>
        <v>0</v>
      </c>
      <c r="AY37" s="61">
        <f>AO37+AH37+AA37</f>
        <v>7</v>
      </c>
      <c r="AZ37" s="61">
        <f>AP37+AI37+AB37</f>
        <v>0</v>
      </c>
      <c r="BA37" s="62">
        <f>AZ37+AY37</f>
        <v>7</v>
      </c>
      <c r="BB37" s="62">
        <f>SUM(AQ37,AJ37,AC37,V37,O37,AX37)</f>
        <v>7</v>
      </c>
    </row>
    <row r="38" spans="1:54" x14ac:dyDescent="0.25">
      <c r="A38" s="48">
        <v>9</v>
      </c>
      <c r="B38" s="49" t="s">
        <v>20</v>
      </c>
      <c r="C38" s="49" t="str">
        <f>B38&amp;" "&amp;A38</f>
        <v>שקד 9</v>
      </c>
      <c r="D38" s="50" t="s">
        <v>6</v>
      </c>
      <c r="E38" s="87" t="s">
        <v>7</v>
      </c>
      <c r="F38" s="51" t="s">
        <v>135</v>
      </c>
      <c r="G38" s="52" t="s">
        <v>136</v>
      </c>
      <c r="H38" s="53" t="s">
        <v>136</v>
      </c>
      <c r="I38" s="54"/>
      <c r="J38" s="55"/>
      <c r="K38" s="55"/>
      <c r="L38" s="55"/>
      <c r="M38" s="56">
        <f>I38*3+K38</f>
        <v>0</v>
      </c>
      <c r="N38" s="56">
        <f>J38*3+L38</f>
        <v>0</v>
      </c>
      <c r="O38" s="57">
        <f>N38+M38</f>
        <v>0</v>
      </c>
      <c r="P38" s="48"/>
      <c r="Q38" s="50"/>
      <c r="R38" s="50"/>
      <c r="S38" s="50"/>
      <c r="T38" s="56">
        <f>P38*3+R38</f>
        <v>0</v>
      </c>
      <c r="U38" s="56">
        <f>Q38*3+S38</f>
        <v>0</v>
      </c>
      <c r="V38" s="58">
        <f>U38+T38</f>
        <v>0</v>
      </c>
      <c r="W38" s="48"/>
      <c r="X38" s="50"/>
      <c r="Y38" s="50"/>
      <c r="Z38" s="50"/>
      <c r="AA38" s="59">
        <f>W38*3+Y38</f>
        <v>0</v>
      </c>
      <c r="AB38" s="59">
        <f>X38*3+Z38</f>
        <v>0</v>
      </c>
      <c r="AC38" s="60">
        <f>AB38+AA38</f>
        <v>0</v>
      </c>
      <c r="AD38" s="48"/>
      <c r="AE38" s="50"/>
      <c r="AF38" s="50">
        <v>1</v>
      </c>
      <c r="AG38" s="50"/>
      <c r="AH38" s="56">
        <f>AD38*3+AF38</f>
        <v>1</v>
      </c>
      <c r="AI38" s="56">
        <f>AE38*3+AG38</f>
        <v>0</v>
      </c>
      <c r="AJ38" s="58">
        <f>AI38+AH38</f>
        <v>1</v>
      </c>
      <c r="AK38" s="48">
        <v>1</v>
      </c>
      <c r="AL38" s="50"/>
      <c r="AM38" s="50">
        <v>2</v>
      </c>
      <c r="AN38" s="50"/>
      <c r="AO38" s="56">
        <f>AK38*3+AM38</f>
        <v>5</v>
      </c>
      <c r="AP38" s="56">
        <f>AL38*3+AN38</f>
        <v>0</v>
      </c>
      <c r="AQ38" s="58">
        <f>AP38+AO38</f>
        <v>5</v>
      </c>
      <c r="AR38" s="48"/>
      <c r="AS38" s="50"/>
      <c r="AT38" s="50"/>
      <c r="AU38" s="50"/>
      <c r="AV38" s="56">
        <f>AR38*3+AT38</f>
        <v>0</v>
      </c>
      <c r="AW38" s="56">
        <f>AS38*3+AU38</f>
        <v>0</v>
      </c>
      <c r="AX38" s="58">
        <f>AW38+AV38</f>
        <v>0</v>
      </c>
      <c r="AY38" s="61">
        <f>AO38+AH38+AA38</f>
        <v>6</v>
      </c>
      <c r="AZ38" s="61">
        <f>AP38+AI38+AB38</f>
        <v>0</v>
      </c>
      <c r="BA38" s="62">
        <f>AZ38+AY38</f>
        <v>6</v>
      </c>
      <c r="BB38" s="62">
        <f>SUM(AQ38,AJ38,AC38,V38,O38,AX38)</f>
        <v>6</v>
      </c>
    </row>
    <row r="39" spans="1:54" x14ac:dyDescent="0.25">
      <c r="A39" s="48">
        <v>209</v>
      </c>
      <c r="B39" s="49" t="s">
        <v>137</v>
      </c>
      <c r="C39" s="49" t="str">
        <f>B39&amp;" "&amp;A39</f>
        <v>גילי 209</v>
      </c>
      <c r="D39" s="50" t="s">
        <v>7</v>
      </c>
      <c r="E39" s="87" t="s">
        <v>7</v>
      </c>
      <c r="F39" s="52" t="s">
        <v>138</v>
      </c>
      <c r="G39" s="63" t="s">
        <v>105</v>
      </c>
      <c r="H39" s="53" t="s">
        <v>139</v>
      </c>
      <c r="I39" s="54"/>
      <c r="J39" s="55"/>
      <c r="K39" s="55"/>
      <c r="L39" s="55"/>
      <c r="M39" s="56">
        <f>I39*3+K39</f>
        <v>0</v>
      </c>
      <c r="N39" s="56">
        <f>J39*3+L39</f>
        <v>0</v>
      </c>
      <c r="O39" s="57">
        <f>N39+M39</f>
        <v>0</v>
      </c>
      <c r="P39" s="48"/>
      <c r="Q39" s="50"/>
      <c r="R39" s="50"/>
      <c r="S39" s="50"/>
      <c r="T39" s="56">
        <f>P39*3+R39</f>
        <v>0</v>
      </c>
      <c r="U39" s="56">
        <f>Q39*3+S39</f>
        <v>0</v>
      </c>
      <c r="V39" s="58">
        <f>U39+T39</f>
        <v>0</v>
      </c>
      <c r="W39" s="48"/>
      <c r="X39" s="50"/>
      <c r="Y39" s="50"/>
      <c r="Z39" s="50"/>
      <c r="AA39" s="59">
        <f>W39*3+Y39</f>
        <v>0</v>
      </c>
      <c r="AB39" s="59">
        <f>X39*3+Z39</f>
        <v>0</v>
      </c>
      <c r="AC39" s="60">
        <f>AB39+AA39</f>
        <v>0</v>
      </c>
      <c r="AD39" s="48"/>
      <c r="AE39" s="50"/>
      <c r="AF39" s="50"/>
      <c r="AG39" s="50"/>
      <c r="AH39" s="56">
        <f>AD39*3+AF39</f>
        <v>0</v>
      </c>
      <c r="AI39" s="56">
        <f>AE39*3+AG39</f>
        <v>0</v>
      </c>
      <c r="AJ39" s="58">
        <f>AI39+AH39</f>
        <v>0</v>
      </c>
      <c r="AK39" s="48"/>
      <c r="AL39" s="50">
        <v>1</v>
      </c>
      <c r="AM39" s="50"/>
      <c r="AN39" s="50"/>
      <c r="AO39" s="56">
        <f>AK39*3+AM39</f>
        <v>0</v>
      </c>
      <c r="AP39" s="56">
        <f>AL39*3+AN39</f>
        <v>3</v>
      </c>
      <c r="AQ39" s="58">
        <f>AP39+AO39</f>
        <v>3</v>
      </c>
      <c r="AR39" s="48"/>
      <c r="AS39" s="50">
        <v>1</v>
      </c>
      <c r="AT39" s="50"/>
      <c r="AU39" s="50"/>
      <c r="AV39" s="56">
        <f>AR39*3+AT39</f>
        <v>0</v>
      </c>
      <c r="AW39" s="56">
        <f>AS39*3+AU39</f>
        <v>3</v>
      </c>
      <c r="AX39" s="58">
        <f>AW39+AV39</f>
        <v>3</v>
      </c>
      <c r="AY39" s="61">
        <f>AO39+AH39+AA39</f>
        <v>0</v>
      </c>
      <c r="AZ39" s="61">
        <f>AP39+AI39+AB39</f>
        <v>3</v>
      </c>
      <c r="BA39" s="62">
        <f>AZ39+AY39</f>
        <v>3</v>
      </c>
      <c r="BB39" s="62">
        <f>SUM(AQ39,AJ39,AC39,V39,O39,AX39)</f>
        <v>6</v>
      </c>
    </row>
    <row r="40" spans="1:54" x14ac:dyDescent="0.25">
      <c r="A40" s="48">
        <v>474</v>
      </c>
      <c r="B40" s="49" t="s">
        <v>134</v>
      </c>
      <c r="C40" s="49" t="str">
        <f>B40&amp;" "&amp;A40</f>
        <v>עומר 474</v>
      </c>
      <c r="D40" s="50" t="s">
        <v>6</v>
      </c>
      <c r="E40" s="87" t="s">
        <v>7</v>
      </c>
      <c r="F40" s="51" t="s">
        <v>135</v>
      </c>
      <c r="G40" s="52" t="s">
        <v>136</v>
      </c>
      <c r="H40" s="53" t="s">
        <v>136</v>
      </c>
      <c r="I40" s="54"/>
      <c r="J40" s="55"/>
      <c r="K40" s="55"/>
      <c r="L40" s="55"/>
      <c r="M40" s="56">
        <f>I40*3+K40</f>
        <v>0</v>
      </c>
      <c r="N40" s="56">
        <f>J40*3+L40</f>
        <v>0</v>
      </c>
      <c r="O40" s="57">
        <f>N40+M40</f>
        <v>0</v>
      </c>
      <c r="P40" s="48"/>
      <c r="Q40" s="50"/>
      <c r="R40" s="50"/>
      <c r="S40" s="50"/>
      <c r="T40" s="56">
        <f>P40*3+R40</f>
        <v>0</v>
      </c>
      <c r="U40" s="56">
        <f>Q40*3+S40</f>
        <v>0</v>
      </c>
      <c r="V40" s="58">
        <f>U40+T40</f>
        <v>0</v>
      </c>
      <c r="W40" s="48"/>
      <c r="X40" s="50"/>
      <c r="Y40" s="50"/>
      <c r="Z40" s="50"/>
      <c r="AA40" s="59">
        <f>W40*3+Y40</f>
        <v>0</v>
      </c>
      <c r="AB40" s="59">
        <f>X40*3+Z40</f>
        <v>0</v>
      </c>
      <c r="AC40" s="60">
        <f>AB40+AA40</f>
        <v>0</v>
      </c>
      <c r="AD40" s="48">
        <v>1</v>
      </c>
      <c r="AE40" s="50"/>
      <c r="AF40" s="50">
        <v>1</v>
      </c>
      <c r="AG40" s="50"/>
      <c r="AH40" s="56">
        <f>AD40*3+AF40</f>
        <v>4</v>
      </c>
      <c r="AI40" s="56">
        <f>AE40*3+AG40</f>
        <v>0</v>
      </c>
      <c r="AJ40" s="58">
        <f>AI40+AH40</f>
        <v>4</v>
      </c>
      <c r="AK40" s="48"/>
      <c r="AL40" s="50"/>
      <c r="AM40" s="50">
        <v>2</v>
      </c>
      <c r="AN40" s="50"/>
      <c r="AO40" s="56">
        <f>AK40*3+AM40</f>
        <v>2</v>
      </c>
      <c r="AP40" s="56">
        <f>AL40*3+AN40</f>
        <v>0</v>
      </c>
      <c r="AQ40" s="58">
        <f>AP40+AO40</f>
        <v>2</v>
      </c>
      <c r="AR40" s="48"/>
      <c r="AS40" s="50"/>
      <c r="AT40" s="50"/>
      <c r="AU40" s="50"/>
      <c r="AV40" s="56">
        <f>AR40*3+AT40</f>
        <v>0</v>
      </c>
      <c r="AW40" s="56">
        <f>AS40*3+AU40</f>
        <v>0</v>
      </c>
      <c r="AX40" s="58">
        <f>AW40+AV40</f>
        <v>0</v>
      </c>
      <c r="AY40" s="61">
        <f>AO40+AH40+AA40</f>
        <v>6</v>
      </c>
      <c r="AZ40" s="61">
        <f>AP40+AI40+AB40</f>
        <v>0</v>
      </c>
      <c r="BA40" s="62">
        <f>AZ40+AY40</f>
        <v>6</v>
      </c>
      <c r="BB40" s="62">
        <f>SUM(AQ40,AJ40,AC40,V40,O40,AX40)</f>
        <v>6</v>
      </c>
    </row>
    <row r="41" spans="1:54" ht="15.75" thickBot="1" x14ac:dyDescent="0.3">
      <c r="A41" s="67" t="s">
        <v>107</v>
      </c>
      <c r="B41" s="68" t="s">
        <v>150</v>
      </c>
      <c r="C41" s="68" t="str">
        <f>B41&amp;" "&amp;A41</f>
        <v>דיאנה אחודה</v>
      </c>
      <c r="D41" s="69" t="s">
        <v>6</v>
      </c>
      <c r="E41" s="69" t="s">
        <v>6</v>
      </c>
      <c r="F41" s="117" t="s">
        <v>151</v>
      </c>
      <c r="G41" s="91">
        <v>43291</v>
      </c>
      <c r="H41" s="70" t="s">
        <v>152</v>
      </c>
      <c r="I41" s="71"/>
      <c r="J41" s="72"/>
      <c r="K41" s="72"/>
      <c r="L41" s="72"/>
      <c r="M41" s="73">
        <f>I41*3+K41</f>
        <v>0</v>
      </c>
      <c r="N41" s="73">
        <f>J41*3+L41</f>
        <v>0</v>
      </c>
      <c r="O41" s="74">
        <f>N41+M41</f>
        <v>0</v>
      </c>
      <c r="P41" s="67"/>
      <c r="Q41" s="69"/>
      <c r="R41" s="69"/>
      <c r="S41" s="69"/>
      <c r="T41" s="73">
        <f>P41*3+R41</f>
        <v>0</v>
      </c>
      <c r="U41" s="73">
        <f>Q41*3+S41</f>
        <v>0</v>
      </c>
      <c r="V41" s="75">
        <f>U41+T41</f>
        <v>0</v>
      </c>
      <c r="W41" s="67"/>
      <c r="X41" s="69"/>
      <c r="Y41" s="69"/>
      <c r="Z41" s="69"/>
      <c r="AA41" s="76">
        <f>W41*3+Y41</f>
        <v>0</v>
      </c>
      <c r="AB41" s="76">
        <f>X41*3+Z41</f>
        <v>0</v>
      </c>
      <c r="AC41" s="77">
        <f>AB41+AA41</f>
        <v>0</v>
      </c>
      <c r="AD41" s="67"/>
      <c r="AE41" s="69"/>
      <c r="AF41" s="69"/>
      <c r="AG41" s="69"/>
      <c r="AH41" s="73">
        <f>AD41*3+AF41</f>
        <v>0</v>
      </c>
      <c r="AI41" s="73">
        <f>AE41*3+AG41</f>
        <v>0</v>
      </c>
      <c r="AJ41" s="75">
        <f>AI41+AH41</f>
        <v>0</v>
      </c>
      <c r="AK41" s="67">
        <v>1</v>
      </c>
      <c r="AL41" s="69"/>
      <c r="AM41" s="69">
        <v>1</v>
      </c>
      <c r="AN41" s="69"/>
      <c r="AO41" s="73">
        <f>AK41*3+AM41</f>
        <v>4</v>
      </c>
      <c r="AP41" s="73">
        <f>AL41*3+AN41</f>
        <v>0</v>
      </c>
      <c r="AQ41" s="75">
        <f>AP41+AO41</f>
        <v>4</v>
      </c>
      <c r="AR41" s="67"/>
      <c r="AS41" s="69"/>
      <c r="AT41" s="69"/>
      <c r="AU41" s="69"/>
      <c r="AV41" s="73">
        <f>AR41*3+AT41</f>
        <v>0</v>
      </c>
      <c r="AW41" s="73">
        <f>AS41*3+AU41</f>
        <v>0</v>
      </c>
      <c r="AX41" s="75">
        <f>AW41+AV41</f>
        <v>0</v>
      </c>
      <c r="AY41" s="78">
        <f>AO41+AH41+AA41</f>
        <v>4</v>
      </c>
      <c r="AZ41" s="78">
        <f>AP41+AI41+AB41</f>
        <v>0</v>
      </c>
      <c r="BA41" s="79">
        <f>AZ41+AY41</f>
        <v>4</v>
      </c>
      <c r="BB41" s="62">
        <f>SUM(AQ41,AJ41,AC41,V41,O41,AX41)</f>
        <v>4</v>
      </c>
    </row>
    <row r="42" spans="1:54" x14ac:dyDescent="0.25">
      <c r="A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</row>
    <row r="43" spans="1:54" ht="31.5" x14ac:dyDescent="0.5">
      <c r="A43" s="47"/>
      <c r="C43" s="80" t="s">
        <v>157</v>
      </c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</row>
    <row r="44" spans="1:54" x14ac:dyDescent="0.25">
      <c r="A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</row>
    <row r="45" spans="1:54" x14ac:dyDescent="0.25">
      <c r="A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54" x14ac:dyDescent="0.25">
      <c r="A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54" x14ac:dyDescent="0.25">
      <c r="A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54" x14ac:dyDescent="0.25">
      <c r="A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</row>
    <row r="49" spans="1:52" x14ac:dyDescent="0.25">
      <c r="A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</row>
    <row r="50" spans="1:52" x14ac:dyDescent="0.25">
      <c r="A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</row>
    <row r="51" spans="1:52" x14ac:dyDescent="0.25">
      <c r="A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</row>
    <row r="52" spans="1:52" x14ac:dyDescent="0.25">
      <c r="A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</row>
    <row r="53" spans="1:52" x14ac:dyDescent="0.25">
      <c r="A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</row>
    <row r="54" spans="1:52" x14ac:dyDescent="0.25">
      <c r="A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</row>
    <row r="55" spans="1:52" x14ac:dyDescent="0.25">
      <c r="A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</row>
    <row r="56" spans="1:52" x14ac:dyDescent="0.25">
      <c r="A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</row>
    <row r="57" spans="1:52" x14ac:dyDescent="0.25">
      <c r="A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</row>
    <row r="58" spans="1:52" x14ac:dyDescent="0.25">
      <c r="A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</row>
    <row r="59" spans="1:52" x14ac:dyDescent="0.25">
      <c r="A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</row>
    <row r="60" spans="1:52" x14ac:dyDescent="0.25">
      <c r="A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</row>
    <row r="61" spans="1:52" x14ac:dyDescent="0.25">
      <c r="A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</row>
    <row r="62" spans="1:52" x14ac:dyDescent="0.25">
      <c r="A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</row>
    <row r="63" spans="1:52" x14ac:dyDescent="0.25">
      <c r="A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</row>
    <row r="64" spans="1:52" x14ac:dyDescent="0.25">
      <c r="A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</row>
    <row r="65" spans="1:52" x14ac:dyDescent="0.25">
      <c r="A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</row>
    <row r="66" spans="1:52" x14ac:dyDescent="0.25">
      <c r="A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</row>
    <row r="67" spans="1:52" x14ac:dyDescent="0.25">
      <c r="A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</row>
    <row r="68" spans="1:52" x14ac:dyDescent="0.25">
      <c r="A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</row>
    <row r="69" spans="1:52" x14ac:dyDescent="0.25">
      <c r="A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</row>
    <row r="70" spans="1:52" x14ac:dyDescent="0.25">
      <c r="A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</row>
    <row r="71" spans="1:52" x14ac:dyDescent="0.25">
      <c r="A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</row>
    <row r="72" spans="1:52" x14ac:dyDescent="0.25">
      <c r="A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</row>
    <row r="73" spans="1:52" x14ac:dyDescent="0.25">
      <c r="A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</row>
    <row r="74" spans="1:52" x14ac:dyDescent="0.25">
      <c r="A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</row>
    <row r="75" spans="1:52" x14ac:dyDescent="0.25">
      <c r="A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</row>
    <row r="76" spans="1:52" x14ac:dyDescent="0.25">
      <c r="A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</row>
    <row r="77" spans="1:52" x14ac:dyDescent="0.25">
      <c r="A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</row>
  </sheetData>
  <autoFilter ref="A1:BB41" xr:uid="{82BA9A62-FCED-4658-B12E-E89553FB7D91}">
    <sortState ref="A2:BB41">
      <sortCondition descending="1" ref="BB1:BB41"/>
    </sortState>
  </autoFilter>
  <conditionalFormatting sqref="E106:G1048576 E3:F3 G14 E15:G20 G18:G25 E21:F31 G28:G29 E4:G13 E32:G37 E38:F38 E39:G41">
    <cfRule type="cellIs" dxfId="10" priority="23" operator="equal">
      <formula>"לא"</formula>
    </cfRule>
  </conditionalFormatting>
  <conditionalFormatting sqref="D106:D1048576 D3:D13 D15:D41">
    <cfRule type="cellIs" dxfId="9" priority="22" operator="equal">
      <formula>"כן"</formula>
    </cfRule>
  </conditionalFormatting>
  <conditionalFormatting sqref="P42:V63">
    <cfRule type="cellIs" dxfId="8" priority="16" operator="notEqual">
      <formula>0</formula>
    </cfRule>
  </conditionalFormatting>
  <conditionalFormatting sqref="E2:G2">
    <cfRule type="cellIs" dxfId="7" priority="15" operator="equal">
      <formula>"לא"</formula>
    </cfRule>
  </conditionalFormatting>
  <conditionalFormatting sqref="D2">
    <cfRule type="cellIs" dxfId="6" priority="14" operator="equal">
      <formula>"כן"</formula>
    </cfRule>
  </conditionalFormatting>
  <conditionalFormatting sqref="E14:F14">
    <cfRule type="cellIs" dxfId="5" priority="8" operator="equal">
      <formula>"לא"</formula>
    </cfRule>
  </conditionalFormatting>
  <conditionalFormatting sqref="D14">
    <cfRule type="cellIs" dxfId="4" priority="7" operator="equal">
      <formula>"כן"</formula>
    </cfRule>
  </conditionalFormatting>
  <conditionalFormatting sqref="G3">
    <cfRule type="cellIs" dxfId="3" priority="5" operator="equal">
      <formula>"לא"</formula>
    </cfRule>
  </conditionalFormatting>
  <conditionalFormatting sqref="G26 G31">
    <cfRule type="cellIs" dxfId="2" priority="4" operator="equal">
      <formula>"לא"</formula>
    </cfRule>
  </conditionalFormatting>
  <conditionalFormatting sqref="G27 G30">
    <cfRule type="cellIs" dxfId="1" priority="2" operator="equal">
      <formula>"לא"</formula>
    </cfRule>
  </conditionalFormatting>
  <conditionalFormatting sqref="G38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I37"/>
  <sheetViews>
    <sheetView rightToLeft="1" zoomScale="115" zoomScaleNormal="115" workbookViewId="0"/>
  </sheetViews>
  <sheetFormatPr defaultRowHeight="15" x14ac:dyDescent="0.25"/>
  <cols>
    <col min="1" max="1" width="3" style="4" customWidth="1"/>
    <col min="2" max="16384" width="9.140625" style="4"/>
  </cols>
  <sheetData>
    <row r="1" spans="2:9" ht="15.75" thickBot="1" x14ac:dyDescent="0.3"/>
    <row r="2" spans="2:9" x14ac:dyDescent="0.25">
      <c r="B2" s="5"/>
      <c r="C2" s="6"/>
      <c r="D2" s="6"/>
      <c r="E2" s="6"/>
      <c r="F2" s="6">
        <v>30</v>
      </c>
      <c r="G2" s="6">
        <f t="shared" ref="G2" si="0">F2+1</f>
        <v>31</v>
      </c>
      <c r="H2" s="6">
        <v>1</v>
      </c>
      <c r="I2" s="7">
        <f t="shared" ref="I2" si="1">H2+1</f>
        <v>2</v>
      </c>
    </row>
    <row r="3" spans="2:9" x14ac:dyDescent="0.25">
      <c r="B3" s="8" t="s">
        <v>36</v>
      </c>
      <c r="C3" s="9"/>
      <c r="D3" s="9"/>
      <c r="E3" s="9"/>
      <c r="F3" s="10">
        <v>3</v>
      </c>
      <c r="G3" s="115">
        <v>3</v>
      </c>
      <c r="H3" s="115"/>
      <c r="I3" s="116"/>
    </row>
    <row r="4" spans="2:9" x14ac:dyDescent="0.25">
      <c r="B4" s="8" t="s">
        <v>33</v>
      </c>
      <c r="C4" s="11"/>
      <c r="D4" s="11"/>
      <c r="E4" s="12"/>
      <c r="F4" s="85"/>
      <c r="G4" s="107" t="s">
        <v>115</v>
      </c>
      <c r="H4" s="100"/>
      <c r="I4" s="101"/>
    </row>
    <row r="5" spans="2:9" x14ac:dyDescent="0.25">
      <c r="B5" s="8" t="s">
        <v>34</v>
      </c>
      <c r="C5" s="11"/>
      <c r="D5" s="10"/>
      <c r="E5" s="10"/>
      <c r="F5" s="33"/>
      <c r="G5" s="107" t="s">
        <v>120</v>
      </c>
      <c r="H5" s="100"/>
      <c r="I5" s="101"/>
    </row>
    <row r="6" spans="2:9" x14ac:dyDescent="0.25">
      <c r="B6" s="8" t="s">
        <v>35</v>
      </c>
      <c r="C6" s="10"/>
      <c r="D6" s="11"/>
      <c r="E6" s="9"/>
      <c r="F6" s="86"/>
      <c r="G6" s="110" t="s">
        <v>154</v>
      </c>
      <c r="H6" s="108"/>
      <c r="I6" s="109"/>
    </row>
    <row r="7" spans="2:9" ht="15.75" thickBot="1" x14ac:dyDescent="0.3">
      <c r="B7" s="8" t="s">
        <v>149</v>
      </c>
      <c r="C7" s="9"/>
      <c r="D7" s="9"/>
      <c r="E7" s="13"/>
      <c r="F7" s="84"/>
      <c r="G7" s="107" t="s">
        <v>99</v>
      </c>
      <c r="H7" s="100"/>
      <c r="I7" s="101"/>
    </row>
    <row r="8" spans="2:9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9" x14ac:dyDescent="0.25">
      <c r="B9" s="8" t="s">
        <v>36</v>
      </c>
      <c r="C9" s="9">
        <v>2</v>
      </c>
      <c r="D9" s="9">
        <v>2</v>
      </c>
      <c r="E9" s="9">
        <v>3</v>
      </c>
      <c r="F9" s="10">
        <v>3</v>
      </c>
      <c r="G9" s="115">
        <v>2</v>
      </c>
      <c r="H9" s="115"/>
      <c r="I9" s="116"/>
    </row>
    <row r="10" spans="2:9" x14ac:dyDescent="0.25">
      <c r="B10" s="8" t="s">
        <v>33</v>
      </c>
      <c r="C10" s="11"/>
      <c r="D10" s="11"/>
      <c r="E10" s="12"/>
      <c r="F10" s="12"/>
      <c r="G10" s="110" t="s">
        <v>118</v>
      </c>
      <c r="H10" s="113"/>
      <c r="I10" s="114"/>
    </row>
    <row r="11" spans="2:9" x14ac:dyDescent="0.25">
      <c r="B11" s="8" t="s">
        <v>34</v>
      </c>
      <c r="C11" s="11"/>
      <c r="D11" s="10"/>
      <c r="E11" s="10"/>
      <c r="F11" s="9"/>
      <c r="G11" s="107" t="s">
        <v>95</v>
      </c>
      <c r="H11" s="107"/>
      <c r="I11" s="121"/>
    </row>
    <row r="12" spans="2:9" x14ac:dyDescent="0.25">
      <c r="B12" s="8" t="s">
        <v>35</v>
      </c>
      <c r="C12" s="10"/>
      <c r="D12" s="11"/>
      <c r="E12" s="9"/>
      <c r="F12" s="10"/>
      <c r="G12" s="110" t="s">
        <v>98</v>
      </c>
      <c r="H12" s="110"/>
      <c r="I12" s="122"/>
    </row>
    <row r="13" spans="2:9" ht="15.75" thickBot="1" x14ac:dyDescent="0.3">
      <c r="B13" s="8" t="s">
        <v>149</v>
      </c>
      <c r="C13" s="9"/>
      <c r="D13" s="9"/>
      <c r="E13" s="13"/>
      <c r="F13" s="10"/>
      <c r="G13" s="107" t="s">
        <v>129</v>
      </c>
      <c r="H13" s="115"/>
      <c r="I13" s="116"/>
    </row>
    <row r="14" spans="2:9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9" x14ac:dyDescent="0.25">
      <c r="B15" s="8" t="s">
        <v>36</v>
      </c>
      <c r="C15" s="9">
        <v>2</v>
      </c>
      <c r="D15" s="9">
        <v>2</v>
      </c>
      <c r="E15" s="9">
        <v>3</v>
      </c>
      <c r="F15" s="10">
        <v>3</v>
      </c>
      <c r="G15" s="115">
        <v>3</v>
      </c>
      <c r="H15" s="115"/>
      <c r="I15" s="116"/>
    </row>
    <row r="16" spans="2:9" x14ac:dyDescent="0.25">
      <c r="B16" s="8" t="s">
        <v>33</v>
      </c>
      <c r="C16" s="11"/>
      <c r="D16" s="11"/>
      <c r="E16" s="12"/>
      <c r="F16" s="12"/>
      <c r="G16" s="107" t="s">
        <v>131</v>
      </c>
      <c r="H16" s="115"/>
      <c r="I16" s="116"/>
    </row>
    <row r="17" spans="2:9" x14ac:dyDescent="0.25">
      <c r="B17" s="8" t="s">
        <v>34</v>
      </c>
      <c r="C17" s="11"/>
      <c r="D17" s="10"/>
      <c r="E17" s="10"/>
      <c r="F17" s="9"/>
      <c r="G17" s="110" t="s">
        <v>101</v>
      </c>
      <c r="H17" s="110"/>
      <c r="I17" s="122"/>
    </row>
    <row r="18" spans="2:9" x14ac:dyDescent="0.25">
      <c r="B18" s="8" t="s">
        <v>35</v>
      </c>
      <c r="C18" s="10"/>
      <c r="D18" s="11"/>
      <c r="E18" s="9"/>
      <c r="F18" s="10"/>
      <c r="G18" s="107" t="s">
        <v>155</v>
      </c>
      <c r="H18" s="107"/>
      <c r="I18" s="121"/>
    </row>
    <row r="19" spans="2:9" ht="15.75" thickBot="1" x14ac:dyDescent="0.3">
      <c r="B19" s="8" t="s">
        <v>149</v>
      </c>
      <c r="C19" s="9"/>
      <c r="D19" s="9"/>
      <c r="E19" s="13"/>
      <c r="F19" s="85" t="s">
        <v>129</v>
      </c>
      <c r="G19" s="107" t="s">
        <v>119</v>
      </c>
      <c r="H19" s="115"/>
      <c r="I19" s="116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36</v>
      </c>
      <c r="C21" s="9">
        <v>2</v>
      </c>
      <c r="D21" s="9">
        <v>2</v>
      </c>
      <c r="E21" s="9">
        <v>3</v>
      </c>
      <c r="F21" s="10">
        <v>3</v>
      </c>
      <c r="G21" s="115">
        <v>2</v>
      </c>
      <c r="H21" s="115"/>
      <c r="I21" s="116"/>
    </row>
    <row r="22" spans="2:9" x14ac:dyDescent="0.25">
      <c r="B22" s="8" t="s">
        <v>33</v>
      </c>
      <c r="C22" s="11"/>
      <c r="D22" s="11"/>
      <c r="E22" s="12"/>
      <c r="F22" s="12"/>
      <c r="G22" s="110" t="s">
        <v>116</v>
      </c>
      <c r="H22" s="113"/>
      <c r="I22" s="114"/>
    </row>
    <row r="23" spans="2:9" x14ac:dyDescent="0.25">
      <c r="B23" s="8" t="s">
        <v>34</v>
      </c>
      <c r="C23" s="11"/>
      <c r="D23" s="10"/>
      <c r="E23" s="10"/>
      <c r="F23" s="9"/>
      <c r="G23" s="110" t="s">
        <v>108</v>
      </c>
      <c r="H23" s="110"/>
      <c r="I23" s="122"/>
    </row>
    <row r="24" spans="2:9" x14ac:dyDescent="0.25">
      <c r="B24" s="8" t="s">
        <v>35</v>
      </c>
      <c r="C24" s="10"/>
      <c r="D24" s="11"/>
      <c r="E24" s="9"/>
      <c r="F24" s="10"/>
      <c r="G24" s="107" t="s">
        <v>125</v>
      </c>
      <c r="H24" s="115"/>
      <c r="I24" s="116"/>
    </row>
    <row r="25" spans="2:9" ht="15.75" thickBot="1" x14ac:dyDescent="0.3">
      <c r="B25" s="8" t="s">
        <v>149</v>
      </c>
      <c r="C25" s="9"/>
      <c r="D25" s="9"/>
      <c r="E25" s="13"/>
      <c r="F25" s="85" t="s">
        <v>129</v>
      </c>
      <c r="G25" s="123" t="s">
        <v>113</v>
      </c>
      <c r="H25" s="111"/>
      <c r="I25" s="112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36</v>
      </c>
      <c r="C27" s="9">
        <v>2</v>
      </c>
      <c r="D27" s="9">
        <v>2</v>
      </c>
      <c r="E27" s="9">
        <v>3</v>
      </c>
      <c r="F27" s="10">
        <v>3</v>
      </c>
      <c r="G27" s="115">
        <v>3</v>
      </c>
      <c r="H27" s="115"/>
      <c r="I27" s="116"/>
    </row>
    <row r="28" spans="2:9" x14ac:dyDescent="0.25">
      <c r="B28" s="8" t="s">
        <v>33</v>
      </c>
      <c r="C28" s="11"/>
      <c r="D28" s="11"/>
      <c r="E28" s="12"/>
      <c r="F28" s="12"/>
      <c r="G28" s="107" t="s">
        <v>132</v>
      </c>
      <c r="H28" s="115"/>
      <c r="I28" s="116"/>
    </row>
    <row r="29" spans="2:9" x14ac:dyDescent="0.25">
      <c r="B29" s="8" t="s">
        <v>34</v>
      </c>
      <c r="C29" s="11"/>
      <c r="D29" s="10"/>
      <c r="E29" s="10"/>
      <c r="F29" s="9"/>
      <c r="G29" s="107" t="s">
        <v>126</v>
      </c>
      <c r="H29" s="107"/>
      <c r="I29" s="121"/>
    </row>
    <row r="30" spans="2:9" x14ac:dyDescent="0.25">
      <c r="B30" s="8" t="s">
        <v>35</v>
      </c>
      <c r="C30" s="10"/>
      <c r="D30" s="11"/>
      <c r="E30" s="9"/>
      <c r="F30" s="10"/>
      <c r="G30" s="110" t="s">
        <v>130</v>
      </c>
      <c r="H30" s="110"/>
      <c r="I30" s="122"/>
    </row>
    <row r="31" spans="2:9" ht="15.75" thickBot="1" x14ac:dyDescent="0.3">
      <c r="B31" s="8" t="s">
        <v>149</v>
      </c>
      <c r="C31" s="85" t="s">
        <v>129</v>
      </c>
      <c r="D31" s="14"/>
      <c r="E31" s="14"/>
      <c r="F31" s="85" t="s">
        <v>129</v>
      </c>
      <c r="G31" s="123" t="s">
        <v>167</v>
      </c>
      <c r="H31" s="111"/>
      <c r="I31" s="11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36</v>
      </c>
      <c r="C33" s="9">
        <v>2</v>
      </c>
      <c r="D33" s="9">
        <v>2</v>
      </c>
      <c r="E33" s="9">
        <v>3</v>
      </c>
      <c r="F33" s="10">
        <v>3</v>
      </c>
      <c r="G33" s="115">
        <v>2</v>
      </c>
      <c r="H33" s="115"/>
      <c r="I33" s="116"/>
    </row>
    <row r="34" spans="2:9" x14ac:dyDescent="0.25">
      <c r="B34" s="8" t="s">
        <v>33</v>
      </c>
      <c r="C34" s="11"/>
      <c r="D34" s="11"/>
      <c r="E34" s="12"/>
      <c r="F34" s="12"/>
      <c r="G34" s="110" t="s">
        <v>123</v>
      </c>
      <c r="H34" s="110"/>
      <c r="I34" s="122"/>
    </row>
    <row r="35" spans="2:9" x14ac:dyDescent="0.25">
      <c r="B35" s="8" t="s">
        <v>34</v>
      </c>
      <c r="C35" s="11"/>
      <c r="D35" s="10"/>
      <c r="E35" s="10"/>
      <c r="F35" s="9"/>
      <c r="G35" s="110" t="s">
        <v>154</v>
      </c>
      <c r="H35" s="110"/>
      <c r="I35" s="122"/>
    </row>
    <row r="36" spans="2:9" x14ac:dyDescent="0.25">
      <c r="B36" s="8" t="s">
        <v>35</v>
      </c>
      <c r="C36" s="10"/>
      <c r="D36" s="11"/>
      <c r="E36" s="9"/>
      <c r="F36" s="10"/>
      <c r="G36" s="107" t="s">
        <v>98</v>
      </c>
      <c r="H36" s="107"/>
      <c r="I36" s="121"/>
    </row>
    <row r="37" spans="2:9" ht="15.75" thickBot="1" x14ac:dyDescent="0.3">
      <c r="B37" s="16" t="s">
        <v>149</v>
      </c>
      <c r="C37" s="14"/>
      <c r="D37" s="14"/>
      <c r="E37" s="14"/>
      <c r="F37" s="15"/>
      <c r="G37" s="123" t="s">
        <v>133</v>
      </c>
      <c r="H37" s="123"/>
      <c r="I37" s="125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7" zoomScale="160" zoomScaleNormal="160" workbookViewId="0">
      <selection activeCell="D22" sqref="D22"/>
    </sheetView>
  </sheetViews>
  <sheetFormatPr defaultRowHeight="15" x14ac:dyDescent="0.25"/>
  <cols>
    <col min="1" max="1" width="10.140625" style="27" bestFit="1" customWidth="1"/>
    <col min="2" max="2" width="12" style="27" customWidth="1"/>
    <col min="3" max="3" width="10.85546875" style="27" bestFit="1" customWidth="1"/>
    <col min="4" max="4" width="10.140625" style="27" customWidth="1"/>
    <col min="5" max="5" width="9.28515625" style="27" bestFit="1" customWidth="1"/>
    <col min="6" max="16384" width="9.140625" style="27"/>
  </cols>
  <sheetData>
    <row r="1" spans="1:8" x14ac:dyDescent="0.25">
      <c r="A1" s="24"/>
      <c r="B1" s="25"/>
      <c r="C1" s="25"/>
      <c r="D1" s="25"/>
      <c r="E1" s="25">
        <v>1</v>
      </c>
      <c r="F1" s="25">
        <v>2</v>
      </c>
      <c r="G1" s="25">
        <v>3</v>
      </c>
      <c r="H1" s="26">
        <v>4</v>
      </c>
    </row>
    <row r="2" spans="1:8" x14ac:dyDescent="0.25">
      <c r="A2" s="28" t="s">
        <v>36</v>
      </c>
      <c r="B2" s="29"/>
      <c r="C2" s="29"/>
      <c r="D2" s="29"/>
      <c r="E2" s="30">
        <v>3</v>
      </c>
      <c r="F2" s="100">
        <v>3</v>
      </c>
      <c r="G2" s="100"/>
      <c r="H2" s="101"/>
    </row>
    <row r="3" spans="1:8" x14ac:dyDescent="0.25">
      <c r="A3" s="28" t="s">
        <v>33</v>
      </c>
      <c r="B3" s="32"/>
      <c r="C3" s="32"/>
      <c r="D3" s="33"/>
      <c r="E3" s="33" t="s">
        <v>109</v>
      </c>
      <c r="F3" s="100" t="s">
        <v>117</v>
      </c>
      <c r="G3" s="100"/>
      <c r="H3" s="101"/>
    </row>
    <row r="4" spans="1:8" x14ac:dyDescent="0.25">
      <c r="A4" s="28" t="s">
        <v>34</v>
      </c>
      <c r="B4" s="32"/>
      <c r="C4" s="30"/>
      <c r="D4" s="30"/>
      <c r="E4" s="29" t="s">
        <v>132</v>
      </c>
      <c r="F4" s="102" t="s">
        <v>96</v>
      </c>
      <c r="G4" s="103"/>
      <c r="H4" s="104"/>
    </row>
    <row r="5" spans="1:8" x14ac:dyDescent="0.25">
      <c r="A5" s="28" t="s">
        <v>35</v>
      </c>
      <c r="B5" s="30"/>
      <c r="C5" s="32"/>
      <c r="D5" s="29"/>
      <c r="E5" s="30" t="s">
        <v>125</v>
      </c>
      <c r="F5" s="105" t="s">
        <v>128</v>
      </c>
      <c r="G5" s="105"/>
      <c r="H5" s="106"/>
    </row>
    <row r="6" spans="1:8" ht="15.75" thickBot="1" x14ac:dyDescent="0.3">
      <c r="A6" s="28" t="s">
        <v>93</v>
      </c>
      <c r="B6" s="29"/>
      <c r="C6" s="29"/>
      <c r="D6" s="34"/>
      <c r="E6" s="30" t="s">
        <v>141</v>
      </c>
      <c r="F6" s="107" t="s">
        <v>140</v>
      </c>
      <c r="G6" s="100"/>
      <c r="H6" s="101"/>
    </row>
    <row r="7" spans="1:8" x14ac:dyDescent="0.25">
      <c r="A7" s="24"/>
      <c r="B7" s="25">
        <v>5</v>
      </c>
      <c r="C7" s="25">
        <f>B7+1</f>
        <v>6</v>
      </c>
      <c r="D7" s="25">
        <f t="shared" ref="D7:H7" si="0">C7+1</f>
        <v>7</v>
      </c>
      <c r="E7" s="25">
        <f t="shared" si="0"/>
        <v>8</v>
      </c>
      <c r="F7" s="25">
        <f t="shared" si="0"/>
        <v>9</v>
      </c>
      <c r="G7" s="25">
        <f t="shared" si="0"/>
        <v>10</v>
      </c>
      <c r="H7" s="26">
        <f t="shared" si="0"/>
        <v>11</v>
      </c>
    </row>
    <row r="8" spans="1:8" x14ac:dyDescent="0.25">
      <c r="A8" s="28" t="s">
        <v>36</v>
      </c>
      <c r="B8" s="29">
        <v>2</v>
      </c>
      <c r="C8" s="29">
        <v>2</v>
      </c>
      <c r="D8" s="29">
        <v>3</v>
      </c>
      <c r="E8" s="30">
        <v>3</v>
      </c>
      <c r="F8" s="100">
        <v>2</v>
      </c>
      <c r="G8" s="100"/>
      <c r="H8" s="101"/>
    </row>
    <row r="9" spans="1:8" x14ac:dyDescent="0.25">
      <c r="A9" s="28" t="s">
        <v>33</v>
      </c>
      <c r="B9" s="18" t="s">
        <v>125</v>
      </c>
      <c r="C9" s="19" t="s">
        <v>113</v>
      </c>
      <c r="D9" s="20" t="s">
        <v>131</v>
      </c>
      <c r="E9" s="19" t="s">
        <v>125</v>
      </c>
      <c r="F9" s="108" t="s">
        <v>116</v>
      </c>
      <c r="G9" s="108"/>
      <c r="H9" s="109"/>
    </row>
    <row r="10" spans="1:8" x14ac:dyDescent="0.25">
      <c r="A10" s="28" t="s">
        <v>34</v>
      </c>
      <c r="B10" s="19" t="s">
        <v>109</v>
      </c>
      <c r="C10" s="22" t="s">
        <v>101</v>
      </c>
      <c r="D10" s="32" t="s">
        <v>108</v>
      </c>
      <c r="E10" s="29" t="s">
        <v>111</v>
      </c>
      <c r="F10" s="108" t="s">
        <v>130</v>
      </c>
      <c r="G10" s="108"/>
      <c r="H10" s="109"/>
    </row>
    <row r="11" spans="1:8" x14ac:dyDescent="0.25">
      <c r="A11" s="28" t="s">
        <v>35</v>
      </c>
      <c r="B11" s="23" t="s">
        <v>131</v>
      </c>
      <c r="C11" s="19" t="s">
        <v>120</v>
      </c>
      <c r="D11" s="22" t="s">
        <v>96</v>
      </c>
      <c r="E11" s="31" t="s">
        <v>114</v>
      </c>
      <c r="F11" s="100" t="s">
        <v>112</v>
      </c>
      <c r="G11" s="100"/>
      <c r="H11" s="101"/>
    </row>
    <row r="12" spans="1:8" ht="15.75" thickBot="1" x14ac:dyDescent="0.3">
      <c r="A12" s="28" t="s">
        <v>93</v>
      </c>
      <c r="B12" s="29" t="s">
        <v>129</v>
      </c>
      <c r="C12" s="29" t="s">
        <v>100</v>
      </c>
      <c r="D12" s="34" t="s">
        <v>103</v>
      </c>
      <c r="E12" s="29" t="s">
        <v>140</v>
      </c>
      <c r="F12" s="100" t="s">
        <v>141</v>
      </c>
      <c r="G12" s="100"/>
      <c r="H12" s="101"/>
    </row>
    <row r="13" spans="1:8" x14ac:dyDescent="0.25">
      <c r="A13" s="24"/>
      <c r="B13" s="25">
        <f>B7+7</f>
        <v>12</v>
      </c>
      <c r="C13" s="25">
        <f>B13+1</f>
        <v>13</v>
      </c>
      <c r="D13" s="25">
        <f t="shared" ref="D13:G13" si="1">C13+1</f>
        <v>14</v>
      </c>
      <c r="E13" s="25">
        <f t="shared" si="1"/>
        <v>15</v>
      </c>
      <c r="F13" s="25">
        <f t="shared" si="1"/>
        <v>16</v>
      </c>
      <c r="G13" s="25">
        <f t="shared" si="1"/>
        <v>17</v>
      </c>
      <c r="H13" s="26">
        <f>G13+1</f>
        <v>18</v>
      </c>
    </row>
    <row r="14" spans="1:8" x14ac:dyDescent="0.25">
      <c r="A14" s="28" t="s">
        <v>36</v>
      </c>
      <c r="B14" s="29">
        <v>2</v>
      </c>
      <c r="C14" s="29">
        <v>2</v>
      </c>
      <c r="D14" s="29">
        <v>3</v>
      </c>
      <c r="E14" s="30">
        <v>3</v>
      </c>
      <c r="F14" s="100">
        <v>3</v>
      </c>
      <c r="G14" s="100"/>
      <c r="H14" s="101"/>
    </row>
    <row r="15" spans="1:8" x14ac:dyDescent="0.25">
      <c r="A15" s="28" t="s">
        <v>33</v>
      </c>
      <c r="B15" s="20" t="s">
        <v>125</v>
      </c>
      <c r="C15" s="32" t="s">
        <v>121</v>
      </c>
      <c r="D15" s="20" t="s">
        <v>111</v>
      </c>
      <c r="E15" s="18" t="s">
        <v>114</v>
      </c>
      <c r="F15" s="100" t="s">
        <v>122</v>
      </c>
      <c r="G15" s="100"/>
      <c r="H15" s="101"/>
    </row>
    <row r="16" spans="1:8" x14ac:dyDescent="0.25">
      <c r="A16" s="28" t="s">
        <v>34</v>
      </c>
      <c r="B16" s="32" t="s">
        <v>114</v>
      </c>
      <c r="C16" s="19" t="s">
        <v>118</v>
      </c>
      <c r="D16" s="30" t="s">
        <v>155</v>
      </c>
      <c r="E16" s="30" t="s">
        <v>155</v>
      </c>
      <c r="F16" s="100" t="s">
        <v>97</v>
      </c>
      <c r="G16" s="100"/>
      <c r="H16" s="101"/>
    </row>
    <row r="17" spans="1:8" x14ac:dyDescent="0.25">
      <c r="A17" s="28" t="s">
        <v>35</v>
      </c>
      <c r="B17" s="19" t="s">
        <v>101</v>
      </c>
      <c r="C17" s="20" t="s">
        <v>113</v>
      </c>
      <c r="D17" s="32" t="s">
        <v>98</v>
      </c>
      <c r="E17" s="19" t="s">
        <v>133</v>
      </c>
      <c r="F17" s="108" t="s">
        <v>110</v>
      </c>
      <c r="G17" s="108"/>
      <c r="H17" s="109"/>
    </row>
    <row r="18" spans="1:8" ht="15.75" thickBot="1" x14ac:dyDescent="0.3">
      <c r="A18" s="28" t="s">
        <v>93</v>
      </c>
      <c r="B18" s="29" t="s">
        <v>140</v>
      </c>
      <c r="C18" s="29" t="s">
        <v>100</v>
      </c>
      <c r="D18" s="29" t="s">
        <v>129</v>
      </c>
      <c r="E18" s="29" t="s">
        <v>103</v>
      </c>
      <c r="F18" s="100" t="s">
        <v>153</v>
      </c>
      <c r="G18" s="100"/>
      <c r="H18" s="101"/>
    </row>
    <row r="19" spans="1:8" x14ac:dyDescent="0.25">
      <c r="A19" s="24"/>
      <c r="B19" s="25">
        <f>B13+7</f>
        <v>19</v>
      </c>
      <c r="C19" s="25">
        <f>B19+1</f>
        <v>20</v>
      </c>
      <c r="D19" s="25">
        <f t="shared" ref="D19:H19" si="2">C19+1</f>
        <v>21</v>
      </c>
      <c r="E19" s="25">
        <f t="shared" si="2"/>
        <v>22</v>
      </c>
      <c r="F19" s="25">
        <f t="shared" si="2"/>
        <v>23</v>
      </c>
      <c r="G19" s="25">
        <f t="shared" si="2"/>
        <v>24</v>
      </c>
      <c r="H19" s="26">
        <f t="shared" si="2"/>
        <v>25</v>
      </c>
    </row>
    <row r="20" spans="1:8" x14ac:dyDescent="0.25">
      <c r="A20" s="28" t="s">
        <v>36</v>
      </c>
      <c r="B20" s="29">
        <v>2</v>
      </c>
      <c r="C20" s="29">
        <v>2</v>
      </c>
      <c r="D20" s="29">
        <v>3</v>
      </c>
      <c r="E20" s="30">
        <v>3</v>
      </c>
      <c r="F20" s="100">
        <v>2</v>
      </c>
      <c r="G20" s="100"/>
      <c r="H20" s="101"/>
    </row>
    <row r="21" spans="1:8" x14ac:dyDescent="0.25">
      <c r="A21" s="28" t="s">
        <v>33</v>
      </c>
      <c r="B21" s="19" t="s">
        <v>96</v>
      </c>
      <c r="C21" s="32" t="s">
        <v>132</v>
      </c>
      <c r="D21" s="29" t="s">
        <v>112</v>
      </c>
      <c r="E21" s="32" t="s">
        <v>119</v>
      </c>
      <c r="F21" s="108" t="s">
        <v>126</v>
      </c>
      <c r="G21" s="108"/>
      <c r="H21" s="109"/>
    </row>
    <row r="22" spans="1:8" x14ac:dyDescent="0.25">
      <c r="A22" s="28" t="s">
        <v>34</v>
      </c>
      <c r="B22" s="19" t="s">
        <v>130</v>
      </c>
      <c r="C22" s="86" t="s">
        <v>123</v>
      </c>
      <c r="D22" s="19" t="s">
        <v>120</v>
      </c>
      <c r="E22" s="20" t="s">
        <v>121</v>
      </c>
      <c r="F22" s="110" t="s">
        <v>109</v>
      </c>
      <c r="G22" s="108"/>
      <c r="H22" s="109"/>
    </row>
    <row r="23" spans="1:8" x14ac:dyDescent="0.25">
      <c r="A23" s="28" t="s">
        <v>35</v>
      </c>
      <c r="B23" s="30" t="s">
        <v>119</v>
      </c>
      <c r="C23" s="30" t="s">
        <v>98</v>
      </c>
      <c r="D23" s="20" t="s">
        <v>133</v>
      </c>
      <c r="E23" s="32" t="s">
        <v>101</v>
      </c>
      <c r="F23" s="100" t="s">
        <v>124</v>
      </c>
      <c r="G23" s="100"/>
      <c r="H23" s="101"/>
    </row>
    <row r="24" spans="1:8" x14ac:dyDescent="0.25">
      <c r="A24" s="28" t="s">
        <v>93</v>
      </c>
      <c r="B24" s="29" t="s">
        <v>141</v>
      </c>
      <c r="C24" s="29" t="s">
        <v>95</v>
      </c>
      <c r="D24" s="29" t="s">
        <v>100</v>
      </c>
      <c r="E24" s="37" t="s">
        <v>129</v>
      </c>
      <c r="F24" s="100" t="s">
        <v>102</v>
      </c>
      <c r="G24" s="100"/>
      <c r="H24" s="101"/>
    </row>
    <row r="25" spans="1:8" ht="15.75" thickBot="1" x14ac:dyDescent="0.3">
      <c r="A25" s="28" t="s">
        <v>92</v>
      </c>
      <c r="B25" s="21" t="s">
        <v>94</v>
      </c>
      <c r="C25" s="21" t="s">
        <v>94</v>
      </c>
      <c r="D25" s="21" t="s">
        <v>94</v>
      </c>
      <c r="E25" s="38" t="s">
        <v>141</v>
      </c>
      <c r="F25" s="98" t="s">
        <v>94</v>
      </c>
      <c r="G25" s="98"/>
      <c r="H25" s="99"/>
    </row>
    <row r="26" spans="1:8" x14ac:dyDescent="0.25">
      <c r="A26" s="24"/>
      <c r="B26" s="25">
        <f>B19+7</f>
        <v>26</v>
      </c>
      <c r="C26" s="25">
        <f>B26+1</f>
        <v>27</v>
      </c>
      <c r="D26" s="25">
        <f t="shared" ref="D26:H26" si="3">C26+1</f>
        <v>28</v>
      </c>
      <c r="E26" s="25">
        <f t="shared" si="3"/>
        <v>29</v>
      </c>
      <c r="F26" s="25">
        <f t="shared" si="3"/>
        <v>30</v>
      </c>
      <c r="G26" s="25">
        <v>1</v>
      </c>
      <c r="H26" s="26">
        <f t="shared" si="3"/>
        <v>2</v>
      </c>
    </row>
    <row r="27" spans="1:8" x14ac:dyDescent="0.25">
      <c r="A27" s="28" t="s">
        <v>36</v>
      </c>
      <c r="B27" s="29">
        <v>2</v>
      </c>
      <c r="C27" s="29">
        <v>2</v>
      </c>
      <c r="D27" s="29">
        <v>3</v>
      </c>
      <c r="E27" s="30">
        <v>3</v>
      </c>
      <c r="F27" s="100">
        <v>3</v>
      </c>
      <c r="G27" s="100"/>
      <c r="H27" s="101"/>
    </row>
    <row r="28" spans="1:8" x14ac:dyDescent="0.25">
      <c r="A28" s="28" t="s">
        <v>33</v>
      </c>
      <c r="B28" s="32" t="s">
        <v>130</v>
      </c>
      <c r="C28" s="20" t="s">
        <v>131</v>
      </c>
      <c r="D28" s="20" t="s">
        <v>121</v>
      </c>
      <c r="E28" s="20" t="s">
        <v>133</v>
      </c>
      <c r="F28" s="100" t="s">
        <v>115</v>
      </c>
      <c r="G28" s="100"/>
      <c r="H28" s="101"/>
    </row>
    <row r="29" spans="1:8" x14ac:dyDescent="0.25">
      <c r="A29" s="28" t="s">
        <v>34</v>
      </c>
      <c r="B29" s="20" t="s">
        <v>113</v>
      </c>
      <c r="C29" s="23" t="s">
        <v>118</v>
      </c>
      <c r="D29" s="32" t="s">
        <v>108</v>
      </c>
      <c r="E29" s="33" t="s">
        <v>96</v>
      </c>
      <c r="F29" s="100" t="s">
        <v>120</v>
      </c>
      <c r="G29" s="100"/>
      <c r="H29" s="101"/>
    </row>
    <row r="30" spans="1:8" x14ac:dyDescent="0.25">
      <c r="A30" s="28" t="s">
        <v>35</v>
      </c>
      <c r="B30" s="19" t="s">
        <v>110</v>
      </c>
      <c r="C30" s="23" t="s">
        <v>132</v>
      </c>
      <c r="D30" s="17" t="s">
        <v>101</v>
      </c>
      <c r="E30" s="19" t="s">
        <v>111</v>
      </c>
      <c r="F30" s="108" t="s">
        <v>154</v>
      </c>
      <c r="G30" s="108"/>
      <c r="H30" s="109"/>
    </row>
    <row r="31" spans="1:8" x14ac:dyDescent="0.25">
      <c r="A31" s="28" t="s">
        <v>93</v>
      </c>
      <c r="B31" s="29" t="s">
        <v>104</v>
      </c>
      <c r="C31" s="29" t="s">
        <v>95</v>
      </c>
      <c r="D31" s="29" t="s">
        <v>103</v>
      </c>
      <c r="E31" s="29" t="s">
        <v>100</v>
      </c>
      <c r="F31" s="100" t="s">
        <v>99</v>
      </c>
      <c r="G31" s="100"/>
      <c r="H31" s="101"/>
    </row>
    <row r="32" spans="1:8" ht="15.75" thickBot="1" x14ac:dyDescent="0.3">
      <c r="A32" s="36" t="s">
        <v>92</v>
      </c>
      <c r="B32" s="21" t="s">
        <v>94</v>
      </c>
      <c r="C32" s="21" t="s">
        <v>94</v>
      </c>
      <c r="D32" s="21" t="s">
        <v>153</v>
      </c>
      <c r="E32" s="35" t="s">
        <v>129</v>
      </c>
      <c r="F32" s="96" t="s">
        <v>94</v>
      </c>
      <c r="G32" s="96"/>
      <c r="H32" s="97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77"/>
  <sheetViews>
    <sheetView rightToLeft="1" zoomScale="130" zoomScaleNormal="130" workbookViewId="0">
      <selection activeCell="C2" sqref="C2:D41"/>
    </sheetView>
  </sheetViews>
  <sheetFormatPr defaultRowHeight="15" x14ac:dyDescent="0.25"/>
  <cols>
    <col min="1" max="1" width="7.140625" style="82" customWidth="1"/>
    <col min="2" max="2" width="8" style="47" bestFit="1" customWidth="1"/>
    <col min="3" max="4" width="8" style="47" customWidth="1"/>
    <col min="5" max="7" width="8.42578125" style="81" customWidth="1"/>
    <col min="8" max="8" width="13" style="81" customWidth="1"/>
    <col min="9" max="9" width="13" customWidth="1"/>
    <col min="10" max="11" width="8.42578125" customWidth="1"/>
  </cols>
  <sheetData>
    <row r="1" spans="1:8" ht="45.75" thickBot="1" x14ac:dyDescent="0.3">
      <c r="A1" s="39" t="s">
        <v>0</v>
      </c>
      <c r="B1" s="40" t="s">
        <v>1</v>
      </c>
      <c r="C1" s="118" t="s">
        <v>165</v>
      </c>
      <c r="D1" s="118" t="s">
        <v>166</v>
      </c>
      <c r="E1" s="39" t="s">
        <v>142</v>
      </c>
      <c r="F1" s="40" t="s">
        <v>143</v>
      </c>
      <c r="G1" s="40" t="s">
        <v>144</v>
      </c>
      <c r="H1" s="40" t="s">
        <v>145</v>
      </c>
    </row>
    <row r="2" spans="1:8" x14ac:dyDescent="0.25">
      <c r="A2" s="48">
        <v>9</v>
      </c>
      <c r="B2" s="49" t="s">
        <v>17</v>
      </c>
      <c r="C2" s="119"/>
      <c r="D2" s="119"/>
      <c r="E2" s="48">
        <v>1</v>
      </c>
      <c r="F2" s="50"/>
      <c r="G2" s="50"/>
      <c r="H2" s="50"/>
    </row>
    <row r="3" spans="1:8" x14ac:dyDescent="0.25">
      <c r="A3" s="48">
        <v>9</v>
      </c>
      <c r="B3" s="49" t="s">
        <v>8</v>
      </c>
      <c r="C3" s="119"/>
      <c r="D3" s="119"/>
      <c r="E3" s="48"/>
      <c r="F3" s="50">
        <v>1</v>
      </c>
      <c r="G3" s="50"/>
      <c r="H3" s="50"/>
    </row>
    <row r="4" spans="1:8" x14ac:dyDescent="0.25">
      <c r="A4" s="48">
        <v>9</v>
      </c>
      <c r="B4" s="49" t="s">
        <v>78</v>
      </c>
      <c r="C4" s="119"/>
      <c r="D4" s="119"/>
      <c r="E4" s="48">
        <v>1</v>
      </c>
      <c r="F4" s="50"/>
      <c r="G4" s="50"/>
      <c r="H4" s="50"/>
    </row>
    <row r="5" spans="1:8" x14ac:dyDescent="0.25">
      <c r="A5" s="48">
        <v>9</v>
      </c>
      <c r="B5" s="49" t="s">
        <v>82</v>
      </c>
      <c r="C5" s="119">
        <v>1</v>
      </c>
      <c r="D5" s="119"/>
      <c r="E5" s="48"/>
      <c r="F5" s="50"/>
      <c r="G5" s="50">
        <v>1</v>
      </c>
      <c r="H5" s="50"/>
    </row>
    <row r="6" spans="1:8" x14ac:dyDescent="0.25">
      <c r="A6" s="48">
        <v>9</v>
      </c>
      <c r="B6" s="49" t="s">
        <v>19</v>
      </c>
      <c r="C6" s="119"/>
      <c r="D6" s="119"/>
      <c r="E6" s="48">
        <v>1</v>
      </c>
      <c r="F6" s="50"/>
      <c r="G6" s="50"/>
      <c r="H6" s="50"/>
    </row>
    <row r="7" spans="1:8" x14ac:dyDescent="0.25">
      <c r="A7" s="48">
        <v>9</v>
      </c>
      <c r="B7" s="49" t="s">
        <v>20</v>
      </c>
      <c r="C7" s="119">
        <v>2</v>
      </c>
      <c r="D7" s="119"/>
      <c r="E7" s="48">
        <v>1</v>
      </c>
      <c r="F7" s="50"/>
      <c r="G7" s="50">
        <v>2</v>
      </c>
      <c r="H7" s="50"/>
    </row>
    <row r="8" spans="1:8" x14ac:dyDescent="0.25">
      <c r="A8" s="48">
        <v>11</v>
      </c>
      <c r="B8" s="49" t="s">
        <v>9</v>
      </c>
      <c r="C8" s="119"/>
      <c r="D8" s="119">
        <v>1</v>
      </c>
      <c r="E8" s="48"/>
      <c r="F8" s="50">
        <v>1</v>
      </c>
      <c r="G8" s="50"/>
      <c r="H8" s="50">
        <v>1</v>
      </c>
    </row>
    <row r="9" spans="1:8" x14ac:dyDescent="0.25">
      <c r="A9" s="48">
        <v>11</v>
      </c>
      <c r="B9" s="49" t="s">
        <v>13</v>
      </c>
      <c r="C9" s="119"/>
      <c r="D9" s="119">
        <v>2</v>
      </c>
      <c r="E9" s="48"/>
      <c r="F9" s="50"/>
      <c r="G9" s="50"/>
      <c r="H9" s="50">
        <v>2</v>
      </c>
    </row>
    <row r="10" spans="1:8" x14ac:dyDescent="0.25">
      <c r="A10" s="48">
        <v>11</v>
      </c>
      <c r="B10" s="49" t="s">
        <v>12</v>
      </c>
      <c r="C10" s="119">
        <v>2</v>
      </c>
      <c r="D10" s="119"/>
      <c r="E10" s="48"/>
      <c r="F10" s="50"/>
      <c r="G10" s="50">
        <v>2</v>
      </c>
      <c r="H10" s="50">
        <v>1</v>
      </c>
    </row>
    <row r="11" spans="1:8" x14ac:dyDescent="0.25">
      <c r="A11" s="48">
        <v>11</v>
      </c>
      <c r="B11" s="49" t="s">
        <v>79</v>
      </c>
      <c r="C11" s="119">
        <v>1</v>
      </c>
      <c r="D11" s="119">
        <v>2</v>
      </c>
      <c r="E11" s="48"/>
      <c r="F11" s="50"/>
      <c r="G11" s="50">
        <v>1</v>
      </c>
      <c r="H11" s="50">
        <v>3</v>
      </c>
    </row>
    <row r="12" spans="1:8" x14ac:dyDescent="0.25">
      <c r="A12" s="48">
        <v>11</v>
      </c>
      <c r="B12" s="49" t="s">
        <v>10</v>
      </c>
      <c r="C12" s="119">
        <v>1</v>
      </c>
      <c r="D12" s="119"/>
      <c r="E12" s="48">
        <v>1</v>
      </c>
      <c r="F12" s="50"/>
      <c r="G12" s="50">
        <v>1</v>
      </c>
      <c r="H12" s="50"/>
    </row>
    <row r="13" spans="1:8" x14ac:dyDescent="0.25">
      <c r="A13" s="48">
        <v>11</v>
      </c>
      <c r="B13" s="49" t="s">
        <v>16</v>
      </c>
      <c r="C13" s="119">
        <v>2</v>
      </c>
      <c r="D13" s="119"/>
      <c r="E13" s="48"/>
      <c r="F13" s="50"/>
      <c r="G13" s="50">
        <v>2</v>
      </c>
      <c r="H13" s="50"/>
    </row>
    <row r="14" spans="1:8" x14ac:dyDescent="0.25">
      <c r="A14" s="48">
        <v>11</v>
      </c>
      <c r="B14" s="49" t="s">
        <v>11</v>
      </c>
      <c r="C14" s="119">
        <v>2</v>
      </c>
      <c r="D14" s="119">
        <v>1</v>
      </c>
      <c r="E14" s="48"/>
      <c r="F14" s="50"/>
      <c r="G14" s="50">
        <v>2</v>
      </c>
      <c r="H14" s="50">
        <v>1</v>
      </c>
    </row>
    <row r="15" spans="1:8" x14ac:dyDescent="0.25">
      <c r="A15" s="48">
        <v>209</v>
      </c>
      <c r="B15" s="49" t="s">
        <v>17</v>
      </c>
      <c r="C15" s="119">
        <v>1</v>
      </c>
      <c r="D15" s="119">
        <v>1</v>
      </c>
      <c r="E15" s="48">
        <v>1</v>
      </c>
      <c r="F15" s="50"/>
      <c r="G15" s="50"/>
      <c r="H15" s="50">
        <v>2</v>
      </c>
    </row>
    <row r="16" spans="1:8" x14ac:dyDescent="0.25">
      <c r="A16" s="48">
        <v>209</v>
      </c>
      <c r="B16" s="49" t="s">
        <v>137</v>
      </c>
      <c r="C16" s="119"/>
      <c r="D16" s="119"/>
      <c r="E16" s="48"/>
      <c r="F16" s="50">
        <v>1</v>
      </c>
      <c r="G16" s="50"/>
      <c r="H16" s="50"/>
    </row>
    <row r="17" spans="1:8" x14ac:dyDescent="0.25">
      <c r="A17" s="48">
        <v>209</v>
      </c>
      <c r="B17" s="49" t="s">
        <v>8</v>
      </c>
      <c r="C17" s="119"/>
      <c r="D17" s="119">
        <v>1</v>
      </c>
      <c r="E17" s="48"/>
      <c r="F17" s="50"/>
      <c r="G17" s="50"/>
      <c r="H17" s="50">
        <v>2</v>
      </c>
    </row>
    <row r="18" spans="1:8" x14ac:dyDescent="0.25">
      <c r="A18" s="48">
        <v>209</v>
      </c>
      <c r="B18" s="49" t="s">
        <v>18</v>
      </c>
      <c r="C18" s="119"/>
      <c r="D18" s="119">
        <v>2</v>
      </c>
      <c r="E18" s="48"/>
      <c r="F18" s="50"/>
      <c r="G18" s="50"/>
      <c r="H18" s="50">
        <v>2</v>
      </c>
    </row>
    <row r="19" spans="1:8" x14ac:dyDescent="0.25">
      <c r="A19" s="48">
        <v>209</v>
      </c>
      <c r="B19" s="49" t="s">
        <v>71</v>
      </c>
      <c r="C19" s="119">
        <v>1</v>
      </c>
      <c r="D19" s="119">
        <v>1</v>
      </c>
      <c r="E19" s="48"/>
      <c r="F19" s="50"/>
      <c r="G19" s="50">
        <v>1</v>
      </c>
      <c r="H19" s="50">
        <v>1</v>
      </c>
    </row>
    <row r="20" spans="1:8" x14ac:dyDescent="0.25">
      <c r="A20" s="48">
        <v>474</v>
      </c>
      <c r="B20" s="49" t="s">
        <v>127</v>
      </c>
      <c r="C20" s="119">
        <v>2</v>
      </c>
      <c r="D20" s="119">
        <v>1</v>
      </c>
      <c r="E20" s="48"/>
      <c r="F20" s="50"/>
      <c r="G20" s="50">
        <v>2</v>
      </c>
      <c r="H20" s="50">
        <v>1</v>
      </c>
    </row>
    <row r="21" spans="1:8" x14ac:dyDescent="0.25">
      <c r="A21" s="48">
        <v>474</v>
      </c>
      <c r="B21" s="49" t="s">
        <v>5</v>
      </c>
      <c r="C21" s="119"/>
      <c r="D21" s="119"/>
      <c r="E21" s="48">
        <v>1</v>
      </c>
      <c r="F21" s="50"/>
      <c r="G21" s="50"/>
      <c r="H21" s="50"/>
    </row>
    <row r="22" spans="1:8" x14ac:dyDescent="0.25">
      <c r="A22" s="48">
        <v>474</v>
      </c>
      <c r="B22" s="49" t="s">
        <v>134</v>
      </c>
      <c r="C22" s="119">
        <v>2</v>
      </c>
      <c r="D22" s="119"/>
      <c r="E22" s="48"/>
      <c r="F22" s="50"/>
      <c r="G22" s="50">
        <v>2</v>
      </c>
      <c r="H22" s="50"/>
    </row>
    <row r="23" spans="1:8" x14ac:dyDescent="0.25">
      <c r="A23" s="48">
        <v>679</v>
      </c>
      <c r="B23" s="49" t="s">
        <v>24</v>
      </c>
      <c r="C23" s="119">
        <v>4</v>
      </c>
      <c r="D23" s="119"/>
      <c r="E23" s="48"/>
      <c r="F23" s="50"/>
      <c r="G23" s="50">
        <v>4</v>
      </c>
      <c r="H23" s="50"/>
    </row>
    <row r="24" spans="1:8" x14ac:dyDescent="0.25">
      <c r="A24" s="48">
        <v>679</v>
      </c>
      <c r="B24" s="49" t="s">
        <v>81</v>
      </c>
      <c r="C24" s="119">
        <v>4</v>
      </c>
      <c r="D24" s="119"/>
      <c r="E24" s="48"/>
      <c r="F24" s="50"/>
      <c r="G24" s="50">
        <v>4</v>
      </c>
      <c r="H24" s="50"/>
    </row>
    <row r="25" spans="1:8" x14ac:dyDescent="0.25">
      <c r="A25" s="48">
        <v>679</v>
      </c>
      <c r="B25" s="49" t="s">
        <v>26</v>
      </c>
      <c r="C25" s="119"/>
      <c r="D25" s="119">
        <v>1</v>
      </c>
      <c r="E25" s="48"/>
      <c r="F25" s="50"/>
      <c r="G25" s="50"/>
      <c r="H25" s="50">
        <v>1</v>
      </c>
    </row>
    <row r="26" spans="1:8" x14ac:dyDescent="0.25">
      <c r="A26" s="48">
        <v>679</v>
      </c>
      <c r="B26" s="49" t="s">
        <v>5</v>
      </c>
      <c r="C26" s="119"/>
      <c r="D26" s="119">
        <v>1</v>
      </c>
      <c r="E26" s="48">
        <v>1</v>
      </c>
      <c r="F26" s="50"/>
      <c r="G26" s="50"/>
      <c r="H26" s="50"/>
    </row>
    <row r="27" spans="1:8" x14ac:dyDescent="0.25">
      <c r="A27" s="48">
        <v>679</v>
      </c>
      <c r="B27" s="49" t="s">
        <v>14</v>
      </c>
      <c r="C27" s="119">
        <v>1</v>
      </c>
      <c r="D27" s="119"/>
      <c r="E27" s="48"/>
      <c r="F27" s="50"/>
      <c r="G27" s="50"/>
      <c r="H27" s="50"/>
    </row>
    <row r="28" spans="1:8" x14ac:dyDescent="0.25">
      <c r="A28" s="48">
        <v>679</v>
      </c>
      <c r="B28" s="49" t="s">
        <v>15</v>
      </c>
      <c r="C28" s="119"/>
      <c r="D28" s="119"/>
      <c r="E28" s="48"/>
      <c r="F28" s="50">
        <v>1</v>
      </c>
      <c r="G28" s="50"/>
      <c r="H28" s="50"/>
    </row>
    <row r="29" spans="1:8" x14ac:dyDescent="0.25">
      <c r="A29" s="48">
        <v>679</v>
      </c>
      <c r="B29" s="49" t="s">
        <v>21</v>
      </c>
      <c r="C29" s="119">
        <v>2</v>
      </c>
      <c r="D29" s="119"/>
      <c r="E29" s="48"/>
      <c r="F29" s="50"/>
      <c r="G29" s="50">
        <v>2</v>
      </c>
      <c r="H29" s="50">
        <v>1</v>
      </c>
    </row>
    <row r="30" spans="1:8" x14ac:dyDescent="0.25">
      <c r="A30" s="48" t="s">
        <v>107</v>
      </c>
      <c r="B30" s="49" t="s">
        <v>150</v>
      </c>
      <c r="C30" s="119">
        <v>1</v>
      </c>
      <c r="D30" s="119"/>
      <c r="E30" s="48">
        <v>1</v>
      </c>
      <c r="F30" s="50"/>
      <c r="G30" s="50">
        <v>1</v>
      </c>
      <c r="H30" s="50"/>
    </row>
    <row r="31" spans="1:8" x14ac:dyDescent="0.25">
      <c r="A31" s="48" t="s">
        <v>107</v>
      </c>
      <c r="B31" s="49" t="s">
        <v>72</v>
      </c>
      <c r="C31" s="119"/>
      <c r="D31" s="119">
        <v>1</v>
      </c>
      <c r="E31" s="48"/>
      <c r="F31" s="50"/>
      <c r="G31" s="50"/>
      <c r="H31" s="50"/>
    </row>
    <row r="32" spans="1:8" x14ac:dyDescent="0.25">
      <c r="A32" s="48" t="s">
        <v>107</v>
      </c>
      <c r="B32" s="49" t="s">
        <v>76</v>
      </c>
      <c r="C32" s="119">
        <v>1</v>
      </c>
      <c r="D32" s="119">
        <v>2</v>
      </c>
      <c r="E32" s="48"/>
      <c r="F32" s="50"/>
      <c r="G32" s="50">
        <v>1</v>
      </c>
      <c r="H32" s="50">
        <v>2</v>
      </c>
    </row>
    <row r="33" spans="1:8" x14ac:dyDescent="0.25">
      <c r="A33" s="48" t="s">
        <v>107</v>
      </c>
      <c r="B33" s="49" t="s">
        <v>75</v>
      </c>
      <c r="C33" s="119">
        <v>2</v>
      </c>
      <c r="D33" s="119"/>
      <c r="E33" s="48"/>
      <c r="F33" s="50"/>
      <c r="G33" s="50">
        <v>2</v>
      </c>
      <c r="H33" s="50"/>
    </row>
    <row r="34" spans="1:8" x14ac:dyDescent="0.25">
      <c r="A34" s="48" t="s">
        <v>107</v>
      </c>
      <c r="B34" s="49" t="s">
        <v>90</v>
      </c>
      <c r="C34" s="119"/>
      <c r="D34" s="119">
        <v>2</v>
      </c>
      <c r="E34" s="48"/>
      <c r="F34" s="50">
        <v>1</v>
      </c>
      <c r="G34" s="50"/>
      <c r="H34" s="50">
        <v>2</v>
      </c>
    </row>
    <row r="35" spans="1:8" x14ac:dyDescent="0.25">
      <c r="A35" s="48" t="s">
        <v>107</v>
      </c>
      <c r="B35" s="49" t="s">
        <v>74</v>
      </c>
      <c r="C35" s="119"/>
      <c r="D35" s="119">
        <v>1</v>
      </c>
      <c r="E35" s="48"/>
      <c r="F35" s="50">
        <v>1</v>
      </c>
      <c r="G35" s="50"/>
      <c r="H35" s="50">
        <v>1</v>
      </c>
    </row>
    <row r="36" spans="1:8" x14ac:dyDescent="0.25">
      <c r="A36" s="48" t="s">
        <v>107</v>
      </c>
      <c r="B36" s="49" t="s">
        <v>73</v>
      </c>
      <c r="C36" s="119">
        <v>1</v>
      </c>
      <c r="D36" s="119">
        <v>1</v>
      </c>
      <c r="E36" s="48"/>
      <c r="F36" s="50"/>
      <c r="G36" s="50">
        <v>1</v>
      </c>
      <c r="H36" s="50">
        <v>1</v>
      </c>
    </row>
    <row r="37" spans="1:8" x14ac:dyDescent="0.25">
      <c r="A37" s="48" t="s">
        <v>22</v>
      </c>
      <c r="B37" s="49" t="s">
        <v>27</v>
      </c>
      <c r="C37" s="119"/>
      <c r="D37" s="119"/>
      <c r="E37" s="48"/>
      <c r="F37" s="50"/>
      <c r="G37" s="50">
        <v>2</v>
      </c>
      <c r="H37" s="50">
        <v>1</v>
      </c>
    </row>
    <row r="38" spans="1:8" x14ac:dyDescent="0.25">
      <c r="A38" s="48" t="s">
        <v>22</v>
      </c>
      <c r="B38" s="49" t="s">
        <v>21</v>
      </c>
      <c r="C38" s="119">
        <v>2</v>
      </c>
      <c r="D38" s="119">
        <v>1</v>
      </c>
      <c r="E38" s="48"/>
      <c r="F38" s="50"/>
      <c r="G38" s="50">
        <v>2</v>
      </c>
      <c r="H38" s="50">
        <v>1</v>
      </c>
    </row>
    <row r="39" spans="1:8" x14ac:dyDescent="0.25">
      <c r="A39" s="48" t="s">
        <v>22</v>
      </c>
      <c r="B39" s="49" t="s">
        <v>80</v>
      </c>
      <c r="C39" s="119">
        <v>3</v>
      </c>
      <c r="D39" s="119"/>
      <c r="E39" s="48">
        <v>1</v>
      </c>
      <c r="F39" s="50"/>
      <c r="G39" s="50">
        <v>3</v>
      </c>
      <c r="H39" s="50"/>
    </row>
    <row r="40" spans="1:8" x14ac:dyDescent="0.25">
      <c r="A40" s="48" t="s">
        <v>25</v>
      </c>
      <c r="B40" s="49" t="s">
        <v>23</v>
      </c>
      <c r="C40" s="119"/>
      <c r="D40" s="119"/>
      <c r="E40" s="48"/>
      <c r="F40" s="50"/>
      <c r="G40" s="50"/>
      <c r="H40" s="50"/>
    </row>
    <row r="41" spans="1:8" ht="15.75" thickBot="1" x14ac:dyDescent="0.3">
      <c r="A41" s="67" t="s">
        <v>25</v>
      </c>
      <c r="B41" s="68" t="s">
        <v>21</v>
      </c>
      <c r="C41" s="120">
        <v>2</v>
      </c>
      <c r="D41" s="120">
        <v>1</v>
      </c>
      <c r="E41" s="67"/>
      <c r="F41" s="69"/>
      <c r="G41" s="69">
        <v>2</v>
      </c>
      <c r="H41" s="69">
        <v>1</v>
      </c>
    </row>
    <row r="42" spans="1:8" x14ac:dyDescent="0.25">
      <c r="A42" s="47"/>
      <c r="E42" s="47"/>
      <c r="F42" s="47"/>
      <c r="G42" s="47"/>
      <c r="H42" s="47"/>
    </row>
    <row r="43" spans="1:8" x14ac:dyDescent="0.25">
      <c r="A43" s="47"/>
      <c r="E43" s="47"/>
      <c r="F43" s="47"/>
      <c r="G43" s="47"/>
      <c r="H43" s="47"/>
    </row>
    <row r="44" spans="1:8" x14ac:dyDescent="0.25">
      <c r="A44" s="47"/>
      <c r="E44" s="47"/>
      <c r="F44" s="47"/>
      <c r="G44" s="47"/>
      <c r="H44" s="47"/>
    </row>
    <row r="45" spans="1:8" x14ac:dyDescent="0.25">
      <c r="A45" s="47"/>
    </row>
    <row r="46" spans="1:8" x14ac:dyDescent="0.25">
      <c r="A46" s="47"/>
    </row>
    <row r="47" spans="1:8" x14ac:dyDescent="0.25">
      <c r="A47" s="47"/>
    </row>
    <row r="48" spans="1:8" x14ac:dyDescent="0.25">
      <c r="A48" s="47"/>
      <c r="E48" s="47"/>
      <c r="F48" s="47"/>
      <c r="G48" s="47"/>
      <c r="H48" s="47"/>
    </row>
    <row r="49" spans="1:8" x14ac:dyDescent="0.25">
      <c r="A49" s="47"/>
      <c r="E49" s="47"/>
      <c r="F49" s="47"/>
      <c r="G49" s="47"/>
      <c r="H49" s="47"/>
    </row>
    <row r="50" spans="1:8" x14ac:dyDescent="0.25">
      <c r="A50" s="47"/>
      <c r="E50" s="47"/>
      <c r="F50" s="47"/>
      <c r="G50" s="47"/>
      <c r="H50" s="47"/>
    </row>
    <row r="51" spans="1:8" x14ac:dyDescent="0.25">
      <c r="A51" s="47"/>
      <c r="E51" s="47"/>
      <c r="F51" s="47"/>
      <c r="G51" s="47"/>
      <c r="H51" s="47"/>
    </row>
    <row r="52" spans="1:8" x14ac:dyDescent="0.25">
      <c r="A52" s="47"/>
      <c r="E52" s="47"/>
      <c r="F52" s="47"/>
      <c r="G52" s="47"/>
      <c r="H52" s="47"/>
    </row>
    <row r="53" spans="1:8" x14ac:dyDescent="0.25">
      <c r="A53" s="47"/>
      <c r="E53" s="47"/>
      <c r="F53" s="47"/>
      <c r="G53" s="47"/>
      <c r="H53" s="47"/>
    </row>
    <row r="54" spans="1:8" x14ac:dyDescent="0.25">
      <c r="A54" s="47"/>
      <c r="E54" s="47"/>
      <c r="F54" s="47"/>
      <c r="G54" s="47"/>
      <c r="H54" s="47"/>
    </row>
    <row r="55" spans="1:8" x14ac:dyDescent="0.25">
      <c r="A55" s="47"/>
      <c r="E55" s="47"/>
      <c r="F55" s="47"/>
      <c r="G55" s="47"/>
      <c r="H55" s="47"/>
    </row>
    <row r="56" spans="1:8" x14ac:dyDescent="0.25">
      <c r="A56" s="47"/>
      <c r="E56" s="47"/>
      <c r="F56" s="47"/>
      <c r="G56" s="47"/>
      <c r="H56" s="47"/>
    </row>
    <row r="57" spans="1:8" x14ac:dyDescent="0.25">
      <c r="A57" s="47"/>
      <c r="E57" s="47"/>
      <c r="F57" s="47"/>
      <c r="G57" s="47"/>
      <c r="H57" s="47"/>
    </row>
    <row r="58" spans="1:8" x14ac:dyDescent="0.25">
      <c r="A58" s="47"/>
      <c r="E58" s="47"/>
      <c r="F58" s="47"/>
      <c r="G58" s="47"/>
      <c r="H58" s="47"/>
    </row>
    <row r="59" spans="1:8" x14ac:dyDescent="0.25">
      <c r="A59" s="47"/>
      <c r="E59" s="47"/>
      <c r="F59" s="47"/>
      <c r="G59" s="47"/>
      <c r="H59" s="47"/>
    </row>
    <row r="60" spans="1:8" x14ac:dyDescent="0.25">
      <c r="A60" s="47"/>
      <c r="E60" s="47"/>
      <c r="F60" s="47"/>
      <c r="G60" s="47"/>
      <c r="H60" s="47"/>
    </row>
    <row r="61" spans="1:8" x14ac:dyDescent="0.25">
      <c r="A61" s="47"/>
      <c r="E61" s="47"/>
      <c r="F61" s="47"/>
      <c r="G61" s="47"/>
      <c r="H61" s="47"/>
    </row>
    <row r="62" spans="1:8" x14ac:dyDescent="0.25">
      <c r="A62" s="47"/>
      <c r="E62" s="47"/>
      <c r="F62" s="47"/>
      <c r="G62" s="47"/>
      <c r="H62" s="47"/>
    </row>
    <row r="63" spans="1:8" x14ac:dyDescent="0.25">
      <c r="A63" s="47"/>
      <c r="E63" s="47"/>
      <c r="F63" s="47"/>
      <c r="G63" s="47"/>
      <c r="H63" s="47"/>
    </row>
    <row r="64" spans="1:8" x14ac:dyDescent="0.25">
      <c r="A64" s="47"/>
      <c r="E64" s="47"/>
      <c r="F64" s="47"/>
      <c r="G64" s="47"/>
      <c r="H64" s="47"/>
    </row>
    <row r="65" spans="1:8" x14ac:dyDescent="0.25">
      <c r="A65" s="47"/>
      <c r="E65" s="47"/>
      <c r="F65" s="47"/>
      <c r="G65" s="47"/>
      <c r="H65" s="47"/>
    </row>
    <row r="66" spans="1:8" x14ac:dyDescent="0.25">
      <c r="A66" s="47"/>
      <c r="E66" s="47"/>
      <c r="F66" s="47"/>
      <c r="G66" s="47"/>
      <c r="H66" s="47"/>
    </row>
    <row r="67" spans="1:8" x14ac:dyDescent="0.25">
      <c r="A67" s="47"/>
      <c r="E67" s="47"/>
      <c r="F67" s="47"/>
      <c r="G67" s="47"/>
      <c r="H67" s="47"/>
    </row>
    <row r="68" spans="1:8" x14ac:dyDescent="0.25">
      <c r="A68" s="47"/>
      <c r="E68" s="47"/>
      <c r="F68" s="47"/>
      <c r="G68" s="47"/>
      <c r="H68" s="47"/>
    </row>
    <row r="69" spans="1:8" x14ac:dyDescent="0.25">
      <c r="A69" s="47"/>
      <c r="E69" s="47"/>
      <c r="F69" s="47"/>
      <c r="G69" s="47"/>
      <c r="H69" s="47"/>
    </row>
    <row r="70" spans="1:8" x14ac:dyDescent="0.25">
      <c r="A70" s="47"/>
      <c r="E70" s="47"/>
      <c r="F70" s="47"/>
      <c r="G70" s="47"/>
      <c r="H70" s="47"/>
    </row>
    <row r="71" spans="1:8" x14ac:dyDescent="0.25">
      <c r="A71" s="47"/>
      <c r="E71" s="47"/>
      <c r="F71" s="47"/>
      <c r="G71" s="47"/>
      <c r="H71" s="47"/>
    </row>
    <row r="72" spans="1:8" x14ac:dyDescent="0.25">
      <c r="A72" s="47"/>
      <c r="E72" s="47"/>
      <c r="F72" s="47"/>
      <c r="G72" s="47"/>
      <c r="H72" s="47"/>
    </row>
    <row r="73" spans="1:8" x14ac:dyDescent="0.25">
      <c r="A73" s="47"/>
      <c r="E73" s="47"/>
      <c r="F73" s="47"/>
      <c r="G73" s="47"/>
      <c r="H73" s="47"/>
    </row>
    <row r="74" spans="1:8" x14ac:dyDescent="0.25">
      <c r="A74" s="47"/>
      <c r="E74" s="47"/>
      <c r="F74" s="47"/>
      <c r="G74" s="47"/>
      <c r="H74" s="47"/>
    </row>
    <row r="75" spans="1:8" x14ac:dyDescent="0.25">
      <c r="A75" s="47"/>
      <c r="E75" s="47"/>
      <c r="F75" s="47"/>
      <c r="G75" s="47"/>
      <c r="H75" s="47"/>
    </row>
    <row r="76" spans="1:8" x14ac:dyDescent="0.25">
      <c r="A76" s="47"/>
      <c r="E76" s="47"/>
      <c r="F76" s="47"/>
      <c r="G76" s="47"/>
      <c r="H76" s="47"/>
    </row>
    <row r="77" spans="1:8" x14ac:dyDescent="0.25">
      <c r="A77" s="47"/>
      <c r="E77" s="47"/>
      <c r="F77" s="47"/>
      <c r="G77" s="47"/>
      <c r="H77" s="47"/>
    </row>
  </sheetData>
  <autoFilter ref="A1:H41" xr:uid="{A746A064-CBCA-4014-BDA1-F4867DB5C8C8}">
    <sortState ref="A2:H41">
      <sortCondition ref="A1:A4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G7" sqref="G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30</v>
      </c>
      <c r="C2" s="3">
        <f>COUNTIF(חיילים!D:D,"=כן")</f>
        <v>9</v>
      </c>
      <c r="G2" t="s">
        <v>43</v>
      </c>
      <c r="H2" t="s">
        <v>44</v>
      </c>
      <c r="I2" t="s">
        <v>45</v>
      </c>
    </row>
    <row r="3" spans="2:9" x14ac:dyDescent="0.25">
      <c r="B3" s="1" t="s">
        <v>29</v>
      </c>
      <c r="C3" s="1">
        <f>COUNTIF(חיילים!$D:D,"=לא")</f>
        <v>31</v>
      </c>
      <c r="F3" t="s">
        <v>67</v>
      </c>
      <c r="G3">
        <f>SUM(חיילים!AT:AT)</f>
        <v>0</v>
      </c>
      <c r="H3">
        <f>I3-G3</f>
        <v>50</v>
      </c>
      <c r="I3">
        <f>SUM('לוח דצמבר'!C9:F9,'לוח דצמבר'!C15:F15,'לוח דצמבר'!C21:F21,'לוח דצמבר'!C27:F27,'לוח דצמבר'!C33:F33)</f>
        <v>50</v>
      </c>
    </row>
    <row r="4" spans="2:9" x14ac:dyDescent="0.25">
      <c r="B4" s="1" t="s">
        <v>28</v>
      </c>
      <c r="C4" s="2">
        <f>C3+C2</f>
        <v>40</v>
      </c>
      <c r="F4" t="s">
        <v>68</v>
      </c>
      <c r="G4">
        <f>SUM(חיילים!AU:AU)</f>
        <v>0</v>
      </c>
      <c r="H4">
        <f>I4-G4</f>
        <v>30</v>
      </c>
      <c r="I4">
        <f xml:space="preserve"> 5*4*4-I3</f>
        <v>30</v>
      </c>
    </row>
    <row r="5" spans="2:9" x14ac:dyDescent="0.25">
      <c r="F5" t="s">
        <v>69</v>
      </c>
      <c r="G5">
        <f>SUM(חיילים!AR:AR)</f>
        <v>12</v>
      </c>
      <c r="H5">
        <f t="shared" ref="H5:H6" si="0">I5-G5</f>
        <v>0</v>
      </c>
      <c r="I5">
        <f>SUM('לוח דצמבר'!G9:I9,'לוח דצמבר'!G15:I15,'לוח דצמבר'!G21:I21,'לוח דצמבר'!G27:I27,'לוח דצמבר'!G33:I33)</f>
        <v>12</v>
      </c>
    </row>
    <row r="6" spans="2:9" x14ac:dyDescent="0.25">
      <c r="F6" t="s">
        <v>70</v>
      </c>
      <c r="G6">
        <f>SUM(חיילים!AS:AS)</f>
        <v>8</v>
      </c>
      <c r="H6">
        <f t="shared" si="0"/>
        <v>0</v>
      </c>
      <c r="I6">
        <f>5*4-I5</f>
        <v>8</v>
      </c>
    </row>
    <row r="7" spans="2:9" x14ac:dyDescent="0.25">
      <c r="B7" s="1" t="s">
        <v>31</v>
      </c>
      <c r="C7" s="1">
        <f>COUNTIF(חיילים!E:E,"=כן")</f>
        <v>38</v>
      </c>
    </row>
    <row r="8" spans="2:9" x14ac:dyDescent="0.25">
      <c r="B8" s="3" t="s">
        <v>32</v>
      </c>
      <c r="C8" s="3">
        <f>COUNTIF(חיילים!E:E,"=לא")</f>
        <v>2</v>
      </c>
    </row>
    <row r="9" spans="2:9" x14ac:dyDescent="0.25">
      <c r="B9" s="1" t="s">
        <v>28</v>
      </c>
      <c r="C9" s="2">
        <f>C8+C7</f>
        <v>40</v>
      </c>
    </row>
  </sheetData>
  <pageMargins left="0.7" right="0.7" top="0.75" bottom="0.75" header="0.3" footer="0.3"/>
  <pageSetup orientation="portrait" r:id="rId1"/>
  <ignoredErrors>
    <ignoredError sqref="I5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zoomScale="145" zoomScaleNormal="145" workbookViewId="0">
      <selection activeCell="F22" sqref="F22:H22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36</v>
      </c>
      <c r="B2" s="88">
        <v>2</v>
      </c>
      <c r="C2" s="88">
        <v>2</v>
      </c>
      <c r="D2" s="88">
        <v>3</v>
      </c>
      <c r="E2" s="10">
        <v>3</v>
      </c>
      <c r="F2" s="115">
        <v>2</v>
      </c>
      <c r="G2" s="115"/>
      <c r="H2" s="116"/>
    </row>
    <row r="3" spans="1:8" x14ac:dyDescent="0.25">
      <c r="A3" s="8" t="s">
        <v>33</v>
      </c>
      <c r="B3" s="89"/>
      <c r="C3" s="89"/>
      <c r="D3" s="12"/>
      <c r="E3" s="12"/>
      <c r="F3" s="113"/>
      <c r="G3" s="113"/>
      <c r="H3" s="114"/>
    </row>
    <row r="4" spans="1:8" x14ac:dyDescent="0.25">
      <c r="A4" s="8" t="s">
        <v>34</v>
      </c>
      <c r="B4" s="89"/>
      <c r="C4" s="10"/>
      <c r="D4" s="10"/>
      <c r="E4" s="88"/>
      <c r="F4" s="113"/>
      <c r="G4" s="113"/>
      <c r="H4" s="114"/>
    </row>
    <row r="5" spans="1:8" x14ac:dyDescent="0.25">
      <c r="A5" s="8" t="s">
        <v>35</v>
      </c>
      <c r="B5" s="10"/>
      <c r="C5" s="89"/>
      <c r="D5" s="88"/>
      <c r="E5" s="10"/>
      <c r="F5" s="115"/>
      <c r="G5" s="115"/>
      <c r="H5" s="116"/>
    </row>
    <row r="6" spans="1:8" ht="15.75" thickBot="1" x14ac:dyDescent="0.3">
      <c r="A6" s="8" t="s">
        <v>149</v>
      </c>
      <c r="B6" s="88"/>
      <c r="C6" s="88"/>
      <c r="D6" s="13"/>
      <c r="E6" s="10"/>
      <c r="F6" s="107"/>
      <c r="G6" s="115"/>
      <c r="H6" s="116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36</v>
      </c>
      <c r="B8" s="88">
        <v>2</v>
      </c>
      <c r="C8" s="88">
        <v>2</v>
      </c>
      <c r="D8" s="88">
        <v>3</v>
      </c>
      <c r="E8" s="10">
        <v>3</v>
      </c>
      <c r="F8" s="115">
        <v>3</v>
      </c>
      <c r="G8" s="115"/>
      <c r="H8" s="116"/>
    </row>
    <row r="9" spans="1:8" x14ac:dyDescent="0.25">
      <c r="A9" s="8" t="s">
        <v>33</v>
      </c>
      <c r="B9" s="89"/>
      <c r="C9" s="89"/>
      <c r="D9" s="12"/>
      <c r="E9" s="12"/>
      <c r="F9" s="115"/>
      <c r="G9" s="115"/>
      <c r="H9" s="116"/>
    </row>
    <row r="10" spans="1:8" x14ac:dyDescent="0.25">
      <c r="A10" s="8" t="s">
        <v>34</v>
      </c>
      <c r="B10" s="89"/>
      <c r="C10" s="10"/>
      <c r="D10" s="10"/>
      <c r="E10" s="88"/>
      <c r="F10" s="115"/>
      <c r="G10" s="115"/>
      <c r="H10" s="116"/>
    </row>
    <row r="11" spans="1:8" x14ac:dyDescent="0.25">
      <c r="A11" s="8" t="s">
        <v>35</v>
      </c>
      <c r="B11" s="10"/>
      <c r="C11" s="89"/>
      <c r="D11" s="88"/>
      <c r="E11" s="10"/>
      <c r="F11" s="113"/>
      <c r="G11" s="113"/>
      <c r="H11" s="114"/>
    </row>
    <row r="12" spans="1:8" ht="15.75" thickBot="1" x14ac:dyDescent="0.3">
      <c r="A12" s="8" t="s">
        <v>149</v>
      </c>
      <c r="B12" s="88"/>
      <c r="C12" s="88"/>
      <c r="D12" s="13"/>
      <c r="E12" s="10"/>
      <c r="F12" s="115"/>
      <c r="G12" s="115"/>
      <c r="H12" s="116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36</v>
      </c>
      <c r="B14" s="88">
        <v>2</v>
      </c>
      <c r="C14" s="88">
        <v>2</v>
      </c>
      <c r="D14" s="88">
        <v>3</v>
      </c>
      <c r="E14" s="10">
        <v>3</v>
      </c>
      <c r="F14" s="115">
        <v>2</v>
      </c>
      <c r="G14" s="115"/>
      <c r="H14" s="116"/>
    </row>
    <row r="15" spans="1:8" x14ac:dyDescent="0.25">
      <c r="A15" s="8" t="s">
        <v>33</v>
      </c>
      <c r="B15" s="89"/>
      <c r="C15" s="89"/>
      <c r="D15" s="12"/>
      <c r="E15" s="12"/>
      <c r="F15" s="113"/>
      <c r="G15" s="113"/>
      <c r="H15" s="114"/>
    </row>
    <row r="16" spans="1:8" x14ac:dyDescent="0.25">
      <c r="A16" s="8" t="s">
        <v>34</v>
      </c>
      <c r="B16" s="89"/>
      <c r="C16" s="10"/>
      <c r="D16" s="10"/>
      <c r="E16" s="88"/>
      <c r="F16" s="113"/>
      <c r="G16" s="113"/>
      <c r="H16" s="114"/>
    </row>
    <row r="17" spans="1:8" x14ac:dyDescent="0.25">
      <c r="A17" s="8" t="s">
        <v>35</v>
      </c>
      <c r="B17" s="10"/>
      <c r="C17" s="89"/>
      <c r="D17" s="88"/>
      <c r="E17" s="10"/>
      <c r="F17" s="115"/>
      <c r="G17" s="115"/>
      <c r="H17" s="116"/>
    </row>
    <row r="18" spans="1:8" ht="15.75" thickBot="1" x14ac:dyDescent="0.3">
      <c r="A18" s="8" t="s">
        <v>149</v>
      </c>
      <c r="B18" s="88"/>
      <c r="C18" s="88"/>
      <c r="D18" s="13"/>
      <c r="E18" s="10"/>
      <c r="F18" s="115"/>
      <c r="G18" s="115"/>
      <c r="H18" s="116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36</v>
      </c>
      <c r="B20" s="88">
        <v>2</v>
      </c>
      <c r="C20" s="88">
        <v>2</v>
      </c>
      <c r="D20" s="88">
        <v>3</v>
      </c>
      <c r="E20" s="10">
        <v>3</v>
      </c>
      <c r="F20" s="115">
        <v>3</v>
      </c>
      <c r="G20" s="115"/>
      <c r="H20" s="116"/>
    </row>
    <row r="21" spans="1:8" x14ac:dyDescent="0.25">
      <c r="A21" s="8" t="s">
        <v>33</v>
      </c>
      <c r="B21" s="89"/>
      <c r="C21" s="89"/>
      <c r="D21" s="12"/>
      <c r="E21" s="12"/>
      <c r="F21" s="115"/>
      <c r="G21" s="115"/>
      <c r="H21" s="116"/>
    </row>
    <row r="22" spans="1:8" x14ac:dyDescent="0.25">
      <c r="A22" s="8" t="s">
        <v>34</v>
      </c>
      <c r="B22" s="89"/>
      <c r="C22" s="10"/>
      <c r="D22" s="10"/>
      <c r="E22" s="88"/>
      <c r="F22" s="115"/>
      <c r="G22" s="115"/>
      <c r="H22" s="116"/>
    </row>
    <row r="23" spans="1:8" x14ac:dyDescent="0.25">
      <c r="A23" s="8" t="s">
        <v>35</v>
      </c>
      <c r="B23" s="10"/>
      <c r="C23" s="89"/>
      <c r="D23" s="88"/>
      <c r="E23" s="10"/>
      <c r="F23" s="113"/>
      <c r="G23" s="113"/>
      <c r="H23" s="114"/>
    </row>
    <row r="24" spans="1:8" ht="15.75" thickBot="1" x14ac:dyDescent="0.3">
      <c r="A24" s="8" t="s">
        <v>149</v>
      </c>
      <c r="B24" s="90"/>
      <c r="C24" s="90"/>
      <c r="D24" s="90"/>
      <c r="E24" s="15"/>
      <c r="F24" s="111"/>
      <c r="G24" s="111"/>
      <c r="H24" s="112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36</v>
      </c>
      <c r="B26" s="88">
        <v>2</v>
      </c>
      <c r="C26" s="88">
        <v>2</v>
      </c>
      <c r="D26" s="88">
        <v>3</v>
      </c>
      <c r="E26" s="10">
        <v>3</v>
      </c>
      <c r="F26" s="115">
        <v>2</v>
      </c>
      <c r="G26" s="115"/>
      <c r="H26" s="116"/>
    </row>
    <row r="27" spans="1:8" x14ac:dyDescent="0.25">
      <c r="A27" s="8" t="s">
        <v>33</v>
      </c>
      <c r="B27" s="89"/>
      <c r="C27" s="89"/>
      <c r="D27" s="12"/>
      <c r="E27" s="12"/>
      <c r="F27" s="115"/>
      <c r="G27" s="115"/>
      <c r="H27" s="116"/>
    </row>
    <row r="28" spans="1:8" x14ac:dyDescent="0.25">
      <c r="A28" s="8" t="s">
        <v>34</v>
      </c>
      <c r="B28" s="89"/>
      <c r="C28" s="10"/>
      <c r="D28" s="10"/>
      <c r="E28" s="88"/>
      <c r="F28" s="115"/>
      <c r="G28" s="115"/>
      <c r="H28" s="116"/>
    </row>
    <row r="29" spans="1:8" x14ac:dyDescent="0.25">
      <c r="A29" s="8" t="s">
        <v>35</v>
      </c>
      <c r="B29" s="10"/>
      <c r="C29" s="89"/>
      <c r="D29" s="88"/>
      <c r="E29" s="10"/>
      <c r="F29" s="113"/>
      <c r="G29" s="113"/>
      <c r="H29" s="114"/>
    </row>
    <row r="30" spans="1:8" ht="15.75" thickBot="1" x14ac:dyDescent="0.3">
      <c r="A30" s="16" t="s">
        <v>149</v>
      </c>
      <c r="B30" s="90"/>
      <c r="C30" s="90"/>
      <c r="D30" s="90"/>
      <c r="E30" s="15"/>
      <c r="F30" s="111"/>
      <c r="G30" s="111"/>
      <c r="H30" s="11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36</v>
      </c>
      <c r="B2" s="88"/>
      <c r="C2" s="88"/>
      <c r="D2" s="88"/>
      <c r="E2" s="10"/>
      <c r="F2" s="115">
        <v>2</v>
      </c>
      <c r="G2" s="115"/>
      <c r="H2" s="116"/>
    </row>
    <row r="3" spans="1:8" x14ac:dyDescent="0.25">
      <c r="A3" s="8" t="s">
        <v>33</v>
      </c>
      <c r="B3" s="89"/>
      <c r="C3" s="89"/>
      <c r="D3" s="12"/>
      <c r="E3" s="12"/>
      <c r="F3" s="115"/>
      <c r="G3" s="115"/>
      <c r="H3" s="116"/>
    </row>
    <row r="4" spans="1:8" x14ac:dyDescent="0.25">
      <c r="A4" s="8" t="s">
        <v>34</v>
      </c>
      <c r="B4" s="89"/>
      <c r="C4" s="10"/>
      <c r="D4" s="10"/>
      <c r="E4" s="88"/>
      <c r="F4" s="115"/>
      <c r="G4" s="115"/>
      <c r="H4" s="116"/>
    </row>
    <row r="5" spans="1:8" x14ac:dyDescent="0.25">
      <c r="A5" s="8" t="s">
        <v>35</v>
      </c>
      <c r="B5" s="10"/>
      <c r="C5" s="89"/>
      <c r="D5" s="88"/>
      <c r="E5" s="10"/>
      <c r="F5" s="113"/>
      <c r="G5" s="113"/>
      <c r="H5" s="114"/>
    </row>
    <row r="6" spans="1:8" ht="15.75" thickBot="1" x14ac:dyDescent="0.3">
      <c r="A6" s="16" t="s">
        <v>149</v>
      </c>
      <c r="B6" s="90"/>
      <c r="C6" s="90"/>
      <c r="D6" s="90"/>
      <c r="E6" s="15"/>
      <c r="F6" s="111"/>
      <c r="G6" s="111"/>
      <c r="H6" s="11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36</v>
      </c>
      <c r="B8" s="88">
        <v>2</v>
      </c>
      <c r="C8" s="88">
        <v>2</v>
      </c>
      <c r="D8" s="88">
        <v>3</v>
      </c>
      <c r="E8" s="10">
        <v>3</v>
      </c>
      <c r="F8" s="115">
        <v>3</v>
      </c>
      <c r="G8" s="115"/>
      <c r="H8" s="116"/>
    </row>
    <row r="9" spans="1:8" x14ac:dyDescent="0.25">
      <c r="A9" s="8" t="s">
        <v>33</v>
      </c>
      <c r="B9" s="89"/>
      <c r="C9" s="89"/>
      <c r="D9" s="12"/>
      <c r="E9" s="12"/>
      <c r="F9" s="115"/>
      <c r="G9" s="115"/>
      <c r="H9" s="116"/>
    </row>
    <row r="10" spans="1:8" x14ac:dyDescent="0.25">
      <c r="A10" s="8" t="s">
        <v>34</v>
      </c>
      <c r="B10" s="89"/>
      <c r="C10" s="10"/>
      <c r="D10" s="10"/>
      <c r="E10" s="88"/>
      <c r="F10" s="115"/>
      <c r="G10" s="115"/>
      <c r="H10" s="116"/>
    </row>
    <row r="11" spans="1:8" x14ac:dyDescent="0.25">
      <c r="A11" s="8" t="s">
        <v>35</v>
      </c>
      <c r="B11" s="10"/>
      <c r="C11" s="89"/>
      <c r="D11" s="88"/>
      <c r="E11" s="10"/>
      <c r="F11" s="113"/>
      <c r="G11" s="113"/>
      <c r="H11" s="114"/>
    </row>
    <row r="12" spans="1:8" ht="15.75" thickBot="1" x14ac:dyDescent="0.3">
      <c r="A12" s="8" t="s">
        <v>149</v>
      </c>
      <c r="B12" s="88"/>
      <c r="C12" s="88"/>
      <c r="D12" s="13"/>
      <c r="E12" s="10"/>
      <c r="F12" s="115"/>
      <c r="G12" s="115"/>
      <c r="H12" s="116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36</v>
      </c>
      <c r="B14" s="88">
        <v>2</v>
      </c>
      <c r="C14" s="88">
        <v>2</v>
      </c>
      <c r="D14" s="88">
        <v>3</v>
      </c>
      <c r="E14" s="10">
        <v>3</v>
      </c>
      <c r="F14" s="115">
        <v>2</v>
      </c>
      <c r="G14" s="115"/>
      <c r="H14" s="116"/>
    </row>
    <row r="15" spans="1:8" x14ac:dyDescent="0.25">
      <c r="A15" s="8" t="s">
        <v>33</v>
      </c>
      <c r="B15" s="89"/>
      <c r="C15" s="89"/>
      <c r="D15" s="12"/>
      <c r="E15" s="12"/>
      <c r="F15" s="113"/>
      <c r="G15" s="113"/>
      <c r="H15" s="114"/>
    </row>
    <row r="16" spans="1:8" x14ac:dyDescent="0.25">
      <c r="A16" s="8" t="s">
        <v>34</v>
      </c>
      <c r="B16" s="89"/>
      <c r="C16" s="10"/>
      <c r="D16" s="10"/>
      <c r="E16" s="88"/>
      <c r="F16" s="113"/>
      <c r="G16" s="113"/>
      <c r="H16" s="114"/>
    </row>
    <row r="17" spans="1:8" x14ac:dyDescent="0.25">
      <c r="A17" s="8" t="s">
        <v>35</v>
      </c>
      <c r="B17" s="10"/>
      <c r="C17" s="89"/>
      <c r="D17" s="88"/>
      <c r="E17" s="10"/>
      <c r="F17" s="115"/>
      <c r="G17" s="115"/>
      <c r="H17" s="116"/>
    </row>
    <row r="18" spans="1:8" ht="15.75" thickBot="1" x14ac:dyDescent="0.3">
      <c r="A18" s="8" t="s">
        <v>149</v>
      </c>
      <c r="B18" s="88"/>
      <c r="C18" s="88"/>
      <c r="D18" s="13"/>
      <c r="E18" s="10"/>
      <c r="F18" s="115"/>
      <c r="G18" s="115"/>
      <c r="H18" s="116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36</v>
      </c>
      <c r="B20" s="88">
        <v>2</v>
      </c>
      <c r="C20" s="88">
        <v>2</v>
      </c>
      <c r="D20" s="88">
        <v>3</v>
      </c>
      <c r="E20" s="10">
        <v>3</v>
      </c>
      <c r="F20" s="115">
        <v>3</v>
      </c>
      <c r="G20" s="115"/>
      <c r="H20" s="116"/>
    </row>
    <row r="21" spans="1:8" x14ac:dyDescent="0.25">
      <c r="A21" s="8" t="s">
        <v>33</v>
      </c>
      <c r="B21" s="89"/>
      <c r="C21" s="89"/>
      <c r="D21" s="12"/>
      <c r="E21" s="12"/>
      <c r="F21" s="115"/>
      <c r="G21" s="115"/>
      <c r="H21" s="116"/>
    </row>
    <row r="22" spans="1:8" x14ac:dyDescent="0.25">
      <c r="A22" s="8" t="s">
        <v>34</v>
      </c>
      <c r="B22" s="89"/>
      <c r="C22" s="10"/>
      <c r="D22" s="10"/>
      <c r="E22" s="88"/>
      <c r="F22" s="115"/>
      <c r="G22" s="115"/>
      <c r="H22" s="116"/>
    </row>
    <row r="23" spans="1:8" x14ac:dyDescent="0.25">
      <c r="A23" s="8" t="s">
        <v>35</v>
      </c>
      <c r="B23" s="10"/>
      <c r="C23" s="89"/>
      <c r="D23" s="88"/>
      <c r="E23" s="10"/>
      <c r="F23" s="113"/>
      <c r="G23" s="113"/>
      <c r="H23" s="114"/>
    </row>
    <row r="24" spans="1:8" ht="15.75" thickBot="1" x14ac:dyDescent="0.3">
      <c r="A24" s="8" t="s">
        <v>149</v>
      </c>
      <c r="B24" s="90"/>
      <c r="C24" s="90"/>
      <c r="D24" s="90"/>
      <c r="E24" s="15"/>
      <c r="F24" s="111"/>
      <c r="G24" s="111"/>
      <c r="H24" s="112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36</v>
      </c>
      <c r="B26" s="88">
        <v>2</v>
      </c>
      <c r="C26" s="88">
        <v>2</v>
      </c>
      <c r="D26" s="88">
        <v>3</v>
      </c>
      <c r="E26" s="10">
        <v>3</v>
      </c>
      <c r="F26" s="115">
        <v>2</v>
      </c>
      <c r="G26" s="115"/>
      <c r="H26" s="116"/>
    </row>
    <row r="27" spans="1:8" x14ac:dyDescent="0.25">
      <c r="A27" s="8" t="s">
        <v>33</v>
      </c>
      <c r="B27" s="89"/>
      <c r="C27" s="89"/>
      <c r="D27" s="12"/>
      <c r="E27" s="12"/>
      <c r="F27" s="115"/>
      <c r="G27" s="115"/>
      <c r="H27" s="116"/>
    </row>
    <row r="28" spans="1:8" x14ac:dyDescent="0.25">
      <c r="A28" s="8" t="s">
        <v>34</v>
      </c>
      <c r="B28" s="89"/>
      <c r="C28" s="10"/>
      <c r="D28" s="10"/>
      <c r="E28" s="88"/>
      <c r="F28" s="115"/>
      <c r="G28" s="115"/>
      <c r="H28" s="116"/>
    </row>
    <row r="29" spans="1:8" x14ac:dyDescent="0.25">
      <c r="A29" s="8" t="s">
        <v>35</v>
      </c>
      <c r="B29" s="10"/>
      <c r="C29" s="89"/>
      <c r="D29" s="88"/>
      <c r="E29" s="10"/>
      <c r="F29" s="113"/>
      <c r="G29" s="113"/>
      <c r="H29" s="114"/>
    </row>
    <row r="30" spans="1:8" ht="15.75" thickBot="1" x14ac:dyDescent="0.3">
      <c r="A30" s="16" t="s">
        <v>149</v>
      </c>
      <c r="B30" s="90"/>
      <c r="C30" s="90"/>
      <c r="D30" s="90"/>
      <c r="E30" s="15"/>
      <c r="F30" s="111"/>
      <c r="G30" s="111"/>
      <c r="H30" s="11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דצמבר</vt:lpstr>
      <vt:lpstr>לוח נובמבר</vt:lpstr>
      <vt:lpstr>סתם</vt:lpstr>
      <vt:lpstr>סטטיסטיקה</vt:lpstr>
      <vt:lpstr>לוח ינואר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2017-11-16T17:00:22Z</dcterms:modified>
</cp:coreProperties>
</file>