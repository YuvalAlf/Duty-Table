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546B368F-D978-4D1A-B737-2891C0FAED2F}" xr6:coauthVersionLast="40" xr6:coauthVersionMax="40" xr10:uidLastSave="{00000000-0000-0000-0000-000000000000}"/>
  <bookViews>
    <workbookView xWindow="0" yWindow="0" windowWidth="28800" windowHeight="12225" tabRatio="1000" activeTab="1" xr2:uid="{00000000-000D-0000-FFFF-FFFF00000000}"/>
  </bookViews>
  <sheets>
    <sheet name="לוח ינואר" sheetId="33" r:id="rId1"/>
    <sheet name="חיילים" sheetId="1" r:id="rId2"/>
    <sheet name="סטטיסטיקה" sheetId="3" r:id="rId3"/>
    <sheet name="הזנת לוח" sheetId="32" r:id="rId4"/>
    <sheet name="תקנים עתידיים מושלם" sheetId="17" r:id="rId5"/>
    <sheet name="נושאים לטיפול" sheetId="31" r:id="rId6"/>
    <sheet name="חיילים שלא עברו מבחן" sheetId="25" r:id="rId7"/>
    <sheet name="לוח דצמבר" sheetId="30" r:id="rId8"/>
    <sheet name="לוח נובמבר" sheetId="29" r:id="rId9"/>
    <sheet name="לוח אוקטובר" sheetId="27" r:id="rId10"/>
    <sheet name="לוח ספטמבר" sheetId="26" r:id="rId11"/>
    <sheet name="לוח אוגוסט" sheetId="23" r:id="rId12"/>
  </sheets>
  <definedNames>
    <definedName name="_xlnm._FilterDatabase" localSheetId="3" hidden="1">'הזנת לוח'!$A$1:$J$45</definedName>
    <definedName name="_xlnm._FilterDatabase" localSheetId="1" hidden="1">חיילים!$A$1:$EU$50</definedName>
    <definedName name="_xlnm._FilterDatabase" localSheetId="6" hidden="1">'חיילים שלא עברו מבחן'!$A$1:$C$7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J4" i="1" l="1"/>
  <c r="EK4" i="1"/>
  <c r="ES4" i="1"/>
  <c r="ET4" i="1"/>
  <c r="EC4" i="1"/>
  <c r="ED4" i="1"/>
  <c r="DV4" i="1"/>
  <c r="DW4" i="1"/>
  <c r="C4" i="1"/>
  <c r="EM4" i="1" l="1"/>
  <c r="EN4" i="1" s="1"/>
  <c r="EU4" i="1"/>
  <c r="EL4" i="1"/>
  <c r="DX4" i="1"/>
  <c r="EE4" i="1"/>
  <c r="EO4" i="1"/>
  <c r="EP4" i="1" s="1"/>
  <c r="EJ31" i="1"/>
  <c r="EK31" i="1"/>
  <c r="EJ12" i="1"/>
  <c r="EK12" i="1"/>
  <c r="EJ14" i="1"/>
  <c r="EK14" i="1"/>
  <c r="EJ37" i="1"/>
  <c r="EK37" i="1"/>
  <c r="EJ24" i="1"/>
  <c r="EK24" i="1"/>
  <c r="EJ5" i="1"/>
  <c r="EK5" i="1"/>
  <c r="EJ17" i="1"/>
  <c r="EK17" i="1"/>
  <c r="EJ34" i="1"/>
  <c r="EK34" i="1"/>
  <c r="EJ26" i="1"/>
  <c r="EK26" i="1"/>
  <c r="EJ29" i="1"/>
  <c r="EK29" i="1"/>
  <c r="EJ43" i="1"/>
  <c r="EK43" i="1"/>
  <c r="EJ36" i="1"/>
  <c r="EK36" i="1"/>
  <c r="EJ21" i="1"/>
  <c r="EK21" i="1"/>
  <c r="EJ49" i="1"/>
  <c r="EK49" i="1"/>
  <c r="EJ27" i="1"/>
  <c r="EK27" i="1"/>
  <c r="EJ50" i="1"/>
  <c r="EK50" i="1"/>
  <c r="EJ30" i="1"/>
  <c r="EK30" i="1"/>
  <c r="EJ32" i="1"/>
  <c r="EK32" i="1"/>
  <c r="EJ8" i="1"/>
  <c r="EK8" i="1"/>
  <c r="EJ11" i="1"/>
  <c r="EK11" i="1"/>
  <c r="EJ48" i="1"/>
  <c r="EK48" i="1"/>
  <c r="EJ25" i="1"/>
  <c r="EK25" i="1"/>
  <c r="EJ42" i="1"/>
  <c r="EK42" i="1"/>
  <c r="EJ2" i="1"/>
  <c r="EK2" i="1"/>
  <c r="EJ16" i="1"/>
  <c r="EK16" i="1"/>
  <c r="EJ38" i="1"/>
  <c r="EK38" i="1"/>
  <c r="EJ45" i="1"/>
  <c r="EK45" i="1"/>
  <c r="EJ40" i="1"/>
  <c r="EK40" i="1"/>
  <c r="EJ9" i="1"/>
  <c r="EK9" i="1"/>
  <c r="EJ46" i="1"/>
  <c r="EK46" i="1"/>
  <c r="EC31" i="1"/>
  <c r="ED31" i="1"/>
  <c r="EC12" i="1"/>
  <c r="ED12" i="1"/>
  <c r="EC14" i="1"/>
  <c r="ED14" i="1"/>
  <c r="EC37" i="1"/>
  <c r="ED37" i="1"/>
  <c r="EC24" i="1"/>
  <c r="ED24" i="1"/>
  <c r="EC5" i="1"/>
  <c r="ED5" i="1"/>
  <c r="EC17" i="1"/>
  <c r="ED17" i="1"/>
  <c r="EC34" i="1"/>
  <c r="ED34" i="1"/>
  <c r="EC26" i="1"/>
  <c r="ED26" i="1"/>
  <c r="EC29" i="1"/>
  <c r="ED29" i="1"/>
  <c r="EC43" i="1"/>
  <c r="ED43" i="1"/>
  <c r="EC36" i="1"/>
  <c r="ED36" i="1"/>
  <c r="EC21" i="1"/>
  <c r="ED21" i="1"/>
  <c r="EC49" i="1"/>
  <c r="ED49" i="1"/>
  <c r="EC27" i="1"/>
  <c r="ED27" i="1"/>
  <c r="EC50" i="1"/>
  <c r="ED50" i="1"/>
  <c r="EC30" i="1"/>
  <c r="ED30" i="1"/>
  <c r="EC32" i="1"/>
  <c r="ED32" i="1"/>
  <c r="EC8" i="1"/>
  <c r="ED8" i="1"/>
  <c r="EC11" i="1"/>
  <c r="ED11" i="1"/>
  <c r="EC48" i="1"/>
  <c r="ED48" i="1"/>
  <c r="EC25" i="1"/>
  <c r="ED25" i="1"/>
  <c r="EC42" i="1"/>
  <c r="ED42" i="1"/>
  <c r="EC2" i="1"/>
  <c r="ED2" i="1"/>
  <c r="EC16" i="1"/>
  <c r="ED16" i="1"/>
  <c r="EC38" i="1"/>
  <c r="ED38" i="1"/>
  <c r="EC45" i="1"/>
  <c r="ED45" i="1"/>
  <c r="EC40" i="1"/>
  <c r="ED40" i="1"/>
  <c r="EC9" i="1"/>
  <c r="ED9" i="1"/>
  <c r="EC46" i="1"/>
  <c r="ED46" i="1"/>
  <c r="EC28" i="1"/>
  <c r="ED28" i="1"/>
  <c r="DV33" i="1"/>
  <c r="DW33" i="1"/>
  <c r="DV35" i="1"/>
  <c r="DW35" i="1"/>
  <c r="DV19" i="1"/>
  <c r="DW19" i="1"/>
  <c r="DV20" i="1"/>
  <c r="DW20" i="1"/>
  <c r="DV22" i="1"/>
  <c r="DW22" i="1"/>
  <c r="DV44" i="1"/>
  <c r="DW44" i="1"/>
  <c r="DV39" i="1"/>
  <c r="DW39" i="1"/>
  <c r="DV31" i="1"/>
  <c r="DW31" i="1"/>
  <c r="DV12" i="1"/>
  <c r="DW12" i="1"/>
  <c r="DV14" i="1"/>
  <c r="DW14" i="1"/>
  <c r="DV37" i="1"/>
  <c r="DW37" i="1"/>
  <c r="DV24" i="1"/>
  <c r="DW24" i="1"/>
  <c r="DV5" i="1"/>
  <c r="DW5" i="1"/>
  <c r="DV17" i="1"/>
  <c r="DW17" i="1"/>
  <c r="DV34" i="1"/>
  <c r="DW34" i="1"/>
  <c r="DV26" i="1"/>
  <c r="DW26" i="1"/>
  <c r="DV29" i="1"/>
  <c r="DW29" i="1"/>
  <c r="DV43" i="1"/>
  <c r="DW43" i="1"/>
  <c r="DV36" i="1"/>
  <c r="DW36" i="1"/>
  <c r="DV21" i="1"/>
  <c r="DW21" i="1"/>
  <c r="DV49" i="1"/>
  <c r="DW49" i="1"/>
  <c r="DV27" i="1"/>
  <c r="DW27" i="1"/>
  <c r="DV50" i="1"/>
  <c r="DW50" i="1"/>
  <c r="DV30" i="1"/>
  <c r="DW30" i="1"/>
  <c r="DV32" i="1"/>
  <c r="DW32" i="1"/>
  <c r="DV8" i="1"/>
  <c r="DW8" i="1"/>
  <c r="DV11" i="1"/>
  <c r="DW11" i="1"/>
  <c r="DV48" i="1"/>
  <c r="DW48" i="1"/>
  <c r="DV25" i="1"/>
  <c r="DW25" i="1"/>
  <c r="DV42" i="1"/>
  <c r="DW42" i="1"/>
  <c r="DV2" i="1"/>
  <c r="DW2" i="1"/>
  <c r="DV16" i="1"/>
  <c r="DW16" i="1"/>
  <c r="DV38" i="1"/>
  <c r="DW38" i="1"/>
  <c r="DV45" i="1"/>
  <c r="DW45" i="1"/>
  <c r="DV40" i="1"/>
  <c r="DW40" i="1"/>
  <c r="DV9" i="1"/>
  <c r="DW9" i="1"/>
  <c r="DV46" i="1"/>
  <c r="DW46" i="1"/>
  <c r="ES38" i="1"/>
  <c r="ET38" i="1"/>
  <c r="ES45" i="1"/>
  <c r="ET45" i="1"/>
  <c r="ES40" i="1"/>
  <c r="ET40" i="1"/>
  <c r="ES9" i="1"/>
  <c r="ET9" i="1"/>
  <c r="ES46" i="1"/>
  <c r="ET46" i="1"/>
  <c r="ES28" i="1"/>
  <c r="ET28" i="1"/>
  <c r="ES6" i="1"/>
  <c r="ET6" i="1"/>
  <c r="C40" i="1"/>
  <c r="C9" i="1"/>
  <c r="ES33" i="1"/>
  <c r="ET33" i="1"/>
  <c r="ES35" i="1"/>
  <c r="ET35" i="1"/>
  <c r="ES19" i="1"/>
  <c r="ET19" i="1"/>
  <c r="ES20" i="1"/>
  <c r="ET20" i="1"/>
  <c r="ES22" i="1"/>
  <c r="ET22" i="1"/>
  <c r="ES44" i="1"/>
  <c r="ET44" i="1"/>
  <c r="ES39" i="1"/>
  <c r="ET39" i="1"/>
  <c r="ES31" i="1"/>
  <c r="ET31" i="1"/>
  <c r="ES12" i="1"/>
  <c r="ET12" i="1"/>
  <c r="ES14" i="1"/>
  <c r="ET14" i="1"/>
  <c r="ES37" i="1"/>
  <c r="ET37" i="1"/>
  <c r="ES24" i="1"/>
  <c r="ET24" i="1"/>
  <c r="ES5" i="1"/>
  <c r="ET5" i="1"/>
  <c r="ES17" i="1"/>
  <c r="ET17" i="1"/>
  <c r="ES34" i="1"/>
  <c r="ET34" i="1"/>
  <c r="ES26" i="1"/>
  <c r="ET26" i="1"/>
  <c r="ES29" i="1"/>
  <c r="ET29" i="1"/>
  <c r="ES43" i="1"/>
  <c r="ET43" i="1"/>
  <c r="ES36" i="1"/>
  <c r="ET36" i="1"/>
  <c r="ES21" i="1"/>
  <c r="ET21" i="1"/>
  <c r="ES49" i="1"/>
  <c r="ET49" i="1"/>
  <c r="ES27" i="1"/>
  <c r="ET27" i="1"/>
  <c r="ES50" i="1"/>
  <c r="ET50" i="1"/>
  <c r="ES30" i="1"/>
  <c r="ET30" i="1"/>
  <c r="ES32" i="1"/>
  <c r="ET32" i="1"/>
  <c r="ES8" i="1"/>
  <c r="ET8" i="1"/>
  <c r="ES11" i="1"/>
  <c r="ET11" i="1"/>
  <c r="ES48" i="1"/>
  <c r="ET48" i="1"/>
  <c r="ES25" i="1"/>
  <c r="ET25" i="1"/>
  <c r="ES42" i="1"/>
  <c r="ET42" i="1"/>
  <c r="ES2" i="1"/>
  <c r="ET2" i="1"/>
  <c r="ES16" i="1"/>
  <c r="ET16" i="1"/>
  <c r="ES10" i="1"/>
  <c r="ET10" i="1"/>
  <c r="ES15" i="1"/>
  <c r="ET15" i="1"/>
  <c r="ES3" i="1"/>
  <c r="ET3" i="1"/>
  <c r="ES23" i="1"/>
  <c r="ET23" i="1"/>
  <c r="ES41" i="1"/>
  <c r="ET41" i="1"/>
  <c r="ES7" i="1"/>
  <c r="ET7" i="1"/>
  <c r="ES18" i="1"/>
  <c r="ET18" i="1"/>
  <c r="ES47" i="1"/>
  <c r="ET47" i="1"/>
  <c r="EQ4" i="1" l="1"/>
  <c r="ER4" i="1"/>
  <c r="EU11" i="1"/>
  <c r="DX37" i="1"/>
  <c r="DX19" i="1"/>
  <c r="EU30" i="1"/>
  <c r="DX49" i="1"/>
  <c r="EU25" i="1"/>
  <c r="EU32" i="1"/>
  <c r="EU49" i="1"/>
  <c r="EU29" i="1"/>
  <c r="DX5" i="1"/>
  <c r="EL38" i="1"/>
  <c r="EL5" i="1"/>
  <c r="DX30" i="1"/>
  <c r="EE29" i="1"/>
  <c r="EE12" i="1"/>
  <c r="DX8" i="1"/>
  <c r="DX26" i="1"/>
  <c r="EU26" i="1"/>
  <c r="EL12" i="1"/>
  <c r="DX25" i="1"/>
  <c r="DX50" i="1"/>
  <c r="DX36" i="1"/>
  <c r="EU16" i="1"/>
  <c r="EU5" i="1"/>
  <c r="DX45" i="1"/>
  <c r="DX42" i="1"/>
  <c r="EU3" i="1"/>
  <c r="EU2" i="1"/>
  <c r="EU21" i="1"/>
  <c r="DX38" i="1"/>
  <c r="DX14" i="1"/>
  <c r="EE48" i="1"/>
  <c r="EU15" i="1"/>
  <c r="DX9" i="1"/>
  <c r="EM32" i="1"/>
  <c r="EN32" i="1" s="1"/>
  <c r="DX12" i="1"/>
  <c r="DX22" i="1"/>
  <c r="DX33" i="1"/>
  <c r="EE50" i="1"/>
  <c r="EL46" i="1"/>
  <c r="EM9" i="1"/>
  <c r="EN9" i="1" s="1"/>
  <c r="EU17" i="1"/>
  <c r="EU45" i="1"/>
  <c r="DX2" i="1"/>
  <c r="DX31" i="1"/>
  <c r="EE42" i="1"/>
  <c r="EL31" i="1"/>
  <c r="EU10" i="1"/>
  <c r="EU27" i="1"/>
  <c r="EU31" i="1"/>
  <c r="EM30" i="1"/>
  <c r="EN30" i="1" s="1"/>
  <c r="EU37" i="1"/>
  <c r="EU39" i="1"/>
  <c r="EU19" i="1"/>
  <c r="EU6" i="1"/>
  <c r="DX27" i="1"/>
  <c r="DX43" i="1"/>
  <c r="EE38" i="1"/>
  <c r="EE25" i="1"/>
  <c r="EE30" i="1"/>
  <c r="DX16" i="1"/>
  <c r="EU44" i="1"/>
  <c r="EL17" i="1"/>
  <c r="EU50" i="1"/>
  <c r="EU33" i="1"/>
  <c r="DX11" i="1"/>
  <c r="EE2" i="1"/>
  <c r="EL25" i="1"/>
  <c r="EL32" i="1"/>
  <c r="EL29" i="1"/>
  <c r="EE8" i="1"/>
  <c r="EU47" i="1"/>
  <c r="EU34" i="1"/>
  <c r="EU24" i="1"/>
  <c r="EU20" i="1"/>
  <c r="EE26" i="1"/>
  <c r="EL11" i="1"/>
  <c r="EL36" i="1"/>
  <c r="EL34" i="1"/>
  <c r="EL27" i="1"/>
  <c r="EL43" i="1"/>
  <c r="DX46" i="1"/>
  <c r="EE34" i="1"/>
  <c r="EE37" i="1"/>
  <c r="EU23" i="1"/>
  <c r="EU28" i="1"/>
  <c r="EE32" i="1"/>
  <c r="EE17" i="1"/>
  <c r="EE14" i="1"/>
  <c r="EL49" i="1"/>
  <c r="EL48" i="1"/>
  <c r="EL21" i="1"/>
  <c r="EL26" i="1"/>
  <c r="DX35" i="1"/>
  <c r="DX29" i="1"/>
  <c r="EU22" i="1"/>
  <c r="EU46" i="1"/>
  <c r="EE5" i="1"/>
  <c r="EL8" i="1"/>
  <c r="EU42" i="1"/>
  <c r="EL42" i="1"/>
  <c r="EU14" i="1"/>
  <c r="EU35" i="1"/>
  <c r="EU43" i="1"/>
  <c r="EO32" i="1"/>
  <c r="EP32" i="1" s="1"/>
  <c r="EU12" i="1"/>
  <c r="EU9" i="1"/>
  <c r="EU38" i="1"/>
  <c r="DX40" i="1"/>
  <c r="DX32" i="1"/>
  <c r="DX24" i="1"/>
  <c r="EE27" i="1"/>
  <c r="EE43" i="1"/>
  <c r="EL45" i="1"/>
  <c r="EL2" i="1"/>
  <c r="EL30" i="1"/>
  <c r="EL37" i="1"/>
  <c r="DX48" i="1"/>
  <c r="DX34" i="1"/>
  <c r="EE16" i="1"/>
  <c r="EL14" i="1"/>
  <c r="EU41" i="1"/>
  <c r="EE40" i="1"/>
  <c r="EE49" i="1"/>
  <c r="EL50" i="1"/>
  <c r="EU7" i="1"/>
  <c r="EO25" i="1"/>
  <c r="EP25" i="1" s="1"/>
  <c r="EU8" i="1"/>
  <c r="EU36" i="1"/>
  <c r="EU40" i="1"/>
  <c r="DX21" i="1"/>
  <c r="DX39" i="1"/>
  <c r="DX20" i="1"/>
  <c r="EE28" i="1"/>
  <c r="EE45" i="1"/>
  <c r="EL9" i="1"/>
  <c r="EL16" i="1"/>
  <c r="EL24" i="1"/>
  <c r="EU48" i="1"/>
  <c r="EU18" i="1"/>
  <c r="DX44" i="1"/>
  <c r="EE46" i="1"/>
  <c r="EL40" i="1"/>
  <c r="EM40" i="1"/>
  <c r="EN40" i="1" s="1"/>
  <c r="EO30" i="1"/>
  <c r="EP30" i="1" s="1"/>
  <c r="EO9" i="1"/>
  <c r="EP9" i="1" s="1"/>
  <c r="EE9" i="1"/>
  <c r="EE21" i="1"/>
  <c r="EE24" i="1"/>
  <c r="EE11" i="1"/>
  <c r="EE36" i="1"/>
  <c r="EM25" i="1"/>
  <c r="EN25" i="1" s="1"/>
  <c r="EE31" i="1"/>
  <c r="EO40" i="1"/>
  <c r="EP40" i="1" s="1"/>
  <c r="DX17" i="1"/>
  <c r="C30" i="1"/>
  <c r="C25" i="1"/>
  <c r="C32" i="1"/>
  <c r="C8" i="1"/>
  <c r="N8" i="1"/>
  <c r="O8" i="1"/>
  <c r="U8" i="1"/>
  <c r="V8" i="1"/>
  <c r="AB8" i="1"/>
  <c r="AC8" i="1"/>
  <c r="AI8" i="1"/>
  <c r="AJ8" i="1"/>
  <c r="AP8" i="1"/>
  <c r="AQ8" i="1"/>
  <c r="AW8" i="1"/>
  <c r="AX8" i="1"/>
  <c r="BD8" i="1"/>
  <c r="BE8" i="1"/>
  <c r="BK8" i="1"/>
  <c r="BL8" i="1"/>
  <c r="BR8" i="1"/>
  <c r="BS8" i="1"/>
  <c r="BY8" i="1"/>
  <c r="BZ8" i="1"/>
  <c r="CF8" i="1"/>
  <c r="CG8" i="1"/>
  <c r="CM8" i="1"/>
  <c r="CN8" i="1"/>
  <c r="CT8" i="1"/>
  <c r="CU8" i="1"/>
  <c r="DA8" i="1"/>
  <c r="DB8" i="1"/>
  <c r="DH8" i="1"/>
  <c r="DI8" i="1"/>
  <c r="DO8" i="1"/>
  <c r="DP8" i="1"/>
  <c r="ER30" i="1" l="1"/>
  <c r="ER9" i="1"/>
  <c r="AK8" i="1"/>
  <c r="ER25" i="1"/>
  <c r="ER32" i="1"/>
  <c r="EO8" i="1"/>
  <c r="EP8" i="1" s="1"/>
  <c r="P8" i="1"/>
  <c r="EQ32" i="1"/>
  <c r="AD8" i="1"/>
  <c r="AY8" i="1"/>
  <c r="BT8" i="1"/>
  <c r="AR8" i="1"/>
  <c r="EM8" i="1"/>
  <c r="EN8" i="1" s="1"/>
  <c r="CO8" i="1"/>
  <c r="BM8" i="1"/>
  <c r="EQ9" i="1"/>
  <c r="EQ30" i="1"/>
  <c r="ER40" i="1"/>
  <c r="EQ25" i="1"/>
  <c r="EQ40" i="1"/>
  <c r="DJ8" i="1"/>
  <c r="CH8" i="1"/>
  <c r="CV8" i="1"/>
  <c r="DQ8" i="1"/>
  <c r="DC8" i="1"/>
  <c r="BF8" i="1"/>
  <c r="CA8" i="1"/>
  <c r="W8" i="1"/>
  <c r="H4" i="3"/>
  <c r="I4" i="3"/>
  <c r="J4" i="3"/>
  <c r="G4" i="3"/>
  <c r="ES13" i="1"/>
  <c r="ET13" i="1"/>
  <c r="EJ13" i="1"/>
  <c r="EK13" i="1"/>
  <c r="EJ33" i="1"/>
  <c r="EK33" i="1"/>
  <c r="EJ35" i="1"/>
  <c r="EK35" i="1"/>
  <c r="EJ19" i="1"/>
  <c r="EK19" i="1"/>
  <c r="EJ20" i="1"/>
  <c r="EK20" i="1"/>
  <c r="EJ22" i="1"/>
  <c r="EK22" i="1"/>
  <c r="EJ44" i="1"/>
  <c r="EK44" i="1"/>
  <c r="EJ39" i="1"/>
  <c r="EK39" i="1"/>
  <c r="EJ28" i="1"/>
  <c r="EK28" i="1"/>
  <c r="EJ6" i="1"/>
  <c r="EK6" i="1"/>
  <c r="EJ10" i="1"/>
  <c r="EK10" i="1"/>
  <c r="EJ15" i="1"/>
  <c r="EK15" i="1"/>
  <c r="EJ3" i="1"/>
  <c r="EK3" i="1"/>
  <c r="EJ23" i="1"/>
  <c r="EK23" i="1"/>
  <c r="EJ41" i="1"/>
  <c r="EK41" i="1"/>
  <c r="EJ7" i="1"/>
  <c r="EK7" i="1"/>
  <c r="EJ18" i="1"/>
  <c r="EK18" i="1"/>
  <c r="EJ47" i="1"/>
  <c r="EK47" i="1"/>
  <c r="J6" i="3"/>
  <c r="I6" i="3"/>
  <c r="H6" i="3"/>
  <c r="G6" i="3"/>
  <c r="B33" i="33"/>
  <c r="B25" i="33"/>
  <c r="B17" i="33"/>
  <c r="B9" i="33"/>
  <c r="C9" i="33"/>
  <c r="D9" i="33" s="1"/>
  <c r="E9" i="33" s="1"/>
  <c r="F9" i="33" s="1"/>
  <c r="G1" i="33"/>
  <c r="H1" i="33" s="1"/>
  <c r="EL15" i="1" l="1"/>
  <c r="EL39" i="1"/>
  <c r="EL10" i="1"/>
  <c r="EL28" i="1"/>
  <c r="EL44" i="1"/>
  <c r="EL6" i="1"/>
  <c r="EL22" i="1"/>
  <c r="ER8" i="1"/>
  <c r="EQ8" i="1"/>
  <c r="EL33" i="1"/>
  <c r="EL23" i="1"/>
  <c r="EL18" i="1"/>
  <c r="EL13" i="1"/>
  <c r="EU13" i="1"/>
  <c r="EL3" i="1"/>
  <c r="EL41" i="1"/>
  <c r="EL35" i="1"/>
  <c r="EL47" i="1"/>
  <c r="EL20" i="1"/>
  <c r="EL19" i="1"/>
  <c r="EL7" i="1"/>
  <c r="G9" i="33"/>
  <c r="H9" i="33" s="1"/>
  <c r="C17" i="33"/>
  <c r="D17" i="33" s="1"/>
  <c r="E17" i="33" s="1"/>
  <c r="F17" i="33" s="1"/>
  <c r="G17" i="33" s="1"/>
  <c r="H17" i="33" s="1"/>
  <c r="C5" i="1"/>
  <c r="I5" i="3" l="1"/>
  <c r="C25" i="33"/>
  <c r="D25" i="33" s="1"/>
  <c r="E25" i="33" s="1"/>
  <c r="F25" i="33" s="1"/>
  <c r="EC39" i="1"/>
  <c r="ED39" i="1"/>
  <c r="DO39" i="1"/>
  <c r="DP39" i="1"/>
  <c r="C39" i="1"/>
  <c r="EO39" i="1" l="1"/>
  <c r="EP39" i="1" s="1"/>
  <c r="EM39" i="1"/>
  <c r="EE39" i="1"/>
  <c r="C33" i="33"/>
  <c r="D33" i="33" s="1"/>
  <c r="E33" i="33" s="1"/>
  <c r="F33" i="33" s="1"/>
  <c r="H33" i="33" s="1"/>
  <c r="G25" i="33"/>
  <c r="H25" i="33" s="1"/>
  <c r="DQ39" i="1"/>
  <c r="EC7" i="1"/>
  <c r="ED7" i="1"/>
  <c r="DV7" i="1"/>
  <c r="DW7" i="1"/>
  <c r="DO37" i="1"/>
  <c r="EM37" i="1" s="1"/>
  <c r="DP37" i="1"/>
  <c r="EO37" i="1" s="1"/>
  <c r="EP37" i="1" s="1"/>
  <c r="DO7" i="1"/>
  <c r="DP7" i="1"/>
  <c r="DO34" i="1"/>
  <c r="EM34" i="1" s="1"/>
  <c r="DP34" i="1"/>
  <c r="EO34" i="1" s="1"/>
  <c r="EP34" i="1" s="1"/>
  <c r="C34" i="1"/>
  <c r="C7" i="1"/>
  <c r="C37" i="1"/>
  <c r="EN37" i="1" l="1"/>
  <c r="ER37" i="1" s="1"/>
  <c r="EQ37" i="1"/>
  <c r="EN34" i="1"/>
  <c r="ER34" i="1" s="1"/>
  <c r="EQ34" i="1"/>
  <c r="EO7" i="1"/>
  <c r="EP7" i="1" s="1"/>
  <c r="EM7" i="1"/>
  <c r="EN39" i="1"/>
  <c r="ER39" i="1" s="1"/>
  <c r="EQ39" i="1"/>
  <c r="DQ37" i="1"/>
  <c r="EE7" i="1"/>
  <c r="DQ7" i="1"/>
  <c r="DQ34" i="1"/>
  <c r="DX7" i="1"/>
  <c r="EQ7" i="1" l="1"/>
  <c r="EN7" i="1"/>
  <c r="ER7" i="1" s="1"/>
  <c r="ED23" i="1"/>
  <c r="EC23" i="1"/>
  <c r="ED3" i="1"/>
  <c r="EC3" i="1"/>
  <c r="ED15" i="1"/>
  <c r="EC15" i="1"/>
  <c r="ED44" i="1"/>
  <c r="EC44" i="1"/>
  <c r="ED35" i="1"/>
  <c r="EC35" i="1"/>
  <c r="ED33" i="1"/>
  <c r="EC33" i="1"/>
  <c r="ED47" i="1"/>
  <c r="EC47" i="1"/>
  <c r="ED18" i="1"/>
  <c r="EC18" i="1"/>
  <c r="ED41" i="1"/>
  <c r="EC41" i="1"/>
  <c r="ED10" i="1"/>
  <c r="EC10" i="1"/>
  <c r="ED6" i="1"/>
  <c r="EC6" i="1"/>
  <c r="ED22" i="1"/>
  <c r="EC22" i="1"/>
  <c r="ED20" i="1"/>
  <c r="EC20" i="1"/>
  <c r="ED19" i="1"/>
  <c r="EC19" i="1"/>
  <c r="ED13" i="1"/>
  <c r="EC13" i="1"/>
  <c r="EE22" i="1" l="1"/>
  <c r="EE6" i="1"/>
  <c r="EE44" i="1"/>
  <c r="EE19" i="1"/>
  <c r="EE20" i="1"/>
  <c r="EE10" i="1"/>
  <c r="EE47" i="1"/>
  <c r="EE13" i="1"/>
  <c r="EE41" i="1"/>
  <c r="EE23" i="1"/>
  <c r="EE33" i="1"/>
  <c r="EE35" i="1"/>
  <c r="EE15" i="1"/>
  <c r="EE18" i="1"/>
  <c r="EE3" i="1"/>
  <c r="DV23" i="1"/>
  <c r="DW23" i="1"/>
  <c r="DO23" i="1"/>
  <c r="DP23" i="1"/>
  <c r="DO16" i="1"/>
  <c r="DP16" i="1"/>
  <c r="DH23" i="1"/>
  <c r="DI23" i="1"/>
  <c r="DH16" i="1"/>
  <c r="DI16" i="1"/>
  <c r="C16" i="1"/>
  <c r="C23" i="1"/>
  <c r="EO16" i="1" l="1"/>
  <c r="EP16" i="1" s="1"/>
  <c r="EM16" i="1"/>
  <c r="EO23" i="1"/>
  <c r="EP23" i="1" s="1"/>
  <c r="EM23" i="1"/>
  <c r="DJ16" i="1"/>
  <c r="DJ23" i="1"/>
  <c r="DQ23" i="1"/>
  <c r="DX23" i="1"/>
  <c r="DQ16" i="1"/>
  <c r="DO48" i="1"/>
  <c r="DP48" i="1"/>
  <c r="DH48" i="1"/>
  <c r="DI48" i="1"/>
  <c r="DH11" i="1"/>
  <c r="DI11" i="1"/>
  <c r="C48" i="1"/>
  <c r="EO48" i="1" l="1"/>
  <c r="EP48" i="1" s="1"/>
  <c r="EN16" i="1"/>
  <c r="ER16" i="1" s="1"/>
  <c r="EQ16" i="1"/>
  <c r="EM48" i="1"/>
  <c r="EN23" i="1"/>
  <c r="ER23" i="1" s="1"/>
  <c r="EQ23" i="1"/>
  <c r="DJ11" i="1"/>
  <c r="DQ48" i="1"/>
  <c r="DJ48" i="1"/>
  <c r="DW13" i="1"/>
  <c r="DV13" i="1"/>
  <c r="DW18" i="1"/>
  <c r="DV18" i="1"/>
  <c r="DW41" i="1"/>
  <c r="DV41" i="1"/>
  <c r="DW47" i="1"/>
  <c r="DV47" i="1"/>
  <c r="DW3" i="1"/>
  <c r="DV3" i="1"/>
  <c r="DW10" i="1"/>
  <c r="DV10" i="1"/>
  <c r="DW28" i="1"/>
  <c r="DV28" i="1"/>
  <c r="DW6" i="1"/>
  <c r="DV6" i="1"/>
  <c r="DW15" i="1"/>
  <c r="DV15" i="1"/>
  <c r="DO29" i="1"/>
  <c r="DP29" i="1"/>
  <c r="DO26" i="1"/>
  <c r="DP26" i="1"/>
  <c r="DO2" i="1"/>
  <c r="DP2" i="1"/>
  <c r="DO47" i="1"/>
  <c r="DP47" i="1"/>
  <c r="DH29" i="1"/>
  <c r="EM29" i="1" s="1"/>
  <c r="DI29" i="1"/>
  <c r="EO29" i="1" s="1"/>
  <c r="EP29" i="1" s="1"/>
  <c r="DH26" i="1"/>
  <c r="EM26" i="1" s="1"/>
  <c r="DI26" i="1"/>
  <c r="EO26" i="1" s="1"/>
  <c r="EP26" i="1" s="1"/>
  <c r="DH2" i="1"/>
  <c r="EM2" i="1" s="1"/>
  <c r="DI2" i="1"/>
  <c r="EO2" i="1" s="1"/>
  <c r="EP2" i="1" s="1"/>
  <c r="DH47" i="1"/>
  <c r="DI47" i="1"/>
  <c r="C47" i="1"/>
  <c r="C29" i="1"/>
  <c r="C26" i="1"/>
  <c r="C2" i="1"/>
  <c r="EM47" i="1" l="1"/>
  <c r="EO47" i="1"/>
  <c r="EP47" i="1" s="1"/>
  <c r="DX6" i="1"/>
  <c r="DX28" i="1"/>
  <c r="DX10" i="1"/>
  <c r="EN48" i="1"/>
  <c r="ER48" i="1" s="1"/>
  <c r="EQ48" i="1"/>
  <c r="DX15" i="1"/>
  <c r="EN26" i="1"/>
  <c r="ER26" i="1" s="1"/>
  <c r="EQ26" i="1"/>
  <c r="EN29" i="1"/>
  <c r="ER29" i="1" s="1"/>
  <c r="EQ29" i="1"/>
  <c r="EN2" i="1"/>
  <c r="ER2" i="1" s="1"/>
  <c r="EQ2" i="1"/>
  <c r="DQ47" i="1"/>
  <c r="DQ29" i="1"/>
  <c r="DJ26" i="1"/>
  <c r="DX13" i="1"/>
  <c r="DJ2" i="1"/>
  <c r="DJ47" i="1"/>
  <c r="DX18" i="1"/>
  <c r="DX47" i="1"/>
  <c r="DX3" i="1"/>
  <c r="DX41" i="1"/>
  <c r="DJ29" i="1"/>
  <c r="DQ2" i="1"/>
  <c r="DQ26" i="1"/>
  <c r="EQ47" i="1" l="1"/>
  <c r="EN47" i="1"/>
  <c r="ER47" i="1" s="1"/>
  <c r="DO44" i="1"/>
  <c r="DP44" i="1"/>
  <c r="DH44" i="1"/>
  <c r="DI44" i="1"/>
  <c r="EO44" i="1" s="1"/>
  <c r="EP44" i="1" s="1"/>
  <c r="C44" i="1"/>
  <c r="DO35" i="1"/>
  <c r="DP35" i="1"/>
  <c r="DO5" i="1"/>
  <c r="DP5" i="1"/>
  <c r="DH35" i="1"/>
  <c r="DI35" i="1"/>
  <c r="DH5" i="1"/>
  <c r="DI5" i="1"/>
  <c r="EO5" i="1" s="1"/>
  <c r="EP5" i="1" s="1"/>
  <c r="C35" i="1"/>
  <c r="EM44" i="1" l="1"/>
  <c r="EQ44" i="1" s="1"/>
  <c r="EM5" i="1"/>
  <c r="EO35" i="1"/>
  <c r="EP35" i="1" s="1"/>
  <c r="EM35" i="1"/>
  <c r="DJ5" i="1"/>
  <c r="DQ44" i="1"/>
  <c r="DJ44" i="1"/>
  <c r="DJ35" i="1"/>
  <c r="DQ5" i="1"/>
  <c r="DQ35" i="1"/>
  <c r="EN44" i="1" l="1"/>
  <c r="ER44" i="1" s="1"/>
  <c r="EN35" i="1"/>
  <c r="ER35" i="1" s="1"/>
  <c r="EQ35" i="1"/>
  <c r="EN5" i="1"/>
  <c r="ER5" i="1" s="1"/>
  <c r="EQ5" i="1"/>
  <c r="DO15" i="1"/>
  <c r="DP15" i="1"/>
  <c r="DH15" i="1"/>
  <c r="DI15" i="1"/>
  <c r="DA15" i="1"/>
  <c r="DB15" i="1"/>
  <c r="C15" i="1"/>
  <c r="EM15" i="1" l="1"/>
  <c r="EN15" i="1" s="1"/>
  <c r="EO15" i="1"/>
  <c r="DJ15" i="1"/>
  <c r="DQ15" i="1"/>
  <c r="DC15" i="1"/>
  <c r="EQ15" i="1" l="1"/>
  <c r="EP15" i="1"/>
  <c r="ER15" i="1" s="1"/>
  <c r="G1" i="30"/>
  <c r="B7" i="30" s="1"/>
  <c r="G1" i="29"/>
  <c r="H1" i="29" s="1"/>
  <c r="B7" i="29" s="1"/>
  <c r="B14" i="29" s="1"/>
  <c r="B15" i="30" l="1"/>
  <c r="C7" i="30"/>
  <c r="D7" i="30" s="1"/>
  <c r="E7" i="30" s="1"/>
  <c r="F7" i="30" s="1"/>
  <c r="G7" i="30" s="1"/>
  <c r="H7" i="30" s="1"/>
  <c r="B21" i="29"/>
  <c r="C21" i="29" s="1"/>
  <c r="D21" i="29" s="1"/>
  <c r="E21" i="29" s="1"/>
  <c r="F21" i="29" s="1"/>
  <c r="G21" i="29" s="1"/>
  <c r="H21" i="29" s="1"/>
  <c r="C14" i="29"/>
  <c r="D14" i="29" s="1"/>
  <c r="E14" i="29" s="1"/>
  <c r="F14" i="29" s="1"/>
  <c r="G14" i="29" s="1"/>
  <c r="H14" i="29" s="1"/>
  <c r="C7" i="29"/>
  <c r="D7" i="29" s="1"/>
  <c r="E7" i="29" s="1"/>
  <c r="F7" i="29" s="1"/>
  <c r="G7" i="29" s="1"/>
  <c r="H7" i="29" s="1"/>
  <c r="B28" i="29"/>
  <c r="C28" i="29" s="1"/>
  <c r="D28" i="29" s="1"/>
  <c r="E28" i="29" s="1"/>
  <c r="DP22" i="1"/>
  <c r="DO22" i="1"/>
  <c r="DP45" i="1"/>
  <c r="DO45" i="1"/>
  <c r="DP18" i="1"/>
  <c r="DO18" i="1"/>
  <c r="DP24" i="1"/>
  <c r="DO24" i="1"/>
  <c r="DP17" i="1"/>
  <c r="DO17" i="1"/>
  <c r="DP14" i="1"/>
  <c r="DO14" i="1"/>
  <c r="DP21" i="1"/>
  <c r="DO21" i="1"/>
  <c r="DP27" i="1"/>
  <c r="DO27" i="1"/>
  <c r="DP6" i="1"/>
  <c r="DO6" i="1"/>
  <c r="DP31" i="1"/>
  <c r="DO31" i="1"/>
  <c r="DP41" i="1"/>
  <c r="DO41" i="1"/>
  <c r="DP19" i="1"/>
  <c r="DO19" i="1"/>
  <c r="DP13" i="1"/>
  <c r="DO13" i="1"/>
  <c r="DP36" i="1"/>
  <c r="DO36" i="1"/>
  <c r="DP42" i="1"/>
  <c r="DO42" i="1"/>
  <c r="DP46" i="1"/>
  <c r="DO46" i="1"/>
  <c r="DP50" i="1"/>
  <c r="DO50" i="1"/>
  <c r="DP38" i="1"/>
  <c r="DO38" i="1"/>
  <c r="DP20" i="1"/>
  <c r="DO20" i="1"/>
  <c r="DP49" i="1"/>
  <c r="DO49" i="1"/>
  <c r="DP10" i="1"/>
  <c r="DO10" i="1"/>
  <c r="DP11" i="1"/>
  <c r="DO11" i="1"/>
  <c r="DP3" i="1"/>
  <c r="DO3" i="1"/>
  <c r="DP33" i="1"/>
  <c r="DO33" i="1"/>
  <c r="DP43" i="1"/>
  <c r="DO43" i="1"/>
  <c r="DP12" i="1"/>
  <c r="DO12" i="1"/>
  <c r="DP28" i="1"/>
  <c r="DO28" i="1"/>
  <c r="DQ13" i="1" l="1"/>
  <c r="DQ3" i="1"/>
  <c r="DQ46" i="1"/>
  <c r="DQ14" i="1"/>
  <c r="DQ38" i="1"/>
  <c r="DQ27" i="1"/>
  <c r="DQ11" i="1"/>
  <c r="C15" i="30"/>
  <c r="D15" i="30" s="1"/>
  <c r="E15" i="30" s="1"/>
  <c r="F15" i="30" s="1"/>
  <c r="G15" i="30" s="1"/>
  <c r="H15" i="30" s="1"/>
  <c r="B23" i="30"/>
  <c r="DQ50" i="1"/>
  <c r="DQ24" i="1"/>
  <c r="DQ28" i="1"/>
  <c r="DQ42" i="1"/>
  <c r="DQ10" i="1"/>
  <c r="DQ21" i="1"/>
  <c r="DQ22" i="1"/>
  <c r="DQ6" i="1"/>
  <c r="DQ19" i="1"/>
  <c r="DQ43" i="1"/>
  <c r="DQ18" i="1"/>
  <c r="DQ12" i="1"/>
  <c r="DQ33" i="1"/>
  <c r="DQ36" i="1"/>
  <c r="DQ41" i="1"/>
  <c r="DQ17" i="1"/>
  <c r="DQ31" i="1"/>
  <c r="DQ45" i="1"/>
  <c r="DQ49" i="1"/>
  <c r="DQ20" i="1"/>
  <c r="DA33" i="1"/>
  <c r="DB33" i="1"/>
  <c r="DH33" i="1"/>
  <c r="DI33" i="1"/>
  <c r="CT33" i="1"/>
  <c r="CU33" i="1"/>
  <c r="C33" i="1"/>
  <c r="EM33" i="1" l="1"/>
  <c r="EO33" i="1"/>
  <c r="EP33" i="1" s="1"/>
  <c r="C23" i="30"/>
  <c r="D23" i="30" s="1"/>
  <c r="E23" i="30" s="1"/>
  <c r="F23" i="30" s="1"/>
  <c r="G23" i="30" s="1"/>
  <c r="H23" i="30" s="1"/>
  <c r="B31" i="30"/>
  <c r="CV33" i="1"/>
  <c r="DJ33" i="1"/>
  <c r="DC33" i="1"/>
  <c r="DI18" i="1"/>
  <c r="DH18" i="1"/>
  <c r="DI41" i="1"/>
  <c r="DH41" i="1"/>
  <c r="DI3" i="1"/>
  <c r="DH3" i="1"/>
  <c r="DI10" i="1"/>
  <c r="DH10" i="1"/>
  <c r="DI6" i="1"/>
  <c r="DH6" i="1"/>
  <c r="DI28" i="1"/>
  <c r="DH28" i="1"/>
  <c r="DI46" i="1"/>
  <c r="DH46" i="1"/>
  <c r="DI45" i="1"/>
  <c r="DH45" i="1"/>
  <c r="DI38" i="1"/>
  <c r="DH38" i="1"/>
  <c r="DI42" i="1"/>
  <c r="DH42" i="1"/>
  <c r="DI50" i="1"/>
  <c r="DH50" i="1"/>
  <c r="DI27" i="1"/>
  <c r="DH27" i="1"/>
  <c r="DI49" i="1"/>
  <c r="DH49" i="1"/>
  <c r="DI21" i="1"/>
  <c r="DH21" i="1"/>
  <c r="DI36" i="1"/>
  <c r="DH36" i="1"/>
  <c r="DI43" i="1"/>
  <c r="DH43" i="1"/>
  <c r="DI17" i="1"/>
  <c r="DH17" i="1"/>
  <c r="DI24" i="1"/>
  <c r="DH24" i="1"/>
  <c r="DI14" i="1"/>
  <c r="DH14" i="1"/>
  <c r="DI12" i="1"/>
  <c r="DH12" i="1"/>
  <c r="DI31" i="1"/>
  <c r="DH31" i="1"/>
  <c r="DI22" i="1"/>
  <c r="DH22" i="1"/>
  <c r="DI20" i="1"/>
  <c r="DH20" i="1"/>
  <c r="DI19" i="1"/>
  <c r="DH19" i="1"/>
  <c r="DI13" i="1"/>
  <c r="DH13" i="1"/>
  <c r="DA3" i="1"/>
  <c r="DB3" i="1"/>
  <c r="CT3" i="1"/>
  <c r="CU3" i="1"/>
  <c r="C3" i="1"/>
  <c r="EO3" i="1" l="1"/>
  <c r="EP3" i="1" s="1"/>
  <c r="EM3" i="1"/>
  <c r="EN3" i="1" s="1"/>
  <c r="EQ33" i="1"/>
  <c r="EN33" i="1"/>
  <c r="ER33" i="1" s="1"/>
  <c r="C31" i="30"/>
  <c r="D31" i="30" s="1"/>
  <c r="E31" i="30" s="1"/>
  <c r="F31" i="30" s="1"/>
  <c r="G31" i="30" s="1"/>
  <c r="H31" i="30" s="1"/>
  <c r="B39" i="30"/>
  <c r="C39" i="30" s="1"/>
  <c r="E39" i="30" s="1"/>
  <c r="F39" i="30" s="1"/>
  <c r="G39" i="30" s="1"/>
  <c r="H39" i="30" s="1"/>
  <c r="CV3" i="1"/>
  <c r="DJ21" i="1"/>
  <c r="DJ43" i="1"/>
  <c r="DJ42" i="1"/>
  <c r="DJ36" i="1"/>
  <c r="DJ46" i="1"/>
  <c r="DJ18" i="1"/>
  <c r="DC3" i="1"/>
  <c r="DJ20" i="1"/>
  <c r="DJ24" i="1"/>
  <c r="DJ6" i="1"/>
  <c r="DJ22" i="1"/>
  <c r="DJ17" i="1"/>
  <c r="DJ50" i="1"/>
  <c r="DJ10" i="1"/>
  <c r="DJ31" i="1"/>
  <c r="DJ19" i="1"/>
  <c r="DJ3" i="1"/>
  <c r="DJ28" i="1"/>
  <c r="DJ12" i="1"/>
  <c r="DJ49" i="1"/>
  <c r="DJ38" i="1"/>
  <c r="DJ13" i="1"/>
  <c r="DJ14" i="1"/>
  <c r="DJ27" i="1"/>
  <c r="DJ45" i="1"/>
  <c r="DJ41" i="1"/>
  <c r="EQ3" i="1" l="1"/>
  <c r="ER3" i="1"/>
  <c r="D19" i="23"/>
  <c r="E19" i="23"/>
  <c r="F19" i="23"/>
  <c r="B15" i="27" l="1"/>
  <c r="C15" i="27" s="1"/>
  <c r="D15" i="27" s="1"/>
  <c r="E15" i="27" s="1"/>
  <c r="F15" i="27" s="1"/>
  <c r="C7" i="27"/>
  <c r="D7" i="27" s="1"/>
  <c r="E7" i="27" s="1"/>
  <c r="F7" i="27" s="1"/>
  <c r="G7" i="27" s="1"/>
  <c r="H7" i="27" s="1"/>
  <c r="G15" i="27" l="1"/>
  <c r="H15" i="27" s="1"/>
  <c r="B23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31" i="27" l="1"/>
  <c r="C31" i="27" s="1"/>
  <c r="D31" i="27" s="1"/>
  <c r="E31" i="27" s="1"/>
  <c r="C23" i="27"/>
  <c r="B19" i="26"/>
  <c r="DA28" i="1"/>
  <c r="DB28" i="1"/>
  <c r="CT28" i="1"/>
  <c r="CU28" i="1"/>
  <c r="CM28" i="1"/>
  <c r="EM28" i="1" s="1"/>
  <c r="CN28" i="1"/>
  <c r="C28" i="1"/>
  <c r="EN28" i="1" l="1"/>
  <c r="EO28" i="1"/>
  <c r="EP28" i="1" s="1"/>
  <c r="D23" i="27"/>
  <c r="E23" i="27" s="1"/>
  <c r="F23" i="27" s="1"/>
  <c r="G23" i="27" s="1"/>
  <c r="H23" i="27" s="1"/>
  <c r="C19" i="26"/>
  <c r="D19" i="26" s="1"/>
  <c r="E19" i="26" s="1"/>
  <c r="F19" i="26" s="1"/>
  <c r="G19" i="26" s="1"/>
  <c r="H19" i="26" s="1"/>
  <c r="B25" i="26"/>
  <c r="DC28" i="1"/>
  <c r="CV28" i="1"/>
  <c r="CO28" i="1"/>
  <c r="DB45" i="1"/>
  <c r="DA45" i="1"/>
  <c r="DB12" i="1"/>
  <c r="DA12" i="1"/>
  <c r="DB18" i="1"/>
  <c r="DA18" i="1"/>
  <c r="DB22" i="1"/>
  <c r="DA22" i="1"/>
  <c r="DB43" i="1"/>
  <c r="DA43" i="1"/>
  <c r="DB46" i="1"/>
  <c r="DA46" i="1"/>
  <c r="DB24" i="1"/>
  <c r="DA24" i="1"/>
  <c r="DB14" i="1"/>
  <c r="DA14" i="1"/>
  <c r="DB27" i="1"/>
  <c r="DA27" i="1"/>
  <c r="DB21" i="1"/>
  <c r="DA21" i="1"/>
  <c r="DB41" i="1"/>
  <c r="DA41" i="1"/>
  <c r="DB11" i="1"/>
  <c r="DA11" i="1"/>
  <c r="DB17" i="1"/>
  <c r="DA17" i="1"/>
  <c r="DB19" i="1"/>
  <c r="DA19" i="1"/>
  <c r="DB31" i="1"/>
  <c r="DA31" i="1"/>
  <c r="DB10" i="1"/>
  <c r="DA10" i="1"/>
  <c r="DB36" i="1"/>
  <c r="DA36" i="1"/>
  <c r="DB13" i="1"/>
  <c r="DA13" i="1"/>
  <c r="DB20" i="1"/>
  <c r="DA20" i="1"/>
  <c r="DB38" i="1"/>
  <c r="DA38" i="1"/>
  <c r="DB50" i="1"/>
  <c r="DA50" i="1"/>
  <c r="DB6" i="1"/>
  <c r="DA6" i="1"/>
  <c r="DB42" i="1"/>
  <c r="DA42" i="1"/>
  <c r="DB49" i="1"/>
  <c r="DA49" i="1"/>
  <c r="ER28" i="1" l="1"/>
  <c r="EQ28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50" i="1"/>
  <c r="DC21" i="1"/>
  <c r="DC14" i="1"/>
  <c r="DC18" i="1"/>
  <c r="DC42" i="1"/>
  <c r="DC45" i="1"/>
  <c r="DC38" i="1"/>
  <c r="DC20" i="1"/>
  <c r="DC19" i="1"/>
  <c r="DC49" i="1"/>
  <c r="DC10" i="1"/>
  <c r="DC41" i="1"/>
  <c r="DC27" i="1"/>
  <c r="DC43" i="1"/>
  <c r="DC31" i="1"/>
  <c r="DC12" i="1"/>
  <c r="DC17" i="1"/>
  <c r="DC6" i="1"/>
  <c r="DC13" i="1"/>
  <c r="DC24" i="1"/>
  <c r="DC22" i="1"/>
  <c r="DC36" i="1"/>
  <c r="DC11" i="1"/>
  <c r="DC46" i="1"/>
  <c r="CT12" i="1"/>
  <c r="CU12" i="1"/>
  <c r="CT6" i="1"/>
  <c r="CU6" i="1"/>
  <c r="CM12" i="1"/>
  <c r="CN12" i="1"/>
  <c r="CM6" i="1"/>
  <c r="CN6" i="1"/>
  <c r="CF12" i="1"/>
  <c r="CG12" i="1"/>
  <c r="CF6" i="1"/>
  <c r="CG6" i="1"/>
  <c r="BY12" i="1"/>
  <c r="BZ12" i="1"/>
  <c r="BY6" i="1"/>
  <c r="BZ6" i="1"/>
  <c r="BR12" i="1"/>
  <c r="BS12" i="1"/>
  <c r="BR6" i="1"/>
  <c r="BS6" i="1"/>
  <c r="BK12" i="1"/>
  <c r="BL12" i="1"/>
  <c r="BK6" i="1"/>
  <c r="BL6" i="1"/>
  <c r="BD12" i="1"/>
  <c r="BE12" i="1"/>
  <c r="BD6" i="1"/>
  <c r="BE6" i="1"/>
  <c r="AW12" i="1"/>
  <c r="AX12" i="1"/>
  <c r="AW6" i="1"/>
  <c r="AX6" i="1"/>
  <c r="AP12" i="1"/>
  <c r="AQ12" i="1"/>
  <c r="AP6" i="1"/>
  <c r="AQ6" i="1"/>
  <c r="AI12" i="1"/>
  <c r="AJ12" i="1"/>
  <c r="AI6" i="1"/>
  <c r="AJ6" i="1"/>
  <c r="AB12" i="1"/>
  <c r="AC12" i="1"/>
  <c r="AB6" i="1"/>
  <c r="AC6" i="1"/>
  <c r="U12" i="1"/>
  <c r="V12" i="1"/>
  <c r="U6" i="1"/>
  <c r="V6" i="1"/>
  <c r="N12" i="1"/>
  <c r="O12" i="1"/>
  <c r="N6" i="1"/>
  <c r="O6" i="1"/>
  <c r="C6" i="1"/>
  <c r="EO6" i="1" l="1"/>
  <c r="EP6" i="1" s="1"/>
  <c r="EO12" i="1"/>
  <c r="EP12" i="1" s="1"/>
  <c r="EM6" i="1"/>
  <c r="EM12" i="1"/>
  <c r="BT12" i="1"/>
  <c r="CH12" i="1"/>
  <c r="CV6" i="1"/>
  <c r="CV12" i="1"/>
  <c r="CA6" i="1"/>
  <c r="CA12" i="1"/>
  <c r="P12" i="1"/>
  <c r="W12" i="1"/>
  <c r="AK12" i="1"/>
  <c r="AY6" i="1"/>
  <c r="AY12" i="1"/>
  <c r="CO6" i="1"/>
  <c r="AR12" i="1"/>
  <c r="AK6" i="1"/>
  <c r="P6" i="1"/>
  <c r="AD6" i="1"/>
  <c r="AD12" i="1"/>
  <c r="AR6" i="1"/>
  <c r="CO12" i="1"/>
  <c r="BF6" i="1"/>
  <c r="BM6" i="1"/>
  <c r="BM12" i="1"/>
  <c r="CH6" i="1"/>
  <c r="W6" i="1"/>
  <c r="BF12" i="1"/>
  <c r="BT6" i="1"/>
  <c r="C19" i="1"/>
  <c r="C12" i="1"/>
  <c r="EQ6" i="1" l="1"/>
  <c r="EN6" i="1"/>
  <c r="ER6" i="1" s="1"/>
  <c r="EN12" i="1"/>
  <c r="ER12" i="1" s="1"/>
  <c r="EQ12" i="1"/>
  <c r="CT21" i="1"/>
  <c r="CU21" i="1"/>
  <c r="CT13" i="1"/>
  <c r="CU13" i="1"/>
  <c r="CT50" i="1"/>
  <c r="CU50" i="1"/>
  <c r="CT22" i="1"/>
  <c r="CU22" i="1"/>
  <c r="CT45" i="1"/>
  <c r="CU45" i="1"/>
  <c r="CT41" i="1"/>
  <c r="CU41" i="1"/>
  <c r="CT31" i="1"/>
  <c r="CU31" i="1"/>
  <c r="CT20" i="1"/>
  <c r="CU20" i="1"/>
  <c r="CT36" i="1"/>
  <c r="CU36" i="1"/>
  <c r="CT42" i="1"/>
  <c r="CU42" i="1"/>
  <c r="CT43" i="1"/>
  <c r="CU43" i="1"/>
  <c r="CT38" i="1"/>
  <c r="CU38" i="1"/>
  <c r="CT46" i="1"/>
  <c r="CU46" i="1"/>
  <c r="CT18" i="1"/>
  <c r="CU18" i="1"/>
  <c r="CT17" i="1"/>
  <c r="CU17" i="1"/>
  <c r="CT24" i="1"/>
  <c r="CU24" i="1"/>
  <c r="CT10" i="1"/>
  <c r="CU10" i="1"/>
  <c r="CM21" i="1"/>
  <c r="CN21" i="1"/>
  <c r="CM13" i="1"/>
  <c r="CN13" i="1"/>
  <c r="CM50" i="1"/>
  <c r="CN50" i="1"/>
  <c r="CM22" i="1"/>
  <c r="CN22" i="1"/>
  <c r="CM45" i="1"/>
  <c r="CN45" i="1"/>
  <c r="CM41" i="1"/>
  <c r="CN41" i="1"/>
  <c r="CM31" i="1"/>
  <c r="CN31" i="1"/>
  <c r="CM20" i="1"/>
  <c r="CN20" i="1"/>
  <c r="CM36" i="1"/>
  <c r="CN36" i="1"/>
  <c r="CM42" i="1"/>
  <c r="CN42" i="1"/>
  <c r="CM43" i="1"/>
  <c r="CN43" i="1"/>
  <c r="CM38" i="1"/>
  <c r="CN38" i="1"/>
  <c r="CM46" i="1"/>
  <c r="CN46" i="1"/>
  <c r="CM18" i="1"/>
  <c r="CN18" i="1"/>
  <c r="CM17" i="1"/>
  <c r="CN17" i="1"/>
  <c r="CM24" i="1"/>
  <c r="CN24" i="1"/>
  <c r="CM10" i="1"/>
  <c r="CN10" i="1"/>
  <c r="CM14" i="1"/>
  <c r="CN14" i="1"/>
  <c r="CM27" i="1"/>
  <c r="CN27" i="1"/>
  <c r="CM11" i="1"/>
  <c r="CN11" i="1"/>
  <c r="CU49" i="1"/>
  <c r="CT49" i="1"/>
  <c r="CU19" i="1"/>
  <c r="CT19" i="1"/>
  <c r="CU11" i="1"/>
  <c r="CT11" i="1"/>
  <c r="CU27" i="1"/>
  <c r="CT27" i="1"/>
  <c r="CU14" i="1"/>
  <c r="CT14" i="1"/>
  <c r="CO46" i="1" l="1"/>
  <c r="CO42" i="1"/>
  <c r="CO41" i="1"/>
  <c r="CO13" i="1"/>
  <c r="CV10" i="1"/>
  <c r="CV46" i="1"/>
  <c r="CO36" i="1"/>
  <c r="CO20" i="1"/>
  <c r="CO45" i="1"/>
  <c r="CO21" i="1"/>
  <c r="CV24" i="1"/>
  <c r="CV38" i="1"/>
  <c r="CO17" i="1"/>
  <c r="CV50" i="1"/>
  <c r="CV11" i="1"/>
  <c r="CO27" i="1"/>
  <c r="CO24" i="1"/>
  <c r="CO31" i="1"/>
  <c r="CV41" i="1"/>
  <c r="CV22" i="1"/>
  <c r="CV19" i="1"/>
  <c r="CO14" i="1"/>
  <c r="CO10" i="1"/>
  <c r="CV17" i="1"/>
  <c r="CV18" i="1"/>
  <c r="CV20" i="1"/>
  <c r="CV13" i="1"/>
  <c r="CV14" i="1"/>
  <c r="CV42" i="1"/>
  <c r="CO43" i="1"/>
  <c r="CV43" i="1"/>
  <c r="CV36" i="1"/>
  <c r="CV31" i="1"/>
  <c r="CV45" i="1"/>
  <c r="CV21" i="1"/>
  <c r="CO11" i="1"/>
  <c r="CO38" i="1"/>
  <c r="CO50" i="1"/>
  <c r="CO18" i="1"/>
  <c r="CO22" i="1"/>
  <c r="CV27" i="1"/>
  <c r="CV49" i="1"/>
  <c r="CF18" i="1" l="1"/>
  <c r="CG18" i="1"/>
  <c r="CF14" i="1"/>
  <c r="CG14" i="1"/>
  <c r="BY18" i="1"/>
  <c r="BZ18" i="1"/>
  <c r="BY14" i="1"/>
  <c r="BZ14" i="1"/>
  <c r="BR18" i="1"/>
  <c r="BS18" i="1"/>
  <c r="BR14" i="1"/>
  <c r="BS14" i="1"/>
  <c r="BK18" i="1"/>
  <c r="BL18" i="1"/>
  <c r="BD18" i="1"/>
  <c r="BE18" i="1"/>
  <c r="BD14" i="1"/>
  <c r="BE14" i="1"/>
  <c r="AW18" i="1"/>
  <c r="AX18" i="1"/>
  <c r="AP18" i="1"/>
  <c r="AQ18" i="1"/>
  <c r="AP14" i="1"/>
  <c r="AQ14" i="1"/>
  <c r="AI18" i="1"/>
  <c r="AJ18" i="1"/>
  <c r="AI14" i="1"/>
  <c r="AJ14" i="1"/>
  <c r="AB18" i="1"/>
  <c r="AC18" i="1"/>
  <c r="AB14" i="1"/>
  <c r="AC14" i="1"/>
  <c r="U18" i="1"/>
  <c r="V18" i="1"/>
  <c r="U14" i="1"/>
  <c r="V14" i="1"/>
  <c r="U27" i="1"/>
  <c r="V27" i="1"/>
  <c r="N21" i="1"/>
  <c r="O21" i="1"/>
  <c r="N18" i="1"/>
  <c r="O18" i="1"/>
  <c r="N14" i="1"/>
  <c r="O14" i="1"/>
  <c r="N27" i="1"/>
  <c r="O27" i="1"/>
  <c r="C18" i="1"/>
  <c r="EM18" i="1" l="1"/>
  <c r="EO18" i="1"/>
  <c r="EP18" i="1" s="1"/>
  <c r="P14" i="1"/>
  <c r="P21" i="1"/>
  <c r="AK18" i="1"/>
  <c r="BM18" i="1"/>
  <c r="BT14" i="1"/>
  <c r="CH14" i="1"/>
  <c r="P18" i="1"/>
  <c r="W14" i="1"/>
  <c r="AD14" i="1"/>
  <c r="AY18" i="1"/>
  <c r="W18" i="1"/>
  <c r="BF14" i="1"/>
  <c r="W27" i="1"/>
  <c r="AK14" i="1"/>
  <c r="AR14" i="1"/>
  <c r="CA18" i="1"/>
  <c r="AR18" i="1"/>
  <c r="BF18" i="1"/>
  <c r="BT18" i="1"/>
  <c r="CH18" i="1"/>
  <c r="P27" i="1"/>
  <c r="AD18" i="1"/>
  <c r="CA14" i="1"/>
  <c r="C7" i="23"/>
  <c r="D7" i="23" s="1"/>
  <c r="E7" i="23" s="1"/>
  <c r="F7" i="23" s="1"/>
  <c r="G7" i="23" s="1"/>
  <c r="H7" i="23" s="1"/>
  <c r="H1" i="23"/>
  <c r="EN18" i="1" l="1"/>
  <c r="ER18" i="1" s="1"/>
  <c r="EQ18" i="1"/>
  <c r="B13" i="23"/>
  <c r="B20" i="23" s="1"/>
  <c r="B26" i="23" s="1"/>
  <c r="C26" i="23" s="1"/>
  <c r="D26" i="23" s="1"/>
  <c r="E26" i="23" s="1"/>
  <c r="G5" i="3"/>
  <c r="CN49" i="1"/>
  <c r="CM49" i="1"/>
  <c r="CN19" i="1"/>
  <c r="CM19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19" i="1"/>
  <c r="CO49" i="1"/>
  <c r="C50" i="1" l="1"/>
  <c r="CF27" i="1" l="1"/>
  <c r="CG27" i="1"/>
  <c r="CF21" i="1"/>
  <c r="CG21" i="1"/>
  <c r="BY27" i="1"/>
  <c r="BZ27" i="1"/>
  <c r="BY21" i="1"/>
  <c r="BZ21" i="1"/>
  <c r="CG41" i="1"/>
  <c r="CF41" i="1"/>
  <c r="CG45" i="1"/>
  <c r="CF45" i="1"/>
  <c r="CG10" i="1"/>
  <c r="CF10" i="1"/>
  <c r="CG46" i="1"/>
  <c r="CF46" i="1"/>
  <c r="CG38" i="1"/>
  <c r="CF38" i="1"/>
  <c r="CG11" i="1"/>
  <c r="CF11" i="1"/>
  <c r="CG42" i="1"/>
  <c r="CF42" i="1"/>
  <c r="CG43" i="1"/>
  <c r="CF43" i="1"/>
  <c r="CG50" i="1"/>
  <c r="CF50" i="1"/>
  <c r="CG49" i="1"/>
  <c r="CF49" i="1"/>
  <c r="CG36" i="1"/>
  <c r="CF36" i="1"/>
  <c r="CG17" i="1"/>
  <c r="CF17" i="1"/>
  <c r="CG24" i="1"/>
  <c r="CF24" i="1"/>
  <c r="CG22" i="1"/>
  <c r="CF22" i="1"/>
  <c r="CG19" i="1"/>
  <c r="CF19" i="1"/>
  <c r="CG31" i="1"/>
  <c r="CF31" i="1"/>
  <c r="CG20" i="1"/>
  <c r="CF20" i="1"/>
  <c r="CG13" i="1"/>
  <c r="CF13" i="1"/>
  <c r="AW14" i="1"/>
  <c r="AX14" i="1"/>
  <c r="BK14" i="1"/>
  <c r="BL14" i="1"/>
  <c r="AB27" i="1"/>
  <c r="AC27" i="1"/>
  <c r="AI27" i="1"/>
  <c r="AJ27" i="1"/>
  <c r="AP27" i="1"/>
  <c r="AQ27" i="1"/>
  <c r="AW27" i="1"/>
  <c r="AX27" i="1"/>
  <c r="BD27" i="1"/>
  <c r="BE27" i="1"/>
  <c r="BK27" i="1"/>
  <c r="BL27" i="1"/>
  <c r="BR27" i="1"/>
  <c r="BS27" i="1"/>
  <c r="U21" i="1"/>
  <c r="V21" i="1"/>
  <c r="AB21" i="1"/>
  <c r="AC21" i="1"/>
  <c r="AI21" i="1"/>
  <c r="AJ21" i="1"/>
  <c r="AP21" i="1"/>
  <c r="AQ21" i="1"/>
  <c r="AW21" i="1"/>
  <c r="AX21" i="1"/>
  <c r="BD21" i="1"/>
  <c r="BE21" i="1"/>
  <c r="BK21" i="1"/>
  <c r="BL21" i="1"/>
  <c r="BR21" i="1"/>
  <c r="BS21" i="1"/>
  <c r="C21" i="1"/>
  <c r="C27" i="1"/>
  <c r="C14" i="1"/>
  <c r="EO14" i="1" l="1"/>
  <c r="EP14" i="1" s="1"/>
  <c r="EM21" i="1"/>
  <c r="EO27" i="1"/>
  <c r="EP27" i="1" s="1"/>
  <c r="EO21" i="1"/>
  <c r="EP21" i="1" s="1"/>
  <c r="EM27" i="1"/>
  <c r="EM14" i="1"/>
  <c r="CA27" i="1"/>
  <c r="CH27" i="1"/>
  <c r="CH31" i="1"/>
  <c r="CH19" i="1"/>
  <c r="CH22" i="1"/>
  <c r="CH24" i="1"/>
  <c r="CH50" i="1"/>
  <c r="CH45" i="1"/>
  <c r="BM27" i="1"/>
  <c r="CH41" i="1"/>
  <c r="BT21" i="1"/>
  <c r="AR21" i="1"/>
  <c r="BM14" i="1"/>
  <c r="AY14" i="1"/>
  <c r="CH17" i="1"/>
  <c r="CA21" i="1"/>
  <c r="CH21" i="1"/>
  <c r="AK27" i="1"/>
  <c r="CH20" i="1"/>
  <c r="CH49" i="1"/>
  <c r="CH43" i="1"/>
  <c r="CH42" i="1"/>
  <c r="CH11" i="1"/>
  <c r="CH38" i="1"/>
  <c r="AK21" i="1"/>
  <c r="W21" i="1"/>
  <c r="BF27" i="1"/>
  <c r="AR27" i="1"/>
  <c r="AD27" i="1"/>
  <c r="CH36" i="1"/>
  <c r="CH46" i="1"/>
  <c r="CH10" i="1"/>
  <c r="CH13" i="1"/>
  <c r="BF21" i="1"/>
  <c r="BM21" i="1"/>
  <c r="AY21" i="1"/>
  <c r="AD21" i="1"/>
  <c r="BT27" i="1"/>
  <c r="AY27" i="1"/>
  <c r="EN14" i="1" l="1"/>
  <c r="ER14" i="1" s="1"/>
  <c r="EQ14" i="1"/>
  <c r="EQ27" i="1"/>
  <c r="EN27" i="1"/>
  <c r="ER27" i="1" s="1"/>
  <c r="EN21" i="1"/>
  <c r="ER21" i="1" s="1"/>
  <c r="EQ21" i="1"/>
  <c r="BY22" i="1"/>
  <c r="BZ22" i="1"/>
  <c r="BY45" i="1"/>
  <c r="BZ45" i="1"/>
  <c r="BR22" i="1"/>
  <c r="BS22" i="1"/>
  <c r="BR45" i="1"/>
  <c r="BS45" i="1"/>
  <c r="BK22" i="1"/>
  <c r="BL22" i="1"/>
  <c r="BK45" i="1"/>
  <c r="BL45" i="1"/>
  <c r="BD22" i="1"/>
  <c r="BE22" i="1"/>
  <c r="BD45" i="1"/>
  <c r="BE45" i="1"/>
  <c r="AW22" i="1"/>
  <c r="AX22" i="1"/>
  <c r="AW45" i="1"/>
  <c r="AX45" i="1"/>
  <c r="AP10" i="1"/>
  <c r="AP22" i="1"/>
  <c r="AQ22" i="1"/>
  <c r="AP45" i="1"/>
  <c r="AQ45" i="1"/>
  <c r="AI22" i="1"/>
  <c r="AJ22" i="1"/>
  <c r="AI45" i="1"/>
  <c r="AJ45" i="1"/>
  <c r="AB22" i="1"/>
  <c r="AC22" i="1"/>
  <c r="AB45" i="1"/>
  <c r="AC45" i="1"/>
  <c r="U22" i="1"/>
  <c r="V22" i="1"/>
  <c r="U45" i="1"/>
  <c r="V45" i="1"/>
  <c r="N24" i="1"/>
  <c r="O24" i="1"/>
  <c r="N10" i="1"/>
  <c r="O10" i="1"/>
  <c r="N22" i="1"/>
  <c r="O22" i="1"/>
  <c r="N45" i="1"/>
  <c r="O45" i="1"/>
  <c r="C22" i="1"/>
  <c r="C45" i="1"/>
  <c r="EO22" i="1" l="1"/>
  <c r="EP22" i="1" s="1"/>
  <c r="EM45" i="1"/>
  <c r="EN45" i="1" s="1"/>
  <c r="EM22" i="1"/>
  <c r="EN22" i="1" s="1"/>
  <c r="EO45" i="1"/>
  <c r="EP45" i="1" s="1"/>
  <c r="BF22" i="1"/>
  <c r="BM22" i="1"/>
  <c r="AR45" i="1"/>
  <c r="P45" i="1"/>
  <c r="AD22" i="1"/>
  <c r="AD45" i="1"/>
  <c r="AK22" i="1"/>
  <c r="AY45" i="1"/>
  <c r="BM45" i="1"/>
  <c r="BT45" i="1"/>
  <c r="P22" i="1"/>
  <c r="P24" i="1"/>
  <c r="AR22" i="1"/>
  <c r="CA45" i="1"/>
  <c r="W22" i="1"/>
  <c r="AK45" i="1"/>
  <c r="BF45" i="1"/>
  <c r="BT22" i="1"/>
  <c r="CA22" i="1"/>
  <c r="P10" i="1"/>
  <c r="W45" i="1"/>
  <c r="AY22" i="1"/>
  <c r="BZ31" i="1"/>
  <c r="BY31" i="1"/>
  <c r="BZ49" i="1"/>
  <c r="BY49" i="1"/>
  <c r="BZ42" i="1"/>
  <c r="BY42" i="1"/>
  <c r="BZ38" i="1"/>
  <c r="BY38" i="1"/>
  <c r="BZ11" i="1"/>
  <c r="BY11" i="1"/>
  <c r="BZ10" i="1"/>
  <c r="BY10" i="1"/>
  <c r="BZ46" i="1"/>
  <c r="BY46" i="1"/>
  <c r="BZ24" i="1"/>
  <c r="BY24" i="1"/>
  <c r="BZ17" i="1"/>
  <c r="BY17" i="1"/>
  <c r="BZ20" i="1"/>
  <c r="BY20" i="1"/>
  <c r="BZ19" i="1"/>
  <c r="BY19" i="1"/>
  <c r="BZ13" i="1"/>
  <c r="BY13" i="1"/>
  <c r="BZ41" i="1"/>
  <c r="BY41" i="1"/>
  <c r="BZ50" i="1"/>
  <c r="BY50" i="1"/>
  <c r="BZ36" i="1"/>
  <c r="BY36" i="1"/>
  <c r="BZ43" i="1"/>
  <c r="BY43" i="1"/>
  <c r="ER22" i="1" l="1"/>
  <c r="EQ22" i="1"/>
  <c r="ER45" i="1"/>
  <c r="EQ45" i="1"/>
  <c r="CA13" i="1"/>
  <c r="CA20" i="1"/>
  <c r="CA24" i="1"/>
  <c r="CA11" i="1"/>
  <c r="CA31" i="1"/>
  <c r="CA36" i="1"/>
  <c r="CA17" i="1"/>
  <c r="CA46" i="1"/>
  <c r="CA50" i="1"/>
  <c r="CA42" i="1"/>
  <c r="CA49" i="1"/>
  <c r="CA43" i="1"/>
  <c r="CA41" i="1"/>
  <c r="CA19" i="1"/>
  <c r="CA10" i="1"/>
  <c r="CA38" i="1"/>
  <c r="BR31" i="1"/>
  <c r="BS31" i="1"/>
  <c r="BR13" i="1"/>
  <c r="BS13" i="1"/>
  <c r="BR42" i="1"/>
  <c r="BS42" i="1"/>
  <c r="BR20" i="1"/>
  <c r="BS20" i="1"/>
  <c r="BR19" i="1"/>
  <c r="BS19" i="1"/>
  <c r="BR24" i="1"/>
  <c r="BS24" i="1"/>
  <c r="BR17" i="1"/>
  <c r="BS17" i="1"/>
  <c r="BR49" i="1"/>
  <c r="BS49" i="1"/>
  <c r="BR43" i="1"/>
  <c r="BS43" i="1"/>
  <c r="BR50" i="1"/>
  <c r="BS50" i="1"/>
  <c r="BR36" i="1"/>
  <c r="BS36" i="1"/>
  <c r="BR11" i="1"/>
  <c r="BS11" i="1"/>
  <c r="BR38" i="1"/>
  <c r="BS38" i="1"/>
  <c r="BR46" i="1"/>
  <c r="BS46" i="1"/>
  <c r="BR10" i="1"/>
  <c r="BS10" i="1"/>
  <c r="BR41" i="1"/>
  <c r="BS41" i="1"/>
  <c r="BT13" i="1" l="1"/>
  <c r="BT36" i="1"/>
  <c r="BT43" i="1"/>
  <c r="BT42" i="1"/>
  <c r="BT24" i="1"/>
  <c r="BT10" i="1"/>
  <c r="BT38" i="1"/>
  <c r="BT20" i="1"/>
  <c r="BT31" i="1"/>
  <c r="BT49" i="1"/>
  <c r="BT19" i="1"/>
  <c r="BT46" i="1"/>
  <c r="BT50" i="1"/>
  <c r="BT41" i="1"/>
  <c r="BT11" i="1"/>
  <c r="BT17" i="1"/>
  <c r="BK24" i="1"/>
  <c r="BL24" i="1"/>
  <c r="U24" i="1"/>
  <c r="V24" i="1"/>
  <c r="AB24" i="1"/>
  <c r="AC24" i="1"/>
  <c r="AI24" i="1"/>
  <c r="AJ24" i="1"/>
  <c r="AP24" i="1"/>
  <c r="AQ24" i="1"/>
  <c r="AW24" i="1"/>
  <c r="AX24" i="1"/>
  <c r="BD24" i="1"/>
  <c r="BE24" i="1"/>
  <c r="C24" i="1"/>
  <c r="BK10" i="1"/>
  <c r="BL10" i="1"/>
  <c r="U10" i="1"/>
  <c r="V10" i="1"/>
  <c r="AB10" i="1"/>
  <c r="AC10" i="1"/>
  <c r="AI10" i="1"/>
  <c r="AJ10" i="1"/>
  <c r="AQ10" i="1"/>
  <c r="AW10" i="1"/>
  <c r="AX10" i="1"/>
  <c r="BD10" i="1"/>
  <c r="BE10" i="1"/>
  <c r="C10" i="1"/>
  <c r="EO10" i="1" l="1"/>
  <c r="EP10" i="1" s="1"/>
  <c r="EM10" i="1"/>
  <c r="EN10" i="1" s="1"/>
  <c r="EO24" i="1"/>
  <c r="EP24" i="1" s="1"/>
  <c r="EM24" i="1"/>
  <c r="AY10" i="1"/>
  <c r="W10" i="1"/>
  <c r="BF10" i="1"/>
  <c r="AR10" i="1"/>
  <c r="AD10" i="1"/>
  <c r="AY24" i="1"/>
  <c r="BM24" i="1"/>
  <c r="BF24" i="1"/>
  <c r="AK24" i="1"/>
  <c r="AK10" i="1"/>
  <c r="BM10" i="1"/>
  <c r="AR24" i="1"/>
  <c r="AD24" i="1"/>
  <c r="BK43" i="1"/>
  <c r="BL43" i="1"/>
  <c r="BK50" i="1"/>
  <c r="BL50" i="1"/>
  <c r="BK38" i="1"/>
  <c r="BL38" i="1"/>
  <c r="BK46" i="1"/>
  <c r="BL46" i="1"/>
  <c r="BD43" i="1"/>
  <c r="BE43" i="1"/>
  <c r="BD50" i="1"/>
  <c r="BE50" i="1"/>
  <c r="BD38" i="1"/>
  <c r="BE38" i="1"/>
  <c r="BD46" i="1"/>
  <c r="BE46" i="1"/>
  <c r="AW43" i="1"/>
  <c r="AX43" i="1"/>
  <c r="AW50" i="1"/>
  <c r="AX50" i="1"/>
  <c r="AW38" i="1"/>
  <c r="AX38" i="1"/>
  <c r="AW46" i="1"/>
  <c r="AX46" i="1"/>
  <c r="AP43" i="1"/>
  <c r="AQ43" i="1"/>
  <c r="AP50" i="1"/>
  <c r="AQ50" i="1"/>
  <c r="AP38" i="1"/>
  <c r="AQ38" i="1"/>
  <c r="AP46" i="1"/>
  <c r="AQ46" i="1"/>
  <c r="AI43" i="1"/>
  <c r="AJ43" i="1"/>
  <c r="AI50" i="1"/>
  <c r="AJ50" i="1"/>
  <c r="AI38" i="1"/>
  <c r="AJ38" i="1"/>
  <c r="AI46" i="1"/>
  <c r="AJ46" i="1"/>
  <c r="AB43" i="1"/>
  <c r="AC43" i="1"/>
  <c r="AB50" i="1"/>
  <c r="AC50" i="1"/>
  <c r="AB38" i="1"/>
  <c r="AC38" i="1"/>
  <c r="AB46" i="1"/>
  <c r="AC46" i="1"/>
  <c r="U43" i="1"/>
  <c r="V43" i="1"/>
  <c r="U50" i="1"/>
  <c r="V50" i="1"/>
  <c r="U38" i="1"/>
  <c r="V38" i="1"/>
  <c r="U46" i="1"/>
  <c r="V46" i="1"/>
  <c r="N43" i="1"/>
  <c r="O43" i="1"/>
  <c r="N50" i="1"/>
  <c r="O50" i="1"/>
  <c r="N38" i="1"/>
  <c r="O38" i="1"/>
  <c r="N46" i="1"/>
  <c r="O46" i="1"/>
  <c r="C13" i="1"/>
  <c r="C20" i="1"/>
  <c r="C31" i="1"/>
  <c r="C17" i="1"/>
  <c r="C36" i="1"/>
  <c r="C43" i="1"/>
  <c r="C49" i="1"/>
  <c r="C11" i="1"/>
  <c r="C42" i="1"/>
  <c r="C38" i="1"/>
  <c r="C46" i="1"/>
  <c r="C41" i="1"/>
  <c r="ER10" i="1" l="1"/>
  <c r="EQ10" i="1"/>
  <c r="EO38" i="1"/>
  <c r="EP38" i="1" s="1"/>
  <c r="EM38" i="1"/>
  <c r="EO50" i="1"/>
  <c r="EP50" i="1" s="1"/>
  <c r="EM50" i="1"/>
  <c r="EN24" i="1"/>
  <c r="ER24" i="1" s="1"/>
  <c r="EQ24" i="1"/>
  <c r="EO43" i="1"/>
  <c r="EP43" i="1" s="1"/>
  <c r="EM43" i="1"/>
  <c r="EO46" i="1"/>
  <c r="EP46" i="1" s="1"/>
  <c r="EM46" i="1"/>
  <c r="W38" i="1"/>
  <c r="AK38" i="1"/>
  <c r="AY38" i="1"/>
  <c r="AY43" i="1"/>
  <c r="AY50" i="1"/>
  <c r="BM38" i="1"/>
  <c r="AR43" i="1"/>
  <c r="BM43" i="1"/>
  <c r="P38" i="1"/>
  <c r="P43" i="1"/>
  <c r="AD38" i="1"/>
  <c r="AD43" i="1"/>
  <c r="AR38" i="1"/>
  <c r="BF50" i="1"/>
  <c r="P46" i="1"/>
  <c r="W46" i="1"/>
  <c r="BF38" i="1"/>
  <c r="AD50" i="1"/>
  <c r="AK46" i="1"/>
  <c r="AR50" i="1"/>
  <c r="P50" i="1"/>
  <c r="W43" i="1"/>
  <c r="AK50" i="1"/>
  <c r="AR46" i="1"/>
  <c r="BF46" i="1"/>
  <c r="BF43" i="1"/>
  <c r="BM46" i="1"/>
  <c r="W50" i="1"/>
  <c r="AD46" i="1"/>
  <c r="AK43" i="1"/>
  <c r="AY46" i="1"/>
  <c r="BM50" i="1"/>
  <c r="EN50" i="1" l="1"/>
  <c r="ER50" i="1" s="1"/>
  <c r="EQ50" i="1"/>
  <c r="EN46" i="1"/>
  <c r="ER46" i="1" s="1"/>
  <c r="EQ46" i="1"/>
  <c r="EN38" i="1"/>
  <c r="ER38" i="1" s="1"/>
  <c r="EQ38" i="1"/>
  <c r="EN43" i="1"/>
  <c r="ER43" i="1" s="1"/>
  <c r="EQ43" i="1"/>
  <c r="BL13" i="1"/>
  <c r="BK13" i="1"/>
  <c r="BE13" i="1"/>
  <c r="O13" i="1"/>
  <c r="BD19" i="1"/>
  <c r="BE19" i="1"/>
  <c r="BD20" i="1"/>
  <c r="BE20" i="1"/>
  <c r="BD31" i="1"/>
  <c r="BE31" i="1"/>
  <c r="BD17" i="1"/>
  <c r="BE17" i="1"/>
  <c r="BD36" i="1"/>
  <c r="BE36" i="1"/>
  <c r="AW19" i="1"/>
  <c r="AX19" i="1"/>
  <c r="AW20" i="1"/>
  <c r="AX20" i="1"/>
  <c r="AW31" i="1"/>
  <c r="AX31" i="1"/>
  <c r="AP19" i="1"/>
  <c r="AQ19" i="1"/>
  <c r="AP20" i="1"/>
  <c r="AQ20" i="1"/>
  <c r="AP31" i="1"/>
  <c r="AQ31" i="1"/>
  <c r="AP17" i="1"/>
  <c r="AQ17" i="1"/>
  <c r="AI19" i="1"/>
  <c r="AJ19" i="1"/>
  <c r="AI20" i="1"/>
  <c r="AJ20" i="1"/>
  <c r="AI31" i="1"/>
  <c r="AJ31" i="1"/>
  <c r="AI17" i="1"/>
  <c r="AJ17" i="1"/>
  <c r="AI36" i="1"/>
  <c r="AJ36" i="1"/>
  <c r="AI49" i="1"/>
  <c r="AJ49" i="1"/>
  <c r="AB19" i="1"/>
  <c r="AC19" i="1"/>
  <c r="AB20" i="1"/>
  <c r="AC20" i="1"/>
  <c r="AB31" i="1"/>
  <c r="AC31" i="1"/>
  <c r="AB17" i="1"/>
  <c r="AC17" i="1"/>
  <c r="U19" i="1"/>
  <c r="V19" i="1"/>
  <c r="U20" i="1"/>
  <c r="V20" i="1"/>
  <c r="U31" i="1"/>
  <c r="V31" i="1"/>
  <c r="U17" i="1"/>
  <c r="V17" i="1"/>
  <c r="N19" i="1"/>
  <c r="O19" i="1"/>
  <c r="N20" i="1"/>
  <c r="O20" i="1"/>
  <c r="N31" i="1"/>
  <c r="O31" i="1"/>
  <c r="N17" i="1"/>
  <c r="O17" i="1"/>
  <c r="N36" i="1"/>
  <c r="O36" i="1"/>
  <c r="BL41" i="1"/>
  <c r="BK41" i="1"/>
  <c r="BL42" i="1"/>
  <c r="BK42" i="1"/>
  <c r="BL11" i="1"/>
  <c r="BK11" i="1"/>
  <c r="BL49" i="1"/>
  <c r="BK49" i="1"/>
  <c r="BL36" i="1"/>
  <c r="BK36" i="1"/>
  <c r="BL17" i="1"/>
  <c r="BK17" i="1"/>
  <c r="BL31" i="1"/>
  <c r="BK31" i="1"/>
  <c r="BL20" i="1"/>
  <c r="BK20" i="1"/>
  <c r="BL19" i="1"/>
  <c r="BK19" i="1"/>
  <c r="EO31" i="1" l="1"/>
  <c r="EP31" i="1" s="1"/>
  <c r="EM31" i="1"/>
  <c r="EM20" i="1"/>
  <c r="EO20" i="1"/>
  <c r="EP20" i="1" s="1"/>
  <c r="EO19" i="1"/>
  <c r="EP19" i="1" s="1"/>
  <c r="EM19" i="1"/>
  <c r="W31" i="1"/>
  <c r="AY31" i="1"/>
  <c r="BF31" i="1"/>
  <c r="BM13" i="1"/>
  <c r="W17" i="1"/>
  <c r="AD20" i="1"/>
  <c r="AR31" i="1"/>
  <c r="AD19" i="1"/>
  <c r="AR17" i="1"/>
  <c r="BM20" i="1"/>
  <c r="BM31" i="1"/>
  <c r="BM36" i="1"/>
  <c r="BM42" i="1"/>
  <c r="P31" i="1"/>
  <c r="W20" i="1"/>
  <c r="AK31" i="1"/>
  <c r="AR20" i="1"/>
  <c r="BM19" i="1"/>
  <c r="BM11" i="1"/>
  <c r="W19" i="1"/>
  <c r="AD17" i="1"/>
  <c r="AR19" i="1"/>
  <c r="BF36" i="1"/>
  <c r="P36" i="1"/>
  <c r="P17" i="1"/>
  <c r="P20" i="1"/>
  <c r="AK49" i="1"/>
  <c r="AK19" i="1"/>
  <c r="AY19" i="1"/>
  <c r="BF17" i="1"/>
  <c r="BF19" i="1"/>
  <c r="BM17" i="1"/>
  <c r="BM49" i="1"/>
  <c r="BM41" i="1"/>
  <c r="P19" i="1"/>
  <c r="AD31" i="1"/>
  <c r="AK36" i="1"/>
  <c r="AK17" i="1"/>
  <c r="AK20" i="1"/>
  <c r="AY20" i="1"/>
  <c r="BF20" i="1"/>
  <c r="EQ20" i="1" l="1"/>
  <c r="EN20" i="1"/>
  <c r="ER20" i="1" s="1"/>
  <c r="EN31" i="1"/>
  <c r="ER31" i="1" s="1"/>
  <c r="EQ31" i="1"/>
  <c r="EN19" i="1"/>
  <c r="ER19" i="1" s="1"/>
  <c r="EQ19" i="1"/>
  <c r="BE41" i="1"/>
  <c r="BD41" i="1"/>
  <c r="BE42" i="1"/>
  <c r="BD42" i="1"/>
  <c r="BE11" i="1"/>
  <c r="BD11" i="1"/>
  <c r="BE49" i="1"/>
  <c r="BD49" i="1"/>
  <c r="BD13" i="1"/>
  <c r="AW17" i="1"/>
  <c r="EM17" i="1" s="1"/>
  <c r="AX17" i="1"/>
  <c r="EO17" i="1" s="1"/>
  <c r="EP17" i="1" s="1"/>
  <c r="AW41" i="1"/>
  <c r="AX41" i="1"/>
  <c r="AP41" i="1"/>
  <c r="AQ41" i="1"/>
  <c r="AI41" i="1"/>
  <c r="AJ41" i="1"/>
  <c r="U41" i="1"/>
  <c r="V41" i="1"/>
  <c r="AB41" i="1"/>
  <c r="AC41" i="1"/>
  <c r="N41" i="1"/>
  <c r="O41" i="1"/>
  <c r="EO41" i="1" l="1"/>
  <c r="EP41" i="1" s="1"/>
  <c r="EM41" i="1"/>
  <c r="EN41" i="1" s="1"/>
  <c r="EN17" i="1"/>
  <c r="ER17" i="1" s="1"/>
  <c r="EQ17" i="1"/>
  <c r="BF13" i="1"/>
  <c r="BF49" i="1"/>
  <c r="BF42" i="1"/>
  <c r="BF41" i="1"/>
  <c r="BF11" i="1"/>
  <c r="AD41" i="1"/>
  <c r="W41" i="1"/>
  <c r="AK41" i="1"/>
  <c r="AY41" i="1"/>
  <c r="P41" i="1"/>
  <c r="AR41" i="1"/>
  <c r="AY17" i="1"/>
  <c r="ER41" i="1" l="1"/>
  <c r="EQ41" i="1"/>
  <c r="AX11" i="1"/>
  <c r="AW11" i="1"/>
  <c r="AX49" i="1"/>
  <c r="AW49" i="1"/>
  <c r="AX42" i="1"/>
  <c r="AW42" i="1"/>
  <c r="AX36" i="1"/>
  <c r="AW36" i="1"/>
  <c r="AX13" i="1"/>
  <c r="AW13" i="1"/>
  <c r="AY13" i="1" l="1"/>
  <c r="AY36" i="1"/>
  <c r="AY42" i="1"/>
  <c r="AY49" i="1"/>
  <c r="AY11" i="1"/>
  <c r="AP13" i="1" l="1"/>
  <c r="AQ13" i="1"/>
  <c r="AP49" i="1"/>
  <c r="AQ49" i="1"/>
  <c r="AP36" i="1"/>
  <c r="AQ36" i="1"/>
  <c r="AP42" i="1"/>
  <c r="AQ42" i="1"/>
  <c r="AP11" i="1"/>
  <c r="AQ11" i="1"/>
  <c r="AR11" i="1" l="1"/>
  <c r="AR36" i="1"/>
  <c r="AR42" i="1"/>
  <c r="AR49" i="1"/>
  <c r="AR13" i="1"/>
  <c r="N49" i="1" l="1"/>
  <c r="O49" i="1"/>
  <c r="N11" i="1"/>
  <c r="O11" i="1"/>
  <c r="N42" i="1"/>
  <c r="O42" i="1"/>
  <c r="U36" i="1"/>
  <c r="V36" i="1"/>
  <c r="U49" i="1"/>
  <c r="V49" i="1"/>
  <c r="U11" i="1"/>
  <c r="V11" i="1"/>
  <c r="U42" i="1"/>
  <c r="V42" i="1"/>
  <c r="AB36" i="1"/>
  <c r="EM36" i="1" s="1"/>
  <c r="AC36" i="1"/>
  <c r="EO36" i="1" s="1"/>
  <c r="EP36" i="1" s="1"/>
  <c r="AB49" i="1"/>
  <c r="EM49" i="1" s="1"/>
  <c r="AC49" i="1"/>
  <c r="EO49" i="1" s="1"/>
  <c r="EP49" i="1" s="1"/>
  <c r="AB11" i="1"/>
  <c r="AC11" i="1"/>
  <c r="AB42" i="1"/>
  <c r="AC42" i="1"/>
  <c r="AI11" i="1"/>
  <c r="EM11" i="1" s="1"/>
  <c r="AJ11" i="1"/>
  <c r="EO11" i="1" s="1"/>
  <c r="EP11" i="1" s="1"/>
  <c r="AI42" i="1"/>
  <c r="AJ42" i="1"/>
  <c r="EN36" i="1" l="1"/>
  <c r="ER36" i="1" s="1"/>
  <c r="EQ36" i="1"/>
  <c r="EN11" i="1"/>
  <c r="ER11" i="1" s="1"/>
  <c r="EQ11" i="1"/>
  <c r="EO42" i="1"/>
  <c r="EP42" i="1" s="1"/>
  <c r="EM42" i="1"/>
  <c r="EQ49" i="1"/>
  <c r="EN49" i="1"/>
  <c r="ER49" i="1" s="1"/>
  <c r="P11" i="1"/>
  <c r="AD11" i="1"/>
  <c r="AD36" i="1"/>
  <c r="AD49" i="1"/>
  <c r="AK42" i="1"/>
  <c r="W42" i="1"/>
  <c r="W49" i="1"/>
  <c r="W11" i="1"/>
  <c r="P49" i="1"/>
  <c r="W36" i="1"/>
  <c r="AK11" i="1"/>
  <c r="AD42" i="1"/>
  <c r="P42" i="1"/>
  <c r="EQ42" i="1" l="1"/>
  <c r="EN42" i="1"/>
  <c r="ER42" i="1" s="1"/>
  <c r="C7" i="3"/>
  <c r="C3" i="3"/>
  <c r="AJ13" i="1" l="1"/>
  <c r="AI13" i="1"/>
  <c r="AK13" i="1" l="1"/>
  <c r="C8" i="3"/>
  <c r="C9" i="3" s="1"/>
  <c r="C2" i="3"/>
  <c r="C4" i="3" s="1"/>
  <c r="AC13" i="1" l="1"/>
  <c r="AB13" i="1"/>
  <c r="V13" i="1"/>
  <c r="U13" i="1"/>
  <c r="N13" i="1"/>
  <c r="EM13" i="1" l="1"/>
  <c r="EO13" i="1"/>
  <c r="EP13" i="1" s="1"/>
  <c r="H5" i="3"/>
  <c r="J5" i="3"/>
  <c r="P13" i="1"/>
  <c r="W13" i="1"/>
  <c r="AD13" i="1"/>
  <c r="EN13" i="1" l="1"/>
  <c r="ER13" i="1" s="1"/>
  <c r="EQ13" i="1"/>
</calcChain>
</file>

<file path=xl/sharedStrings.xml><?xml version="1.0" encoding="utf-8"?>
<sst xmlns="http://schemas.openxmlformats.org/spreadsheetml/2006/main" count="1275" uniqueCount="318">
  <si>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</si>
  <si>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</si>
  <si>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</si>
  <si>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</si>
  <si>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</si>
  <si>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</si>
  <si>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</si>
  <si>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</si>
  <si>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</si>
  <si>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</si>
  <si>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</si>
  <si>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</si>
  <si>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</si>
  <si>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</si>
  <si>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</si>
  <si>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</si>
  <si>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</si>
  <si>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</si>
  <si>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</si>
  <si>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</si>
  <si>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</si>
  <si>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</si>
  <si>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</si>
  <si>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</si>
  <si>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</si>
  <si>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</si>
  <si>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</si>
  <si>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</si>
  <si>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</si>
  <si>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</si>
  <si>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</si>
  <si>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</si>
  <si>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</si>
  <si>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</si>
  <si>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</si>
  <si>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</si>
  <si>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</si>
  <si>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</si>
  <si>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</si>
  <si>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</si>
  <si>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</si>
  <si>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</si>
  <si>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</si>
  <si>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</si>
  <si>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</si>
  <si>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</si>
  <si>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</si>
  <si>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</si>
  <si>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</si>
  <si>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</si>
  <si>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</si>
  <si>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</si>
  <si>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</si>
  <si>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</si>
  <si>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</si>
  <si>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</si>
  <si>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</si>
  <si>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</si>
  <si>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</si>
  <si>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</si>
  <si>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</si>
  <si>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</si>
  <si>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</si>
  <si>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</si>
  <si>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</si>
  <si>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</si>
  <si>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</si>
  <si>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</si>
  <si>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</si>
  <si>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</si>
  <si>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</si>
  <si>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</si>
  <si>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</si>
  <si>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</si>
  <si>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</si>
  <si>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</si>
  <si>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</si>
  <si>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</si>
  <si>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</si>
  <si>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</si>
  <si>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</si>
  <si>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</si>
  <si>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</si>
  <si>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</si>
  <si>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</si>
  <si>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</si>
  <si>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</si>
  <si>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</si>
  <si>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</si>
  <si>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</si>
  <si>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</si>
  <si>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</si>
  <si>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</si>
  <si>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</si>
  <si>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</si>
  <si>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</si>
  <si>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</si>
  <si>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</si>
  <si>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</si>
  <si>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</si>
  <si>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</si>
  <si>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</si>
  <si>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</si>
  <si>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</si>
  <si>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</si>
  <si>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</si>
  <si>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</si>
  <si>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</si>
  <si>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</si>
  <si>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</si>
  <si>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</si>
  <si>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</si>
  <si>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</si>
  <si>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</si>
  <si>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</si>
  <si>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</si>
  <si>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</si>
  <si>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</si>
  <si>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</si>
  <si>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</si>
  <si>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</si>
  <si>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</si>
  <si>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</si>
  <si>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</si>
  <si>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</si>
  <si>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</si>
  <si>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</si>
  <si>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</si>
  <si>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</si>
  <si>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</si>
  <si>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</si>
  <si>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</si>
  <si>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</si>
  <si>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</si>
  <si>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</si>
  <si>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</si>
  <si>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</si>
  <si>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</si>
  <si>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</si>
  <si>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</si>
  <si>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</si>
  <si>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</si>
  <si>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</si>
  <si>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יולי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</si>
  <si>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</si>
  <si>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</si>
  <si>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</si>
  <si>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</si>
  <si>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</si>
  <si>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</si>
  <si>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</si>
  <si>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</si>
  <si>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</si>
  <si>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</si>
  <si>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</si>
  <si>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</si>
  <si>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</si>
  <si>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התש 5</t>
  </si>
  <si>
    <t>מרץ 18</t>
  </si>
  <si>
    <t>פברואר לילות שמירה</t>
  </si>
  <si>
    <t>מיכל 11</t>
  </si>
  <si>
    <t>חן 679</t>
  </si>
  <si>
    <t>עדן אחודה</t>
  </si>
  <si>
    <t>נועה מרחבים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</si>
  <si>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</si>
  <si>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</si>
  <si>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</si>
  <si>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</si>
  <si>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</si>
  <si>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</si>
  <si>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</si>
  <si>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</si>
  <si>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</si>
  <si>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</si>
  <si>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</si>
  <si>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</si>
  <si>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</si>
  <si>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</si>
  <si>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</si>
  <si>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</si>
  <si>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</si>
  <si>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</si>
  <si>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</si>
  <si>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</si>
  <si>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</si>
  <si>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</si>
  <si>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</si>
  <si>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</si>
  <si>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</si>
  <si>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</si>
  <si>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</si>
  <si>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יונתן מרחבים</t>
  </si>
  <si>
    <t>מאי לילות בלי שמירה</t>
  </si>
  <si>
    <t>יוני 18</t>
  </si>
  <si>
    <t>שיר אחודה</t>
  </si>
  <si>
    <t>אתי 11</t>
  </si>
  <si>
    <t>יולי 18</t>
  </si>
  <si>
    <t>מפקד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</si>
  <si>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</si>
  <si>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</si>
  <si>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</si>
  <si>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</si>
  <si>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</si>
  <si>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</si>
  <si>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</si>
  <si>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</si>
  <si>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</si>
  <si>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</si>
  <si>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</si>
  <si>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</si>
  <si>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</si>
  <si>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</si>
  <si>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</si>
  <si>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</si>
  <si>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</si>
  <si>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</si>
  <si>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</si>
  <si>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</si>
  <si>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</si>
  <si>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</si>
  <si>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</si>
  <si>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</si>
  <si>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</si>
  <si>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טופז</t>
  </si>
  <si>
    <t>אוגוסט 18</t>
  </si>
  <si>
    <t>טופז מפאוג</t>
  </si>
  <si>
    <t>דריה</t>
  </si>
  <si>
    <t>דריה 9</t>
  </si>
  <si>
    <t>חייל</t>
  </si>
  <si>
    <t>סטאטוס</t>
  </si>
  <si>
    <t>ליאל</t>
  </si>
  <si>
    <t>הודיה</t>
  </si>
  <si>
    <t>לבדוק סופית מול  לירז</t>
  </si>
  <si>
    <t>תיכנס לשמירות באוקטובר בהוראת לירז</t>
  </si>
  <si>
    <t>עוברת לסמל תורן</t>
  </si>
  <si>
    <t>עדן חן</t>
  </si>
  <si>
    <t>ניתוח ברגל? שמירות?</t>
  </si>
  <si>
    <t>מתן לוי</t>
  </si>
  <si>
    <t>מעקב האם עושה ריתוק</t>
  </si>
  <si>
    <t>ליאור חודדה</t>
  </si>
  <si>
    <t>רומי פלד</t>
  </si>
  <si>
    <t>רותם בטיטו</t>
  </si>
  <si>
    <t>מעקב מול לירז, שלחו מסמכים רפואיים</t>
  </si>
  <si>
    <t>דנה אמסלם</t>
  </si>
  <si>
    <t>נכנסת לתורנויות</t>
  </si>
  <si>
    <t>מאי אייל</t>
  </si>
  <si>
    <t>שובל בורגאוקר</t>
  </si>
  <si>
    <t>מחכה לתשובה מהקבנית</t>
  </si>
  <si>
    <t>שיר צלס</t>
  </si>
  <si>
    <t>נכנסת לשמירות, שלחה מסמכים ללירז</t>
  </si>
  <si>
    <t>דקל יעקב</t>
  </si>
  <si>
    <t>סטאטוס נפקדות?</t>
  </si>
  <si>
    <t>מאי לאופר</t>
  </si>
  <si>
    <t>נכנסת ללוח תורנויות</t>
  </si>
  <si>
    <t>דור</t>
  </si>
  <si>
    <t>חיילים מרחבים</t>
  </si>
  <si>
    <t>מה איתם?</t>
  </si>
  <si>
    <t>טליה</t>
  </si>
  <si>
    <t>נעם</t>
  </si>
  <si>
    <t>ספטמבר 18</t>
  </si>
  <si>
    <t>טליה 9</t>
  </si>
  <si>
    <t>נעם 11</t>
  </si>
  <si>
    <t>מתן</t>
  </si>
  <si>
    <t>אסי אחודה</t>
  </si>
  <si>
    <t>צל 1</t>
  </si>
  <si>
    <t>צל 2</t>
  </si>
  <si>
    <t>דור מפאוג</t>
  </si>
  <si>
    <t>מתן 9</t>
  </si>
  <si>
    <t>מאי 9</t>
  </si>
  <si>
    <t>נעה אחודה</t>
  </si>
  <si>
    <t>רומי אחודה</t>
  </si>
  <si>
    <t>דנה מרחבים</t>
  </si>
  <si>
    <t>אסי</t>
  </si>
  <si>
    <t>קרין</t>
  </si>
  <si>
    <t>שי</t>
  </si>
  <si>
    <t>אוקטובר 18</t>
  </si>
  <si>
    <t>יובל</t>
  </si>
  <si>
    <t>שיר מרחבים</t>
  </si>
  <si>
    <t>נילי</t>
  </si>
  <si>
    <t>דקל</t>
  </si>
  <si>
    <t>נילי מפאוג</t>
  </si>
  <si>
    <t>יובל 679</t>
  </si>
  <si>
    <t>קרין 209</t>
  </si>
  <si>
    <t>שי 209</t>
  </si>
  <si>
    <t>נעה</t>
  </si>
  <si>
    <t>במקום רומי - שקד</t>
  </si>
  <si>
    <t>במקום אסי - דור</t>
  </si>
  <si>
    <t>במקום רומי - שי</t>
  </si>
  <si>
    <t>אפשרי ששובל 474 במקום</t>
  </si>
  <si>
    <t>אפשרי שמאי 474 אם לא בגיוס, יש לשובל ומאי מראם בג'וליס אך אמורות לחזור באותו יום</t>
  </si>
  <si>
    <t>עמית אחודה אפשרות - חברה של שיר פנונו, לא סוגרת באותו שבוע, לא שלחה אילוצים על התאריך</t>
  </si>
  <si>
    <t>אפשרי ששיר מ-679, חוזרת מחו"ל ב-שבוע שלפני, קשה לה עם שמירות ולכן אולי עדיף לה ש"ירד לה מחודש הבא". שמתי לה רק שבת כי שבוע לפני בחו"ל ובשבוע הראשון אימון, סוגרת עם אלכס - חברה שלה</t>
  </si>
  <si>
    <t>אופציה נוספת - מאי 474</t>
  </si>
  <si>
    <t>אם לא עמית - עדן מהאחודה - שעושה שבת באותו שבוע, בעיות נעל פתוחה ולכן בלי שמירה, אך חיילת בודדה ועובדת ולכן יכול להיות שקבעה משמרות לעבודה</t>
  </si>
  <si>
    <t>אם לא - בר מ-9, לא שלחה אילוצים ויש לה רק לילה אחד כי עוזרת לאנשים</t>
  </si>
  <si>
    <t>אם לא גם מאי 474 אפשרות</t>
  </si>
  <si>
    <t>אופציה נוספת - טופז שעושה צל יום אחרי, שתסגור יום לפני</t>
  </si>
  <si>
    <t>אופציה נוספת - דור שסוגר יום לפני צל</t>
  </si>
  <si>
    <t>אופצעיה נוספת - דריה שיש לה צל בשלישי - להציע לה</t>
  </si>
  <si>
    <t>סה"כ חיילים עם פטור שמירה</t>
  </si>
  <si>
    <t>לירון</t>
  </si>
  <si>
    <t>טל</t>
  </si>
  <si>
    <t>נובמבר 18</t>
  </si>
  <si>
    <t>עדי</t>
  </si>
  <si>
    <t>עדי 9</t>
  </si>
  <si>
    <t>טל 209</t>
  </si>
  <si>
    <t>שיר מפאוג</t>
  </si>
  <si>
    <t>צל</t>
  </si>
  <si>
    <t>עתודה</t>
  </si>
  <si>
    <t>התש 99</t>
  </si>
  <si>
    <t>ינואר דצמבר</t>
  </si>
  <si>
    <t>ספיר</t>
  </si>
  <si>
    <t>שירז</t>
  </si>
  <si>
    <t>תהילה</t>
  </si>
  <si>
    <t>דצמבר 18</t>
  </si>
  <si>
    <t>שי-לי</t>
  </si>
  <si>
    <t>קורל</t>
  </si>
  <si>
    <t>יהונתן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</si>
</sst>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89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4" xfId="0" applyFont="1" applyFill="1" applyBorder="1"/>
    <xf numFmtId="0" fontId="4" fillId="0" borderId="11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2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2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6" xfId="0" applyFont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164" fontId="0" fillId="0" borderId="2" xfId="0" applyNumberFormat="1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8" fillId="0" borderId="0" xfId="0" applyFont="1"/>
    <xf numFmtId="0" fontId="6" fillId="0" borderId="19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6" xfId="0" applyFont="1" applyFill="1" applyBorder="1" applyAlignment="1">
      <alignment horizontal="center" vertical="center"/>
    </xf>
    <xf numFmtId="0" fontId="1" fillId="0" borderId="20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0" xfId="0" applyFont="1" applyBorder="1"/>
    <xf numFmtId="0" fontId="6" fillId="2" borderId="23" xfId="0" applyFont="1" applyFill="1" applyBorder="1" applyAlignment="1">
      <alignment horizontal="center"/>
    </xf>
    <xf numFmtId="10" fontId="6" fillId="2" borderId="15" xfId="0" applyNumberFormat="1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16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9" fillId="0" borderId="0" xfId="0" applyFont="1"/>
    <xf numFmtId="0" fontId="0" fillId="0" borderId="2" xfId="0" applyBorder="1"/>
    <xf numFmtId="0" fontId="0" fillId="0" borderId="29" xfId="0" applyBorder="1"/>
    <xf numFmtId="0" fontId="2" fillId="0" borderId="29" xfId="0" applyFont="1" applyBorder="1"/>
    <xf numFmtId="0" fontId="2" fillId="0" borderId="5" xfId="0" applyFont="1" applyBorder="1"/>
    <xf numFmtId="0" fontId="2" fillId="0" borderId="12" xfId="0" applyFont="1" applyBorder="1"/>
    <xf numFmtId="0" fontId="0" fillId="0" borderId="5" xfId="0" applyFont="1" applyBorder="1"/>
    <xf numFmtId="0" fontId="0" fillId="0" borderId="12" xfId="0" applyFont="1" applyBorder="1" applyAlignment="1">
      <alignment horizontal="right"/>
    </xf>
    <xf numFmtId="0" fontId="2" fillId="0" borderId="6" xfId="0" applyFont="1" applyBorder="1"/>
    <xf numFmtId="0" fontId="2" fillId="0" borderId="17" xfId="0" applyFont="1" applyBorder="1" applyAlignment="1">
      <alignment horizontal="right"/>
    </xf>
    <xf numFmtId="0" fontId="0" fillId="0" borderId="26" xfId="0" applyBorder="1"/>
    <xf numFmtId="0" fontId="0" fillId="0" borderId="12" xfId="0" applyBorder="1"/>
    <xf numFmtId="0" fontId="0" fillId="0" borderId="27" xfId="0" applyBorder="1"/>
    <xf numFmtId="0" fontId="2" fillId="0" borderId="30" xfId="0" applyFont="1" applyBorder="1"/>
    <xf numFmtId="0" fontId="2" fillId="0" borderId="17" xfId="0" applyFont="1" applyBorder="1"/>
    <xf numFmtId="0" fontId="2" fillId="0" borderId="8" xfId="0" applyFont="1" applyBorder="1"/>
    <xf numFmtId="0" fontId="0" fillId="0" borderId="5" xfId="0" applyBorder="1"/>
    <xf numFmtId="0" fontId="0" fillId="0" borderId="25" xfId="0" applyBorder="1"/>
    <xf numFmtId="0" fontId="2" fillId="0" borderId="32" xfId="0" applyFont="1" applyBorder="1"/>
    <xf numFmtId="0" fontId="2" fillId="0" borderId="10" xfId="0" applyFont="1" applyBorder="1"/>
    <xf numFmtId="0" fontId="2" fillId="0" borderId="33" xfId="0" applyFont="1" applyBorder="1"/>
    <xf numFmtId="0" fontId="2" fillId="0" borderId="4" xfId="0" applyFont="1" applyBorder="1"/>
    <xf numFmtId="0" fontId="2" fillId="8" borderId="34" xfId="0" applyFont="1" applyFill="1" applyBorder="1" applyAlignment="1">
      <alignment horizontal="center"/>
    </xf>
    <xf numFmtId="0" fontId="2" fillId="8" borderId="35" xfId="0" applyFont="1" applyFill="1" applyBorder="1" applyAlignment="1">
      <alignment horizontal="center"/>
    </xf>
    <xf numFmtId="0" fontId="2" fillId="8" borderId="36" xfId="0" applyFont="1" applyFill="1" applyBorder="1" applyAlignment="1">
      <alignment horizontal="center"/>
    </xf>
    <xf numFmtId="0" fontId="2" fillId="8" borderId="37" xfId="0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32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9" borderId="1" xfId="0" applyFill="1" applyBorder="1"/>
    <xf numFmtId="0" fontId="6" fillId="4" borderId="1" xfId="0" applyFont="1" applyFill="1" applyBorder="1" applyAlignment="1">
      <alignment horizontal="center"/>
    </xf>
    <xf numFmtId="0" fontId="2" fillId="0" borderId="35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4" borderId="39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2" fillId="4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2" fillId="0" borderId="39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4" borderId="35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 wrapText="1"/>
    </xf>
    <xf numFmtId="0" fontId="2" fillId="0" borderId="37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5" fillId="2" borderId="36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5" borderId="32" xfId="0" applyFont="1" applyFill="1" applyBorder="1"/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19" xfId="0" applyFont="1" applyFill="1" applyBorder="1"/>
    <xf numFmtId="0" fontId="0" fillId="10" borderId="19" xfId="0" applyFont="1" applyFill="1" applyBorder="1"/>
    <xf numFmtId="0" fontId="0" fillId="10" borderId="16" xfId="0" applyFont="1" applyFill="1" applyBorder="1" applyAlignment="1">
      <alignment horizontal="center" vertical="center"/>
    </xf>
    <xf numFmtId="0" fontId="0" fillId="10" borderId="6" xfId="0" applyFont="1" applyFill="1" applyBorder="1"/>
    <xf numFmtId="0" fontId="0" fillId="10" borderId="7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0" fontId="0" fillId="10" borderId="5" xfId="0" applyFont="1" applyFill="1" applyBorder="1"/>
    <xf numFmtId="0" fontId="2" fillId="6" borderId="16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quotePrefix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0" fillId="10" borderId="46" xfId="0" applyFont="1" applyFill="1" applyBorder="1"/>
    <xf numFmtId="0" fontId="0" fillId="10" borderId="47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Font="1" applyFill="1" applyBorder="1" applyAlignment="1">
      <alignment horizontal="right" vertical="center"/>
    </xf>
    <xf numFmtId="0" fontId="0" fillId="7" borderId="5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32" xfId="0" applyFont="1" applyFill="1" applyBorder="1"/>
    <xf numFmtId="0" fontId="0" fillId="0" borderId="6" xfId="0" applyFont="1" applyFill="1" applyBorder="1"/>
    <xf numFmtId="0" fontId="2" fillId="8" borderId="39" xfId="0" applyFont="1" applyFill="1" applyBorder="1" applyAlignment="1">
      <alignment horizontal="center" vertical="center" wrapText="1"/>
    </xf>
    <xf numFmtId="0" fontId="2" fillId="8" borderId="37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7" borderId="19" xfId="0" applyFont="1" applyFill="1" applyBorder="1" applyAlignment="1">
      <alignment horizontal="center" vertical="center"/>
    </xf>
    <xf numFmtId="0" fontId="2" fillId="7" borderId="16" xfId="0" applyFont="1" applyFill="1" applyBorder="1" applyAlignment="1">
      <alignment horizontal="center" vertical="center"/>
    </xf>
    <xf numFmtId="0" fontId="6" fillId="7" borderId="19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7" fillId="0" borderId="12" xfId="0" applyFont="1" applyBorder="1"/>
    <xf numFmtId="164" fontId="6" fillId="0" borderId="4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1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17" xfId="0" applyFont="1" applyFill="1" applyBorder="1" applyAlignment="1">
      <alignment horizontal="center" vertic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2" fillId="0" borderId="43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0" fillId="0" borderId="16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/>
    </xf>
  </cellXfs>
  <cellStyles count="1"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CA20-47EF-4CA3-8F00-4C3F9B424045}">
  <dimension ref="A1:H40"/>
  <sheetViews>
    <sheetView rightToLeft="1" topLeftCell="A13" zoomScale="130" zoomScaleNormal="130" workbookViewId="0">
      <selection activeCell="M13" sqref="M13"/>
    </sheetView>
  </sheetViews>
  <sheetFormatPr defaultRowHeight="15" x14ac:dyDescent="0.25"/>
  <sheetData>
    <row r="1" spans="1:8" x14ac:dyDescent="0.25">
      <c r="A1" s="4"/>
      <c r="B1" s="43"/>
      <c r="C1" s="43"/>
      <c r="D1" s="43"/>
      <c r="E1" s="43"/>
      <c r="F1" s="5">
        <v>3</v>
      </c>
      <c r="G1" s="5">
        <f>F1+1</f>
        <v>4</v>
      </c>
      <c r="H1" s="6">
        <f>G1+1</f>
        <v>5</v>
      </c>
    </row>
    <row r="2" spans="1:8" x14ac:dyDescent="0.25">
      <c r="A2" s="7" t="s">
        <v>22</v>
      </c>
      <c r="B2" s="237">
        <v>3</v>
      </c>
      <c r="C2" s="238">
        <v>3</v>
      </c>
      <c r="D2" s="237">
        <v>3</v>
      </c>
      <c r="E2" s="238">
        <v>3</v>
      </c>
      <c r="F2" s="253">
        <v>2</v>
      </c>
      <c r="G2" s="253"/>
      <c r="H2" s="254"/>
    </row>
    <row r="3" spans="1:8" x14ac:dyDescent="0.25">
      <c r="A3" s="7" t="s">
        <v>19</v>
      </c>
      <c r="B3" s="237"/>
      <c r="C3" s="238"/>
      <c r="D3" s="238"/>
      <c r="E3" s="238"/>
      <c r="F3" s="259" t="s">
        <v>58</v>
      </c>
      <c r="G3" s="260"/>
      <c r="H3" s="261"/>
    </row>
    <row r="4" spans="1:8" x14ac:dyDescent="0.25">
      <c r="A4" s="7" t="s">
        <v>20</v>
      </c>
      <c r="B4" s="238"/>
      <c r="C4" s="237"/>
      <c r="D4" s="237"/>
      <c r="E4" s="237"/>
      <c r="F4" s="259" t="s">
        <v>61</v>
      </c>
      <c r="G4" s="260"/>
      <c r="H4" s="261"/>
    </row>
    <row r="5" spans="1:8" x14ac:dyDescent="0.25">
      <c r="A5" s="7" t="s">
        <v>21</v>
      </c>
      <c r="B5" s="237"/>
      <c r="C5" s="237"/>
      <c r="D5" s="238"/>
      <c r="E5" s="238"/>
      <c r="F5" s="253" t="s">
        <v>191</v>
      </c>
      <c r="G5" s="253"/>
      <c r="H5" s="254"/>
    </row>
    <row r="6" spans="1:8" x14ac:dyDescent="0.25">
      <c r="A6" s="7" t="s">
        <v>79</v>
      </c>
      <c r="B6" s="237"/>
      <c r="C6" s="237"/>
      <c r="D6" s="237"/>
      <c r="E6" s="237"/>
      <c r="F6" s="253" t="s">
        <v>114</v>
      </c>
      <c r="G6" s="253"/>
      <c r="H6" s="254"/>
    </row>
    <row r="7" spans="1:8" x14ac:dyDescent="0.25">
      <c r="A7" s="221" t="s">
        <v>307</v>
      </c>
      <c r="B7" s="80"/>
      <c r="C7" s="80"/>
      <c r="D7" s="80"/>
      <c r="E7" s="80"/>
      <c r="F7" s="255"/>
      <c r="G7" s="255"/>
      <c r="H7" s="256"/>
    </row>
    <row r="8" spans="1:8" ht="15.75" thickBot="1" x14ac:dyDescent="0.3">
      <c r="A8" s="222" t="s">
        <v>308</v>
      </c>
      <c r="B8" s="239"/>
      <c r="C8" s="239"/>
      <c r="D8" s="239"/>
      <c r="E8" s="239"/>
      <c r="F8" s="257" t="s">
        <v>227</v>
      </c>
      <c r="G8" s="257"/>
      <c r="H8" s="258"/>
    </row>
    <row r="9" spans="1:8" x14ac:dyDescent="0.25">
      <c r="A9" s="4"/>
      <c r="B9" s="43">
        <f>H1+1</f>
        <v>6</v>
      </c>
      <c r="C9" s="43">
        <f>B9+1</f>
        <v>7</v>
      </c>
      <c r="D9" s="43">
        <f t="shared" ref="D9:H9" si="0">C9+1</f>
        <v>8</v>
      </c>
      <c r="E9" s="43">
        <f t="shared" si="0"/>
        <v>9</v>
      </c>
      <c r="F9" s="43">
        <f t="shared" si="0"/>
        <v>10</v>
      </c>
      <c r="G9" s="43">
        <f t="shared" si="0"/>
        <v>11</v>
      </c>
      <c r="H9" s="44">
        <f t="shared" si="0"/>
        <v>12</v>
      </c>
    </row>
    <row r="10" spans="1:8" x14ac:dyDescent="0.25">
      <c r="A10" s="7" t="s">
        <v>22</v>
      </c>
      <c r="B10" s="237">
        <v>3</v>
      </c>
      <c r="C10" s="238">
        <v>3</v>
      </c>
      <c r="D10" s="237">
        <v>3</v>
      </c>
      <c r="E10" s="238">
        <v>3</v>
      </c>
      <c r="F10" s="253">
        <v>3</v>
      </c>
      <c r="G10" s="253"/>
      <c r="H10" s="254"/>
    </row>
    <row r="11" spans="1:8" x14ac:dyDescent="0.25">
      <c r="A11" s="7" t="s">
        <v>19</v>
      </c>
      <c r="B11" s="237"/>
      <c r="C11" s="238"/>
      <c r="D11" s="238"/>
      <c r="E11" s="238"/>
      <c r="F11" s="264" t="s">
        <v>227</v>
      </c>
      <c r="G11" s="265"/>
      <c r="H11" s="266"/>
    </row>
    <row r="12" spans="1:8" x14ac:dyDescent="0.25">
      <c r="A12" s="7" t="s">
        <v>20</v>
      </c>
      <c r="B12" s="238"/>
      <c r="C12" s="237"/>
      <c r="D12" s="237"/>
      <c r="E12" s="237"/>
      <c r="F12" s="259" t="s">
        <v>129</v>
      </c>
      <c r="G12" s="260"/>
      <c r="H12" s="261"/>
    </row>
    <row r="13" spans="1:8" x14ac:dyDescent="0.25">
      <c r="A13" s="7" t="s">
        <v>21</v>
      </c>
      <c r="B13" s="237"/>
      <c r="C13" s="237"/>
      <c r="D13" s="238"/>
      <c r="E13" s="238"/>
      <c r="F13" s="253" t="s">
        <v>269</v>
      </c>
      <c r="G13" s="253"/>
      <c r="H13" s="254"/>
    </row>
    <row r="14" spans="1:8" x14ac:dyDescent="0.25">
      <c r="A14" s="7" t="s">
        <v>79</v>
      </c>
      <c r="B14" s="237"/>
      <c r="C14" s="237"/>
      <c r="D14" s="237"/>
      <c r="E14" s="237"/>
      <c r="F14" s="253" t="s">
        <v>304</v>
      </c>
      <c r="G14" s="253"/>
      <c r="H14" s="254"/>
    </row>
    <row r="15" spans="1:8" x14ac:dyDescent="0.25">
      <c r="A15" s="221" t="s">
        <v>307</v>
      </c>
      <c r="B15" s="80"/>
      <c r="C15" s="80"/>
      <c r="D15" s="80"/>
      <c r="E15" s="80"/>
      <c r="F15" s="255"/>
      <c r="G15" s="255"/>
      <c r="H15" s="256"/>
    </row>
    <row r="16" spans="1:8" ht="15.75" thickBot="1" x14ac:dyDescent="0.3">
      <c r="A16" s="222" t="s">
        <v>308</v>
      </c>
      <c r="B16" s="239"/>
      <c r="C16" s="239"/>
      <c r="D16" s="239"/>
      <c r="E16" s="239"/>
      <c r="F16" s="257" t="s">
        <v>267</v>
      </c>
      <c r="G16" s="257"/>
      <c r="H16" s="258"/>
    </row>
    <row r="17" spans="1:8" x14ac:dyDescent="0.25">
      <c r="A17" s="4"/>
      <c r="B17" s="43">
        <f>H9+1</f>
        <v>13</v>
      </c>
      <c r="C17" s="43">
        <f>B17+1</f>
        <v>14</v>
      </c>
      <c r="D17" s="43">
        <f t="shared" ref="D17:H17" si="1">C17+1</f>
        <v>15</v>
      </c>
      <c r="E17" s="43">
        <f t="shared" si="1"/>
        <v>16</v>
      </c>
      <c r="F17" s="43">
        <f t="shared" si="1"/>
        <v>17</v>
      </c>
      <c r="G17" s="43">
        <f t="shared" si="1"/>
        <v>18</v>
      </c>
      <c r="H17" s="44">
        <f t="shared" si="1"/>
        <v>19</v>
      </c>
    </row>
    <row r="18" spans="1:8" x14ac:dyDescent="0.25">
      <c r="A18" s="7" t="s">
        <v>22</v>
      </c>
      <c r="B18" s="237">
        <v>3</v>
      </c>
      <c r="C18" s="238">
        <v>3</v>
      </c>
      <c r="D18" s="237">
        <v>3</v>
      </c>
      <c r="E18" s="238">
        <v>3</v>
      </c>
      <c r="F18" s="253">
        <v>3</v>
      </c>
      <c r="G18" s="253"/>
      <c r="H18" s="254"/>
    </row>
    <row r="19" spans="1:8" x14ac:dyDescent="0.25">
      <c r="A19" s="7" t="s">
        <v>19</v>
      </c>
      <c r="B19" s="237"/>
      <c r="C19" s="238"/>
      <c r="D19" s="238"/>
      <c r="E19" s="238"/>
      <c r="F19" s="264" t="s">
        <v>281</v>
      </c>
      <c r="G19" s="265"/>
      <c r="H19" s="266"/>
    </row>
    <row r="20" spans="1:8" x14ac:dyDescent="0.25">
      <c r="A20" s="7" t="s">
        <v>20</v>
      </c>
      <c r="B20" s="238"/>
      <c r="C20" s="237"/>
      <c r="D20" s="237"/>
      <c r="E20" s="237"/>
      <c r="F20" s="259" t="s">
        <v>59</v>
      </c>
      <c r="G20" s="260"/>
      <c r="H20" s="261"/>
    </row>
    <row r="21" spans="1:8" x14ac:dyDescent="0.25">
      <c r="A21" s="7" t="s">
        <v>21</v>
      </c>
      <c r="B21" s="237"/>
      <c r="C21" s="237"/>
      <c r="D21" s="238"/>
      <c r="E21" s="238"/>
      <c r="F21" s="253" t="s">
        <v>221</v>
      </c>
      <c r="G21" s="253"/>
      <c r="H21" s="254"/>
    </row>
    <row r="22" spans="1:8" x14ac:dyDescent="0.25">
      <c r="A22" s="7" t="s">
        <v>79</v>
      </c>
      <c r="B22" s="237"/>
      <c r="C22" s="237"/>
      <c r="D22" s="237"/>
      <c r="E22" s="237"/>
      <c r="F22" s="253" t="s">
        <v>260</v>
      </c>
      <c r="G22" s="253"/>
      <c r="H22" s="254"/>
    </row>
    <row r="23" spans="1:8" x14ac:dyDescent="0.25">
      <c r="A23" s="221" t="s">
        <v>307</v>
      </c>
      <c r="B23" s="80"/>
      <c r="C23" s="80"/>
      <c r="D23" s="80"/>
      <c r="E23" s="80"/>
      <c r="F23" s="255"/>
      <c r="G23" s="255"/>
      <c r="H23" s="256"/>
    </row>
    <row r="24" spans="1:8" ht="15.75" thickBot="1" x14ac:dyDescent="0.3">
      <c r="A24" s="222" t="s">
        <v>308</v>
      </c>
      <c r="B24" s="239"/>
      <c r="C24" s="239"/>
      <c r="D24" s="239"/>
      <c r="E24" s="239"/>
      <c r="F24" s="257" t="s">
        <v>141</v>
      </c>
      <c r="G24" s="257"/>
      <c r="H24" s="258"/>
    </row>
    <row r="25" spans="1:8" x14ac:dyDescent="0.25">
      <c r="A25" s="4"/>
      <c r="B25" s="43">
        <f>H17+1</f>
        <v>20</v>
      </c>
      <c r="C25" s="43">
        <f>B25+1</f>
        <v>21</v>
      </c>
      <c r="D25" s="43">
        <f t="shared" ref="D25:H25" si="2">C25+1</f>
        <v>22</v>
      </c>
      <c r="E25" s="43">
        <f t="shared" si="2"/>
        <v>23</v>
      </c>
      <c r="F25" s="43">
        <f t="shared" si="2"/>
        <v>24</v>
      </c>
      <c r="G25" s="43">
        <f t="shared" si="2"/>
        <v>25</v>
      </c>
      <c r="H25" s="44">
        <f t="shared" si="2"/>
        <v>26</v>
      </c>
    </row>
    <row r="26" spans="1:8" x14ac:dyDescent="0.25">
      <c r="A26" s="7" t="s">
        <v>22</v>
      </c>
      <c r="B26" s="237">
        <v>3</v>
      </c>
      <c r="C26" s="238">
        <v>3</v>
      </c>
      <c r="D26" s="237">
        <v>3</v>
      </c>
      <c r="E26" s="238">
        <v>3</v>
      </c>
      <c r="F26" s="253">
        <v>3</v>
      </c>
      <c r="G26" s="253"/>
      <c r="H26" s="254"/>
    </row>
    <row r="27" spans="1:8" x14ac:dyDescent="0.25">
      <c r="A27" s="7" t="s">
        <v>19</v>
      </c>
      <c r="B27" s="237"/>
      <c r="C27" s="238"/>
      <c r="D27" s="238"/>
      <c r="E27" s="238"/>
      <c r="F27" s="264" t="s">
        <v>112</v>
      </c>
      <c r="G27" s="265"/>
      <c r="H27" s="266"/>
    </row>
    <row r="28" spans="1:8" x14ac:dyDescent="0.25">
      <c r="A28" s="7" t="s">
        <v>20</v>
      </c>
      <c r="B28" s="238"/>
      <c r="C28" s="237"/>
      <c r="D28" s="237"/>
      <c r="E28" s="237"/>
      <c r="F28" s="259" t="s">
        <v>277</v>
      </c>
      <c r="G28" s="260"/>
      <c r="H28" s="261"/>
    </row>
    <row r="29" spans="1:8" x14ac:dyDescent="0.25">
      <c r="A29" s="7" t="s">
        <v>21</v>
      </c>
      <c r="B29" s="237"/>
      <c r="C29" s="237"/>
      <c r="D29" s="238"/>
      <c r="E29" s="238"/>
      <c r="F29" s="253" t="s">
        <v>64</v>
      </c>
      <c r="G29" s="253"/>
      <c r="H29" s="254"/>
    </row>
    <row r="30" spans="1:8" x14ac:dyDescent="0.25">
      <c r="A30" s="7" t="s">
        <v>79</v>
      </c>
      <c r="B30" s="237"/>
      <c r="C30" s="237"/>
      <c r="D30" s="237"/>
      <c r="E30" s="237"/>
      <c r="F30" s="264" t="s">
        <v>115</v>
      </c>
      <c r="G30" s="265"/>
      <c r="H30" s="266"/>
    </row>
    <row r="31" spans="1:8" x14ac:dyDescent="0.25">
      <c r="A31" s="221" t="s">
        <v>307</v>
      </c>
      <c r="B31" s="80"/>
      <c r="C31" s="80"/>
      <c r="D31" s="80"/>
      <c r="E31" s="80"/>
      <c r="F31" s="255"/>
      <c r="G31" s="255"/>
      <c r="H31" s="256"/>
    </row>
    <row r="32" spans="1:8" ht="15.75" thickBot="1" x14ac:dyDescent="0.3">
      <c r="A32" s="222" t="s">
        <v>308</v>
      </c>
      <c r="B32" s="239"/>
      <c r="C32" s="239"/>
      <c r="D32" s="239"/>
      <c r="E32" s="239"/>
      <c r="F32" s="257" t="s">
        <v>225</v>
      </c>
      <c r="G32" s="257"/>
      <c r="H32" s="258"/>
    </row>
    <row r="33" spans="1:8" x14ac:dyDescent="0.25">
      <c r="A33" s="4"/>
      <c r="B33" s="43">
        <f>H25+1</f>
        <v>27</v>
      </c>
      <c r="C33" s="43">
        <f>B33+1</f>
        <v>28</v>
      </c>
      <c r="D33" s="43">
        <f t="shared" ref="D33:H33" si="3">C33+1</f>
        <v>29</v>
      </c>
      <c r="E33" s="43">
        <f t="shared" si="3"/>
        <v>30</v>
      </c>
      <c r="F33" s="43">
        <f t="shared" si="3"/>
        <v>31</v>
      </c>
      <c r="G33" s="43">
        <v>1</v>
      </c>
      <c r="H33" s="44">
        <f t="shared" si="3"/>
        <v>2</v>
      </c>
    </row>
    <row r="34" spans="1:8" x14ac:dyDescent="0.25">
      <c r="A34" s="7" t="s">
        <v>22</v>
      </c>
      <c r="B34" s="237">
        <v>3</v>
      </c>
      <c r="C34" s="238">
        <v>3</v>
      </c>
      <c r="D34" s="237">
        <v>3</v>
      </c>
      <c r="E34" s="238">
        <v>3</v>
      </c>
      <c r="F34" s="253">
        <v>3</v>
      </c>
      <c r="G34" s="253"/>
      <c r="H34" s="254"/>
    </row>
    <row r="35" spans="1:8" x14ac:dyDescent="0.25">
      <c r="A35" s="7" t="s">
        <v>19</v>
      </c>
      <c r="B35" s="237"/>
      <c r="C35" s="238"/>
      <c r="D35" s="238"/>
      <c r="E35" s="238"/>
      <c r="F35" s="264" t="s">
        <v>162</v>
      </c>
      <c r="G35" s="265"/>
      <c r="H35" s="266"/>
    </row>
    <row r="36" spans="1:8" x14ac:dyDescent="0.25">
      <c r="A36" s="7" t="s">
        <v>20</v>
      </c>
      <c r="B36" s="238"/>
      <c r="C36" s="237"/>
      <c r="D36" s="237"/>
      <c r="E36" s="237"/>
      <c r="F36" s="264" t="s">
        <v>126</v>
      </c>
      <c r="G36" s="265"/>
      <c r="H36" s="266"/>
    </row>
    <row r="37" spans="1:8" x14ac:dyDescent="0.25">
      <c r="A37" s="7" t="s">
        <v>21</v>
      </c>
      <c r="B37" s="237"/>
      <c r="C37" s="237"/>
      <c r="D37" s="238"/>
      <c r="E37" s="238"/>
      <c r="F37" s="269" t="s">
        <v>127</v>
      </c>
      <c r="G37" s="269"/>
      <c r="H37" s="270"/>
    </row>
    <row r="38" spans="1:8" x14ac:dyDescent="0.25">
      <c r="A38" s="7" t="s">
        <v>79</v>
      </c>
      <c r="B38" s="237"/>
      <c r="C38" s="237"/>
      <c r="D38" s="237"/>
      <c r="E38" s="237"/>
      <c r="F38" s="253" t="s">
        <v>267</v>
      </c>
      <c r="G38" s="253"/>
      <c r="H38" s="254"/>
    </row>
    <row r="39" spans="1:8" x14ac:dyDescent="0.25">
      <c r="A39" s="221" t="s">
        <v>307</v>
      </c>
      <c r="B39" s="80"/>
      <c r="C39" s="80"/>
      <c r="D39" s="80"/>
      <c r="E39" s="80"/>
      <c r="F39" s="255"/>
      <c r="G39" s="255"/>
      <c r="H39" s="256"/>
    </row>
    <row r="40" spans="1:8" ht="15.75" thickBot="1" x14ac:dyDescent="0.3">
      <c r="A40" s="222" t="s">
        <v>308</v>
      </c>
      <c r="B40" s="239"/>
      <c r="C40" s="239"/>
      <c r="D40" s="239"/>
      <c r="E40" s="239"/>
      <c r="F40" s="257" t="s">
        <v>61</v>
      </c>
      <c r="G40" s="257"/>
      <c r="H40" s="258"/>
    </row>
  </sheetData>
  <mergeCells count="35">
    <mergeCell ref="F5:H5"/>
    <mergeCell ref="F6:H6"/>
    <mergeCell ref="F7:H7"/>
    <mergeCell ref="F8:H8"/>
    <mergeCell ref="F15:H15"/>
    <mergeCell ref="F23:H23"/>
    <mergeCell ref="F36:H36"/>
    <mergeCell ref="F37:H37"/>
    <mergeCell ref="F38:H38"/>
    <mergeCell ref="F2:H2"/>
    <mergeCell ref="F3:H3"/>
    <mergeCell ref="F4:H4"/>
    <mergeCell ref="F31:H31"/>
    <mergeCell ref="F22:H22"/>
    <mergeCell ref="F24:H24"/>
    <mergeCell ref="F26:H26"/>
    <mergeCell ref="F27:H27"/>
    <mergeCell ref="F28:H28"/>
    <mergeCell ref="F16:H16"/>
    <mergeCell ref="F18:H18"/>
    <mergeCell ref="F19:H19"/>
    <mergeCell ref="F39:H39"/>
    <mergeCell ref="F40:H40"/>
    <mergeCell ref="F29:H29"/>
    <mergeCell ref="F30:H30"/>
    <mergeCell ref="F32:H32"/>
    <mergeCell ref="F34:H34"/>
    <mergeCell ref="F35:H35"/>
    <mergeCell ref="F20:H20"/>
    <mergeCell ref="F21:H21"/>
    <mergeCell ref="F10:H10"/>
    <mergeCell ref="F11:H11"/>
    <mergeCell ref="F12:H12"/>
    <mergeCell ref="F13:H13"/>
    <mergeCell ref="F14:H1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U85"/>
  <sheetViews>
    <sheetView rightToLeft="1" tabSelected="1" zoomScale="85" zoomScaleNormal="85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EF1" activeCellId="1" sqref="A1:C1048576 EF1:EI1048576"/>
    </sheetView>
  </sheetViews>
  <sheetFormatPr defaultColWidth="9.140625" defaultRowHeight="15" x14ac:dyDescent="0.25"/>
  <cols>
    <col min="1" max="1" width="7.28515625" style="21" customWidth="1"/>
    <col min="2" max="2" width="7" style="9" bestFit="1" customWidth="1"/>
    <col min="3" max="3" width="11.85546875" style="9" customWidth="1"/>
    <col min="4" max="4" width="8" style="9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38" hidden="1" customWidth="1"/>
    <col min="71" max="71" width="6.7109375" style="20" hidden="1" customWidth="1"/>
    <col min="72" max="72" width="7.7109375" style="20" hidden="1" customWidth="1"/>
    <col min="73" max="74" width="7.7109375" style="38" hidden="1" customWidth="1"/>
    <col min="75" max="75" width="7" style="38" hidden="1" customWidth="1"/>
    <col min="76" max="76" width="7.28515625" hidden="1" customWidth="1"/>
    <col min="77" max="77" width="7.7109375" style="38" hidden="1" customWidth="1"/>
    <col min="78" max="79" width="7.7109375" style="20" hidden="1" customWidth="1"/>
    <col min="80" max="84" width="7.7109375" style="38" hidden="1" customWidth="1"/>
    <col min="85" max="86" width="7.7109375" style="20" hidden="1" customWidth="1"/>
    <col min="87" max="89" width="7.7109375" style="38" hidden="1" customWidth="1"/>
    <col min="90" max="90" width="7.7109375" style="84" hidden="1" customWidth="1"/>
    <col min="91" max="91" width="7.7109375" style="38" hidden="1" customWidth="1"/>
    <col min="92" max="93" width="7.7109375" style="20" hidden="1" customWidth="1"/>
    <col min="94" max="98" width="7.7109375" style="38" hidden="1" customWidth="1"/>
    <col min="99" max="100" width="7.7109375" style="20" hidden="1" customWidth="1"/>
    <col min="101" max="105" width="7.7109375" style="38" hidden="1" customWidth="1"/>
    <col min="106" max="107" width="7.7109375" style="20" hidden="1" customWidth="1"/>
    <col min="108" max="112" width="7.7109375" style="38" hidden="1" customWidth="1"/>
    <col min="113" max="114" width="7.7109375" style="20" hidden="1" customWidth="1"/>
    <col min="115" max="119" width="7.7109375" style="38" hidden="1" customWidth="1"/>
    <col min="120" max="121" width="7.7109375" style="20" hidden="1" customWidth="1"/>
    <col min="122" max="126" width="7.7109375" style="38" customWidth="1"/>
    <col min="127" max="128" width="7.7109375" style="20" customWidth="1"/>
    <col min="129" max="133" width="7.7109375" style="38" customWidth="1"/>
    <col min="134" max="135" width="7.7109375" style="20" customWidth="1"/>
    <col min="136" max="140" width="7.7109375" style="38" customWidth="1"/>
    <col min="141" max="142" width="7.7109375" style="20" customWidth="1"/>
    <col min="143" max="151" width="7.7109375" style="9" customWidth="1"/>
    <col min="152" max="16384" width="9.140625" style="9"/>
  </cols>
  <sheetData>
    <row r="1" spans="1:151" ht="71.25" customHeight="1" thickBot="1" x14ac:dyDescent="0.3">
      <c r="A1" s="157" t="s">
        <v>0</v>
      </c>
      <c r="B1" s="158" t="s">
        <v>1</v>
      </c>
      <c r="C1" s="158" t="s">
        <v>62</v>
      </c>
      <c r="D1" s="158" t="s">
        <v>3</v>
      </c>
      <c r="E1" s="158" t="s">
        <v>4</v>
      </c>
      <c r="F1" s="159" t="s">
        <v>149</v>
      </c>
      <c r="G1" s="159" t="s">
        <v>106</v>
      </c>
      <c r="H1" s="159" t="s">
        <v>47</v>
      </c>
      <c r="I1" s="159" t="s">
        <v>2</v>
      </c>
      <c r="J1" s="160" t="s">
        <v>32</v>
      </c>
      <c r="K1" s="161" t="s">
        <v>33</v>
      </c>
      <c r="L1" s="161" t="s">
        <v>34</v>
      </c>
      <c r="M1" s="161" t="s">
        <v>35</v>
      </c>
      <c r="N1" s="162" t="s">
        <v>45</v>
      </c>
      <c r="O1" s="162" t="s">
        <v>46</v>
      </c>
      <c r="P1" s="163" t="s">
        <v>44</v>
      </c>
      <c r="Q1" s="160" t="s">
        <v>23</v>
      </c>
      <c r="R1" s="161" t="s">
        <v>24</v>
      </c>
      <c r="S1" s="161" t="s">
        <v>25</v>
      </c>
      <c r="T1" s="161" t="s">
        <v>26</v>
      </c>
      <c r="U1" s="164" t="s">
        <v>27</v>
      </c>
      <c r="V1" s="162" t="s">
        <v>28</v>
      </c>
      <c r="W1" s="163" t="s">
        <v>43</v>
      </c>
      <c r="X1" s="160" t="s">
        <v>39</v>
      </c>
      <c r="Y1" s="161" t="s">
        <v>40</v>
      </c>
      <c r="Z1" s="161" t="s">
        <v>41</v>
      </c>
      <c r="AA1" s="161" t="s">
        <v>42</v>
      </c>
      <c r="AB1" s="162" t="s">
        <v>36</v>
      </c>
      <c r="AC1" s="162" t="s">
        <v>37</v>
      </c>
      <c r="AD1" s="165" t="s">
        <v>38</v>
      </c>
      <c r="AE1" s="160" t="s">
        <v>50</v>
      </c>
      <c r="AF1" s="161" t="s">
        <v>51</v>
      </c>
      <c r="AG1" s="161" t="s">
        <v>52</v>
      </c>
      <c r="AH1" s="161" t="s">
        <v>53</v>
      </c>
      <c r="AI1" s="162" t="s">
        <v>54</v>
      </c>
      <c r="AJ1" s="162" t="s">
        <v>55</v>
      </c>
      <c r="AK1" s="165" t="s">
        <v>56</v>
      </c>
      <c r="AL1" s="160" t="s">
        <v>72</v>
      </c>
      <c r="AM1" s="161" t="s">
        <v>73</v>
      </c>
      <c r="AN1" s="161" t="s">
        <v>74</v>
      </c>
      <c r="AO1" s="158" t="s">
        <v>75</v>
      </c>
      <c r="AP1" s="162" t="s">
        <v>76</v>
      </c>
      <c r="AQ1" s="162" t="s">
        <v>77</v>
      </c>
      <c r="AR1" s="163" t="s">
        <v>78</v>
      </c>
      <c r="AS1" s="157" t="s">
        <v>83</v>
      </c>
      <c r="AT1" s="158" t="s">
        <v>84</v>
      </c>
      <c r="AU1" s="158" t="s">
        <v>85</v>
      </c>
      <c r="AV1" s="158" t="s">
        <v>86</v>
      </c>
      <c r="AW1" s="164" t="s">
        <v>87</v>
      </c>
      <c r="AX1" s="164" t="s">
        <v>88</v>
      </c>
      <c r="AY1" s="165" t="s">
        <v>89</v>
      </c>
      <c r="AZ1" s="157" t="s">
        <v>99</v>
      </c>
      <c r="BA1" s="158" t="s">
        <v>100</v>
      </c>
      <c r="BB1" s="158" t="s">
        <v>101</v>
      </c>
      <c r="BC1" s="158" t="s">
        <v>102</v>
      </c>
      <c r="BD1" s="164" t="s">
        <v>103</v>
      </c>
      <c r="BE1" s="164" t="s">
        <v>104</v>
      </c>
      <c r="BF1" s="165" t="s">
        <v>105</v>
      </c>
      <c r="BG1" s="157" t="s">
        <v>117</v>
      </c>
      <c r="BH1" s="158" t="s">
        <v>118</v>
      </c>
      <c r="BI1" s="158" t="s">
        <v>159</v>
      </c>
      <c r="BJ1" s="158" t="s">
        <v>119</v>
      </c>
      <c r="BK1" s="164" t="s">
        <v>122</v>
      </c>
      <c r="BL1" s="164" t="s">
        <v>121</v>
      </c>
      <c r="BM1" s="166" t="s">
        <v>120</v>
      </c>
      <c r="BN1" s="167" t="s">
        <v>134</v>
      </c>
      <c r="BO1" s="168" t="s">
        <v>135</v>
      </c>
      <c r="BP1" s="168" t="s">
        <v>136</v>
      </c>
      <c r="BQ1" s="169" t="s">
        <v>137</v>
      </c>
      <c r="BR1" s="170" t="s">
        <v>138</v>
      </c>
      <c r="BS1" s="164" t="s">
        <v>139</v>
      </c>
      <c r="BT1" s="165" t="s">
        <v>140</v>
      </c>
      <c r="BU1" s="167" t="s">
        <v>150</v>
      </c>
      <c r="BV1" s="168" t="s">
        <v>151</v>
      </c>
      <c r="BW1" s="169" t="s">
        <v>152</v>
      </c>
      <c r="BX1" s="169" t="s">
        <v>153</v>
      </c>
      <c r="BY1" s="170" t="s">
        <v>154</v>
      </c>
      <c r="BZ1" s="164" t="s">
        <v>155</v>
      </c>
      <c r="CA1" s="165" t="s">
        <v>156</v>
      </c>
      <c r="CB1" s="167" t="s">
        <v>168</v>
      </c>
      <c r="CC1" s="168" t="s">
        <v>169</v>
      </c>
      <c r="CD1" s="169" t="s">
        <v>170</v>
      </c>
      <c r="CE1" s="171" t="s">
        <v>192</v>
      </c>
      <c r="CF1" s="170" t="s">
        <v>171</v>
      </c>
      <c r="CG1" s="164" t="s">
        <v>172</v>
      </c>
      <c r="CH1" s="165" t="s">
        <v>173</v>
      </c>
      <c r="CI1" s="168" t="s">
        <v>177</v>
      </c>
      <c r="CJ1" s="168" t="s">
        <v>178</v>
      </c>
      <c r="CK1" s="168" t="s">
        <v>179</v>
      </c>
      <c r="CL1" s="168" t="s">
        <v>180</v>
      </c>
      <c r="CM1" s="170" t="s">
        <v>181</v>
      </c>
      <c r="CN1" s="164" t="s">
        <v>182</v>
      </c>
      <c r="CO1" s="165" t="s">
        <v>183</v>
      </c>
      <c r="CP1" s="172" t="s">
        <v>32</v>
      </c>
      <c r="CQ1" s="168" t="s">
        <v>33</v>
      </c>
      <c r="CR1" s="169" t="s">
        <v>34</v>
      </c>
      <c r="CS1" s="169" t="s">
        <v>35</v>
      </c>
      <c r="CT1" s="170" t="s">
        <v>45</v>
      </c>
      <c r="CU1" s="164" t="s">
        <v>46</v>
      </c>
      <c r="CV1" s="166" t="s">
        <v>44</v>
      </c>
      <c r="CW1" s="167" t="s">
        <v>23</v>
      </c>
      <c r="CX1" s="168" t="s">
        <v>24</v>
      </c>
      <c r="CY1" s="168" t="s">
        <v>25</v>
      </c>
      <c r="CZ1" s="168" t="s">
        <v>26</v>
      </c>
      <c r="DA1" s="164" t="s">
        <v>27</v>
      </c>
      <c r="DB1" s="164" t="s">
        <v>28</v>
      </c>
      <c r="DC1" s="165" t="s">
        <v>43</v>
      </c>
      <c r="DD1" s="172" t="s">
        <v>39</v>
      </c>
      <c r="DE1" s="168" t="s">
        <v>40</v>
      </c>
      <c r="DF1" s="168" t="s">
        <v>41</v>
      </c>
      <c r="DG1" s="168" t="s">
        <v>42</v>
      </c>
      <c r="DH1" s="164" t="s">
        <v>36</v>
      </c>
      <c r="DI1" s="164" t="s">
        <v>37</v>
      </c>
      <c r="DJ1" s="165" t="s">
        <v>38</v>
      </c>
      <c r="DK1" s="172" t="s">
        <v>50</v>
      </c>
      <c r="DL1" s="168" t="s">
        <v>51</v>
      </c>
      <c r="DM1" s="168" t="s">
        <v>52</v>
      </c>
      <c r="DN1" s="168" t="s">
        <v>53</v>
      </c>
      <c r="DO1" s="164" t="s">
        <v>54</v>
      </c>
      <c r="DP1" s="164" t="s">
        <v>55</v>
      </c>
      <c r="DQ1" s="165" t="s">
        <v>56</v>
      </c>
      <c r="DR1" s="172" t="s">
        <v>72</v>
      </c>
      <c r="DS1" s="168" t="s">
        <v>73</v>
      </c>
      <c r="DT1" s="168" t="s">
        <v>74</v>
      </c>
      <c r="DU1" s="168" t="s">
        <v>75</v>
      </c>
      <c r="DV1" s="164" t="s">
        <v>76</v>
      </c>
      <c r="DW1" s="164" t="s">
        <v>77</v>
      </c>
      <c r="DX1" s="165" t="s">
        <v>78</v>
      </c>
      <c r="DY1" s="172" t="s">
        <v>83</v>
      </c>
      <c r="DZ1" s="168" t="s">
        <v>84</v>
      </c>
      <c r="EA1" s="168" t="s">
        <v>85</v>
      </c>
      <c r="EB1" s="168" t="s">
        <v>86</v>
      </c>
      <c r="EC1" s="164" t="s">
        <v>87</v>
      </c>
      <c r="ED1" s="164" t="s">
        <v>88</v>
      </c>
      <c r="EE1" s="165" t="s">
        <v>89</v>
      </c>
      <c r="EF1" s="172" t="s">
        <v>99</v>
      </c>
      <c r="EG1" s="168" t="s">
        <v>100</v>
      </c>
      <c r="EH1" s="168" t="s">
        <v>101</v>
      </c>
      <c r="EI1" s="168" t="s">
        <v>102</v>
      </c>
      <c r="EJ1" s="164" t="s">
        <v>103</v>
      </c>
      <c r="EK1" s="164" t="s">
        <v>104</v>
      </c>
      <c r="EL1" s="165" t="s">
        <v>310</v>
      </c>
      <c r="EM1" s="175" t="s">
        <v>108</v>
      </c>
      <c r="EN1" s="173" t="s">
        <v>110</v>
      </c>
      <c r="EO1" s="173" t="s">
        <v>109</v>
      </c>
      <c r="EP1" s="173" t="s">
        <v>111</v>
      </c>
      <c r="EQ1" s="174" t="s">
        <v>82</v>
      </c>
      <c r="ER1" s="173" t="s">
        <v>107</v>
      </c>
      <c r="ES1" s="174" t="s">
        <v>93</v>
      </c>
      <c r="ET1" s="174" t="s">
        <v>94</v>
      </c>
      <c r="EU1" s="173" t="s">
        <v>95</v>
      </c>
    </row>
    <row r="2" spans="1:151" ht="15.75" thickBot="1" x14ac:dyDescent="0.3">
      <c r="A2" s="216" t="s">
        <v>63</v>
      </c>
      <c r="B2" s="218" t="s">
        <v>272</v>
      </c>
      <c r="C2" s="77" t="str">
        <f>B2&amp;" "&amp;A2</f>
        <v>אסי אחודה</v>
      </c>
      <c r="D2" s="23" t="s">
        <v>7</v>
      </c>
      <c r="E2" s="23" t="s">
        <v>6</v>
      </c>
      <c r="F2" s="31" t="s">
        <v>275</v>
      </c>
      <c r="G2" s="30">
        <v>43374</v>
      </c>
      <c r="H2" s="114"/>
      <c r="I2" s="35"/>
      <c r="J2" s="48"/>
      <c r="K2" s="49"/>
      <c r="L2" s="49"/>
      <c r="M2" s="49"/>
      <c r="N2" s="50"/>
      <c r="O2" s="50"/>
      <c r="P2" s="15"/>
      <c r="Q2" s="10"/>
      <c r="R2" s="12"/>
      <c r="S2" s="12"/>
      <c r="T2" s="12"/>
      <c r="U2" s="14"/>
      <c r="V2" s="14"/>
      <c r="W2" s="16"/>
      <c r="X2" s="10"/>
      <c r="Y2" s="12"/>
      <c r="Z2" s="12"/>
      <c r="AA2" s="12"/>
      <c r="AB2" s="17"/>
      <c r="AC2" s="17"/>
      <c r="AD2" s="18"/>
      <c r="AE2" s="10"/>
      <c r="AF2" s="12"/>
      <c r="AG2" s="12"/>
      <c r="AH2" s="12"/>
      <c r="AI2" s="14"/>
      <c r="AJ2" s="14"/>
      <c r="AK2" s="16"/>
      <c r="AL2" s="10"/>
      <c r="AM2" s="12"/>
      <c r="AN2" s="12"/>
      <c r="AO2" s="12"/>
      <c r="AP2" s="14"/>
      <c r="AQ2" s="14"/>
      <c r="AR2" s="16"/>
      <c r="AS2" s="10"/>
      <c r="AT2" s="12"/>
      <c r="AU2" s="12"/>
      <c r="AV2" s="12"/>
      <c r="AW2" s="14"/>
      <c r="AX2" s="14"/>
      <c r="AY2" s="16"/>
      <c r="AZ2" s="10"/>
      <c r="BA2" s="12"/>
      <c r="BB2" s="12"/>
      <c r="BC2" s="12"/>
      <c r="BD2" s="14"/>
      <c r="BE2" s="14"/>
      <c r="BF2" s="16"/>
      <c r="BG2" s="32"/>
      <c r="BH2" s="40"/>
      <c r="BI2" s="12"/>
      <c r="BJ2" s="12"/>
      <c r="BK2" s="14"/>
      <c r="BL2" s="14"/>
      <c r="BM2" s="39"/>
      <c r="BN2" s="32"/>
      <c r="BO2" s="40"/>
      <c r="BP2" s="40"/>
      <c r="BQ2" s="40"/>
      <c r="BR2" s="14"/>
      <c r="BS2" s="14"/>
      <c r="BT2" s="39"/>
      <c r="BU2" s="32"/>
      <c r="BV2" s="40"/>
      <c r="BW2" s="40"/>
      <c r="BX2" s="40"/>
      <c r="BY2" s="14"/>
      <c r="BZ2" s="14"/>
      <c r="CA2" s="39"/>
      <c r="CB2" s="32"/>
      <c r="CC2" s="40"/>
      <c r="CD2" s="40"/>
      <c r="CE2" s="79"/>
      <c r="CF2" s="14"/>
      <c r="CG2" s="14"/>
      <c r="CH2" s="39"/>
      <c r="CI2" s="40"/>
      <c r="CJ2" s="40"/>
      <c r="CK2" s="40"/>
      <c r="CL2" s="83"/>
      <c r="CM2" s="14"/>
      <c r="CN2" s="14"/>
      <c r="CO2" s="39"/>
      <c r="CP2" s="108"/>
      <c r="CQ2" s="40"/>
      <c r="CR2" s="40"/>
      <c r="CS2" s="40"/>
      <c r="CT2" s="14"/>
      <c r="CU2" s="14"/>
      <c r="CV2" s="39"/>
      <c r="CW2" s="32"/>
      <c r="CX2" s="40"/>
      <c r="CY2" s="40"/>
      <c r="CZ2" s="40"/>
      <c r="DA2" s="17"/>
      <c r="DB2" s="17"/>
      <c r="DC2" s="18"/>
      <c r="DD2" s="108"/>
      <c r="DE2" s="40"/>
      <c r="DF2" s="40"/>
      <c r="DG2" s="40"/>
      <c r="DH2" s="156">
        <f>DD2*3+DF2</f>
        <v>0</v>
      </c>
      <c r="DI2" s="156">
        <f>DE2*3+DG2</f>
        <v>0</v>
      </c>
      <c r="DJ2" s="18">
        <f>DI2+DH2</f>
        <v>0</v>
      </c>
      <c r="DK2" s="108"/>
      <c r="DL2" s="40"/>
      <c r="DM2" s="40"/>
      <c r="DN2" s="40"/>
      <c r="DO2" s="156">
        <f>DK2*3+DM2</f>
        <v>0</v>
      </c>
      <c r="DP2" s="156">
        <f>DL2*3+DN2</f>
        <v>0</v>
      </c>
      <c r="DQ2" s="18">
        <f>DP2+DO2</f>
        <v>0</v>
      </c>
      <c r="DR2" s="108"/>
      <c r="DS2" s="40"/>
      <c r="DT2" s="40"/>
      <c r="DU2" s="40"/>
      <c r="DV2" s="156">
        <f>DR2*3+DT2</f>
        <v>0</v>
      </c>
      <c r="DW2" s="156">
        <f>DS2*3+DU2</f>
        <v>0</v>
      </c>
      <c r="DX2" s="18">
        <f>DW2+DV2</f>
        <v>0</v>
      </c>
      <c r="DY2" s="108"/>
      <c r="DZ2" s="40"/>
      <c r="EA2" s="40"/>
      <c r="EB2" s="40"/>
      <c r="EC2" s="156">
        <f>DY2*3+EA2</f>
        <v>0</v>
      </c>
      <c r="ED2" s="156">
        <f>DZ2*3+EB2</f>
        <v>0</v>
      </c>
      <c r="EE2" s="18">
        <f>ED2+EC2</f>
        <v>0</v>
      </c>
      <c r="EF2" s="108"/>
      <c r="EG2" s="40"/>
      <c r="EH2" s="40"/>
      <c r="EI2" s="40"/>
      <c r="EJ2" s="156">
        <f>EF2*3+EH2</f>
        <v>0</v>
      </c>
      <c r="EK2" s="156">
        <f>EG2*3+EI2</f>
        <v>0</v>
      </c>
      <c r="EL2" s="18">
        <f>EK2+EJ2</f>
        <v>0</v>
      </c>
      <c r="EM2" s="74">
        <f>SUM(AP2,AI2,AB2,U2,N2,AW2,BD2,BK2,BR2,BY2,CF2,CM2,CT2,DA2,DH2,DO2,DV2,EC2,EJ2)</f>
        <v>0</v>
      </c>
      <c r="EN2" s="75">
        <f ca="1">EM2/(10+TODAY()-G2)</f>
        <v>0</v>
      </c>
      <c r="EO2" s="76">
        <f>SUM(AQ2,AJ2,AC2,V2,O2,AX2,BE2,BL2,BS2,BZ2,CG2,CN2,CU2,DB2,DI2,DP2,DW2,ED2,EK2)</f>
        <v>0</v>
      </c>
      <c r="EP2" s="75">
        <f ca="1">EO2/(10+TODAY()-G2)</f>
        <v>0</v>
      </c>
      <c r="EQ2" s="76">
        <f>EM2+EO2</f>
        <v>0</v>
      </c>
      <c r="ER2" s="75">
        <f ca="1">EP2+EN2</f>
        <v>0</v>
      </c>
      <c r="ES2" s="76">
        <f>SUM(AS2,AL2,AE2,X2,Q2,Q2,J2,AZ2,BG2,BN2,BU2,CB2,CI2,CP2,CW2,DD2,DK2,DR2,DY2,EF2)</f>
        <v>0</v>
      </c>
      <c r="ET2" s="76">
        <f>SUM(AT2,AM2,AF2,Y2,R2,R2,K2,BA2,BH2,BO2,BV2,CC2,CJ2,CQ2,CX2,DE2,DL2,DS2,DZ2,EG2)</f>
        <v>0</v>
      </c>
      <c r="EU2" s="76">
        <f>ET2+ES2</f>
        <v>0</v>
      </c>
    </row>
    <row r="3" spans="1:151" ht="15.75" thickBot="1" x14ac:dyDescent="0.3">
      <c r="A3" s="177" t="s">
        <v>12</v>
      </c>
      <c r="B3" s="247" t="s">
        <v>223</v>
      </c>
      <c r="C3" s="85" t="str">
        <f>B3&amp;" "&amp;A3</f>
        <v>טופז מפאוג</v>
      </c>
      <c r="D3" s="23" t="s">
        <v>6</v>
      </c>
      <c r="E3" s="23" t="s">
        <v>6</v>
      </c>
      <c r="F3" s="31" t="s">
        <v>224</v>
      </c>
      <c r="G3" s="30">
        <v>43313</v>
      </c>
      <c r="H3" s="31"/>
      <c r="I3" s="13"/>
      <c r="J3" s="48"/>
      <c r="K3" s="49"/>
      <c r="L3" s="49"/>
      <c r="M3" s="49"/>
      <c r="N3" s="50"/>
      <c r="O3" s="50"/>
      <c r="P3" s="15"/>
      <c r="Q3" s="10"/>
      <c r="R3" s="12"/>
      <c r="S3" s="12"/>
      <c r="T3" s="12"/>
      <c r="U3" s="14"/>
      <c r="V3" s="14"/>
      <c r="W3" s="16"/>
      <c r="X3" s="10"/>
      <c r="Y3" s="12"/>
      <c r="Z3" s="12"/>
      <c r="AA3" s="12"/>
      <c r="AB3" s="17"/>
      <c r="AC3" s="17"/>
      <c r="AD3" s="18"/>
      <c r="AE3" s="10"/>
      <c r="AF3" s="12"/>
      <c r="AG3" s="12"/>
      <c r="AH3" s="12"/>
      <c r="AI3" s="14"/>
      <c r="AJ3" s="14"/>
      <c r="AK3" s="16"/>
      <c r="AL3" s="10"/>
      <c r="AM3" s="12"/>
      <c r="AN3" s="12"/>
      <c r="AO3" s="12"/>
      <c r="AP3" s="14"/>
      <c r="AQ3" s="14"/>
      <c r="AR3" s="16"/>
      <c r="AS3" s="10"/>
      <c r="AT3" s="12"/>
      <c r="AU3" s="12"/>
      <c r="AV3" s="12"/>
      <c r="AW3" s="14"/>
      <c r="AX3" s="14"/>
      <c r="AY3" s="16"/>
      <c r="AZ3" s="10"/>
      <c r="BA3" s="12"/>
      <c r="BB3" s="12"/>
      <c r="BC3" s="12"/>
      <c r="BD3" s="14"/>
      <c r="BE3" s="14"/>
      <c r="BF3" s="16"/>
      <c r="BG3" s="32"/>
      <c r="BH3" s="40"/>
      <c r="BI3" s="40"/>
      <c r="BJ3" s="12"/>
      <c r="BK3" s="14"/>
      <c r="BL3" s="14"/>
      <c r="BM3" s="39"/>
      <c r="BN3" s="32"/>
      <c r="BO3" s="40"/>
      <c r="BP3" s="40"/>
      <c r="BQ3" s="40"/>
      <c r="BR3" s="14"/>
      <c r="BS3" s="14"/>
      <c r="BT3" s="39"/>
      <c r="BU3" s="32"/>
      <c r="BV3" s="40"/>
      <c r="BW3" s="40"/>
      <c r="BX3" s="40"/>
      <c r="BY3" s="14"/>
      <c r="BZ3" s="14"/>
      <c r="CA3" s="39"/>
      <c r="CB3" s="78"/>
      <c r="CC3" s="40"/>
      <c r="CD3" s="40"/>
      <c r="CE3" s="79"/>
      <c r="CF3" s="14"/>
      <c r="CG3" s="14"/>
      <c r="CH3" s="39"/>
      <c r="CI3" s="40"/>
      <c r="CJ3" s="40"/>
      <c r="CK3" s="40"/>
      <c r="CL3" s="83"/>
      <c r="CM3" s="14"/>
      <c r="CN3" s="14"/>
      <c r="CO3" s="39"/>
      <c r="CP3" s="108"/>
      <c r="CQ3" s="40"/>
      <c r="CR3" s="40"/>
      <c r="CS3" s="40"/>
      <c r="CT3" s="14">
        <f>CP3*3+CR3</f>
        <v>0</v>
      </c>
      <c r="CU3" s="14">
        <f>CQ3*3+CS3</f>
        <v>0</v>
      </c>
      <c r="CV3" s="39">
        <f>CU3+CT3</f>
        <v>0</v>
      </c>
      <c r="CW3" s="32"/>
      <c r="CX3" s="40"/>
      <c r="CY3" s="40"/>
      <c r="CZ3" s="40"/>
      <c r="DA3" s="17">
        <f>CW3*3+CY3</f>
        <v>0</v>
      </c>
      <c r="DB3" s="17">
        <f>CX3*3+CZ3</f>
        <v>0</v>
      </c>
      <c r="DC3" s="18">
        <f>DB3+DA3</f>
        <v>0</v>
      </c>
      <c r="DD3" s="108">
        <v>1</v>
      </c>
      <c r="DE3" s="40"/>
      <c r="DF3" s="40">
        <v>1</v>
      </c>
      <c r="DG3" s="40"/>
      <c r="DH3" s="156">
        <f>DD3*3+DF3</f>
        <v>4</v>
      </c>
      <c r="DI3" s="156">
        <f>DE3*3+DG3</f>
        <v>0</v>
      </c>
      <c r="DJ3" s="18">
        <f>DI3+DH3</f>
        <v>4</v>
      </c>
      <c r="DK3" s="108"/>
      <c r="DL3" s="40"/>
      <c r="DM3" s="40">
        <v>2</v>
      </c>
      <c r="DN3" s="40"/>
      <c r="DO3" s="156">
        <f>DK3*3+DM3</f>
        <v>2</v>
      </c>
      <c r="DP3" s="156">
        <f>DL3*3+DN3</f>
        <v>0</v>
      </c>
      <c r="DQ3" s="18">
        <f>DP3+DO3</f>
        <v>2</v>
      </c>
      <c r="DR3" s="108">
        <v>1</v>
      </c>
      <c r="DS3" s="40"/>
      <c r="DT3" s="40">
        <v>1</v>
      </c>
      <c r="DU3" s="40"/>
      <c r="DV3" s="156">
        <f>DR3*3+DT3</f>
        <v>4</v>
      </c>
      <c r="DW3" s="156">
        <f>DS3*3+DU3</f>
        <v>0</v>
      </c>
      <c r="DX3" s="18">
        <f>DW3+DV3</f>
        <v>4</v>
      </c>
      <c r="DY3" s="108"/>
      <c r="DZ3" s="40"/>
      <c r="EA3" s="40">
        <v>5</v>
      </c>
      <c r="EB3" s="40"/>
      <c r="EC3" s="156">
        <f>DY3*3+EA3</f>
        <v>5</v>
      </c>
      <c r="ED3" s="156">
        <f>DZ3*3+EB3</f>
        <v>0</v>
      </c>
      <c r="EE3" s="18">
        <f>ED3+EC3</f>
        <v>5</v>
      </c>
      <c r="EF3" s="108"/>
      <c r="EG3" s="40"/>
      <c r="EH3" s="40"/>
      <c r="EI3" s="40"/>
      <c r="EJ3" s="156">
        <f>EF3*3+EH3</f>
        <v>0</v>
      </c>
      <c r="EK3" s="156">
        <f>EG3*3+EI3</f>
        <v>0</v>
      </c>
      <c r="EL3" s="18">
        <f>EK3+EJ3</f>
        <v>0</v>
      </c>
      <c r="EM3" s="74">
        <f>SUM(AP3,AI3,AB3,U3,N3,AW3,BD3,BK3,BR3,BY3,CF3,CM3,CT3,DA3,DH3,DO3,DV3,EC3,EJ3)</f>
        <v>15</v>
      </c>
      <c r="EN3" s="75">
        <f ca="1">EM3/(10+TODAY()-G3)</f>
        <v>9.6774193548387094E-2</v>
      </c>
      <c r="EO3" s="76">
        <f>SUM(AQ3,AJ3,AC3,V3,O3,AX3,BE3,BL3,BS3,BZ3,CG3,CN3,CU3,DB3,DI3,DP3,DW3,ED3,EK3)</f>
        <v>0</v>
      </c>
      <c r="EP3" s="75">
        <f ca="1">EO3/(10+TODAY()-G3)</f>
        <v>0</v>
      </c>
      <c r="EQ3" s="76">
        <f>EM3+EO3</f>
        <v>15</v>
      </c>
      <c r="ER3" s="75">
        <f ca="1">EP3+EN3</f>
        <v>9.6774193548387094E-2</v>
      </c>
      <c r="ES3" s="76">
        <f>SUM(AS3,AL3,AE3,X3,Q3,Q3,J3,AZ3,BG3,BN3,BU3,CB3,CI3,CP3,CW3,DD3,DK3,DR3,DY3,EF3)</f>
        <v>2</v>
      </c>
      <c r="ET3" s="76">
        <f>SUM(AT3,AM3,AF3,Y3,R3,R3,K3,BA3,BH3,BO3,BV3,CC3,CJ3,CQ3,CX3,DE3,DL3,DS3,DZ3,EG3)</f>
        <v>0</v>
      </c>
      <c r="EU3" s="76">
        <f>ET3+ES3</f>
        <v>2</v>
      </c>
    </row>
    <row r="4" spans="1:151" ht="15.75" thickBot="1" x14ac:dyDescent="0.3">
      <c r="A4" s="32">
        <v>11</v>
      </c>
      <c r="B4" s="247" t="s">
        <v>317</v>
      </c>
      <c r="C4" s="26" t="str">
        <f>B4&amp;" "&amp;A4</f>
        <v>יהונתן 11</v>
      </c>
      <c r="D4" s="23" t="s">
        <v>6</v>
      </c>
      <c r="E4" s="23" t="s">
        <v>6</v>
      </c>
      <c r="F4" s="31" t="s">
        <v>314</v>
      </c>
      <c r="G4" s="30">
        <v>43457</v>
      </c>
      <c r="H4" s="31"/>
      <c r="I4" s="13"/>
      <c r="J4" s="48"/>
      <c r="K4" s="49"/>
      <c r="L4" s="49"/>
      <c r="M4" s="49"/>
      <c r="N4" s="50"/>
      <c r="O4" s="50"/>
      <c r="P4" s="15"/>
      <c r="Q4" s="10"/>
      <c r="R4" s="12"/>
      <c r="S4" s="12"/>
      <c r="T4" s="12"/>
      <c r="U4" s="14"/>
      <c r="V4" s="14"/>
      <c r="W4" s="16"/>
      <c r="X4" s="10"/>
      <c r="Y4" s="12"/>
      <c r="Z4" s="12"/>
      <c r="AA4" s="12"/>
      <c r="AB4" s="17"/>
      <c r="AC4" s="17"/>
      <c r="AD4" s="18"/>
      <c r="AE4" s="10"/>
      <c r="AF4" s="12"/>
      <c r="AG4" s="12"/>
      <c r="AH4" s="12"/>
      <c r="AI4" s="14"/>
      <c r="AJ4" s="14"/>
      <c r="AK4" s="16"/>
      <c r="AL4" s="10"/>
      <c r="AM4" s="12"/>
      <c r="AN4" s="12"/>
      <c r="AO4" s="12"/>
      <c r="AP4" s="14"/>
      <c r="AQ4" s="14"/>
      <c r="AR4" s="16"/>
      <c r="AS4" s="10"/>
      <c r="AT4" s="12"/>
      <c r="AU4" s="12"/>
      <c r="AV4" s="12"/>
      <c r="AW4" s="14"/>
      <c r="AX4" s="14"/>
      <c r="AY4" s="16"/>
      <c r="AZ4" s="10"/>
      <c r="BA4" s="12"/>
      <c r="BB4" s="12"/>
      <c r="BC4" s="12"/>
      <c r="BD4" s="14"/>
      <c r="BE4" s="14"/>
      <c r="BF4" s="16"/>
      <c r="BG4" s="32"/>
      <c r="BH4" s="40"/>
      <c r="BI4" s="12"/>
      <c r="BJ4" s="12"/>
      <c r="BK4" s="14"/>
      <c r="BL4" s="14"/>
      <c r="BM4" s="39"/>
      <c r="BN4" s="32"/>
      <c r="BO4" s="40"/>
      <c r="BP4" s="40"/>
      <c r="BQ4" s="40"/>
      <c r="BR4" s="14"/>
      <c r="BS4" s="14"/>
      <c r="BT4" s="39"/>
      <c r="BU4" s="32"/>
      <c r="BV4" s="40"/>
      <c r="BW4" s="40"/>
      <c r="BX4" s="40"/>
      <c r="BY4" s="14"/>
      <c r="BZ4" s="14"/>
      <c r="CA4" s="39"/>
      <c r="CB4" s="32"/>
      <c r="CC4" s="40"/>
      <c r="CD4" s="40"/>
      <c r="CE4" s="79"/>
      <c r="CF4" s="14"/>
      <c r="CG4" s="14"/>
      <c r="CH4" s="39"/>
      <c r="CI4" s="40"/>
      <c r="CJ4" s="40"/>
      <c r="CK4" s="40"/>
      <c r="CL4" s="83"/>
      <c r="CM4" s="14"/>
      <c r="CN4" s="14"/>
      <c r="CO4" s="39"/>
      <c r="CP4" s="108"/>
      <c r="CQ4" s="40"/>
      <c r="CR4" s="40"/>
      <c r="CS4" s="40"/>
      <c r="CT4" s="14"/>
      <c r="CU4" s="14"/>
      <c r="CV4" s="39"/>
      <c r="CW4" s="32"/>
      <c r="CX4" s="40"/>
      <c r="CY4" s="40"/>
      <c r="CZ4" s="40"/>
      <c r="DA4" s="17"/>
      <c r="DB4" s="17"/>
      <c r="DC4" s="18"/>
      <c r="DD4" s="108"/>
      <c r="DE4" s="40"/>
      <c r="DF4" s="40"/>
      <c r="DG4" s="40"/>
      <c r="DH4" s="156"/>
      <c r="DI4" s="156"/>
      <c r="DJ4" s="18"/>
      <c r="DK4" s="108"/>
      <c r="DL4" s="40"/>
      <c r="DM4" s="40"/>
      <c r="DN4" s="40"/>
      <c r="DO4" s="156"/>
      <c r="DP4" s="156"/>
      <c r="DQ4" s="18"/>
      <c r="DR4" s="108"/>
      <c r="DS4" s="40"/>
      <c r="DT4" s="40"/>
      <c r="DU4" s="40"/>
      <c r="DV4" s="156">
        <f>DR4*3+DT4</f>
        <v>0</v>
      </c>
      <c r="DW4" s="156">
        <f>DS4*3+DU4</f>
        <v>0</v>
      </c>
      <c r="DX4" s="18">
        <f>DW4+DV4</f>
        <v>0</v>
      </c>
      <c r="DY4" s="108"/>
      <c r="DZ4" s="40"/>
      <c r="EA4" s="40"/>
      <c r="EB4" s="40"/>
      <c r="EC4" s="156">
        <f>DY4*3+EA4</f>
        <v>0</v>
      </c>
      <c r="ED4" s="156">
        <f>DZ4*3+EB4</f>
        <v>0</v>
      </c>
      <c r="EE4" s="18">
        <f>ED4+EC4</f>
        <v>0</v>
      </c>
      <c r="EF4" s="108"/>
      <c r="EG4" s="40"/>
      <c r="EH4" s="40"/>
      <c r="EI4" s="40"/>
      <c r="EJ4" s="156">
        <f>EF4*3+EH4</f>
        <v>0</v>
      </c>
      <c r="EK4" s="156">
        <f>EG4*3+EI4</f>
        <v>0</v>
      </c>
      <c r="EL4" s="18">
        <f>EK4+EJ4</f>
        <v>0</v>
      </c>
      <c r="EM4" s="74">
        <f>SUM(AP4,AI4,AB4,U4,N4,AW4,BD4,BK4,BR4,BY4,CF4,CM4,CT4,DA4,DH4,DO4,DV4,EC4,EJ4)</f>
        <v>0</v>
      </c>
      <c r="EN4" s="75">
        <f ca="1">EM4/(10+TODAY()-G4)</f>
        <v>0</v>
      </c>
      <c r="EO4" s="76">
        <f>SUM(AQ4,AJ4,AC4,V4,O4,AX4,BE4,BL4,BS4,BZ4,CG4,CN4,CU4,DB4,DI4,DP4,DW4,ED4,EK4)</f>
        <v>0</v>
      </c>
      <c r="EP4" s="75">
        <f ca="1">EO4/(10+TODAY()-G4)</f>
        <v>0</v>
      </c>
      <c r="EQ4" s="76">
        <f>EM4+EO4</f>
        <v>0</v>
      </c>
      <c r="ER4" s="75">
        <f ca="1">EP4+EN4</f>
        <v>0</v>
      </c>
      <c r="ES4" s="76">
        <f>SUM(AS4,AL4,AE4,X4,Q4,Q4,J4,AZ4,BG4,BN4,BU4,CB4,CI4,CP4,CW4,DD4,DK4,DR4,DY4,EF4)</f>
        <v>0</v>
      </c>
      <c r="ET4" s="76">
        <f>SUM(AT4,AM4,AF4,Y4,R4,R4,K4,BA4,BH4,BO4,BV4,CC4,CJ4,CQ4,CX4,DE4,DL4,DS4,DZ4,EG4)</f>
        <v>0</v>
      </c>
      <c r="EU4" s="76">
        <f>ET4+ES4</f>
        <v>0</v>
      </c>
    </row>
    <row r="5" spans="1:151" ht="15.75" thickBot="1" x14ac:dyDescent="0.3">
      <c r="A5" s="286">
        <v>11</v>
      </c>
      <c r="B5" s="218" t="s">
        <v>258</v>
      </c>
      <c r="C5" s="77" t="str">
        <f>B5&amp;" "&amp;A5</f>
        <v>נעם 11</v>
      </c>
      <c r="D5" s="23" t="s">
        <v>6</v>
      </c>
      <c r="E5" s="23" t="s">
        <v>6</v>
      </c>
      <c r="F5" s="31" t="s">
        <v>259</v>
      </c>
      <c r="G5" s="30">
        <v>43344</v>
      </c>
      <c r="H5" s="31"/>
      <c r="I5" s="35"/>
      <c r="J5" s="48"/>
      <c r="K5" s="49"/>
      <c r="L5" s="49"/>
      <c r="M5" s="49"/>
      <c r="N5" s="50"/>
      <c r="O5" s="50"/>
      <c r="P5" s="15"/>
      <c r="Q5" s="10"/>
      <c r="R5" s="12"/>
      <c r="S5" s="12"/>
      <c r="T5" s="12"/>
      <c r="U5" s="14"/>
      <c r="V5" s="14"/>
      <c r="W5" s="16"/>
      <c r="X5" s="10"/>
      <c r="Y5" s="12"/>
      <c r="Z5" s="12"/>
      <c r="AA5" s="12"/>
      <c r="AB5" s="17"/>
      <c r="AC5" s="17"/>
      <c r="AD5" s="18"/>
      <c r="AE5" s="10"/>
      <c r="AF5" s="12"/>
      <c r="AG5" s="12"/>
      <c r="AH5" s="12"/>
      <c r="AI5" s="14"/>
      <c r="AJ5" s="14"/>
      <c r="AK5" s="16"/>
      <c r="AL5" s="10"/>
      <c r="AM5" s="12"/>
      <c r="AN5" s="12"/>
      <c r="AO5" s="12"/>
      <c r="AP5" s="14"/>
      <c r="AQ5" s="14"/>
      <c r="AR5" s="16"/>
      <c r="AS5" s="10"/>
      <c r="AT5" s="12"/>
      <c r="AU5" s="12"/>
      <c r="AV5" s="12"/>
      <c r="AW5" s="14"/>
      <c r="AX5" s="14"/>
      <c r="AY5" s="16"/>
      <c r="AZ5" s="10"/>
      <c r="BA5" s="12"/>
      <c r="BB5" s="12"/>
      <c r="BC5" s="12"/>
      <c r="BD5" s="14"/>
      <c r="BE5" s="14"/>
      <c r="BF5" s="16"/>
      <c r="BG5" s="32"/>
      <c r="BH5" s="40"/>
      <c r="BI5" s="40"/>
      <c r="BJ5" s="12"/>
      <c r="BK5" s="14"/>
      <c r="BL5" s="14"/>
      <c r="BM5" s="39"/>
      <c r="BN5" s="32"/>
      <c r="BO5" s="40"/>
      <c r="BP5" s="40"/>
      <c r="BQ5" s="40"/>
      <c r="BR5" s="14"/>
      <c r="BS5" s="14"/>
      <c r="BT5" s="39"/>
      <c r="BU5" s="32"/>
      <c r="BV5" s="40"/>
      <c r="BW5" s="40"/>
      <c r="BX5" s="40"/>
      <c r="BY5" s="14"/>
      <c r="BZ5" s="14"/>
      <c r="CA5" s="39"/>
      <c r="CB5" s="32"/>
      <c r="CC5" s="40"/>
      <c r="CD5" s="40"/>
      <c r="CE5" s="79"/>
      <c r="CF5" s="14"/>
      <c r="CG5" s="14"/>
      <c r="CH5" s="39"/>
      <c r="CI5" s="40"/>
      <c r="CJ5" s="40"/>
      <c r="CK5" s="40"/>
      <c r="CL5" s="83"/>
      <c r="CM5" s="14"/>
      <c r="CN5" s="14"/>
      <c r="CO5" s="39"/>
      <c r="CP5" s="108"/>
      <c r="CQ5" s="40"/>
      <c r="CR5" s="40"/>
      <c r="CS5" s="40"/>
      <c r="CT5" s="14"/>
      <c r="CU5" s="14"/>
      <c r="CV5" s="39"/>
      <c r="CW5" s="32"/>
      <c r="CX5" s="40"/>
      <c r="CY5" s="40"/>
      <c r="CZ5" s="40"/>
      <c r="DA5" s="17"/>
      <c r="DB5" s="17"/>
      <c r="DC5" s="18"/>
      <c r="DD5" s="108"/>
      <c r="DE5" s="40"/>
      <c r="DF5" s="40"/>
      <c r="DG5" s="40"/>
      <c r="DH5" s="156">
        <f>DD5*3+DF5</f>
        <v>0</v>
      </c>
      <c r="DI5" s="156">
        <f>DE5*3+DG5</f>
        <v>0</v>
      </c>
      <c r="DJ5" s="18">
        <f>DI5+DH5</f>
        <v>0</v>
      </c>
      <c r="DK5" s="108"/>
      <c r="DL5" s="40"/>
      <c r="DM5" s="40">
        <v>1</v>
      </c>
      <c r="DN5" s="40"/>
      <c r="DO5" s="156">
        <f>DK5*3+DM5</f>
        <v>1</v>
      </c>
      <c r="DP5" s="156">
        <f>DL5*3+DN5</f>
        <v>0</v>
      </c>
      <c r="DQ5" s="18">
        <f>DP5+DO5</f>
        <v>1</v>
      </c>
      <c r="DR5" s="108"/>
      <c r="DS5" s="40"/>
      <c r="DT5" s="40"/>
      <c r="DU5" s="40"/>
      <c r="DV5" s="156">
        <f>DR5*3+DT5</f>
        <v>0</v>
      </c>
      <c r="DW5" s="156">
        <f>DS5*3+DU5</f>
        <v>0</v>
      </c>
      <c r="DX5" s="18">
        <f>DW5+DV5</f>
        <v>0</v>
      </c>
      <c r="DY5" s="108"/>
      <c r="DZ5" s="40"/>
      <c r="EA5" s="40"/>
      <c r="EB5" s="40"/>
      <c r="EC5" s="156">
        <f>DY5*3+EA5</f>
        <v>0</v>
      </c>
      <c r="ED5" s="156">
        <f>DZ5*3+EB5</f>
        <v>0</v>
      </c>
      <c r="EE5" s="18">
        <f>ED5+EC5</f>
        <v>0</v>
      </c>
      <c r="EF5" s="108"/>
      <c r="EG5" s="40"/>
      <c r="EH5" s="40"/>
      <c r="EI5" s="40"/>
      <c r="EJ5" s="156">
        <f>EF5*3+EH5</f>
        <v>0</v>
      </c>
      <c r="EK5" s="156">
        <f>EG5*3+EI5</f>
        <v>0</v>
      </c>
      <c r="EL5" s="18">
        <f>EK5+EJ5</f>
        <v>0</v>
      </c>
      <c r="EM5" s="74">
        <f>SUM(AP5,AI5,AB5,U5,N5,AW5,BD5,BK5,BR5,BY5,CF5,CM5,CT5,DA5,DH5,DO5,DV5,EC5,EJ5)</f>
        <v>1</v>
      </c>
      <c r="EN5" s="75">
        <f ca="1">EM5/(10+TODAY()-G5)</f>
        <v>8.0645161290322578E-3</v>
      </c>
      <c r="EO5" s="76">
        <f>SUM(AQ5,AJ5,AC5,V5,O5,AX5,BE5,BL5,BS5,BZ5,CG5,CN5,CU5,DB5,DI5,DP5,DW5,ED5,EK5)</f>
        <v>0</v>
      </c>
      <c r="EP5" s="75">
        <f ca="1">EO5/(10+TODAY()-G5)</f>
        <v>0</v>
      </c>
      <c r="EQ5" s="76">
        <f>EM5+EO5</f>
        <v>1</v>
      </c>
      <c r="ER5" s="75">
        <f ca="1">EP5+EN5</f>
        <v>8.0645161290322578E-3</v>
      </c>
      <c r="ES5" s="76">
        <f>SUM(AS5,AL5,AE5,X5,Q5,Q5,J5,AZ5,BG5,BN5,BU5,CB5,CI5,CP5,CW5,DD5,DK5,DR5,DY5,EF5)</f>
        <v>0</v>
      </c>
      <c r="ET5" s="76">
        <f>SUM(AT5,AM5,AF5,Y5,R5,R5,K5,BA5,BH5,BO5,BV5,CC5,CJ5,CQ5,CX5,DE5,DL5,DS5,DZ5,EG5)</f>
        <v>0</v>
      </c>
      <c r="EU5" s="76">
        <f>ET5+ES5</f>
        <v>0</v>
      </c>
    </row>
    <row r="6" spans="1:151" ht="15.75" thickBot="1" x14ac:dyDescent="0.3">
      <c r="A6" s="216" t="s">
        <v>63</v>
      </c>
      <c r="B6" s="218" t="s">
        <v>11</v>
      </c>
      <c r="C6" s="77" t="str">
        <f>B6&amp;" "&amp;A6</f>
        <v>שיר אחודה</v>
      </c>
      <c r="D6" s="23" t="s">
        <v>6</v>
      </c>
      <c r="E6" s="23" t="s">
        <v>7</v>
      </c>
      <c r="F6" s="31" t="s">
        <v>193</v>
      </c>
      <c r="G6" s="30">
        <v>43252</v>
      </c>
      <c r="H6" s="42"/>
      <c r="I6" s="13"/>
      <c r="J6" s="48"/>
      <c r="K6" s="49"/>
      <c r="L6" s="49"/>
      <c r="M6" s="49"/>
      <c r="N6" s="50">
        <f>J6*3+L6</f>
        <v>0</v>
      </c>
      <c r="O6" s="50">
        <f>K6*3+M6</f>
        <v>0</v>
      </c>
      <c r="P6" s="15">
        <f>O6+N6</f>
        <v>0</v>
      </c>
      <c r="Q6" s="10"/>
      <c r="R6" s="12"/>
      <c r="S6" s="12"/>
      <c r="T6" s="12"/>
      <c r="U6" s="14">
        <f>Q6*3+S6</f>
        <v>0</v>
      </c>
      <c r="V6" s="14">
        <f>R6*3+T6</f>
        <v>0</v>
      </c>
      <c r="W6" s="16">
        <f>V6+U6</f>
        <v>0</v>
      </c>
      <c r="X6" s="10"/>
      <c r="Y6" s="12"/>
      <c r="Z6" s="12"/>
      <c r="AA6" s="12"/>
      <c r="AB6" s="17">
        <f>X6*3+Z6</f>
        <v>0</v>
      </c>
      <c r="AC6" s="17">
        <f>Y6*3+AA6</f>
        <v>0</v>
      </c>
      <c r="AD6" s="18">
        <f>AC6+AB6</f>
        <v>0</v>
      </c>
      <c r="AE6" s="10"/>
      <c r="AF6" s="12"/>
      <c r="AG6" s="12"/>
      <c r="AH6" s="12"/>
      <c r="AI6" s="14">
        <f>AE6*3+AG6</f>
        <v>0</v>
      </c>
      <c r="AJ6" s="14">
        <f>AF6*3+AH6</f>
        <v>0</v>
      </c>
      <c r="AK6" s="16">
        <f>AJ6+AI6</f>
        <v>0</v>
      </c>
      <c r="AL6" s="10"/>
      <c r="AM6" s="12"/>
      <c r="AN6" s="12"/>
      <c r="AO6" s="12"/>
      <c r="AP6" s="14">
        <f>AL6*3+AN6</f>
        <v>0</v>
      </c>
      <c r="AQ6" s="14">
        <f>AM6*3+AO6</f>
        <v>0</v>
      </c>
      <c r="AR6" s="16">
        <f>AQ6+AP6</f>
        <v>0</v>
      </c>
      <c r="AS6" s="10"/>
      <c r="AT6" s="12"/>
      <c r="AU6" s="12"/>
      <c r="AV6" s="12"/>
      <c r="AW6" s="14">
        <f>AS6*3+AU6</f>
        <v>0</v>
      </c>
      <c r="AX6" s="14">
        <f>AT6*3+AV6</f>
        <v>0</v>
      </c>
      <c r="AY6" s="16">
        <f>AX6+AW6</f>
        <v>0</v>
      </c>
      <c r="AZ6" s="10"/>
      <c r="BA6" s="12"/>
      <c r="BB6" s="12"/>
      <c r="BC6" s="12"/>
      <c r="BD6" s="14">
        <f>AZ6*3+BB6</f>
        <v>0</v>
      </c>
      <c r="BE6" s="14">
        <f>BA6*3+BC6</f>
        <v>0</v>
      </c>
      <c r="BF6" s="16">
        <f>BE6+BD6</f>
        <v>0</v>
      </c>
      <c r="BG6" s="32"/>
      <c r="BH6" s="40"/>
      <c r="BI6" s="12"/>
      <c r="BJ6" s="12"/>
      <c r="BK6" s="14">
        <f>BG6*3+BI6</f>
        <v>0</v>
      </c>
      <c r="BL6" s="14">
        <f>BH6*3+BJ6</f>
        <v>0</v>
      </c>
      <c r="BM6" s="39">
        <f>BL6+BK6</f>
        <v>0</v>
      </c>
      <c r="BN6" s="32"/>
      <c r="BO6" s="40"/>
      <c r="BP6" s="40"/>
      <c r="BQ6" s="40"/>
      <c r="BR6" s="14">
        <f>BN6*3+BP6</f>
        <v>0</v>
      </c>
      <c r="BS6" s="14">
        <f>BO6*3+BQ6</f>
        <v>0</v>
      </c>
      <c r="BT6" s="39">
        <f>BS6+BR6</f>
        <v>0</v>
      </c>
      <c r="BU6" s="32"/>
      <c r="BV6" s="40"/>
      <c r="BW6" s="40"/>
      <c r="BX6" s="40"/>
      <c r="BY6" s="14">
        <f>BU6*3+BW6</f>
        <v>0</v>
      </c>
      <c r="BZ6" s="14">
        <f>BV6*3+BX6</f>
        <v>0</v>
      </c>
      <c r="CA6" s="39">
        <f>BZ6+BY6</f>
        <v>0</v>
      </c>
      <c r="CB6" s="32"/>
      <c r="CC6" s="40"/>
      <c r="CD6" s="40"/>
      <c r="CE6" s="79"/>
      <c r="CF6" s="14">
        <f>CB6*3+CD6</f>
        <v>0</v>
      </c>
      <c r="CG6" s="14">
        <f>CC6*3+CE6</f>
        <v>0</v>
      </c>
      <c r="CH6" s="39">
        <f>CG6+CF6</f>
        <v>0</v>
      </c>
      <c r="CI6" s="40"/>
      <c r="CJ6" s="40"/>
      <c r="CK6" s="40"/>
      <c r="CL6" s="83"/>
      <c r="CM6" s="14">
        <f>CI6*3+CK6</f>
        <v>0</v>
      </c>
      <c r="CN6" s="14">
        <f>CJ6*3+CL6</f>
        <v>0</v>
      </c>
      <c r="CO6" s="39">
        <f>CN6+CM6</f>
        <v>0</v>
      </c>
      <c r="CP6" s="108">
        <v>1</v>
      </c>
      <c r="CQ6" s="40"/>
      <c r="CR6" s="40">
        <v>1</v>
      </c>
      <c r="CS6" s="40"/>
      <c r="CT6" s="14">
        <f>CP6*3+CR6</f>
        <v>4</v>
      </c>
      <c r="CU6" s="14">
        <f>CQ6*3+CS6</f>
        <v>0</v>
      </c>
      <c r="CV6" s="39">
        <f>CU6+CT6</f>
        <v>4</v>
      </c>
      <c r="CW6" s="32"/>
      <c r="CX6" s="40"/>
      <c r="CY6" s="40">
        <v>3</v>
      </c>
      <c r="CZ6" s="40"/>
      <c r="DA6" s="17">
        <f>CW6*3+CY6</f>
        <v>3</v>
      </c>
      <c r="DB6" s="17">
        <f>CX6*3+CZ6</f>
        <v>0</v>
      </c>
      <c r="DC6" s="18">
        <f>DB6+DA6</f>
        <v>3</v>
      </c>
      <c r="DD6" s="108"/>
      <c r="DE6" s="40"/>
      <c r="DF6" s="40">
        <v>3</v>
      </c>
      <c r="DG6" s="40"/>
      <c r="DH6" s="156">
        <f>DD6*3+DF6</f>
        <v>3</v>
      </c>
      <c r="DI6" s="156">
        <f>DE6*3+DG6</f>
        <v>0</v>
      </c>
      <c r="DJ6" s="18">
        <f>DI6+DH6</f>
        <v>3</v>
      </c>
      <c r="DK6" s="108">
        <v>1</v>
      </c>
      <c r="DL6" s="40"/>
      <c r="DM6" s="40"/>
      <c r="DN6" s="40"/>
      <c r="DO6" s="156">
        <f>DK6*3+DM6</f>
        <v>3</v>
      </c>
      <c r="DP6" s="156">
        <f>DL6*3+DN6</f>
        <v>0</v>
      </c>
      <c r="DQ6" s="18">
        <f>DP6+DO6</f>
        <v>3</v>
      </c>
      <c r="DR6" s="108"/>
      <c r="DS6" s="40"/>
      <c r="DT6" s="40">
        <v>3</v>
      </c>
      <c r="DU6" s="40"/>
      <c r="DV6" s="156">
        <f>DR6*3+DT6</f>
        <v>3</v>
      </c>
      <c r="DW6" s="156">
        <f>DS6*3+DU6</f>
        <v>0</v>
      </c>
      <c r="DX6" s="18">
        <f>DW6+DV6</f>
        <v>3</v>
      </c>
      <c r="DY6" s="108"/>
      <c r="DZ6" s="40"/>
      <c r="EA6" s="40"/>
      <c r="EB6" s="40"/>
      <c r="EC6" s="156">
        <f>DY6*3+EA6</f>
        <v>0</v>
      </c>
      <c r="ED6" s="156">
        <f>DZ6*3+EB6</f>
        <v>0</v>
      </c>
      <c r="EE6" s="18">
        <f>ED6+EC6</f>
        <v>0</v>
      </c>
      <c r="EF6" s="108"/>
      <c r="EG6" s="40"/>
      <c r="EH6" s="40"/>
      <c r="EI6" s="40"/>
      <c r="EJ6" s="156">
        <f>EF6*3+EH6</f>
        <v>0</v>
      </c>
      <c r="EK6" s="156">
        <f>EG6*3+EI6</f>
        <v>0</v>
      </c>
      <c r="EL6" s="18">
        <f>EK6+EJ6</f>
        <v>0</v>
      </c>
      <c r="EM6" s="74">
        <f>SUM(AP6,AI6,AB6,U6,N6,AW6,BD6,BK6,BR6,BY6,CF6,CM6,CT6,DA6,DH6,DO6,DV6,EC6,EJ6)</f>
        <v>16</v>
      </c>
      <c r="EN6" s="75">
        <f ca="1">EM6/(10+TODAY()-G6)</f>
        <v>7.407407407407407E-2</v>
      </c>
      <c r="EO6" s="76">
        <f>SUM(AQ6,AJ6,AC6,V6,O6,AX6,BE6,BL6,BS6,BZ6,CG6,CN6,CU6,DB6,DI6,DP6,DW6,ED6,EK6)</f>
        <v>0</v>
      </c>
      <c r="EP6" s="75">
        <f ca="1">EO6/(10+TODAY()-G6)</f>
        <v>0</v>
      </c>
      <c r="EQ6" s="76">
        <f>EM6+EO6</f>
        <v>16</v>
      </c>
      <c r="ER6" s="75">
        <f ca="1">EP6+EN6</f>
        <v>7.407407407407407E-2</v>
      </c>
      <c r="ES6" s="76">
        <f>SUM(AS6,AL6,AE6,X6,Q6,Q6,J6,AZ6,BG6,BN6,BU6,CB6,CI6,CP6,CW6,DD6,DK6,DR6,DY6,EF6)</f>
        <v>2</v>
      </c>
      <c r="ET6" s="76">
        <f>SUM(AT6,AM6,AF6,Y6,R6,R6,K6,BA6,BH6,BO6,BV6,CC6,CJ6,CQ6,CX6,DE6,DL6,DS6,DZ6,EG6)</f>
        <v>0</v>
      </c>
      <c r="EU6" s="76">
        <f>ET6+ES6</f>
        <v>2</v>
      </c>
    </row>
    <row r="7" spans="1:151" ht="15.75" thickBot="1" x14ac:dyDescent="0.3">
      <c r="A7" s="216" t="s">
        <v>12</v>
      </c>
      <c r="B7" s="218" t="s">
        <v>11</v>
      </c>
      <c r="C7" s="77" t="str">
        <f>B7&amp;" "&amp;A7</f>
        <v>שיר מפאוג</v>
      </c>
      <c r="D7" s="23" t="s">
        <v>6</v>
      </c>
      <c r="E7" s="23" t="s">
        <v>6</v>
      </c>
      <c r="F7" s="31" t="s">
        <v>302</v>
      </c>
      <c r="G7" s="30">
        <v>43405</v>
      </c>
      <c r="H7" s="42"/>
      <c r="I7" s="13"/>
      <c r="J7" s="48"/>
      <c r="K7" s="49"/>
      <c r="L7" s="49"/>
      <c r="M7" s="49"/>
      <c r="N7" s="50"/>
      <c r="O7" s="50"/>
      <c r="P7" s="15"/>
      <c r="Q7" s="10"/>
      <c r="R7" s="12"/>
      <c r="S7" s="12"/>
      <c r="T7" s="12"/>
      <c r="U7" s="14"/>
      <c r="V7" s="14"/>
      <c r="W7" s="16"/>
      <c r="X7" s="10"/>
      <c r="Y7" s="12"/>
      <c r="Z7" s="12"/>
      <c r="AA7" s="12"/>
      <c r="AB7" s="17"/>
      <c r="AC7" s="17"/>
      <c r="AD7" s="18"/>
      <c r="AE7" s="10"/>
      <c r="AF7" s="12"/>
      <c r="AG7" s="12"/>
      <c r="AH7" s="12"/>
      <c r="AI7" s="14"/>
      <c r="AJ7" s="14"/>
      <c r="AK7" s="16"/>
      <c r="AL7" s="10"/>
      <c r="AM7" s="12"/>
      <c r="AN7" s="12"/>
      <c r="AO7" s="12"/>
      <c r="AP7" s="14"/>
      <c r="AQ7" s="14"/>
      <c r="AR7" s="16"/>
      <c r="AS7" s="10"/>
      <c r="AT7" s="12"/>
      <c r="AU7" s="12"/>
      <c r="AV7" s="12"/>
      <c r="AW7" s="14"/>
      <c r="AX7" s="14"/>
      <c r="AY7" s="16"/>
      <c r="AZ7" s="10"/>
      <c r="BA7" s="12"/>
      <c r="BB7" s="12"/>
      <c r="BC7" s="12"/>
      <c r="BD7" s="14"/>
      <c r="BE7" s="14"/>
      <c r="BF7" s="16"/>
      <c r="BG7" s="32"/>
      <c r="BH7" s="40"/>
      <c r="BI7" s="12"/>
      <c r="BJ7" s="12"/>
      <c r="BK7" s="14"/>
      <c r="BL7" s="14"/>
      <c r="BM7" s="39"/>
      <c r="BN7" s="32"/>
      <c r="BO7" s="40"/>
      <c r="BP7" s="40"/>
      <c r="BQ7" s="40"/>
      <c r="BR7" s="14"/>
      <c r="BS7" s="14"/>
      <c r="BT7" s="39"/>
      <c r="BU7" s="32"/>
      <c r="BV7" s="40"/>
      <c r="BW7" s="40"/>
      <c r="BX7" s="40"/>
      <c r="BY7" s="14"/>
      <c r="BZ7" s="14"/>
      <c r="CA7" s="39"/>
      <c r="CB7" s="32"/>
      <c r="CC7" s="40"/>
      <c r="CD7" s="40"/>
      <c r="CE7" s="79"/>
      <c r="CF7" s="14"/>
      <c r="CG7" s="14"/>
      <c r="CH7" s="39"/>
      <c r="CI7" s="40"/>
      <c r="CJ7" s="40"/>
      <c r="CK7" s="40"/>
      <c r="CL7" s="83"/>
      <c r="CM7" s="14"/>
      <c r="CN7" s="14"/>
      <c r="CO7" s="39"/>
      <c r="CP7" s="108"/>
      <c r="CQ7" s="40"/>
      <c r="CR7" s="40"/>
      <c r="CS7" s="40"/>
      <c r="CT7" s="14"/>
      <c r="CU7" s="14"/>
      <c r="CV7" s="39"/>
      <c r="CW7" s="32"/>
      <c r="CX7" s="40"/>
      <c r="CY7" s="40"/>
      <c r="CZ7" s="40"/>
      <c r="DA7" s="17"/>
      <c r="DB7" s="17"/>
      <c r="DC7" s="18"/>
      <c r="DD7" s="108"/>
      <c r="DE7" s="40"/>
      <c r="DF7" s="40"/>
      <c r="DG7" s="40"/>
      <c r="DH7" s="156"/>
      <c r="DI7" s="156"/>
      <c r="DJ7" s="18"/>
      <c r="DK7" s="108"/>
      <c r="DL7" s="40"/>
      <c r="DM7" s="40"/>
      <c r="DN7" s="40"/>
      <c r="DO7" s="156">
        <f>DK7*3+DM7</f>
        <v>0</v>
      </c>
      <c r="DP7" s="156">
        <f>DL7*3+DN7</f>
        <v>0</v>
      </c>
      <c r="DQ7" s="18">
        <f>DP7+DO7</f>
        <v>0</v>
      </c>
      <c r="DR7" s="108"/>
      <c r="DS7" s="40"/>
      <c r="DT7" s="40"/>
      <c r="DU7" s="40"/>
      <c r="DV7" s="156">
        <f>DR7*3+DT7</f>
        <v>0</v>
      </c>
      <c r="DW7" s="156">
        <f>DS7*3+DU7</f>
        <v>0</v>
      </c>
      <c r="DX7" s="18">
        <f>DW7+DV7</f>
        <v>0</v>
      </c>
      <c r="DY7" s="108"/>
      <c r="DZ7" s="40"/>
      <c r="EA7" s="40"/>
      <c r="EB7" s="40"/>
      <c r="EC7" s="156">
        <f>DY7*3+EA7</f>
        <v>0</v>
      </c>
      <c r="ED7" s="156">
        <f>DZ7*3+EB7</f>
        <v>0</v>
      </c>
      <c r="EE7" s="18">
        <f>ED7+EC7</f>
        <v>0</v>
      </c>
      <c r="EF7" s="108"/>
      <c r="EG7" s="40"/>
      <c r="EH7" s="40"/>
      <c r="EI7" s="40"/>
      <c r="EJ7" s="156">
        <f>EF7*3+EH7</f>
        <v>0</v>
      </c>
      <c r="EK7" s="156">
        <f>EG7*3+EI7</f>
        <v>0</v>
      </c>
      <c r="EL7" s="18">
        <f>EK7+EJ7</f>
        <v>0</v>
      </c>
      <c r="EM7" s="74">
        <f>SUM(AP7,AI7,AB7,U7,N7,AW7,BD7,BK7,BR7,BY7,CF7,CM7,CT7,DA7,DH7,DO7,DV7,EC7,EJ7)</f>
        <v>0</v>
      </c>
      <c r="EN7" s="75">
        <f ca="1">EM7/(10+TODAY()-G7)</f>
        <v>0</v>
      </c>
      <c r="EO7" s="76">
        <f>SUM(AQ7,AJ7,AC7,V7,O7,AX7,BE7,BL7,BS7,BZ7,CG7,CN7,CU7,DB7,DI7,DP7,DW7,ED7,EK7)</f>
        <v>0</v>
      </c>
      <c r="EP7" s="75">
        <f ca="1">EO7/(10+TODAY()-G7)</f>
        <v>0</v>
      </c>
      <c r="EQ7" s="76">
        <f>EM7+EO7</f>
        <v>0</v>
      </c>
      <c r="ER7" s="75">
        <f ca="1">EP7+EN7</f>
        <v>0</v>
      </c>
      <c r="ES7" s="76">
        <f>SUM(AS7,AL7,AE7,X7,Q7,Q7,J7,AZ7,BG7,BN7,BU7,CB7,CI7,CP7,CW7,DD7,DK7,DR7,DY7,EF7)</f>
        <v>0</v>
      </c>
      <c r="ET7" s="76">
        <f>SUM(AT7,AM7,AF7,Y7,R7,R7,K7,BA7,BH7,BO7,BV7,CC7,CJ7,CQ7,CX7,DE7,DL7,DS7,DZ7,EG7)</f>
        <v>0</v>
      </c>
      <c r="EU7" s="76">
        <f>ET7+ES7</f>
        <v>0</v>
      </c>
    </row>
    <row r="8" spans="1:151" ht="15.75" thickBot="1" x14ac:dyDescent="0.3">
      <c r="A8" s="32">
        <v>679</v>
      </c>
      <c r="B8" s="33" t="s">
        <v>13</v>
      </c>
      <c r="C8" s="26" t="str">
        <f>B8&amp;" "&amp;A8</f>
        <v>אופיר 679</v>
      </c>
      <c r="D8" s="12" t="s">
        <v>6</v>
      </c>
      <c r="E8" s="23" t="s">
        <v>7</v>
      </c>
      <c r="F8" s="31" t="s">
        <v>144</v>
      </c>
      <c r="G8" s="30">
        <v>42979</v>
      </c>
      <c r="H8" s="19"/>
      <c r="I8" s="13"/>
      <c r="J8" s="48"/>
      <c r="K8" s="49"/>
      <c r="L8" s="49"/>
      <c r="M8" s="49"/>
      <c r="N8" s="50">
        <f>J8*3+L8</f>
        <v>0</v>
      </c>
      <c r="O8" s="50">
        <f>K8*3+M8</f>
        <v>0</v>
      </c>
      <c r="P8" s="15">
        <f>O8+N8</f>
        <v>0</v>
      </c>
      <c r="Q8" s="10"/>
      <c r="R8" s="12"/>
      <c r="S8" s="12"/>
      <c r="T8" s="12"/>
      <c r="U8" s="14">
        <f>Q8*3+S8</f>
        <v>0</v>
      </c>
      <c r="V8" s="14">
        <f>R8*3+T8</f>
        <v>0</v>
      </c>
      <c r="W8" s="16">
        <f>V8+U8</f>
        <v>0</v>
      </c>
      <c r="X8" s="10"/>
      <c r="Y8" s="12"/>
      <c r="Z8" s="12"/>
      <c r="AA8" s="12"/>
      <c r="AB8" s="17">
        <f>X8*3+Z8</f>
        <v>0</v>
      </c>
      <c r="AC8" s="17">
        <f>Y8*3+AA8</f>
        <v>0</v>
      </c>
      <c r="AD8" s="18">
        <f>AC8+AB8</f>
        <v>0</v>
      </c>
      <c r="AE8" s="10"/>
      <c r="AF8" s="12"/>
      <c r="AG8" s="12">
        <v>2</v>
      </c>
      <c r="AH8" s="12"/>
      <c r="AI8" s="14">
        <f>AE8*3+AG8</f>
        <v>2</v>
      </c>
      <c r="AJ8" s="14">
        <f>AF8*3+AH8</f>
        <v>0</v>
      </c>
      <c r="AK8" s="16">
        <f>AJ8+AI8</f>
        <v>2</v>
      </c>
      <c r="AL8" s="10"/>
      <c r="AM8" s="12"/>
      <c r="AN8" s="12">
        <v>5</v>
      </c>
      <c r="AO8" s="12"/>
      <c r="AP8" s="14">
        <f>AL8*3+AN8</f>
        <v>5</v>
      </c>
      <c r="AQ8" s="14">
        <f>AM8*3+AO8</f>
        <v>0</v>
      </c>
      <c r="AR8" s="16">
        <f>AQ8+AP8</f>
        <v>5</v>
      </c>
      <c r="AS8" s="10">
        <v>1</v>
      </c>
      <c r="AT8" s="12"/>
      <c r="AU8" s="12">
        <v>3</v>
      </c>
      <c r="AV8" s="12"/>
      <c r="AW8" s="14">
        <f>AS8*3+AU8</f>
        <v>6</v>
      </c>
      <c r="AX8" s="14">
        <f>AT8*3+AV8</f>
        <v>0</v>
      </c>
      <c r="AY8" s="16">
        <f>AX8+AW8</f>
        <v>6</v>
      </c>
      <c r="AZ8" s="10"/>
      <c r="BA8" s="12"/>
      <c r="BB8" s="12"/>
      <c r="BC8" s="12"/>
      <c r="BD8" s="14">
        <f>AZ8*3+BB8</f>
        <v>0</v>
      </c>
      <c r="BE8" s="14">
        <f>BA8*3+BC8</f>
        <v>0</v>
      </c>
      <c r="BF8" s="16">
        <f>BE8+BD8</f>
        <v>0</v>
      </c>
      <c r="BG8" s="32"/>
      <c r="BH8" s="40"/>
      <c r="BI8" s="12">
        <v>5</v>
      </c>
      <c r="BJ8" s="12">
        <v>2</v>
      </c>
      <c r="BK8" s="14">
        <f>BG8*3+BI8</f>
        <v>5</v>
      </c>
      <c r="BL8" s="14">
        <f>BH8*3+BJ8</f>
        <v>2</v>
      </c>
      <c r="BM8" s="39">
        <f>BL8+BK8</f>
        <v>7</v>
      </c>
      <c r="BN8" s="32">
        <v>1</v>
      </c>
      <c r="BO8" s="40"/>
      <c r="BP8" s="40">
        <v>-1</v>
      </c>
      <c r="BQ8" s="40"/>
      <c r="BR8" s="14">
        <f>BN8*3+BP8</f>
        <v>2</v>
      </c>
      <c r="BS8" s="14">
        <f>BO8*3+BQ8</f>
        <v>0</v>
      </c>
      <c r="BT8" s="39">
        <f>BS8+BR8</f>
        <v>2</v>
      </c>
      <c r="BU8" s="32"/>
      <c r="BV8" s="40"/>
      <c r="BW8" s="40">
        <v>2</v>
      </c>
      <c r="BX8" s="40"/>
      <c r="BY8" s="14">
        <f>BU8*3+BW8</f>
        <v>2</v>
      </c>
      <c r="BZ8" s="14">
        <f>BV8*3+BX8</f>
        <v>0</v>
      </c>
      <c r="CA8" s="39">
        <f>BZ8+BY8</f>
        <v>2</v>
      </c>
      <c r="CB8" s="32"/>
      <c r="CC8" s="40"/>
      <c r="CD8" s="249"/>
      <c r="CE8" s="248"/>
      <c r="CF8" s="14">
        <f>CB8*3+CD8</f>
        <v>0</v>
      </c>
      <c r="CG8" s="14">
        <f>CC8*3+CE8</f>
        <v>0</v>
      </c>
      <c r="CH8" s="39">
        <f>CG8+CF8</f>
        <v>0</v>
      </c>
      <c r="CI8" s="40"/>
      <c r="CJ8" s="40"/>
      <c r="CK8" s="40">
        <v>1</v>
      </c>
      <c r="CL8" s="83"/>
      <c r="CM8" s="14">
        <f>CI8*3+CK8</f>
        <v>1</v>
      </c>
      <c r="CN8" s="14">
        <f>CJ8*3+CL8</f>
        <v>0</v>
      </c>
      <c r="CO8" s="39">
        <f>CN8+CM8</f>
        <v>1</v>
      </c>
      <c r="CP8" s="108">
        <v>2</v>
      </c>
      <c r="CQ8" s="40"/>
      <c r="CR8" s="40">
        <v>1</v>
      </c>
      <c r="CS8" s="40"/>
      <c r="CT8" s="14">
        <f>CP8*3+CR8</f>
        <v>7</v>
      </c>
      <c r="CU8" s="14">
        <f>CQ8*3+CS8</f>
        <v>0</v>
      </c>
      <c r="CV8" s="39">
        <f>CU8+CT8</f>
        <v>7</v>
      </c>
      <c r="CW8" s="32"/>
      <c r="CX8" s="40"/>
      <c r="CY8" s="40">
        <v>4</v>
      </c>
      <c r="CZ8" s="40"/>
      <c r="DA8" s="17">
        <f>CW8*3+CY8</f>
        <v>4</v>
      </c>
      <c r="DB8" s="17">
        <f>CX8*3+CZ8</f>
        <v>0</v>
      </c>
      <c r="DC8" s="18">
        <f>DB8+DA8</f>
        <v>4</v>
      </c>
      <c r="DD8" s="108"/>
      <c r="DE8" s="40"/>
      <c r="DF8" s="40">
        <v>3</v>
      </c>
      <c r="DG8" s="40"/>
      <c r="DH8" s="156">
        <f>DD8*3+DF8</f>
        <v>3</v>
      </c>
      <c r="DI8" s="156">
        <f>DE8*3+DG8</f>
        <v>0</v>
      </c>
      <c r="DJ8" s="18">
        <f>DI8+DH8</f>
        <v>3</v>
      </c>
      <c r="DK8" s="108">
        <v>1</v>
      </c>
      <c r="DL8" s="40"/>
      <c r="DM8" s="40"/>
      <c r="DN8" s="40"/>
      <c r="DO8" s="156">
        <f>DK8*3+DM8</f>
        <v>3</v>
      </c>
      <c r="DP8" s="156">
        <f>DL8*3+DN8</f>
        <v>0</v>
      </c>
      <c r="DQ8" s="18">
        <f>DP8+DO8</f>
        <v>3</v>
      </c>
      <c r="DR8" s="108"/>
      <c r="DS8" s="40">
        <v>1</v>
      </c>
      <c r="DT8" s="40">
        <v>1</v>
      </c>
      <c r="DU8" s="40"/>
      <c r="DV8" s="156">
        <f>DR8*3+DT8</f>
        <v>1</v>
      </c>
      <c r="DW8" s="156">
        <f>DS8*3+DU8</f>
        <v>3</v>
      </c>
      <c r="DX8" s="18">
        <f>DW8+DV8</f>
        <v>4</v>
      </c>
      <c r="DY8" s="108">
        <v>1</v>
      </c>
      <c r="DZ8" s="40"/>
      <c r="EA8" s="40">
        <v>2</v>
      </c>
      <c r="EB8" s="40"/>
      <c r="EC8" s="156">
        <f>DY8*3+EA8</f>
        <v>5</v>
      </c>
      <c r="ED8" s="156">
        <f>DZ8*3+EB8</f>
        <v>0</v>
      </c>
      <c r="EE8" s="18">
        <f>ED8+EC8</f>
        <v>5</v>
      </c>
      <c r="EF8" s="108"/>
      <c r="EG8" s="40"/>
      <c r="EH8" s="40">
        <v>1</v>
      </c>
      <c r="EI8" s="40"/>
      <c r="EJ8" s="156">
        <f>EF8*3+EH8</f>
        <v>1</v>
      </c>
      <c r="EK8" s="156">
        <f>EG8*3+EI8</f>
        <v>0</v>
      </c>
      <c r="EL8" s="18">
        <f>EK8+EJ8</f>
        <v>1</v>
      </c>
      <c r="EM8" s="74">
        <f>SUM(AP8,AI8,AB8,U8,N8,AW8,BD8,BK8,BR8,BY8,CF8,CM8,CT8,DA8,DH8,DO8,DV8,EC8,EJ8)</f>
        <v>47</v>
      </c>
      <c r="EN8" s="75">
        <f ca="1">EM8/(10+TODAY()-G8)</f>
        <v>9.6114519427402859E-2</v>
      </c>
      <c r="EO8" s="76">
        <f>SUM(AQ8,AJ8,AC8,V8,O8,AX8,BE8,BL8,BS8,BZ8,CG8,CN8,CU8,DB8,DI8,DP8,DW8,ED8,EK8)</f>
        <v>5</v>
      </c>
      <c r="EP8" s="75">
        <f ca="1">EO8/(10+TODAY()-G8)</f>
        <v>1.0224948875255624E-2</v>
      </c>
      <c r="EQ8" s="76">
        <f>EM8+EO8</f>
        <v>52</v>
      </c>
      <c r="ER8" s="75">
        <f ca="1">EP8+EN8</f>
        <v>0.10633946830265849</v>
      </c>
      <c r="ES8" s="76">
        <f>SUM(AS8,AL8,AE8,X8,Q8,Q8,J8,AZ8,BG8,BN8,BU8,CB8,CI8,CP8,CW8,DD8,DK8,DR8,DY8,EF8)</f>
        <v>6</v>
      </c>
      <c r="ET8" s="76">
        <f>SUM(AT8,AM8,AF8,Y8,R8,R8,K8,BA8,BH8,BO8,BV8,CC8,CJ8,CQ8,CX8,DE8,DL8,DS8,DZ8,EG8)</f>
        <v>1</v>
      </c>
      <c r="EU8" s="76">
        <f>ET8+ES8</f>
        <v>7</v>
      </c>
    </row>
    <row r="9" spans="1:151" ht="15.75" thickBot="1" x14ac:dyDescent="0.3">
      <c r="A9" s="32">
        <v>679</v>
      </c>
      <c r="B9" s="247" t="s">
        <v>315</v>
      </c>
      <c r="C9" s="26" t="str">
        <f>B9&amp;" "&amp;A9</f>
        <v>שי-לי 679</v>
      </c>
      <c r="D9" s="23" t="s">
        <v>6</v>
      </c>
      <c r="E9" s="23" t="s">
        <v>6</v>
      </c>
      <c r="F9" s="31" t="s">
        <v>314</v>
      </c>
      <c r="G9" s="30">
        <v>43457</v>
      </c>
      <c r="H9" s="31"/>
      <c r="I9" s="13"/>
      <c r="J9" s="48"/>
      <c r="K9" s="49"/>
      <c r="L9" s="49"/>
      <c r="M9" s="49"/>
      <c r="N9" s="50"/>
      <c r="O9" s="50"/>
      <c r="P9" s="15"/>
      <c r="Q9" s="10"/>
      <c r="R9" s="12"/>
      <c r="S9" s="12"/>
      <c r="T9" s="12"/>
      <c r="U9" s="14"/>
      <c r="V9" s="14"/>
      <c r="W9" s="16"/>
      <c r="X9" s="10"/>
      <c r="Y9" s="12"/>
      <c r="Z9" s="12"/>
      <c r="AA9" s="12"/>
      <c r="AB9" s="17"/>
      <c r="AC9" s="17"/>
      <c r="AD9" s="18"/>
      <c r="AE9" s="10"/>
      <c r="AF9" s="12"/>
      <c r="AG9" s="12"/>
      <c r="AH9" s="12"/>
      <c r="AI9" s="14"/>
      <c r="AJ9" s="14"/>
      <c r="AK9" s="16"/>
      <c r="AL9" s="10"/>
      <c r="AM9" s="12"/>
      <c r="AN9" s="12"/>
      <c r="AO9" s="12"/>
      <c r="AP9" s="14"/>
      <c r="AQ9" s="14"/>
      <c r="AR9" s="16"/>
      <c r="AS9" s="10"/>
      <c r="AT9" s="12"/>
      <c r="AU9" s="12"/>
      <c r="AV9" s="12"/>
      <c r="AW9" s="14"/>
      <c r="AX9" s="14"/>
      <c r="AY9" s="16"/>
      <c r="AZ9" s="10"/>
      <c r="BA9" s="12"/>
      <c r="BB9" s="12"/>
      <c r="BC9" s="12"/>
      <c r="BD9" s="14"/>
      <c r="BE9" s="14"/>
      <c r="BF9" s="16"/>
      <c r="BG9" s="32"/>
      <c r="BH9" s="40"/>
      <c r="BI9" s="12"/>
      <c r="BJ9" s="12"/>
      <c r="BK9" s="14"/>
      <c r="BL9" s="14"/>
      <c r="BM9" s="39"/>
      <c r="BN9" s="32"/>
      <c r="BO9" s="40"/>
      <c r="BP9" s="40"/>
      <c r="BQ9" s="40"/>
      <c r="BR9" s="14"/>
      <c r="BS9" s="14"/>
      <c r="BT9" s="39"/>
      <c r="BU9" s="32"/>
      <c r="BV9" s="40"/>
      <c r="BW9" s="40"/>
      <c r="BX9" s="40"/>
      <c r="BY9" s="14"/>
      <c r="BZ9" s="14"/>
      <c r="CA9" s="39"/>
      <c r="CB9" s="32"/>
      <c r="CC9" s="40"/>
      <c r="CD9" s="40"/>
      <c r="CE9" s="79"/>
      <c r="CF9" s="14"/>
      <c r="CG9" s="14"/>
      <c r="CH9" s="39"/>
      <c r="CI9" s="40"/>
      <c r="CJ9" s="40"/>
      <c r="CK9" s="40"/>
      <c r="CL9" s="83"/>
      <c r="CM9" s="14"/>
      <c r="CN9" s="14"/>
      <c r="CO9" s="39"/>
      <c r="CP9" s="108"/>
      <c r="CQ9" s="40"/>
      <c r="CR9" s="40"/>
      <c r="CS9" s="40"/>
      <c r="CT9" s="14"/>
      <c r="CU9" s="14"/>
      <c r="CV9" s="39"/>
      <c r="CW9" s="32"/>
      <c r="CX9" s="40"/>
      <c r="CY9" s="40"/>
      <c r="CZ9" s="40"/>
      <c r="DA9" s="17"/>
      <c r="DB9" s="17"/>
      <c r="DC9" s="18"/>
      <c r="DD9" s="108"/>
      <c r="DE9" s="40"/>
      <c r="DF9" s="40"/>
      <c r="DG9" s="40"/>
      <c r="DH9" s="156"/>
      <c r="DI9" s="156"/>
      <c r="DJ9" s="18"/>
      <c r="DK9" s="108"/>
      <c r="DL9" s="40"/>
      <c r="DM9" s="40"/>
      <c r="DN9" s="40"/>
      <c r="DO9" s="156"/>
      <c r="DP9" s="156"/>
      <c r="DQ9" s="18"/>
      <c r="DR9" s="108"/>
      <c r="DS9" s="40"/>
      <c r="DT9" s="40"/>
      <c r="DU9" s="40"/>
      <c r="DV9" s="156">
        <f>DR9*3+DT9</f>
        <v>0</v>
      </c>
      <c r="DW9" s="156">
        <f>DS9*3+DU9</f>
        <v>0</v>
      </c>
      <c r="DX9" s="18">
        <f>DW9+DV9</f>
        <v>0</v>
      </c>
      <c r="DY9" s="108"/>
      <c r="DZ9" s="40"/>
      <c r="EA9" s="40"/>
      <c r="EB9" s="40"/>
      <c r="EC9" s="156">
        <f>DY9*3+EA9</f>
        <v>0</v>
      </c>
      <c r="ED9" s="156">
        <f>DZ9*3+EB9</f>
        <v>0</v>
      </c>
      <c r="EE9" s="18">
        <f>ED9+EC9</f>
        <v>0</v>
      </c>
      <c r="EF9" s="108"/>
      <c r="EG9" s="40"/>
      <c r="EH9" s="40">
        <v>1</v>
      </c>
      <c r="EI9" s="40"/>
      <c r="EJ9" s="156">
        <f>EF9*3+EH9</f>
        <v>1</v>
      </c>
      <c r="EK9" s="156">
        <f>EG9*3+EI9</f>
        <v>0</v>
      </c>
      <c r="EL9" s="18">
        <f>EK9+EJ9</f>
        <v>1</v>
      </c>
      <c r="EM9" s="74">
        <f>SUM(AP9,AI9,AB9,U9,N9,AW9,BD9,BK9,BR9,BY9,CF9,CM9,CT9,DA9,DH9,DO9,DV9,EC9,EJ9)</f>
        <v>1</v>
      </c>
      <c r="EN9" s="75">
        <f ca="1">EM9/(10+TODAY()-G9)</f>
        <v>9.0909090909090912E-2</v>
      </c>
      <c r="EO9" s="76">
        <f>SUM(AQ9,AJ9,AC9,V9,O9,AX9,BE9,BL9,BS9,BZ9,CG9,CN9,CU9,DB9,DI9,DP9,DW9,ED9,EK9)</f>
        <v>0</v>
      </c>
      <c r="EP9" s="75">
        <f ca="1">EO9/(10+TODAY()-G9)</f>
        <v>0</v>
      </c>
      <c r="EQ9" s="76">
        <f>EM9+EO9</f>
        <v>1</v>
      </c>
      <c r="ER9" s="75">
        <f ca="1">EP9+EN9</f>
        <v>9.0909090909090912E-2</v>
      </c>
      <c r="ES9" s="76">
        <f>SUM(AS9,AL9,AE9,X9,Q9,Q9,J9,AZ9,BG9,BN9,BU9,CB9,CI9,CP9,CW9,DD9,DK9,DR9,DY9,EF9)</f>
        <v>0</v>
      </c>
      <c r="ET9" s="76">
        <f>SUM(AT9,AM9,AF9,Y9,R9,R9,K9,BA9,BH9,BO9,BV9,CC9,CJ9,CQ9,CX9,DE9,DL9,DS9,DZ9,EG9)</f>
        <v>0</v>
      </c>
      <c r="EU9" s="76">
        <f>ET9+ES9</f>
        <v>0</v>
      </c>
    </row>
    <row r="10" spans="1:151" ht="15.75" thickBot="1" x14ac:dyDescent="0.3">
      <c r="A10" s="32" t="s">
        <v>63</v>
      </c>
      <c r="B10" s="24" t="s">
        <v>132</v>
      </c>
      <c r="C10" s="26" t="str">
        <f>B10&amp;" "&amp;A10</f>
        <v>תאיר אחודה</v>
      </c>
      <c r="D10" s="23" t="s">
        <v>6</v>
      </c>
      <c r="E10" s="23" t="s">
        <v>7</v>
      </c>
      <c r="F10" s="31" t="s">
        <v>148</v>
      </c>
      <c r="G10" s="30">
        <v>43132</v>
      </c>
      <c r="H10" s="31"/>
      <c r="I10" s="35" t="s">
        <v>157</v>
      </c>
      <c r="J10" s="48"/>
      <c r="K10" s="49"/>
      <c r="L10" s="49"/>
      <c r="M10" s="49"/>
      <c r="N10" s="50">
        <f>J10*3+L10</f>
        <v>0</v>
      </c>
      <c r="O10" s="50">
        <f>K10*3+M10</f>
        <v>0</v>
      </c>
      <c r="P10" s="15">
        <f>O10+N10</f>
        <v>0</v>
      </c>
      <c r="Q10" s="10"/>
      <c r="R10" s="12"/>
      <c r="S10" s="12"/>
      <c r="T10" s="12"/>
      <c r="U10" s="14">
        <f>Q10*3+S10</f>
        <v>0</v>
      </c>
      <c r="V10" s="14">
        <f>R10*3+T10</f>
        <v>0</v>
      </c>
      <c r="W10" s="16">
        <f>V10+U10</f>
        <v>0</v>
      </c>
      <c r="X10" s="10"/>
      <c r="Y10" s="12"/>
      <c r="Z10" s="12"/>
      <c r="AA10" s="12"/>
      <c r="AB10" s="17">
        <f>X10*3+Z10</f>
        <v>0</v>
      </c>
      <c r="AC10" s="17">
        <f>Y10*3+AA10</f>
        <v>0</v>
      </c>
      <c r="AD10" s="18">
        <f>AC10+AB10</f>
        <v>0</v>
      </c>
      <c r="AE10" s="10"/>
      <c r="AF10" s="12"/>
      <c r="AG10" s="12"/>
      <c r="AH10" s="12"/>
      <c r="AI10" s="14">
        <f>AE10*3+AG10</f>
        <v>0</v>
      </c>
      <c r="AJ10" s="14">
        <f>AF10*3+AH10</f>
        <v>0</v>
      </c>
      <c r="AK10" s="16">
        <f>AJ10+AI10</f>
        <v>0</v>
      </c>
      <c r="AL10" s="10"/>
      <c r="AM10" s="12"/>
      <c r="AN10" s="12"/>
      <c r="AO10" s="12"/>
      <c r="AP10" s="14">
        <f>AL10*3+AN10</f>
        <v>0</v>
      </c>
      <c r="AQ10" s="14">
        <f>AM10*3+AO10</f>
        <v>0</v>
      </c>
      <c r="AR10" s="16">
        <f>AQ10+AP10</f>
        <v>0</v>
      </c>
      <c r="AS10" s="10"/>
      <c r="AT10" s="12"/>
      <c r="AU10" s="12"/>
      <c r="AV10" s="12"/>
      <c r="AW10" s="14">
        <f>AS10*3+AU10</f>
        <v>0</v>
      </c>
      <c r="AX10" s="14">
        <f>AT10*3+AV10</f>
        <v>0</v>
      </c>
      <c r="AY10" s="16">
        <f>AX10+AW10</f>
        <v>0</v>
      </c>
      <c r="AZ10" s="10"/>
      <c r="BA10" s="12"/>
      <c r="BB10" s="12"/>
      <c r="BC10" s="12"/>
      <c r="BD10" s="14">
        <f>AZ10*3+BB10</f>
        <v>0</v>
      </c>
      <c r="BE10" s="14">
        <f>BA10*3+BC10</f>
        <v>0</v>
      </c>
      <c r="BF10" s="16">
        <f>BE10+BD10</f>
        <v>0</v>
      </c>
      <c r="BG10" s="32"/>
      <c r="BH10" s="40"/>
      <c r="BI10" s="12"/>
      <c r="BJ10" s="12"/>
      <c r="BK10" s="14">
        <f>BG10*3+BI10</f>
        <v>0</v>
      </c>
      <c r="BL10" s="14">
        <f>BH10*3+BJ10</f>
        <v>0</v>
      </c>
      <c r="BM10" s="39">
        <f>BL10+BK10</f>
        <v>0</v>
      </c>
      <c r="BN10" s="32">
        <v>1</v>
      </c>
      <c r="BO10" s="40"/>
      <c r="BP10" s="40">
        <v>2</v>
      </c>
      <c r="BQ10" s="40"/>
      <c r="BR10" s="14">
        <f>BN10*3+BP10</f>
        <v>5</v>
      </c>
      <c r="BS10" s="14">
        <f>BO10*3+BQ10</f>
        <v>0</v>
      </c>
      <c r="BT10" s="39">
        <f>BS10+BR10</f>
        <v>5</v>
      </c>
      <c r="BU10" s="32"/>
      <c r="BV10" s="40"/>
      <c r="BW10" s="40">
        <v>3</v>
      </c>
      <c r="BX10" s="40"/>
      <c r="BY10" s="14">
        <f>BU10*3+BW10</f>
        <v>3</v>
      </c>
      <c r="BZ10" s="14">
        <f>BV10*3+BX10</f>
        <v>0</v>
      </c>
      <c r="CA10" s="39">
        <f>BZ10+BY10</f>
        <v>3</v>
      </c>
      <c r="CB10" s="32"/>
      <c r="CC10" s="40"/>
      <c r="CD10" s="40">
        <v>3</v>
      </c>
      <c r="CE10" s="79"/>
      <c r="CF10" s="14">
        <f>CB10*3+CD10</f>
        <v>3</v>
      </c>
      <c r="CG10" s="14">
        <f>CC10*3+CE10</f>
        <v>0</v>
      </c>
      <c r="CH10" s="39">
        <f>CG10+CF10</f>
        <v>3</v>
      </c>
      <c r="CI10" s="40"/>
      <c r="CJ10" s="40"/>
      <c r="CK10" s="40">
        <v>1</v>
      </c>
      <c r="CL10" s="83">
        <v>1</v>
      </c>
      <c r="CM10" s="14">
        <f>CI10*3+CK10</f>
        <v>1</v>
      </c>
      <c r="CN10" s="14">
        <f>CJ10*3+CL10</f>
        <v>1</v>
      </c>
      <c r="CO10" s="39">
        <f>CN10+CM10</f>
        <v>2</v>
      </c>
      <c r="CP10" s="108"/>
      <c r="CQ10" s="40"/>
      <c r="CR10" s="40">
        <v>3</v>
      </c>
      <c r="CS10" s="40"/>
      <c r="CT10" s="14">
        <f>CP10*3+CR10</f>
        <v>3</v>
      </c>
      <c r="CU10" s="14">
        <f>CQ10*3+CS10</f>
        <v>0</v>
      </c>
      <c r="CV10" s="39">
        <f>CU10+CT10</f>
        <v>3</v>
      </c>
      <c r="CW10" s="32"/>
      <c r="CX10" s="40"/>
      <c r="CY10" s="40">
        <v>3</v>
      </c>
      <c r="CZ10" s="40"/>
      <c r="DA10" s="17">
        <f>CW10*3+CY10</f>
        <v>3</v>
      </c>
      <c r="DB10" s="17">
        <f>CX10*3+CZ10</f>
        <v>0</v>
      </c>
      <c r="DC10" s="18">
        <f>DB10+DA10</f>
        <v>3</v>
      </c>
      <c r="DD10" s="108"/>
      <c r="DE10" s="40"/>
      <c r="DF10" s="40">
        <v>4</v>
      </c>
      <c r="DG10" s="40"/>
      <c r="DH10" s="156">
        <f>DD10*3+DF10</f>
        <v>4</v>
      </c>
      <c r="DI10" s="156">
        <f>DE10*3+DG10</f>
        <v>0</v>
      </c>
      <c r="DJ10" s="18">
        <f>DI10+DH10</f>
        <v>4</v>
      </c>
      <c r="DK10" s="108"/>
      <c r="DL10" s="40"/>
      <c r="DM10" s="40">
        <v>3</v>
      </c>
      <c r="DN10" s="40"/>
      <c r="DO10" s="156">
        <f>DK10*3+DM10</f>
        <v>3</v>
      </c>
      <c r="DP10" s="156">
        <f>DL10*3+DN10</f>
        <v>0</v>
      </c>
      <c r="DQ10" s="18">
        <f>DP10+DO10</f>
        <v>3</v>
      </c>
      <c r="DR10" s="108"/>
      <c r="DS10" s="40"/>
      <c r="DT10" s="40">
        <v>1</v>
      </c>
      <c r="DU10" s="40">
        <v>1</v>
      </c>
      <c r="DV10" s="156">
        <f>DR10*3+DT10</f>
        <v>1</v>
      </c>
      <c r="DW10" s="156">
        <f>DS10*3+DU10</f>
        <v>1</v>
      </c>
      <c r="DX10" s="18">
        <f>DW10+DV10</f>
        <v>2</v>
      </c>
      <c r="DY10" s="108"/>
      <c r="DZ10" s="40"/>
      <c r="EA10" s="40">
        <v>3</v>
      </c>
      <c r="EB10" s="40">
        <v>1</v>
      </c>
      <c r="EC10" s="156">
        <f>DY10*3+EA10</f>
        <v>3</v>
      </c>
      <c r="ED10" s="156">
        <f>DZ10*3+EB10</f>
        <v>1</v>
      </c>
      <c r="EE10" s="18">
        <f>ED10+EC10</f>
        <v>4</v>
      </c>
      <c r="EF10" s="108"/>
      <c r="EG10" s="40"/>
      <c r="EH10" s="40">
        <v>1</v>
      </c>
      <c r="EI10" s="40"/>
      <c r="EJ10" s="156">
        <f>EF10*3+EH10</f>
        <v>1</v>
      </c>
      <c r="EK10" s="156">
        <f>EG10*3+EI10</f>
        <v>0</v>
      </c>
      <c r="EL10" s="18">
        <f>EK10+EJ10</f>
        <v>1</v>
      </c>
      <c r="EM10" s="74">
        <f>SUM(AP10,AI10,AB10,U10,N10,AW10,BD10,BK10,BR10,BY10,CF10,CM10,CT10,DA10,DH10,DO10,DV10,EC10,EJ10)</f>
        <v>30</v>
      </c>
      <c r="EN10" s="75">
        <f ca="1">EM10/(10+TODAY()-G10)</f>
        <v>8.9285714285714288E-2</v>
      </c>
      <c r="EO10" s="76">
        <f>SUM(AQ10,AJ10,AC10,V10,O10,AX10,BE10,BL10,BS10,BZ10,CG10,CN10,CU10,DB10,DI10,DP10,DW10,ED10,EK10)</f>
        <v>3</v>
      </c>
      <c r="EP10" s="75">
        <f ca="1">EO10/(10+TODAY()-G10)</f>
        <v>8.9285714285714281E-3</v>
      </c>
      <c r="EQ10" s="76">
        <f>EM10+EO10</f>
        <v>33</v>
      </c>
      <c r="ER10" s="75">
        <f ca="1">EP10+EN10</f>
        <v>9.8214285714285712E-2</v>
      </c>
      <c r="ES10" s="76">
        <f>SUM(AS10,AL10,AE10,X10,Q10,Q10,J10,AZ10,BG10,BN10,BU10,CB10,CI10,CP10,CW10,DD10,DK10,DR10,DY10,EF10)</f>
        <v>1</v>
      </c>
      <c r="ET10" s="76">
        <f>SUM(AT10,AM10,AF10,Y10,R10,R10,K10,BA10,BH10,BO10,BV10,CC10,CJ10,CQ10,CX10,DE10,DL10,DS10,DZ10,EG10)</f>
        <v>0</v>
      </c>
      <c r="EU10" s="76">
        <f>ET10+ES10</f>
        <v>1</v>
      </c>
    </row>
    <row r="11" spans="1:151" ht="15.75" thickBot="1" x14ac:dyDescent="0.3">
      <c r="A11" s="32">
        <v>679</v>
      </c>
      <c r="B11" s="247" t="s">
        <v>49</v>
      </c>
      <c r="C11" s="26" t="str">
        <f>B11&amp;" "&amp;A11</f>
        <v>אלכס 679</v>
      </c>
      <c r="D11" s="12" t="s">
        <v>6</v>
      </c>
      <c r="E11" s="23" t="s">
        <v>7</v>
      </c>
      <c r="F11" s="31" t="s">
        <v>144</v>
      </c>
      <c r="G11" s="30">
        <v>42979</v>
      </c>
      <c r="H11" s="19">
        <v>43573</v>
      </c>
      <c r="I11" s="13"/>
      <c r="J11" s="48"/>
      <c r="K11" s="49"/>
      <c r="L11" s="49"/>
      <c r="M11" s="49"/>
      <c r="N11" s="50">
        <f>J11*3+L11</f>
        <v>0</v>
      </c>
      <c r="O11" s="50">
        <f>K11*3+M11</f>
        <v>0</v>
      </c>
      <c r="P11" s="15">
        <f>O11+N11</f>
        <v>0</v>
      </c>
      <c r="Q11" s="10"/>
      <c r="R11" s="12"/>
      <c r="S11" s="12"/>
      <c r="T11" s="12"/>
      <c r="U11" s="14">
        <f>Q11*3+S11</f>
        <v>0</v>
      </c>
      <c r="V11" s="14">
        <f>R11*3+T11</f>
        <v>0</v>
      </c>
      <c r="W11" s="16">
        <f>V11+U11</f>
        <v>0</v>
      </c>
      <c r="X11" s="10"/>
      <c r="Y11" s="12"/>
      <c r="Z11" s="12"/>
      <c r="AA11" s="12"/>
      <c r="AB11" s="17">
        <f>X11*3+Z11</f>
        <v>0</v>
      </c>
      <c r="AC11" s="17">
        <f>Y11*3+AA11</f>
        <v>0</v>
      </c>
      <c r="AD11" s="18">
        <f>AC11+AB11</f>
        <v>0</v>
      </c>
      <c r="AE11" s="10">
        <v>1</v>
      </c>
      <c r="AF11" s="12"/>
      <c r="AG11" s="12"/>
      <c r="AH11" s="12"/>
      <c r="AI11" s="14">
        <f>AE11*3+AG11</f>
        <v>3</v>
      </c>
      <c r="AJ11" s="14">
        <f>AF11*3+AH11</f>
        <v>0</v>
      </c>
      <c r="AK11" s="16">
        <f>AJ11+AI11</f>
        <v>3</v>
      </c>
      <c r="AL11" s="10"/>
      <c r="AM11" s="12"/>
      <c r="AN11" s="12">
        <v>4</v>
      </c>
      <c r="AO11" s="12"/>
      <c r="AP11" s="14">
        <f>AL11*3+AN11</f>
        <v>4</v>
      </c>
      <c r="AQ11" s="14">
        <f>AM11*3+AO11</f>
        <v>0</v>
      </c>
      <c r="AR11" s="16">
        <f>AQ11+AP11</f>
        <v>4</v>
      </c>
      <c r="AS11" s="10"/>
      <c r="AT11" s="12"/>
      <c r="AU11" s="12">
        <v>4</v>
      </c>
      <c r="AV11" s="12"/>
      <c r="AW11" s="14">
        <f>AS11*3+AU11</f>
        <v>4</v>
      </c>
      <c r="AX11" s="14">
        <f>AT11*3+AV11</f>
        <v>0</v>
      </c>
      <c r="AY11" s="16">
        <f>AX11+AW11</f>
        <v>4</v>
      </c>
      <c r="AZ11" s="10">
        <v>1</v>
      </c>
      <c r="BA11" s="12"/>
      <c r="BB11" s="12"/>
      <c r="BC11" s="12"/>
      <c r="BD11" s="14">
        <f>AZ11*3+BB11</f>
        <v>3</v>
      </c>
      <c r="BE11" s="14">
        <f>BA11*3+BC11</f>
        <v>0</v>
      </c>
      <c r="BF11" s="16">
        <f>BE11+BD11</f>
        <v>3</v>
      </c>
      <c r="BG11" s="32"/>
      <c r="BH11" s="40"/>
      <c r="BI11" s="12">
        <v>2</v>
      </c>
      <c r="BJ11" s="12">
        <v>1</v>
      </c>
      <c r="BK11" s="14">
        <f>BG11*3+BI11</f>
        <v>2</v>
      </c>
      <c r="BL11" s="14">
        <f>BH11*3+BJ11</f>
        <v>1</v>
      </c>
      <c r="BM11" s="39">
        <f>BL11+BK11</f>
        <v>3</v>
      </c>
      <c r="BN11" s="32">
        <v>1</v>
      </c>
      <c r="BO11" s="40"/>
      <c r="BP11" s="40">
        <v>2</v>
      </c>
      <c r="BQ11" s="40">
        <v>1</v>
      </c>
      <c r="BR11" s="14">
        <f>BN11*3+BP11</f>
        <v>5</v>
      </c>
      <c r="BS11" s="14">
        <f>BO11*3+BQ11</f>
        <v>1</v>
      </c>
      <c r="BT11" s="39">
        <f>BS11+BR11</f>
        <v>6</v>
      </c>
      <c r="BU11" s="32"/>
      <c r="BV11" s="40"/>
      <c r="BW11" s="40">
        <v>1</v>
      </c>
      <c r="BX11" s="40"/>
      <c r="BY11" s="14">
        <f>BU11*3+BW11</f>
        <v>1</v>
      </c>
      <c r="BZ11" s="14">
        <f>BV11*3+BX11</f>
        <v>0</v>
      </c>
      <c r="CA11" s="39">
        <f>BZ11+BY11</f>
        <v>1</v>
      </c>
      <c r="CB11" s="32"/>
      <c r="CC11" s="40"/>
      <c r="CD11" s="249">
        <v>2</v>
      </c>
      <c r="CE11" s="248"/>
      <c r="CF11" s="14">
        <f>CB11*3+CD11</f>
        <v>2</v>
      </c>
      <c r="CG11" s="14">
        <f>CC11*3+CE11</f>
        <v>0</v>
      </c>
      <c r="CH11" s="39">
        <f>CG11+CF11</f>
        <v>2</v>
      </c>
      <c r="CI11" s="40">
        <v>1</v>
      </c>
      <c r="CJ11" s="40"/>
      <c r="CK11" s="40">
        <v>1</v>
      </c>
      <c r="CL11" s="83">
        <v>1</v>
      </c>
      <c r="CM11" s="14">
        <f>CI11*3+CK11</f>
        <v>4</v>
      </c>
      <c r="CN11" s="14">
        <f>CJ11*3+CL11</f>
        <v>1</v>
      </c>
      <c r="CO11" s="39">
        <f>CN11+CM11</f>
        <v>5</v>
      </c>
      <c r="CP11" s="108"/>
      <c r="CQ11" s="40"/>
      <c r="CR11" s="40">
        <v>2</v>
      </c>
      <c r="CS11" s="40"/>
      <c r="CT11" s="14">
        <f>CP11*3+CR11</f>
        <v>2</v>
      </c>
      <c r="CU11" s="14">
        <f>CQ11*3+CS11</f>
        <v>0</v>
      </c>
      <c r="CV11" s="39">
        <f>CU11+CT11</f>
        <v>2</v>
      </c>
      <c r="CW11" s="32">
        <v>1</v>
      </c>
      <c r="CX11" s="40"/>
      <c r="CY11" s="40"/>
      <c r="CZ11" s="40"/>
      <c r="DA11" s="17">
        <f>CW11*3+CY11</f>
        <v>3</v>
      </c>
      <c r="DB11" s="17">
        <f>CX11*3+CZ11</f>
        <v>0</v>
      </c>
      <c r="DC11" s="18">
        <f>DB11+DA11</f>
        <v>3</v>
      </c>
      <c r="DD11" s="108"/>
      <c r="DE11" s="40">
        <v>1</v>
      </c>
      <c r="DF11" s="40">
        <v>1</v>
      </c>
      <c r="DG11" s="40"/>
      <c r="DH11" s="156">
        <f>DD11*3+DF11</f>
        <v>1</v>
      </c>
      <c r="DI11" s="156">
        <f>DE11*3+DG11</f>
        <v>3</v>
      </c>
      <c r="DJ11" s="18">
        <f>DI11+DH11</f>
        <v>4</v>
      </c>
      <c r="DK11" s="108"/>
      <c r="DL11" s="40"/>
      <c r="DM11" s="40">
        <v>1</v>
      </c>
      <c r="DN11" s="40">
        <v>1</v>
      </c>
      <c r="DO11" s="156">
        <f>DK11*3+DM11</f>
        <v>1</v>
      </c>
      <c r="DP11" s="156">
        <f>DL11*3+DN11</f>
        <v>1</v>
      </c>
      <c r="DQ11" s="18">
        <f>DP11+DO11</f>
        <v>2</v>
      </c>
      <c r="DR11" s="108"/>
      <c r="DS11" s="40"/>
      <c r="DT11" s="40">
        <v>3</v>
      </c>
      <c r="DU11" s="40"/>
      <c r="DV11" s="156">
        <f>DR11*3+DT11</f>
        <v>3</v>
      </c>
      <c r="DW11" s="156">
        <f>DS11*3+DU11</f>
        <v>0</v>
      </c>
      <c r="DX11" s="18">
        <f>DW11+DV11</f>
        <v>3</v>
      </c>
      <c r="DY11" s="108">
        <v>1</v>
      </c>
      <c r="DZ11" s="40"/>
      <c r="EA11" s="40">
        <v>1</v>
      </c>
      <c r="EB11" s="40"/>
      <c r="EC11" s="156">
        <f>DY11*3+EA11</f>
        <v>4</v>
      </c>
      <c r="ED11" s="156">
        <f>DZ11*3+EB11</f>
        <v>0</v>
      </c>
      <c r="EE11" s="18">
        <f>ED11+EC11</f>
        <v>4</v>
      </c>
      <c r="EF11" s="108"/>
      <c r="EG11" s="40"/>
      <c r="EH11" s="40">
        <v>2</v>
      </c>
      <c r="EI11" s="40"/>
      <c r="EJ11" s="156">
        <f>EF11*3+EH11</f>
        <v>2</v>
      </c>
      <c r="EK11" s="156">
        <f>EG11*3+EI11</f>
        <v>0</v>
      </c>
      <c r="EL11" s="18">
        <f>EK11+EJ11</f>
        <v>2</v>
      </c>
      <c r="EM11" s="74">
        <f>SUM(AP11,AI11,AB11,U11,N11,AW11,BD11,BK11,BR11,BY11,CF11,CM11,CT11,DA11,DH11,DO11,DV11,EC11,EJ11)</f>
        <v>44</v>
      </c>
      <c r="EN11" s="75">
        <f ca="1">EM11/(10+TODAY()-G11)</f>
        <v>8.9979550102249492E-2</v>
      </c>
      <c r="EO11" s="76">
        <f>SUM(AQ11,AJ11,AC11,V11,O11,AX11,BE11,BL11,BS11,BZ11,CG11,CN11,CU11,DB11,DI11,DP11,DW11,ED11,EK11)</f>
        <v>7</v>
      </c>
      <c r="EP11" s="75">
        <f ca="1">EO11/(10+TODAY()-G11)</f>
        <v>1.4314928425357873E-2</v>
      </c>
      <c r="EQ11" s="76">
        <f>EM11+EO11</f>
        <v>51</v>
      </c>
      <c r="ER11" s="75">
        <f ca="1">EP11+EN11</f>
        <v>0.10429447852760737</v>
      </c>
      <c r="ES11" s="76">
        <f>SUM(AS11,AL11,AE11,X11,Q11,Q11,J11,AZ11,BG11,BN11,BU11,CB11,CI11,CP11,CW11,DD11,DK11,DR11,DY11,EF11)</f>
        <v>6</v>
      </c>
      <c r="ET11" s="76">
        <f>SUM(AT11,AM11,AF11,Y11,R11,R11,K11,BA11,BH11,BO11,BV11,CC11,CJ11,CQ11,CX11,DE11,DL11,DS11,DZ11,EG11)</f>
        <v>1</v>
      </c>
      <c r="EU11" s="76">
        <f>ET11+ES11</f>
        <v>7</v>
      </c>
    </row>
    <row r="12" spans="1:151" ht="15.75" thickBot="1" x14ac:dyDescent="0.3">
      <c r="A12" s="10">
        <v>11</v>
      </c>
      <c r="B12" s="24" t="s">
        <v>123</v>
      </c>
      <c r="C12" s="26" t="str">
        <f>B12&amp;" "&amp;A12</f>
        <v>אתי 11</v>
      </c>
      <c r="D12" s="23" t="s">
        <v>6</v>
      </c>
      <c r="E12" s="23" t="s">
        <v>7</v>
      </c>
      <c r="F12" s="31" t="s">
        <v>193</v>
      </c>
      <c r="G12" s="30">
        <v>43252</v>
      </c>
      <c r="H12" s="42"/>
      <c r="I12" s="13"/>
      <c r="J12" s="48"/>
      <c r="K12" s="49"/>
      <c r="L12" s="49"/>
      <c r="M12" s="49"/>
      <c r="N12" s="50">
        <f>J12*3+L12</f>
        <v>0</v>
      </c>
      <c r="O12" s="50">
        <f>K12*3+M12</f>
        <v>0</v>
      </c>
      <c r="P12" s="15">
        <f>O12+N12</f>
        <v>0</v>
      </c>
      <c r="Q12" s="10"/>
      <c r="R12" s="12"/>
      <c r="S12" s="12"/>
      <c r="T12" s="12"/>
      <c r="U12" s="14">
        <f>Q12*3+S12</f>
        <v>0</v>
      </c>
      <c r="V12" s="14">
        <f>R12*3+T12</f>
        <v>0</v>
      </c>
      <c r="W12" s="16">
        <f>V12+U12</f>
        <v>0</v>
      </c>
      <c r="X12" s="10"/>
      <c r="Y12" s="12"/>
      <c r="Z12" s="12"/>
      <c r="AA12" s="12"/>
      <c r="AB12" s="17">
        <f>X12*3+Z12</f>
        <v>0</v>
      </c>
      <c r="AC12" s="17">
        <f>Y12*3+AA12</f>
        <v>0</v>
      </c>
      <c r="AD12" s="18">
        <f>AC12+AB12</f>
        <v>0</v>
      </c>
      <c r="AE12" s="10"/>
      <c r="AF12" s="12"/>
      <c r="AG12" s="12"/>
      <c r="AH12" s="12"/>
      <c r="AI12" s="14">
        <f>AE12*3+AG12</f>
        <v>0</v>
      </c>
      <c r="AJ12" s="14">
        <f>AF12*3+AH12</f>
        <v>0</v>
      </c>
      <c r="AK12" s="16">
        <f>AJ12+AI12</f>
        <v>0</v>
      </c>
      <c r="AL12" s="10"/>
      <c r="AM12" s="12"/>
      <c r="AN12" s="12"/>
      <c r="AO12" s="12"/>
      <c r="AP12" s="14">
        <f>AL12*3+AN12</f>
        <v>0</v>
      </c>
      <c r="AQ12" s="14">
        <f>AM12*3+AO12</f>
        <v>0</v>
      </c>
      <c r="AR12" s="16">
        <f>AQ12+AP12</f>
        <v>0</v>
      </c>
      <c r="AS12" s="10"/>
      <c r="AT12" s="12"/>
      <c r="AU12" s="12"/>
      <c r="AV12" s="12"/>
      <c r="AW12" s="14">
        <f>AS12*3+AU12</f>
        <v>0</v>
      </c>
      <c r="AX12" s="14">
        <f>AT12*3+AV12</f>
        <v>0</v>
      </c>
      <c r="AY12" s="16">
        <f>AX12+AW12</f>
        <v>0</v>
      </c>
      <c r="AZ12" s="10"/>
      <c r="BA12" s="12"/>
      <c r="BB12" s="12"/>
      <c r="BC12" s="12"/>
      <c r="BD12" s="14">
        <f>AZ12*3+BB12</f>
        <v>0</v>
      </c>
      <c r="BE12" s="14">
        <f>BA12*3+BC12</f>
        <v>0</v>
      </c>
      <c r="BF12" s="16">
        <f>BE12+BD12</f>
        <v>0</v>
      </c>
      <c r="BG12" s="32"/>
      <c r="BH12" s="40"/>
      <c r="BI12" s="12"/>
      <c r="BJ12" s="12"/>
      <c r="BK12" s="14">
        <f>BG12*3+BI12</f>
        <v>0</v>
      </c>
      <c r="BL12" s="14">
        <f>BH12*3+BJ12</f>
        <v>0</v>
      </c>
      <c r="BM12" s="39">
        <f>BL12+BK12</f>
        <v>0</v>
      </c>
      <c r="BN12" s="32"/>
      <c r="BO12" s="40"/>
      <c r="BP12" s="40"/>
      <c r="BQ12" s="40"/>
      <c r="BR12" s="14">
        <f>BN12*3+BP12</f>
        <v>0</v>
      </c>
      <c r="BS12" s="14">
        <f>BO12*3+BQ12</f>
        <v>0</v>
      </c>
      <c r="BT12" s="39">
        <f>BS12+BR12</f>
        <v>0</v>
      </c>
      <c r="BU12" s="32"/>
      <c r="BV12" s="40"/>
      <c r="BW12" s="40"/>
      <c r="BX12" s="40"/>
      <c r="BY12" s="14">
        <f>BU12*3+BW12</f>
        <v>0</v>
      </c>
      <c r="BZ12" s="14">
        <f>BV12*3+BX12</f>
        <v>0</v>
      </c>
      <c r="CA12" s="39">
        <f>BZ12+BY12</f>
        <v>0</v>
      </c>
      <c r="CB12" s="32"/>
      <c r="CC12" s="40"/>
      <c r="CD12" s="40"/>
      <c r="CE12" s="79"/>
      <c r="CF12" s="14">
        <f>CB12*3+CD12</f>
        <v>0</v>
      </c>
      <c r="CG12" s="14">
        <f>CC12*3+CE12</f>
        <v>0</v>
      </c>
      <c r="CH12" s="39">
        <f>CG12+CF12</f>
        <v>0</v>
      </c>
      <c r="CI12" s="40"/>
      <c r="CJ12" s="40"/>
      <c r="CK12" s="40"/>
      <c r="CL12" s="83"/>
      <c r="CM12" s="14">
        <f>CI12*3+CK12</f>
        <v>0</v>
      </c>
      <c r="CN12" s="14">
        <f>CJ12*3+CL12</f>
        <v>0</v>
      </c>
      <c r="CO12" s="39">
        <f>CN12+CM12</f>
        <v>0</v>
      </c>
      <c r="CP12" s="108"/>
      <c r="CQ12" s="40"/>
      <c r="CR12" s="40">
        <v>3</v>
      </c>
      <c r="CS12" s="40"/>
      <c r="CT12" s="14">
        <f>CP12*3+CR12</f>
        <v>3</v>
      </c>
      <c r="CU12" s="14">
        <f>CQ12*3+CS12</f>
        <v>0</v>
      </c>
      <c r="CV12" s="39">
        <f>CU12+CT12</f>
        <v>3</v>
      </c>
      <c r="CW12" s="32">
        <v>1</v>
      </c>
      <c r="CX12" s="40"/>
      <c r="CY12" s="40">
        <v>1</v>
      </c>
      <c r="CZ12" s="40"/>
      <c r="DA12" s="17">
        <f>CW12*3+CY12</f>
        <v>4</v>
      </c>
      <c r="DB12" s="17">
        <f>CX12*3+CZ12</f>
        <v>0</v>
      </c>
      <c r="DC12" s="18">
        <f>DB12+DA12</f>
        <v>4</v>
      </c>
      <c r="DD12" s="108"/>
      <c r="DE12" s="40"/>
      <c r="DF12" s="40">
        <v>3</v>
      </c>
      <c r="DG12" s="40">
        <v>2</v>
      </c>
      <c r="DH12" s="156">
        <f>DD12*3+DF12</f>
        <v>3</v>
      </c>
      <c r="DI12" s="156">
        <f>DE12*3+DG12</f>
        <v>2</v>
      </c>
      <c r="DJ12" s="18">
        <f>DI12+DH12</f>
        <v>5</v>
      </c>
      <c r="DK12" s="108"/>
      <c r="DL12" s="40"/>
      <c r="DM12" s="40">
        <v>3</v>
      </c>
      <c r="DN12" s="40"/>
      <c r="DO12" s="156">
        <f>DK12*3+DM12</f>
        <v>3</v>
      </c>
      <c r="DP12" s="156">
        <f>DL12*3+DN12</f>
        <v>0</v>
      </c>
      <c r="DQ12" s="18">
        <f>DP12+DO12</f>
        <v>3</v>
      </c>
      <c r="DR12" s="108">
        <v>1</v>
      </c>
      <c r="DS12" s="40"/>
      <c r="DT12" s="40"/>
      <c r="DU12" s="40"/>
      <c r="DV12" s="156">
        <f>DR12*3+DT12</f>
        <v>3</v>
      </c>
      <c r="DW12" s="156">
        <f>DS12*3+DU12</f>
        <v>0</v>
      </c>
      <c r="DX12" s="18">
        <f>DW12+DV12</f>
        <v>3</v>
      </c>
      <c r="DY12" s="108"/>
      <c r="DZ12" s="40"/>
      <c r="EA12" s="40">
        <v>2</v>
      </c>
      <c r="EB12" s="40"/>
      <c r="EC12" s="156">
        <f>DY12*3+EA12</f>
        <v>2</v>
      </c>
      <c r="ED12" s="156">
        <f>DZ12*3+EB12</f>
        <v>0</v>
      </c>
      <c r="EE12" s="18">
        <f>ED12+EC12</f>
        <v>2</v>
      </c>
      <c r="EF12" s="108"/>
      <c r="EG12" s="40"/>
      <c r="EH12" s="40">
        <v>2</v>
      </c>
      <c r="EI12" s="40"/>
      <c r="EJ12" s="156">
        <f>EF12*3+EH12</f>
        <v>2</v>
      </c>
      <c r="EK12" s="156">
        <f>EG12*3+EI12</f>
        <v>0</v>
      </c>
      <c r="EL12" s="18">
        <f>EK12+EJ12</f>
        <v>2</v>
      </c>
      <c r="EM12" s="74">
        <f>SUM(AP12,AI12,AB12,U12,N12,AW12,BD12,BK12,BR12,BY12,CF12,CM12,CT12,DA12,DH12,DO12,DV12,EC12,EJ12)</f>
        <v>20</v>
      </c>
      <c r="EN12" s="75">
        <f ca="1">EM12/(10+TODAY()-G12)</f>
        <v>9.2592592592592587E-2</v>
      </c>
      <c r="EO12" s="76">
        <f>SUM(AQ12,AJ12,AC12,V12,O12,AX12,BE12,BL12,BS12,BZ12,CG12,CN12,CU12,DB12,DI12,DP12,DW12,ED12,EK12)</f>
        <v>2</v>
      </c>
      <c r="EP12" s="75">
        <f ca="1">EO12/(10+TODAY()-G12)</f>
        <v>9.2592592592592587E-3</v>
      </c>
      <c r="EQ12" s="76">
        <f>EM12+EO12</f>
        <v>22</v>
      </c>
      <c r="ER12" s="75">
        <f ca="1">EP12+EN12</f>
        <v>0.10185185185185185</v>
      </c>
      <c r="ES12" s="76">
        <f>SUM(AS12,AL12,AE12,X12,Q12,Q12,J12,AZ12,BG12,BN12,BU12,CB12,CI12,CP12,CW12,DD12,DK12,DR12,DY12,EF12)</f>
        <v>2</v>
      </c>
      <c r="ET12" s="76">
        <f>SUM(AT12,AM12,AF12,Y12,R12,R12,K12,BA12,BH12,BO12,BV12,CC12,CJ12,CQ12,CX12,DE12,DL12,DS12,DZ12,EG12)</f>
        <v>0</v>
      </c>
      <c r="EU12" s="76">
        <f>ET12+ES12</f>
        <v>2</v>
      </c>
    </row>
    <row r="13" spans="1:151" ht="15.75" thickBot="1" x14ac:dyDescent="0.3">
      <c r="A13" s="10">
        <v>9</v>
      </c>
      <c r="B13" s="11" t="s">
        <v>9</v>
      </c>
      <c r="C13" s="26" t="str">
        <f>B13&amp;" "&amp;A13</f>
        <v>בר 9</v>
      </c>
      <c r="D13" s="12" t="s">
        <v>6</v>
      </c>
      <c r="E13" s="12" t="s">
        <v>7</v>
      </c>
      <c r="F13" s="31" t="s">
        <v>143</v>
      </c>
      <c r="G13" s="30">
        <v>42917</v>
      </c>
      <c r="H13" s="19">
        <v>43560</v>
      </c>
      <c r="I13" s="35"/>
      <c r="J13" s="48"/>
      <c r="K13" s="49"/>
      <c r="L13" s="49"/>
      <c r="M13" s="49"/>
      <c r="N13" s="50">
        <f>J13*3+L13</f>
        <v>0</v>
      </c>
      <c r="O13" s="50">
        <f>K13*3+M13</f>
        <v>0</v>
      </c>
      <c r="P13" s="15">
        <f>O13+N13</f>
        <v>0</v>
      </c>
      <c r="Q13" s="10">
        <v>1</v>
      </c>
      <c r="R13" s="12"/>
      <c r="S13" s="12">
        <v>2</v>
      </c>
      <c r="T13" s="12"/>
      <c r="U13" s="14">
        <f>Q13*3+S13</f>
        <v>5</v>
      </c>
      <c r="V13" s="14">
        <f>R13*3+T13</f>
        <v>0</v>
      </c>
      <c r="W13" s="16">
        <f>V13+U13</f>
        <v>5</v>
      </c>
      <c r="X13" s="10"/>
      <c r="Y13" s="12"/>
      <c r="Z13" s="12">
        <v>2</v>
      </c>
      <c r="AA13" s="12"/>
      <c r="AB13" s="17">
        <f>X13*3+Z13</f>
        <v>2</v>
      </c>
      <c r="AC13" s="17">
        <f>Y13*3+AA13</f>
        <v>0</v>
      </c>
      <c r="AD13" s="18">
        <f>AC13+AB13</f>
        <v>2</v>
      </c>
      <c r="AE13" s="10"/>
      <c r="AF13" s="12">
        <v>1</v>
      </c>
      <c r="AG13" s="12">
        <v>2</v>
      </c>
      <c r="AH13" s="12">
        <v>1</v>
      </c>
      <c r="AI13" s="14">
        <f>AE13*3+AG13</f>
        <v>2</v>
      </c>
      <c r="AJ13" s="14">
        <f>AF13*3+AH13</f>
        <v>4</v>
      </c>
      <c r="AK13" s="16">
        <f>AJ13+AI13</f>
        <v>6</v>
      </c>
      <c r="AL13" s="10">
        <v>1</v>
      </c>
      <c r="AM13" s="12"/>
      <c r="AN13" s="12"/>
      <c r="AO13" s="12"/>
      <c r="AP13" s="14">
        <f>AL13*3+AN13</f>
        <v>3</v>
      </c>
      <c r="AQ13" s="14">
        <f>AM13*3+AO13</f>
        <v>0</v>
      </c>
      <c r="AR13" s="16">
        <f>AQ13+AP13</f>
        <v>3</v>
      </c>
      <c r="AS13" s="10"/>
      <c r="AT13" s="12"/>
      <c r="AU13" s="12">
        <v>2</v>
      </c>
      <c r="AV13" s="12"/>
      <c r="AW13" s="14">
        <f>AS13*3+AU13</f>
        <v>2</v>
      </c>
      <c r="AX13" s="14">
        <f>AT13*3+AV13</f>
        <v>0</v>
      </c>
      <c r="AY13" s="16">
        <f>AX13+AW13</f>
        <v>2</v>
      </c>
      <c r="AZ13" s="10"/>
      <c r="BA13" s="12"/>
      <c r="BB13" s="12">
        <v>1</v>
      </c>
      <c r="BC13" s="12"/>
      <c r="BD13" s="14">
        <f>AZ13*3+BB13</f>
        <v>1</v>
      </c>
      <c r="BE13" s="14">
        <f>BA13*3+BC13</f>
        <v>0</v>
      </c>
      <c r="BF13" s="16">
        <f>BE13+BD13</f>
        <v>1</v>
      </c>
      <c r="BG13" s="32">
        <v>1</v>
      </c>
      <c r="BH13" s="40"/>
      <c r="BI13" s="12">
        <v>3</v>
      </c>
      <c r="BJ13" s="12"/>
      <c r="BK13" s="14">
        <f>BG13*3+BI13</f>
        <v>6</v>
      </c>
      <c r="BL13" s="14">
        <f>BH13*3+BJ13</f>
        <v>0</v>
      </c>
      <c r="BM13" s="39">
        <f>BL13+BK13</f>
        <v>6</v>
      </c>
      <c r="BN13" s="32"/>
      <c r="BO13" s="40"/>
      <c r="BP13" s="40">
        <v>3</v>
      </c>
      <c r="BQ13" s="40"/>
      <c r="BR13" s="14">
        <f>BN13*3+BP13</f>
        <v>3</v>
      </c>
      <c r="BS13" s="14">
        <f>BO13*3+BQ13</f>
        <v>0</v>
      </c>
      <c r="BT13" s="39">
        <f>BS13+BR13</f>
        <v>3</v>
      </c>
      <c r="BU13" s="32">
        <v>1</v>
      </c>
      <c r="BV13" s="40"/>
      <c r="BW13" s="40"/>
      <c r="BX13" s="40"/>
      <c r="BY13" s="14">
        <f>BU13*3+BW13</f>
        <v>3</v>
      </c>
      <c r="BZ13" s="14">
        <f>BV13*3+BX13</f>
        <v>0</v>
      </c>
      <c r="CA13" s="39">
        <f>BZ13+BY13</f>
        <v>3</v>
      </c>
      <c r="CB13" s="32"/>
      <c r="CC13" s="40"/>
      <c r="CD13" s="40">
        <v>1</v>
      </c>
      <c r="CE13" s="79">
        <v>1</v>
      </c>
      <c r="CF13" s="14">
        <f>CB13*3+CD13</f>
        <v>1</v>
      </c>
      <c r="CG13" s="14">
        <f>CC13*3+CE13</f>
        <v>1</v>
      </c>
      <c r="CH13" s="39">
        <f>CG13+CF13</f>
        <v>2</v>
      </c>
      <c r="CI13" s="40"/>
      <c r="CJ13" s="40"/>
      <c r="CK13" s="40">
        <v>2</v>
      </c>
      <c r="CL13" s="83"/>
      <c r="CM13" s="14">
        <f>CI13*3+CK13</f>
        <v>2</v>
      </c>
      <c r="CN13" s="14">
        <f>CJ13*3+CL13</f>
        <v>0</v>
      </c>
      <c r="CO13" s="39">
        <f>CN13+CM13</f>
        <v>2</v>
      </c>
      <c r="CP13" s="108">
        <v>1</v>
      </c>
      <c r="CQ13" s="40"/>
      <c r="CR13" s="40">
        <v>1</v>
      </c>
      <c r="CS13" s="40"/>
      <c r="CT13" s="14">
        <f>CP13*3+CR13</f>
        <v>4</v>
      </c>
      <c r="CU13" s="14">
        <f>CQ13*3+CS13</f>
        <v>0</v>
      </c>
      <c r="CV13" s="39">
        <f>CU13+CT13</f>
        <v>4</v>
      </c>
      <c r="CW13" s="32"/>
      <c r="CX13" s="40">
        <v>1</v>
      </c>
      <c r="CY13" s="40">
        <v>2</v>
      </c>
      <c r="CZ13" s="40"/>
      <c r="DA13" s="17">
        <f>CW13*3+CY13</f>
        <v>2</v>
      </c>
      <c r="DB13" s="17">
        <f>CX13*3+CZ13</f>
        <v>3</v>
      </c>
      <c r="DC13" s="18">
        <f>DB13+DA13</f>
        <v>5</v>
      </c>
      <c r="DD13" s="108"/>
      <c r="DE13" s="40"/>
      <c r="DF13" s="40">
        <v>2</v>
      </c>
      <c r="DG13" s="40"/>
      <c r="DH13" s="156">
        <f>DD13*3+DF13</f>
        <v>2</v>
      </c>
      <c r="DI13" s="156">
        <f>DE13*3+DG13</f>
        <v>0</v>
      </c>
      <c r="DJ13" s="18">
        <f>DI13+DH13</f>
        <v>2</v>
      </c>
      <c r="DK13" s="108">
        <v>1</v>
      </c>
      <c r="DL13" s="40"/>
      <c r="DM13" s="40"/>
      <c r="DN13" s="40"/>
      <c r="DO13" s="156">
        <f>DK13*3+DM13</f>
        <v>3</v>
      </c>
      <c r="DP13" s="156">
        <f>DL13*3+DN13</f>
        <v>0</v>
      </c>
      <c r="DQ13" s="18">
        <f>DP13+DO13</f>
        <v>3</v>
      </c>
      <c r="DR13" s="108"/>
      <c r="DS13" s="40"/>
      <c r="DT13" s="40">
        <v>1</v>
      </c>
      <c r="DU13" s="40">
        <v>1</v>
      </c>
      <c r="DV13" s="156">
        <f>DR13*3+DT13</f>
        <v>1</v>
      </c>
      <c r="DW13" s="156">
        <f>DS13*3+DU13</f>
        <v>1</v>
      </c>
      <c r="DX13" s="18">
        <f>DW13+DV13</f>
        <v>2</v>
      </c>
      <c r="DY13" s="108"/>
      <c r="DZ13" s="40">
        <v>1</v>
      </c>
      <c r="EA13" s="40">
        <v>1</v>
      </c>
      <c r="EB13" s="40">
        <v>1</v>
      </c>
      <c r="EC13" s="156">
        <f>DY13*3+EA13</f>
        <v>1</v>
      </c>
      <c r="ED13" s="156">
        <f>DZ13*3+EB13</f>
        <v>4</v>
      </c>
      <c r="EE13" s="18">
        <f>ED13+EC13</f>
        <v>5</v>
      </c>
      <c r="EF13" s="108"/>
      <c r="EG13" s="40"/>
      <c r="EH13" s="40">
        <v>2</v>
      </c>
      <c r="EI13" s="40"/>
      <c r="EJ13" s="156">
        <f>EF13*3+EH13</f>
        <v>2</v>
      </c>
      <c r="EK13" s="156">
        <f>EG13*3+EI13</f>
        <v>0</v>
      </c>
      <c r="EL13" s="18">
        <f>EK13+EJ13</f>
        <v>2</v>
      </c>
      <c r="EM13" s="74">
        <f>SUM(AP13,AI13,AB13,U13,N13,AW13,BD13,BK13,BR13,BY13,CF13,CM13,CT13,DA13,DH13,DO13,DV13,EC13,EJ13)</f>
        <v>45</v>
      </c>
      <c r="EN13" s="75">
        <f ca="1">EM13/(10+TODAY()-G13)</f>
        <v>8.1669691470054442E-2</v>
      </c>
      <c r="EO13" s="76">
        <f>SUM(AQ13,AJ13,AC13,V13,O13,AX13,BE13,BL13,BS13,BZ13,CG13,CN13,CU13,DB13,DI13,DP13,DW13,ED13,EK13)</f>
        <v>13</v>
      </c>
      <c r="EP13" s="75">
        <f ca="1">EO13/(10+TODAY()-G13)</f>
        <v>2.3593466424682397E-2</v>
      </c>
      <c r="EQ13" s="76">
        <f>EM13+EO13</f>
        <v>58</v>
      </c>
      <c r="ER13" s="75">
        <f ca="1">EP13+EN13</f>
        <v>0.10526315789473684</v>
      </c>
      <c r="ES13" s="76">
        <f>SUM(AS13,AL13,AE13,X13,Q13,Q13,J13,AZ13,BG13,BN13,BU13,CB13,CI13,CP13,CW13,DD13,DK13,DR13,DY13,EF13)</f>
        <v>7</v>
      </c>
      <c r="ET13" s="76">
        <f>SUM(AT13,AM13,AF13,Y13,R13,R13,K13,BA13,BH13,BO13,BV13,CC13,CJ13,CQ13,CX13,DE13,DL13,DS13,DZ13,EG13)</f>
        <v>3</v>
      </c>
      <c r="EU13" s="76">
        <f>ET13+ES13</f>
        <v>10</v>
      </c>
    </row>
    <row r="14" spans="1:151" ht="15.75" thickBot="1" x14ac:dyDescent="0.3">
      <c r="A14" s="10">
        <v>11</v>
      </c>
      <c r="B14" s="24" t="s">
        <v>164</v>
      </c>
      <c r="C14" s="26" t="str">
        <f>B14&amp;" "&amp;A14</f>
        <v>גל 11</v>
      </c>
      <c r="D14" s="23" t="s">
        <v>6</v>
      </c>
      <c r="E14" s="23" t="s">
        <v>7</v>
      </c>
      <c r="F14" s="31" t="s">
        <v>167</v>
      </c>
      <c r="G14" s="30">
        <v>43191</v>
      </c>
      <c r="H14" s="42"/>
      <c r="I14" s="13"/>
      <c r="J14" s="48"/>
      <c r="K14" s="49"/>
      <c r="L14" s="49"/>
      <c r="M14" s="49"/>
      <c r="N14" s="50">
        <f>J14*3+L14</f>
        <v>0</v>
      </c>
      <c r="O14" s="50">
        <f>K14*3+M14</f>
        <v>0</v>
      </c>
      <c r="P14" s="15">
        <f>O14+N14</f>
        <v>0</v>
      </c>
      <c r="Q14" s="10"/>
      <c r="R14" s="12"/>
      <c r="S14" s="12"/>
      <c r="T14" s="12"/>
      <c r="U14" s="14">
        <f>Q14*3+S14</f>
        <v>0</v>
      </c>
      <c r="V14" s="14">
        <f>R14*3+T14</f>
        <v>0</v>
      </c>
      <c r="W14" s="16">
        <f>V14+U14</f>
        <v>0</v>
      </c>
      <c r="X14" s="10"/>
      <c r="Y14" s="12"/>
      <c r="Z14" s="12"/>
      <c r="AA14" s="12"/>
      <c r="AB14" s="17">
        <f>X14*3+Z14</f>
        <v>0</v>
      </c>
      <c r="AC14" s="17">
        <f>Y14*3+AA14</f>
        <v>0</v>
      </c>
      <c r="AD14" s="18">
        <f>AC14+AB14</f>
        <v>0</v>
      </c>
      <c r="AE14" s="10"/>
      <c r="AF14" s="12"/>
      <c r="AG14" s="12"/>
      <c r="AH14" s="12"/>
      <c r="AI14" s="14">
        <f>AE14*3+AG14</f>
        <v>0</v>
      </c>
      <c r="AJ14" s="14">
        <f>AF14*3+AH14</f>
        <v>0</v>
      </c>
      <c r="AK14" s="16">
        <f>AJ14+AI14</f>
        <v>0</v>
      </c>
      <c r="AL14" s="10"/>
      <c r="AM14" s="12"/>
      <c r="AN14" s="12"/>
      <c r="AO14" s="12"/>
      <c r="AP14" s="14">
        <f>AL14*3+AN14</f>
        <v>0</v>
      </c>
      <c r="AQ14" s="14">
        <f>AM14*3+AO14</f>
        <v>0</v>
      </c>
      <c r="AR14" s="16">
        <f>AQ14+AP14</f>
        <v>0</v>
      </c>
      <c r="AS14" s="10"/>
      <c r="AT14" s="12"/>
      <c r="AU14" s="12"/>
      <c r="AV14" s="12"/>
      <c r="AW14" s="14">
        <f>AS14*3+AU14</f>
        <v>0</v>
      </c>
      <c r="AX14" s="14">
        <f>AT14*3+AV14</f>
        <v>0</v>
      </c>
      <c r="AY14" s="16">
        <f>AX14+AW14</f>
        <v>0</v>
      </c>
      <c r="AZ14" s="10"/>
      <c r="BA14" s="12"/>
      <c r="BB14" s="12"/>
      <c r="BC14" s="12"/>
      <c r="BD14" s="14">
        <f>AZ14*3+BB14</f>
        <v>0</v>
      </c>
      <c r="BE14" s="14">
        <f>BA14*3+BC14</f>
        <v>0</v>
      </c>
      <c r="BF14" s="16">
        <f>BE14+BD14</f>
        <v>0</v>
      </c>
      <c r="BG14" s="32"/>
      <c r="BH14" s="40"/>
      <c r="BI14" s="12"/>
      <c r="BJ14" s="12"/>
      <c r="BK14" s="14">
        <f>BG14*3+BI14</f>
        <v>0</v>
      </c>
      <c r="BL14" s="14">
        <f>BH14*3+BJ14</f>
        <v>0</v>
      </c>
      <c r="BM14" s="39">
        <f>BL14+BK14</f>
        <v>0</v>
      </c>
      <c r="BN14" s="32"/>
      <c r="BO14" s="40"/>
      <c r="BP14" s="40"/>
      <c r="BQ14" s="40"/>
      <c r="BR14" s="14">
        <f>BN14*3+BP14</f>
        <v>0</v>
      </c>
      <c r="BS14" s="14">
        <f>BO14*3+BQ14</f>
        <v>0</v>
      </c>
      <c r="BT14" s="39">
        <f>BS14+BR14</f>
        <v>0</v>
      </c>
      <c r="BU14" s="32"/>
      <c r="BV14" s="40"/>
      <c r="BW14" s="40">
        <v>1</v>
      </c>
      <c r="BX14" s="40"/>
      <c r="BY14" s="14">
        <f>BU14*3+BW14</f>
        <v>1</v>
      </c>
      <c r="BZ14" s="14">
        <f>BV14*3+BX14</f>
        <v>0</v>
      </c>
      <c r="CA14" s="39">
        <f>BZ14+BY14</f>
        <v>1</v>
      </c>
      <c r="CB14" s="32"/>
      <c r="CC14" s="40"/>
      <c r="CD14" s="40">
        <v>2</v>
      </c>
      <c r="CE14" s="79"/>
      <c r="CF14" s="14">
        <f>CB14*3+CD14</f>
        <v>2</v>
      </c>
      <c r="CG14" s="14">
        <f>CC14*3+CE14</f>
        <v>0</v>
      </c>
      <c r="CH14" s="39">
        <f>CG14+CF14</f>
        <v>2</v>
      </c>
      <c r="CI14" s="40">
        <v>1</v>
      </c>
      <c r="CJ14" s="40"/>
      <c r="CK14" s="40">
        <v>1</v>
      </c>
      <c r="CL14" s="83"/>
      <c r="CM14" s="14">
        <f>CI14*3+CK14</f>
        <v>4</v>
      </c>
      <c r="CN14" s="14">
        <f>CJ14*3+CL14</f>
        <v>0</v>
      </c>
      <c r="CO14" s="39">
        <f>CN14+CM14</f>
        <v>4</v>
      </c>
      <c r="CP14" s="108"/>
      <c r="CQ14" s="40"/>
      <c r="CR14" s="40">
        <v>1</v>
      </c>
      <c r="CS14" s="40">
        <v>1</v>
      </c>
      <c r="CT14" s="14">
        <f>CP14*3+CR14</f>
        <v>1</v>
      </c>
      <c r="CU14" s="14">
        <f>CQ14*3+CS14</f>
        <v>1</v>
      </c>
      <c r="CV14" s="39">
        <f>CU14+CT14</f>
        <v>2</v>
      </c>
      <c r="CW14" s="32">
        <v>1</v>
      </c>
      <c r="CX14" s="40"/>
      <c r="CY14" s="40">
        <v>2</v>
      </c>
      <c r="CZ14" s="40"/>
      <c r="DA14" s="17">
        <f>CW14*3+CY14</f>
        <v>5</v>
      </c>
      <c r="DB14" s="17">
        <f>CX14*3+CZ14</f>
        <v>0</v>
      </c>
      <c r="DC14" s="18">
        <f>DB14+DA14</f>
        <v>5</v>
      </c>
      <c r="DD14" s="108"/>
      <c r="DE14" s="40"/>
      <c r="DF14" s="40">
        <v>2</v>
      </c>
      <c r="DG14" s="40"/>
      <c r="DH14" s="156">
        <f>DD14*3+DF14</f>
        <v>2</v>
      </c>
      <c r="DI14" s="156">
        <f>DE14*3+DG14</f>
        <v>0</v>
      </c>
      <c r="DJ14" s="18">
        <f>DI14+DH14</f>
        <v>2</v>
      </c>
      <c r="DK14" s="108"/>
      <c r="DL14" s="40"/>
      <c r="DM14" s="40">
        <v>3</v>
      </c>
      <c r="DN14" s="40"/>
      <c r="DO14" s="156">
        <f>DK14*3+DM14</f>
        <v>3</v>
      </c>
      <c r="DP14" s="156">
        <f>DL14*3+DN14</f>
        <v>0</v>
      </c>
      <c r="DQ14" s="18">
        <f>DP14+DO14</f>
        <v>3</v>
      </c>
      <c r="DR14" s="108"/>
      <c r="DS14" s="40">
        <v>1</v>
      </c>
      <c r="DT14" s="40"/>
      <c r="DU14" s="40"/>
      <c r="DV14" s="156">
        <f>DR14*3+DT14</f>
        <v>0</v>
      </c>
      <c r="DW14" s="156">
        <f>DS14*3+DU14</f>
        <v>3</v>
      </c>
      <c r="DX14" s="18">
        <f>DW14+DV14</f>
        <v>3</v>
      </c>
      <c r="DY14" s="108">
        <v>1</v>
      </c>
      <c r="DZ14" s="40"/>
      <c r="EA14" s="40"/>
      <c r="EB14" s="40">
        <v>1</v>
      </c>
      <c r="EC14" s="156">
        <f>DY14*3+EA14</f>
        <v>3</v>
      </c>
      <c r="ED14" s="156">
        <f>DZ14*3+EB14</f>
        <v>1</v>
      </c>
      <c r="EE14" s="18">
        <f>ED14+EC14</f>
        <v>4</v>
      </c>
      <c r="EF14" s="108"/>
      <c r="EG14" s="40"/>
      <c r="EH14" s="40">
        <v>2</v>
      </c>
      <c r="EI14" s="40"/>
      <c r="EJ14" s="156">
        <f>EF14*3+EH14</f>
        <v>2</v>
      </c>
      <c r="EK14" s="156">
        <f>EG14*3+EI14</f>
        <v>0</v>
      </c>
      <c r="EL14" s="18">
        <f>EK14+EJ14</f>
        <v>2</v>
      </c>
      <c r="EM14" s="74">
        <f>SUM(AP14,AI14,AB14,U14,N14,AW14,BD14,BK14,BR14,BY14,CF14,CM14,CT14,DA14,DH14,DO14,DV14,EC14,EJ14)</f>
        <v>23</v>
      </c>
      <c r="EN14" s="75">
        <f ca="1">EM14/(10+TODAY()-G14)</f>
        <v>8.3032490974729242E-2</v>
      </c>
      <c r="EO14" s="76">
        <f>SUM(AQ14,AJ14,AC14,V14,O14,AX14,BE14,BL14,BS14,BZ14,CG14,CN14,CU14,DB14,DI14,DP14,DW14,ED14,EK14)</f>
        <v>5</v>
      </c>
      <c r="EP14" s="75">
        <f ca="1">EO14/(10+TODAY()-G14)</f>
        <v>1.8050541516245487E-2</v>
      </c>
      <c r="EQ14" s="76">
        <f>EM14+EO14</f>
        <v>28</v>
      </c>
      <c r="ER14" s="75">
        <f ca="1">EP14+EN14</f>
        <v>0.10108303249097472</v>
      </c>
      <c r="ES14" s="76">
        <f>SUM(AS14,AL14,AE14,X14,Q14,Q14,J14,AZ14,BG14,BN14,BU14,CB14,CI14,CP14,CW14,DD14,DK14,DR14,DY14,EF14)</f>
        <v>3</v>
      </c>
      <c r="ET14" s="76">
        <f>SUM(AT14,AM14,AF14,Y14,R14,R14,K14,BA14,BH14,BO14,BV14,CC14,CJ14,CQ14,CX14,DE14,DL14,DS14,DZ14,EG14)</f>
        <v>1</v>
      </c>
      <c r="EU14" s="76">
        <f>ET14+ES14</f>
        <v>4</v>
      </c>
    </row>
    <row r="15" spans="1:151" ht="15.75" thickBot="1" x14ac:dyDescent="0.3">
      <c r="A15" s="177" t="s">
        <v>12</v>
      </c>
      <c r="B15" s="247" t="s">
        <v>254</v>
      </c>
      <c r="C15" s="85" t="str">
        <f>B15&amp;" "&amp;A15</f>
        <v>דור מפאוג</v>
      </c>
      <c r="D15" s="23" t="s">
        <v>6</v>
      </c>
      <c r="E15" s="23" t="s">
        <v>6</v>
      </c>
      <c r="F15" s="31" t="s">
        <v>259</v>
      </c>
      <c r="G15" s="30">
        <v>43344</v>
      </c>
      <c r="H15" s="31"/>
      <c r="I15" s="35"/>
      <c r="J15" s="48"/>
      <c r="K15" s="49"/>
      <c r="L15" s="49"/>
      <c r="M15" s="49"/>
      <c r="N15" s="50"/>
      <c r="O15" s="50"/>
      <c r="P15" s="15"/>
      <c r="Q15" s="10"/>
      <c r="R15" s="12"/>
      <c r="S15" s="12"/>
      <c r="T15" s="12"/>
      <c r="U15" s="14"/>
      <c r="V15" s="14"/>
      <c r="W15" s="16"/>
      <c r="X15" s="10"/>
      <c r="Y15" s="12"/>
      <c r="Z15" s="12"/>
      <c r="AA15" s="12"/>
      <c r="AB15" s="17"/>
      <c r="AC15" s="17"/>
      <c r="AD15" s="18"/>
      <c r="AE15" s="10"/>
      <c r="AF15" s="12"/>
      <c r="AG15" s="12"/>
      <c r="AH15" s="12"/>
      <c r="AI15" s="14"/>
      <c r="AJ15" s="14"/>
      <c r="AK15" s="16"/>
      <c r="AL15" s="10"/>
      <c r="AM15" s="12"/>
      <c r="AN15" s="12"/>
      <c r="AO15" s="12"/>
      <c r="AP15" s="14"/>
      <c r="AQ15" s="14"/>
      <c r="AR15" s="16"/>
      <c r="AS15" s="10"/>
      <c r="AT15" s="12"/>
      <c r="AU15" s="12"/>
      <c r="AV15" s="12"/>
      <c r="AW15" s="14"/>
      <c r="AX15" s="14"/>
      <c r="AY15" s="16"/>
      <c r="AZ15" s="10"/>
      <c r="BA15" s="12"/>
      <c r="BB15" s="12"/>
      <c r="BC15" s="12"/>
      <c r="BD15" s="14"/>
      <c r="BE15" s="14"/>
      <c r="BF15" s="16"/>
      <c r="BG15" s="32"/>
      <c r="BH15" s="40"/>
      <c r="BI15" s="40"/>
      <c r="BJ15" s="12"/>
      <c r="BK15" s="14"/>
      <c r="BL15" s="14"/>
      <c r="BM15" s="39"/>
      <c r="BN15" s="32"/>
      <c r="BO15" s="40"/>
      <c r="BP15" s="40"/>
      <c r="BQ15" s="40"/>
      <c r="BR15" s="14"/>
      <c r="BS15" s="14"/>
      <c r="BT15" s="39"/>
      <c r="BU15" s="32"/>
      <c r="BV15" s="40"/>
      <c r="BW15" s="40"/>
      <c r="BX15" s="40"/>
      <c r="BY15" s="14"/>
      <c r="BZ15" s="14"/>
      <c r="CA15" s="39"/>
      <c r="CB15" s="78"/>
      <c r="CC15" s="40"/>
      <c r="CD15" s="40"/>
      <c r="CE15" s="79"/>
      <c r="CF15" s="14"/>
      <c r="CG15" s="14"/>
      <c r="CH15" s="39"/>
      <c r="CI15" s="40"/>
      <c r="CJ15" s="40"/>
      <c r="CK15" s="40"/>
      <c r="CL15" s="83"/>
      <c r="CM15" s="14"/>
      <c r="CN15" s="14"/>
      <c r="CO15" s="39"/>
      <c r="CP15" s="108"/>
      <c r="CQ15" s="40"/>
      <c r="CR15" s="40"/>
      <c r="CS15" s="40"/>
      <c r="CT15" s="14"/>
      <c r="CU15" s="14"/>
      <c r="CV15" s="39"/>
      <c r="CW15" s="32"/>
      <c r="CX15" s="40"/>
      <c r="CY15" s="40"/>
      <c r="CZ15" s="40"/>
      <c r="DA15" s="17">
        <f>CW15*3+CY15</f>
        <v>0</v>
      </c>
      <c r="DB15" s="17">
        <f>CX15*3+CZ15</f>
        <v>0</v>
      </c>
      <c r="DC15" s="18">
        <f>DB15+DA15</f>
        <v>0</v>
      </c>
      <c r="DD15" s="108"/>
      <c r="DE15" s="40"/>
      <c r="DF15" s="40"/>
      <c r="DG15" s="40"/>
      <c r="DH15" s="156">
        <f>DD15*3+DF15</f>
        <v>0</v>
      </c>
      <c r="DI15" s="156">
        <f>DE15*3+DG15</f>
        <v>0</v>
      </c>
      <c r="DJ15" s="18">
        <f>DI15+DH15</f>
        <v>0</v>
      </c>
      <c r="DK15" s="108">
        <v>1</v>
      </c>
      <c r="DL15" s="40"/>
      <c r="DM15" s="40">
        <v>2</v>
      </c>
      <c r="DN15" s="40"/>
      <c r="DO15" s="156">
        <f>DK15*3+DM15</f>
        <v>5</v>
      </c>
      <c r="DP15" s="156">
        <f>DL15*3+DN15</f>
        <v>0</v>
      </c>
      <c r="DQ15" s="18">
        <f>DP15+DO15</f>
        <v>5</v>
      </c>
      <c r="DR15" s="108"/>
      <c r="DS15" s="40"/>
      <c r="DT15" s="40">
        <v>2</v>
      </c>
      <c r="DU15" s="40"/>
      <c r="DV15" s="156">
        <f>DR15*3+DT15</f>
        <v>2</v>
      </c>
      <c r="DW15" s="156">
        <f>DS15*3+DU15</f>
        <v>0</v>
      </c>
      <c r="DX15" s="18">
        <f>DW15+DV15</f>
        <v>2</v>
      </c>
      <c r="DY15" s="108">
        <v>1</v>
      </c>
      <c r="DZ15" s="40"/>
      <c r="EA15" s="40"/>
      <c r="EB15" s="40"/>
      <c r="EC15" s="156">
        <f>DY15*3+EA15</f>
        <v>3</v>
      </c>
      <c r="ED15" s="156">
        <f>DZ15*3+EB15</f>
        <v>0</v>
      </c>
      <c r="EE15" s="18">
        <f>ED15+EC15</f>
        <v>3</v>
      </c>
      <c r="EF15" s="108"/>
      <c r="EG15" s="40"/>
      <c r="EH15" s="40">
        <v>2</v>
      </c>
      <c r="EI15" s="40"/>
      <c r="EJ15" s="156">
        <f>EF15*3+EH15</f>
        <v>2</v>
      </c>
      <c r="EK15" s="156">
        <f>EG15*3+EI15</f>
        <v>0</v>
      </c>
      <c r="EL15" s="18">
        <f>EK15+EJ15</f>
        <v>2</v>
      </c>
      <c r="EM15" s="74">
        <f>SUM(AP15,AI15,AB15,U15,N15,AW15,BD15,BK15,BR15,BY15,CF15,CM15,CT15,DA15,DH15,DO15,DV15,EC15,EJ15)</f>
        <v>12</v>
      </c>
      <c r="EN15" s="75">
        <f ca="1">EM15/(10+TODAY()-G15)</f>
        <v>9.6774193548387094E-2</v>
      </c>
      <c r="EO15" s="76">
        <f>SUM(AQ15,AJ15,AC15,V15,O15,AX15,BE15,BL15,BS15,BZ15,CG15,CN15,CU15,DB15,DI15,DP15,DW15,ED15,EK15)</f>
        <v>0</v>
      </c>
      <c r="EP15" s="75">
        <f ca="1">EO15/(10+TODAY()-G15)</f>
        <v>0</v>
      </c>
      <c r="EQ15" s="76">
        <f>EM15+EO15</f>
        <v>12</v>
      </c>
      <c r="ER15" s="75">
        <f ca="1">EP15+EN15</f>
        <v>9.6774193548387094E-2</v>
      </c>
      <c r="ES15" s="76">
        <f>SUM(AS15,AL15,AE15,X15,Q15,Q15,J15,AZ15,BG15,BN15,BU15,CB15,CI15,CP15,CW15,DD15,DK15,DR15,DY15,EF15)</f>
        <v>2</v>
      </c>
      <c r="ET15" s="76">
        <f>SUM(AT15,AM15,AF15,Y15,R15,R15,K15,BA15,BH15,BO15,BV15,CC15,CJ15,CQ15,CX15,DE15,DL15,DS15,DZ15,EG15)</f>
        <v>0</v>
      </c>
      <c r="EU15" s="76">
        <f>ET15+ES15</f>
        <v>2</v>
      </c>
    </row>
    <row r="16" spans="1:151" ht="15.75" thickBot="1" x14ac:dyDescent="0.3">
      <c r="A16" s="177" t="s">
        <v>63</v>
      </c>
      <c r="B16" s="247" t="s">
        <v>279</v>
      </c>
      <c r="C16" s="85" t="str">
        <f>B16&amp;" "&amp;A16</f>
        <v>דקל אחודה</v>
      </c>
      <c r="D16" s="23" t="s">
        <v>6</v>
      </c>
      <c r="E16" s="23" t="s">
        <v>7</v>
      </c>
      <c r="F16" s="31" t="s">
        <v>275</v>
      </c>
      <c r="G16" s="30">
        <v>43393</v>
      </c>
      <c r="H16" s="31"/>
      <c r="I16" s="13"/>
      <c r="J16" s="48"/>
      <c r="K16" s="49"/>
      <c r="L16" s="49"/>
      <c r="M16" s="49"/>
      <c r="N16" s="50"/>
      <c r="O16" s="50"/>
      <c r="P16" s="15"/>
      <c r="Q16" s="10"/>
      <c r="R16" s="12"/>
      <c r="S16" s="12"/>
      <c r="T16" s="12"/>
      <c r="U16" s="14"/>
      <c r="V16" s="14"/>
      <c r="W16" s="16"/>
      <c r="X16" s="10"/>
      <c r="Y16" s="12"/>
      <c r="Z16" s="12"/>
      <c r="AA16" s="12"/>
      <c r="AB16" s="17"/>
      <c r="AC16" s="17"/>
      <c r="AD16" s="18"/>
      <c r="AE16" s="10"/>
      <c r="AF16" s="12"/>
      <c r="AG16" s="12"/>
      <c r="AH16" s="12"/>
      <c r="AI16" s="14"/>
      <c r="AJ16" s="14"/>
      <c r="AK16" s="16"/>
      <c r="AL16" s="10"/>
      <c r="AM16" s="12"/>
      <c r="AN16" s="12"/>
      <c r="AO16" s="12"/>
      <c r="AP16" s="14"/>
      <c r="AQ16" s="14"/>
      <c r="AR16" s="16"/>
      <c r="AS16" s="10"/>
      <c r="AT16" s="12"/>
      <c r="AU16" s="12"/>
      <c r="AV16" s="12"/>
      <c r="AW16" s="14"/>
      <c r="AX16" s="14"/>
      <c r="AY16" s="16"/>
      <c r="AZ16" s="10"/>
      <c r="BA16" s="12"/>
      <c r="BB16" s="12"/>
      <c r="BC16" s="12"/>
      <c r="BD16" s="14"/>
      <c r="BE16" s="14"/>
      <c r="BF16" s="16"/>
      <c r="BG16" s="32"/>
      <c r="BH16" s="40"/>
      <c r="BI16" s="12"/>
      <c r="BJ16" s="12"/>
      <c r="BK16" s="14"/>
      <c r="BL16" s="14"/>
      <c r="BM16" s="39"/>
      <c r="BN16" s="32"/>
      <c r="BO16" s="40"/>
      <c r="BP16" s="40"/>
      <c r="BQ16" s="40"/>
      <c r="BR16" s="14"/>
      <c r="BS16" s="14"/>
      <c r="BT16" s="39"/>
      <c r="BU16" s="32"/>
      <c r="BV16" s="40"/>
      <c r="BW16" s="40"/>
      <c r="BX16" s="40"/>
      <c r="BY16" s="14"/>
      <c r="BZ16" s="14"/>
      <c r="CA16" s="39"/>
      <c r="CB16" s="32"/>
      <c r="CC16" s="40"/>
      <c r="CD16" s="40"/>
      <c r="CE16" s="79"/>
      <c r="CF16" s="14"/>
      <c r="CG16" s="14"/>
      <c r="CH16" s="39"/>
      <c r="CI16" s="40"/>
      <c r="CJ16" s="40"/>
      <c r="CK16" s="40"/>
      <c r="CL16" s="83"/>
      <c r="CM16" s="14"/>
      <c r="CN16" s="14"/>
      <c r="CO16" s="39"/>
      <c r="CP16" s="108"/>
      <c r="CQ16" s="40"/>
      <c r="CR16" s="40"/>
      <c r="CS16" s="40"/>
      <c r="CT16" s="14"/>
      <c r="CU16" s="14"/>
      <c r="CV16" s="39"/>
      <c r="CW16" s="32"/>
      <c r="CX16" s="40"/>
      <c r="CY16" s="40"/>
      <c r="CZ16" s="40"/>
      <c r="DA16" s="17"/>
      <c r="DB16" s="17"/>
      <c r="DC16" s="18"/>
      <c r="DD16" s="108"/>
      <c r="DE16" s="40"/>
      <c r="DF16" s="40"/>
      <c r="DG16" s="40"/>
      <c r="DH16" s="156">
        <f>DD16*3+DF16</f>
        <v>0</v>
      </c>
      <c r="DI16" s="156">
        <f>DE16*3+DG16</f>
        <v>0</v>
      </c>
      <c r="DJ16" s="18">
        <f>DI16+DH16</f>
        <v>0</v>
      </c>
      <c r="DK16" s="108"/>
      <c r="DL16" s="40"/>
      <c r="DM16" s="40"/>
      <c r="DN16" s="40"/>
      <c r="DO16" s="156">
        <f>DK16*3+DM16</f>
        <v>0</v>
      </c>
      <c r="DP16" s="156">
        <f>DL16*3+DN16</f>
        <v>0</v>
      </c>
      <c r="DQ16" s="18">
        <f>DP16+DO16</f>
        <v>0</v>
      </c>
      <c r="DR16" s="108"/>
      <c r="DS16" s="40"/>
      <c r="DT16" s="40">
        <v>1</v>
      </c>
      <c r="DU16" s="40">
        <v>2</v>
      </c>
      <c r="DV16" s="156">
        <f>DR16*3+DT16</f>
        <v>1</v>
      </c>
      <c r="DW16" s="156">
        <f>DS16*3+DU16</f>
        <v>2</v>
      </c>
      <c r="DX16" s="18">
        <f>DW16+DV16</f>
        <v>3</v>
      </c>
      <c r="DY16" s="108">
        <v>1</v>
      </c>
      <c r="DZ16" s="40"/>
      <c r="EA16" s="40">
        <v>1</v>
      </c>
      <c r="EB16" s="40"/>
      <c r="EC16" s="156">
        <f>DY16*3+EA16</f>
        <v>4</v>
      </c>
      <c r="ED16" s="156">
        <f>DZ16*3+EB16</f>
        <v>0</v>
      </c>
      <c r="EE16" s="18">
        <f>ED16+EC16</f>
        <v>4</v>
      </c>
      <c r="EF16" s="108"/>
      <c r="EG16" s="40"/>
      <c r="EH16" s="40">
        <v>2</v>
      </c>
      <c r="EI16" s="40"/>
      <c r="EJ16" s="156">
        <f>EF16*3+EH16</f>
        <v>2</v>
      </c>
      <c r="EK16" s="156">
        <f>EG16*3+EI16</f>
        <v>0</v>
      </c>
      <c r="EL16" s="18">
        <f>EK16+EJ16</f>
        <v>2</v>
      </c>
      <c r="EM16" s="74">
        <f>SUM(AP16,AI16,AB16,U16,N16,AW16,BD16,BK16,BR16,BY16,CF16,CM16,CT16,DA16,DH16,DO16,DV16,EC16,EJ16)</f>
        <v>7</v>
      </c>
      <c r="EN16" s="75">
        <f ca="1">EM16/(10+TODAY()-G16)</f>
        <v>9.3333333333333338E-2</v>
      </c>
      <c r="EO16" s="76">
        <f>SUM(AQ16,AJ16,AC16,V16,O16,AX16,BE16,BL16,BS16,BZ16,CG16,CN16,CU16,DB16,DI16,DP16,DW16,ED16,EK16)</f>
        <v>2</v>
      </c>
      <c r="EP16" s="75">
        <f ca="1">EO16/(10+TODAY()-G16)</f>
        <v>2.6666666666666668E-2</v>
      </c>
      <c r="EQ16" s="76">
        <f>EM16+EO16</f>
        <v>9</v>
      </c>
      <c r="ER16" s="75">
        <f ca="1">EP16+EN16</f>
        <v>0.12000000000000001</v>
      </c>
      <c r="ES16" s="76">
        <f>SUM(AS16,AL16,AE16,X16,Q16,Q16,J16,AZ16,BG16,BN16,BU16,CB16,CI16,CP16,CW16,DD16,DK16,DR16,DY16,EF16)</f>
        <v>1</v>
      </c>
      <c r="ET16" s="76">
        <f>SUM(AT16,AM16,AF16,Y16,R16,R16,K16,BA16,BH16,BO16,BV16,CC16,CJ16,CQ16,CX16,DE16,DL16,DS16,DZ16,EG16)</f>
        <v>0</v>
      </c>
      <c r="EU16" s="76">
        <f>ET16+ES16</f>
        <v>1</v>
      </c>
    </row>
    <row r="17" spans="1:151" ht="15.75" thickBot="1" x14ac:dyDescent="0.3">
      <c r="A17" s="10">
        <v>209</v>
      </c>
      <c r="B17" s="24" t="s">
        <v>97</v>
      </c>
      <c r="C17" s="26" t="str">
        <f>B17&amp;" "&amp;A17</f>
        <v>ולריה 209</v>
      </c>
      <c r="D17" s="23" t="s">
        <v>6</v>
      </c>
      <c r="E17" s="23" t="s">
        <v>7</v>
      </c>
      <c r="F17" s="31" t="s">
        <v>146</v>
      </c>
      <c r="G17" s="30">
        <v>43040</v>
      </c>
      <c r="H17" s="31"/>
      <c r="I17" s="13"/>
      <c r="J17" s="48"/>
      <c r="K17" s="49"/>
      <c r="L17" s="49"/>
      <c r="M17" s="49"/>
      <c r="N17" s="50">
        <f>J17*3+L17</f>
        <v>0</v>
      </c>
      <c r="O17" s="50">
        <f>K17*3+M17</f>
        <v>0</v>
      </c>
      <c r="P17" s="15">
        <f>O17+N17</f>
        <v>0</v>
      </c>
      <c r="Q17" s="10"/>
      <c r="R17" s="12"/>
      <c r="S17" s="12"/>
      <c r="T17" s="12"/>
      <c r="U17" s="14">
        <f>Q17*3+S17</f>
        <v>0</v>
      </c>
      <c r="V17" s="14">
        <f>R17*3+T17</f>
        <v>0</v>
      </c>
      <c r="W17" s="16">
        <f>V17+U17</f>
        <v>0</v>
      </c>
      <c r="X17" s="10"/>
      <c r="Y17" s="12"/>
      <c r="Z17" s="12"/>
      <c r="AA17" s="12"/>
      <c r="AB17" s="17">
        <f>X17*3+Z17</f>
        <v>0</v>
      </c>
      <c r="AC17" s="17">
        <f>Y17*3+AA17</f>
        <v>0</v>
      </c>
      <c r="AD17" s="18">
        <f>AC17+AB17</f>
        <v>0</v>
      </c>
      <c r="AE17" s="10"/>
      <c r="AF17" s="12"/>
      <c r="AG17" s="12"/>
      <c r="AH17" s="12"/>
      <c r="AI17" s="14">
        <f>AE17*3+AG17</f>
        <v>0</v>
      </c>
      <c r="AJ17" s="14">
        <f>AF17*3+AH17</f>
        <v>0</v>
      </c>
      <c r="AK17" s="16">
        <f>AJ17+AI17</f>
        <v>0</v>
      </c>
      <c r="AL17" s="10"/>
      <c r="AM17" s="12"/>
      <c r="AN17" s="12"/>
      <c r="AO17" s="12"/>
      <c r="AP17" s="14">
        <f>AL17*3+AN17</f>
        <v>0</v>
      </c>
      <c r="AQ17" s="14">
        <f>AM17*3+AO17</f>
        <v>0</v>
      </c>
      <c r="AR17" s="16">
        <f>AQ17+AP17</f>
        <v>0</v>
      </c>
      <c r="AS17" s="10"/>
      <c r="AT17" s="12"/>
      <c r="AU17" s="12">
        <v>1</v>
      </c>
      <c r="AV17" s="12"/>
      <c r="AW17" s="14">
        <f>AS17*3+AU17</f>
        <v>1</v>
      </c>
      <c r="AX17" s="14">
        <f>AT17*3+AV17</f>
        <v>0</v>
      </c>
      <c r="AY17" s="16">
        <f>AX17+AW17</f>
        <v>1</v>
      </c>
      <c r="AZ17" s="10">
        <v>1</v>
      </c>
      <c r="BA17" s="12"/>
      <c r="BB17" s="12">
        <v>2</v>
      </c>
      <c r="BC17" s="12"/>
      <c r="BD17" s="14">
        <f>AZ17*3+BB17</f>
        <v>5</v>
      </c>
      <c r="BE17" s="14">
        <f>BA17*3+BC17</f>
        <v>0</v>
      </c>
      <c r="BF17" s="16">
        <f>BE17+BD17</f>
        <v>5</v>
      </c>
      <c r="BG17" s="32"/>
      <c r="BH17" s="40"/>
      <c r="BI17" s="12">
        <v>3</v>
      </c>
      <c r="BJ17" s="12"/>
      <c r="BK17" s="14">
        <f>BG17*3+BI17</f>
        <v>3</v>
      </c>
      <c r="BL17" s="14">
        <f>BH17*3+BJ17</f>
        <v>0</v>
      </c>
      <c r="BM17" s="39">
        <f>BL17+BK17</f>
        <v>3</v>
      </c>
      <c r="BN17" s="32"/>
      <c r="BO17" s="40">
        <v>1</v>
      </c>
      <c r="BP17" s="40">
        <v>3</v>
      </c>
      <c r="BQ17" s="40"/>
      <c r="BR17" s="14">
        <f>BN17*3+BP17</f>
        <v>3</v>
      </c>
      <c r="BS17" s="14">
        <f>BO17*3+BQ17</f>
        <v>3</v>
      </c>
      <c r="BT17" s="39">
        <f>BS17+BR17</f>
        <v>6</v>
      </c>
      <c r="BU17" s="32">
        <v>1</v>
      </c>
      <c r="BV17" s="40"/>
      <c r="BW17" s="40">
        <v>1</v>
      </c>
      <c r="BX17" s="40"/>
      <c r="BY17" s="14">
        <f>BU17*3+BW17</f>
        <v>4</v>
      </c>
      <c r="BZ17" s="14">
        <f>BV17*3+BX17</f>
        <v>0</v>
      </c>
      <c r="CA17" s="39">
        <f>BZ17+BY17</f>
        <v>4</v>
      </c>
      <c r="CB17" s="32"/>
      <c r="CC17" s="40"/>
      <c r="CD17" s="40">
        <v>1</v>
      </c>
      <c r="CE17" s="79"/>
      <c r="CF17" s="14">
        <f>CB17*3+CD17</f>
        <v>1</v>
      </c>
      <c r="CG17" s="14">
        <f>CC17*3+CE17</f>
        <v>0</v>
      </c>
      <c r="CH17" s="39">
        <f>CG17+CF17</f>
        <v>1</v>
      </c>
      <c r="CI17" s="40"/>
      <c r="CJ17" s="40"/>
      <c r="CK17" s="40">
        <v>2</v>
      </c>
      <c r="CL17" s="83"/>
      <c r="CM17" s="14">
        <f>CI17*3+CK17</f>
        <v>2</v>
      </c>
      <c r="CN17" s="14">
        <f>CJ17*3+CL17</f>
        <v>0</v>
      </c>
      <c r="CO17" s="39">
        <f>CN17+CM17</f>
        <v>2</v>
      </c>
      <c r="CP17" s="108">
        <v>1</v>
      </c>
      <c r="CQ17" s="40"/>
      <c r="CR17" s="40">
        <v>1</v>
      </c>
      <c r="CS17" s="40"/>
      <c r="CT17" s="14">
        <f>CP17*3+CR17</f>
        <v>4</v>
      </c>
      <c r="CU17" s="14">
        <f>CQ17*3+CS17</f>
        <v>0</v>
      </c>
      <c r="CV17" s="39">
        <f>CU17+CT17</f>
        <v>4</v>
      </c>
      <c r="CW17" s="32"/>
      <c r="CX17" s="40"/>
      <c r="CY17" s="40">
        <v>2</v>
      </c>
      <c r="CZ17" s="40"/>
      <c r="DA17" s="17">
        <f>CW17*3+CY17</f>
        <v>2</v>
      </c>
      <c r="DB17" s="17">
        <f>CX17*3+CZ17</f>
        <v>0</v>
      </c>
      <c r="DC17" s="18">
        <f>DB17+DA17</f>
        <v>2</v>
      </c>
      <c r="DD17" s="108">
        <v>1</v>
      </c>
      <c r="DE17" s="40"/>
      <c r="DF17" s="40"/>
      <c r="DG17" s="40"/>
      <c r="DH17" s="156">
        <f>DD17*3+DF17</f>
        <v>3</v>
      </c>
      <c r="DI17" s="156">
        <f>DE17*3+DG17</f>
        <v>0</v>
      </c>
      <c r="DJ17" s="18">
        <f>DI17+DH17</f>
        <v>3</v>
      </c>
      <c r="DK17" s="108"/>
      <c r="DL17" s="40"/>
      <c r="DM17" s="40">
        <v>4</v>
      </c>
      <c r="DN17" s="40">
        <v>2</v>
      </c>
      <c r="DO17" s="156">
        <f>DK17*3+DM17</f>
        <v>4</v>
      </c>
      <c r="DP17" s="156">
        <f>DL17*3+DN17</f>
        <v>2</v>
      </c>
      <c r="DQ17" s="18">
        <f>DP17+DO17</f>
        <v>6</v>
      </c>
      <c r="DR17" s="108"/>
      <c r="DS17" s="40"/>
      <c r="DT17" s="40">
        <v>1</v>
      </c>
      <c r="DU17" s="40"/>
      <c r="DV17" s="156">
        <f>DR17*3+DT17</f>
        <v>1</v>
      </c>
      <c r="DW17" s="156">
        <f>DS17*3+DU17</f>
        <v>0</v>
      </c>
      <c r="DX17" s="18">
        <f>DW17+DV17</f>
        <v>1</v>
      </c>
      <c r="DY17" s="108">
        <v>1</v>
      </c>
      <c r="DZ17" s="40"/>
      <c r="EA17" s="40"/>
      <c r="EB17" s="40">
        <v>1</v>
      </c>
      <c r="EC17" s="156">
        <f>DY17*3+EA17</f>
        <v>3</v>
      </c>
      <c r="ED17" s="156">
        <f>DZ17*3+EB17</f>
        <v>1</v>
      </c>
      <c r="EE17" s="18">
        <f>ED17+EC17</f>
        <v>4</v>
      </c>
      <c r="EF17" s="108"/>
      <c r="EG17" s="40"/>
      <c r="EH17" s="40">
        <v>1</v>
      </c>
      <c r="EI17" s="40">
        <v>1</v>
      </c>
      <c r="EJ17" s="156">
        <f>EF17*3+EH17</f>
        <v>1</v>
      </c>
      <c r="EK17" s="156">
        <f>EG17*3+EI17</f>
        <v>1</v>
      </c>
      <c r="EL17" s="18">
        <f>EK17+EJ17</f>
        <v>2</v>
      </c>
      <c r="EM17" s="74">
        <f>SUM(AP17,AI17,AB17,U17,N17,AW17,BD17,BK17,BR17,BY17,CF17,CM17,CT17,DA17,DH17,DO17,DV17,EC17,EJ17)</f>
        <v>37</v>
      </c>
      <c r="EN17" s="75">
        <f ca="1">EM17/(10+TODAY()-G17)</f>
        <v>8.6448598130841117E-2</v>
      </c>
      <c r="EO17" s="76">
        <f>SUM(AQ17,AJ17,AC17,V17,O17,AX17,BE17,BL17,BS17,BZ17,CG17,CN17,CU17,DB17,DI17,DP17,DW17,ED17,EK17)</f>
        <v>7</v>
      </c>
      <c r="EP17" s="75">
        <f ca="1">EO17/(10+TODAY()-G17)</f>
        <v>1.6355140186915886E-2</v>
      </c>
      <c r="EQ17" s="76">
        <f>EM17+EO17</f>
        <v>44</v>
      </c>
      <c r="ER17" s="75">
        <f ca="1">EP17+EN17</f>
        <v>0.10280373831775701</v>
      </c>
      <c r="ES17" s="76">
        <f>SUM(AS17,AL17,AE17,X17,Q17,Q17,J17,AZ17,BG17,BN17,BU17,CB17,CI17,CP17,CW17,DD17,DK17,DR17,DY17,EF17)</f>
        <v>5</v>
      </c>
      <c r="ET17" s="76">
        <f>SUM(AT17,AM17,AF17,Y17,R17,R17,K17,BA17,BH17,BO17,BV17,CC17,CJ17,CQ17,CX17,DE17,DL17,DS17,DZ17,EG17)</f>
        <v>1</v>
      </c>
      <c r="EU17" s="76">
        <f>ET17+ES17</f>
        <v>6</v>
      </c>
    </row>
    <row r="18" spans="1:151" ht="15.75" thickBot="1" x14ac:dyDescent="0.3">
      <c r="A18" s="177" t="s">
        <v>14</v>
      </c>
      <c r="B18" s="247" t="s">
        <v>189</v>
      </c>
      <c r="C18" s="85" t="str">
        <f>B18&amp;" "&amp;A18</f>
        <v>יונתן מרחבים</v>
      </c>
      <c r="D18" s="23" t="s">
        <v>6</v>
      </c>
      <c r="E18" s="23" t="s">
        <v>7</v>
      </c>
      <c r="F18" s="31" t="s">
        <v>188</v>
      </c>
      <c r="G18" s="30">
        <v>43230</v>
      </c>
      <c r="H18" s="42"/>
      <c r="I18" s="35" t="s">
        <v>190</v>
      </c>
      <c r="J18" s="48"/>
      <c r="K18" s="49"/>
      <c r="L18" s="49"/>
      <c r="M18" s="49"/>
      <c r="N18" s="50">
        <f>J18*3+L18</f>
        <v>0</v>
      </c>
      <c r="O18" s="50">
        <f>K18*3+M18</f>
        <v>0</v>
      </c>
      <c r="P18" s="15">
        <f>O18+N18</f>
        <v>0</v>
      </c>
      <c r="Q18" s="10"/>
      <c r="R18" s="12"/>
      <c r="S18" s="12"/>
      <c r="T18" s="12"/>
      <c r="U18" s="14">
        <f>Q18*3+S18</f>
        <v>0</v>
      </c>
      <c r="V18" s="14">
        <f>R18*3+T18</f>
        <v>0</v>
      </c>
      <c r="W18" s="16">
        <f>V18+U18</f>
        <v>0</v>
      </c>
      <c r="X18" s="10"/>
      <c r="Y18" s="12"/>
      <c r="Z18" s="12"/>
      <c r="AA18" s="12"/>
      <c r="AB18" s="17">
        <f>X18*3+Z18</f>
        <v>0</v>
      </c>
      <c r="AC18" s="17">
        <f>Y18*3+AA18</f>
        <v>0</v>
      </c>
      <c r="AD18" s="18">
        <f>AC18+AB18</f>
        <v>0</v>
      </c>
      <c r="AE18" s="10"/>
      <c r="AF18" s="12"/>
      <c r="AG18" s="12"/>
      <c r="AH18" s="12"/>
      <c r="AI18" s="14">
        <f>AE18*3+AG18</f>
        <v>0</v>
      </c>
      <c r="AJ18" s="14">
        <f>AF18*3+AH18</f>
        <v>0</v>
      </c>
      <c r="AK18" s="16">
        <f>AJ18+AI18</f>
        <v>0</v>
      </c>
      <c r="AL18" s="10"/>
      <c r="AM18" s="12"/>
      <c r="AN18" s="12"/>
      <c r="AO18" s="12"/>
      <c r="AP18" s="14">
        <f>AL18*3+AN18</f>
        <v>0</v>
      </c>
      <c r="AQ18" s="14">
        <f>AM18*3+AO18</f>
        <v>0</v>
      </c>
      <c r="AR18" s="16">
        <f>AQ18+AP18</f>
        <v>0</v>
      </c>
      <c r="AS18" s="10"/>
      <c r="AT18" s="12"/>
      <c r="AU18" s="12"/>
      <c r="AV18" s="12"/>
      <c r="AW18" s="14">
        <f>AS18*3+AU18</f>
        <v>0</v>
      </c>
      <c r="AX18" s="14">
        <f>AT18*3+AV18</f>
        <v>0</v>
      </c>
      <c r="AY18" s="16">
        <f>AX18+AW18</f>
        <v>0</v>
      </c>
      <c r="AZ18" s="10"/>
      <c r="BA18" s="12"/>
      <c r="BB18" s="12"/>
      <c r="BC18" s="12"/>
      <c r="BD18" s="14">
        <f>AZ18*3+BB18</f>
        <v>0</v>
      </c>
      <c r="BE18" s="14">
        <f>BA18*3+BC18</f>
        <v>0</v>
      </c>
      <c r="BF18" s="16">
        <f>BE18+BD18</f>
        <v>0</v>
      </c>
      <c r="BG18" s="32"/>
      <c r="BH18" s="40"/>
      <c r="BI18" s="12"/>
      <c r="BJ18" s="12"/>
      <c r="BK18" s="14">
        <f>BG18*3+BI18</f>
        <v>0</v>
      </c>
      <c r="BL18" s="14">
        <f>BH18*3+BJ18</f>
        <v>0</v>
      </c>
      <c r="BM18" s="39">
        <f>BL18+BK18</f>
        <v>0</v>
      </c>
      <c r="BN18" s="32"/>
      <c r="BO18" s="40"/>
      <c r="BP18" s="40"/>
      <c r="BQ18" s="40"/>
      <c r="BR18" s="14">
        <f>BN18*3+BP18</f>
        <v>0</v>
      </c>
      <c r="BS18" s="14">
        <f>BO18*3+BQ18</f>
        <v>0</v>
      </c>
      <c r="BT18" s="39">
        <f>BS18+BR18</f>
        <v>0</v>
      </c>
      <c r="BU18" s="32"/>
      <c r="BV18" s="40"/>
      <c r="BW18" s="40"/>
      <c r="BX18" s="40"/>
      <c r="BY18" s="14">
        <f>BU18*3+BW18</f>
        <v>0</v>
      </c>
      <c r="BZ18" s="14">
        <f>BV18*3+BX18</f>
        <v>0</v>
      </c>
      <c r="CA18" s="39">
        <f>BZ18+BY18</f>
        <v>0</v>
      </c>
      <c r="CB18" s="32"/>
      <c r="CC18" s="40"/>
      <c r="CD18" s="40"/>
      <c r="CE18" s="79"/>
      <c r="CF18" s="14">
        <f>CB18*3+CD18</f>
        <v>0</v>
      </c>
      <c r="CG18" s="14">
        <f>CC18*3+CE18</f>
        <v>0</v>
      </c>
      <c r="CH18" s="39">
        <f>CG18+CF18</f>
        <v>0</v>
      </c>
      <c r="CI18" s="40"/>
      <c r="CJ18" s="40"/>
      <c r="CK18" s="40">
        <v>1</v>
      </c>
      <c r="CL18" s="83"/>
      <c r="CM18" s="14">
        <f>CI18*3+CK18</f>
        <v>1</v>
      </c>
      <c r="CN18" s="14">
        <f>CJ18*3+CL18</f>
        <v>0</v>
      </c>
      <c r="CO18" s="39">
        <f>CN18+CM18</f>
        <v>1</v>
      </c>
      <c r="CP18" s="108"/>
      <c r="CQ18" s="40"/>
      <c r="CR18" s="40">
        <v>3</v>
      </c>
      <c r="CS18" s="40"/>
      <c r="CT18" s="14">
        <f>CP18*3+CR18</f>
        <v>3</v>
      </c>
      <c r="CU18" s="14">
        <f>CQ18*3+CS18</f>
        <v>0</v>
      </c>
      <c r="CV18" s="39">
        <f>CU18+CT18</f>
        <v>3</v>
      </c>
      <c r="CW18" s="32"/>
      <c r="CX18" s="40"/>
      <c r="CY18" s="40">
        <v>3</v>
      </c>
      <c r="CZ18" s="40"/>
      <c r="DA18" s="17">
        <f>CW18*3+CY18</f>
        <v>3</v>
      </c>
      <c r="DB18" s="17">
        <f>CX18*3+CZ18</f>
        <v>0</v>
      </c>
      <c r="DC18" s="18">
        <f>DB18+DA18</f>
        <v>3</v>
      </c>
      <c r="DD18" s="108"/>
      <c r="DE18" s="40">
        <v>1</v>
      </c>
      <c r="DF18" s="40">
        <v>1</v>
      </c>
      <c r="DG18" s="40"/>
      <c r="DH18" s="156">
        <f>DD18*3+DF18</f>
        <v>1</v>
      </c>
      <c r="DI18" s="156">
        <f>DE18*3+DG18</f>
        <v>3</v>
      </c>
      <c r="DJ18" s="18">
        <f>DI18+DH18</f>
        <v>4</v>
      </c>
      <c r="DK18" s="108"/>
      <c r="DL18" s="40"/>
      <c r="DM18" s="40">
        <v>2</v>
      </c>
      <c r="DN18" s="40"/>
      <c r="DO18" s="156">
        <f>DK18*3+DM18</f>
        <v>2</v>
      </c>
      <c r="DP18" s="156">
        <f>DL18*3+DN18</f>
        <v>0</v>
      </c>
      <c r="DQ18" s="18">
        <f>DP18+DO18</f>
        <v>2</v>
      </c>
      <c r="DR18" s="108">
        <v>1</v>
      </c>
      <c r="DS18" s="40"/>
      <c r="DT18" s="40">
        <v>2</v>
      </c>
      <c r="DU18" s="40"/>
      <c r="DV18" s="156">
        <f>DR18*3+DT18</f>
        <v>5</v>
      </c>
      <c r="DW18" s="156">
        <f>DS18*3+DU18</f>
        <v>0</v>
      </c>
      <c r="DX18" s="18">
        <f>DW18+DV18</f>
        <v>5</v>
      </c>
      <c r="DY18" s="108">
        <v>1</v>
      </c>
      <c r="DZ18" s="40"/>
      <c r="EA18" s="40">
        <v>1</v>
      </c>
      <c r="EB18" s="40"/>
      <c r="EC18" s="156">
        <f>DY18*3+EA18</f>
        <v>4</v>
      </c>
      <c r="ED18" s="156">
        <f>DZ18*3+EB18</f>
        <v>0</v>
      </c>
      <c r="EE18" s="18">
        <f>ED18+EC18</f>
        <v>4</v>
      </c>
      <c r="EF18" s="108"/>
      <c r="EG18" s="40"/>
      <c r="EH18" s="40">
        <v>2</v>
      </c>
      <c r="EI18" s="40"/>
      <c r="EJ18" s="156">
        <f>EF18*3+EH18</f>
        <v>2</v>
      </c>
      <c r="EK18" s="156">
        <f>EG18*3+EI18</f>
        <v>0</v>
      </c>
      <c r="EL18" s="18">
        <f>EK18+EJ18</f>
        <v>2</v>
      </c>
      <c r="EM18" s="74">
        <f>SUM(AP18,AI18,AB18,U18,N18,AW18,BD18,BK18,BR18,BY18,CF18,CM18,CT18,DA18,DH18,DO18,DV18,EC18,EJ18)</f>
        <v>21</v>
      </c>
      <c r="EN18" s="75">
        <f ca="1">EM18/(10+TODAY()-G18)</f>
        <v>8.8235294117647065E-2</v>
      </c>
      <c r="EO18" s="76">
        <f>SUM(AQ18,AJ18,AC18,V18,O18,AX18,BE18,BL18,BS18,BZ18,CG18,CN18,CU18,DB18,DI18,DP18,DW18,ED18,EK18)</f>
        <v>3</v>
      </c>
      <c r="EP18" s="75">
        <f ca="1">EO18/(10+TODAY()-G18)</f>
        <v>1.2605042016806723E-2</v>
      </c>
      <c r="EQ18" s="76">
        <f>EM18+EO18</f>
        <v>24</v>
      </c>
      <c r="ER18" s="75">
        <f ca="1">EP18+EN18</f>
        <v>0.10084033613445378</v>
      </c>
      <c r="ES18" s="76">
        <f>SUM(AS18,AL18,AE18,X18,Q18,Q18,J18,AZ18,BG18,BN18,BU18,CB18,CI18,CP18,CW18,DD18,DK18,DR18,DY18,EF18)</f>
        <v>2</v>
      </c>
      <c r="ET18" s="76">
        <f>SUM(AT18,AM18,AF18,Y18,R18,R18,K18,BA18,BH18,BO18,BV18,CC18,CJ18,CQ18,CX18,DE18,DL18,DS18,DZ18,EG18)</f>
        <v>1</v>
      </c>
      <c r="EU18" s="76">
        <f>ET18+ES18</f>
        <v>3</v>
      </c>
    </row>
    <row r="19" spans="1:151" ht="15.75" thickBot="1" x14ac:dyDescent="0.3">
      <c r="A19" s="10">
        <v>9</v>
      </c>
      <c r="B19" s="24" t="s">
        <v>96</v>
      </c>
      <c r="C19" s="26" t="str">
        <f>B19&amp;" "&amp;A19</f>
        <v>ירדן 9</v>
      </c>
      <c r="D19" s="23" t="s">
        <v>6</v>
      </c>
      <c r="E19" s="23" t="s">
        <v>7</v>
      </c>
      <c r="F19" s="31" t="s">
        <v>146</v>
      </c>
      <c r="G19" s="30">
        <v>43040</v>
      </c>
      <c r="H19" s="31"/>
      <c r="I19" s="13"/>
      <c r="J19" s="48"/>
      <c r="K19" s="49"/>
      <c r="L19" s="49"/>
      <c r="M19" s="49"/>
      <c r="N19" s="50">
        <f>J19*3+L19</f>
        <v>0</v>
      </c>
      <c r="O19" s="50">
        <f>K19*3+M19</f>
        <v>0</v>
      </c>
      <c r="P19" s="15">
        <f>O19+N19</f>
        <v>0</v>
      </c>
      <c r="Q19" s="10"/>
      <c r="R19" s="12"/>
      <c r="S19" s="12"/>
      <c r="T19" s="12"/>
      <c r="U19" s="14">
        <f>Q19*3+S19</f>
        <v>0</v>
      </c>
      <c r="V19" s="14">
        <f>R19*3+T19</f>
        <v>0</v>
      </c>
      <c r="W19" s="16">
        <f>V19+U19</f>
        <v>0</v>
      </c>
      <c r="X19" s="10"/>
      <c r="Y19" s="12"/>
      <c r="Z19" s="12"/>
      <c r="AA19" s="12"/>
      <c r="AB19" s="17">
        <f>X19*3+Z19</f>
        <v>0</v>
      </c>
      <c r="AC19" s="17">
        <f>Y19*3+AA19</f>
        <v>0</v>
      </c>
      <c r="AD19" s="18">
        <f>AC19+AB19</f>
        <v>0</v>
      </c>
      <c r="AE19" s="10"/>
      <c r="AF19" s="12"/>
      <c r="AG19" s="12"/>
      <c r="AH19" s="12"/>
      <c r="AI19" s="14">
        <f>AE19*3+AG19</f>
        <v>0</v>
      </c>
      <c r="AJ19" s="14">
        <f>AF19*3+AH19</f>
        <v>0</v>
      </c>
      <c r="AK19" s="16">
        <f>AJ19+AI19</f>
        <v>0</v>
      </c>
      <c r="AL19" s="10"/>
      <c r="AM19" s="12"/>
      <c r="AN19" s="12"/>
      <c r="AO19" s="12"/>
      <c r="AP19" s="14">
        <f>AL19*3+AN19</f>
        <v>0</v>
      </c>
      <c r="AQ19" s="14">
        <f>AM19*3+AO19</f>
        <v>0</v>
      </c>
      <c r="AR19" s="16">
        <f>AQ19+AP19</f>
        <v>0</v>
      </c>
      <c r="AS19" s="10">
        <v>1</v>
      </c>
      <c r="AT19" s="12"/>
      <c r="AU19" s="12"/>
      <c r="AV19" s="12"/>
      <c r="AW19" s="14">
        <f>AS19*3+AU19</f>
        <v>3</v>
      </c>
      <c r="AX19" s="14">
        <f>AT19*3+AV19</f>
        <v>0</v>
      </c>
      <c r="AY19" s="16">
        <f>AX19+AW19</f>
        <v>3</v>
      </c>
      <c r="AZ19" s="10"/>
      <c r="BA19" s="12"/>
      <c r="BB19" s="12">
        <v>3</v>
      </c>
      <c r="BC19" s="12"/>
      <c r="BD19" s="14">
        <f>AZ19*3+BB19</f>
        <v>3</v>
      </c>
      <c r="BE19" s="14">
        <f>BA19*3+BC19</f>
        <v>0</v>
      </c>
      <c r="BF19" s="16">
        <f>BE19+BD19</f>
        <v>3</v>
      </c>
      <c r="BG19" s="32">
        <v>1</v>
      </c>
      <c r="BH19" s="40"/>
      <c r="BI19" s="40">
        <v>1</v>
      </c>
      <c r="BJ19" s="12"/>
      <c r="BK19" s="14">
        <f>BG19*3+BI19</f>
        <v>4</v>
      </c>
      <c r="BL19" s="14">
        <f>BH19*3+BJ19</f>
        <v>0</v>
      </c>
      <c r="BM19" s="39">
        <f>BL19+BK19</f>
        <v>4</v>
      </c>
      <c r="BN19" s="32"/>
      <c r="BO19" s="40"/>
      <c r="BP19" s="40">
        <v>4</v>
      </c>
      <c r="BQ19" s="40"/>
      <c r="BR19" s="14">
        <f>BN19*3+BP19</f>
        <v>4</v>
      </c>
      <c r="BS19" s="14">
        <f>BO19*3+BQ19</f>
        <v>0</v>
      </c>
      <c r="BT19" s="39">
        <f>BS19+BR19</f>
        <v>4</v>
      </c>
      <c r="BU19" s="32">
        <v>1</v>
      </c>
      <c r="BV19" s="40"/>
      <c r="BW19" s="40"/>
      <c r="BX19" s="40"/>
      <c r="BY19" s="14">
        <f>BU19*3+BW19</f>
        <v>3</v>
      </c>
      <c r="BZ19" s="14">
        <f>BV19*3+BX19</f>
        <v>0</v>
      </c>
      <c r="CA19" s="39">
        <f>BZ19+BY19</f>
        <v>3</v>
      </c>
      <c r="CB19" s="32"/>
      <c r="CC19" s="40"/>
      <c r="CD19" s="40">
        <v>2</v>
      </c>
      <c r="CE19" s="79"/>
      <c r="CF19" s="14">
        <f>CB19*3+CD19</f>
        <v>2</v>
      </c>
      <c r="CG19" s="14">
        <f>CC19*3+CE19</f>
        <v>0</v>
      </c>
      <c r="CH19" s="39">
        <f>CG19+CF19</f>
        <v>2</v>
      </c>
      <c r="CI19" s="40"/>
      <c r="CJ19" s="40"/>
      <c r="CK19" s="40">
        <v>1</v>
      </c>
      <c r="CL19" s="83"/>
      <c r="CM19" s="14">
        <f>CI19*3+CK19</f>
        <v>1</v>
      </c>
      <c r="CN19" s="14">
        <f>CJ19*3+CL19</f>
        <v>0</v>
      </c>
      <c r="CO19" s="39">
        <f>CN19+CM19</f>
        <v>1</v>
      </c>
      <c r="CP19" s="108"/>
      <c r="CQ19" s="40">
        <v>1</v>
      </c>
      <c r="CR19" s="40">
        <v>2</v>
      </c>
      <c r="CS19" s="40"/>
      <c r="CT19" s="14">
        <f>CP19*3+CR19</f>
        <v>2</v>
      </c>
      <c r="CU19" s="14">
        <f>CQ19*3+CS19</f>
        <v>3</v>
      </c>
      <c r="CV19" s="39">
        <f>CU19+CT19</f>
        <v>5</v>
      </c>
      <c r="CW19" s="32">
        <v>1</v>
      </c>
      <c r="CX19" s="40"/>
      <c r="CY19" s="40"/>
      <c r="CZ19" s="40">
        <v>1</v>
      </c>
      <c r="DA19" s="17">
        <f>CW19*3+CY19</f>
        <v>3</v>
      </c>
      <c r="DB19" s="17">
        <f>CX19*3+CZ19</f>
        <v>1</v>
      </c>
      <c r="DC19" s="18">
        <f>DB19+DA19</f>
        <v>4</v>
      </c>
      <c r="DD19" s="108">
        <v>1</v>
      </c>
      <c r="DE19" s="40"/>
      <c r="DF19" s="40"/>
      <c r="DG19" s="40"/>
      <c r="DH19" s="156">
        <f>DD19*3+DF19</f>
        <v>3</v>
      </c>
      <c r="DI19" s="156">
        <f>DE19*3+DG19</f>
        <v>0</v>
      </c>
      <c r="DJ19" s="18">
        <f>DI19+DH19</f>
        <v>3</v>
      </c>
      <c r="DK19" s="108">
        <v>1</v>
      </c>
      <c r="DL19" s="40"/>
      <c r="DM19" s="40">
        <v>1</v>
      </c>
      <c r="DN19" s="40"/>
      <c r="DO19" s="156">
        <f>DK19*3+DM19</f>
        <v>4</v>
      </c>
      <c r="DP19" s="156">
        <f>DL19*3+DN19</f>
        <v>0</v>
      </c>
      <c r="DQ19" s="18">
        <f>DP19+DO19</f>
        <v>4</v>
      </c>
      <c r="DR19" s="108"/>
      <c r="DS19" s="40"/>
      <c r="DT19" s="40"/>
      <c r="DU19" s="40"/>
      <c r="DV19" s="156">
        <f>DR19*3+DT19</f>
        <v>0</v>
      </c>
      <c r="DW19" s="156">
        <f>DS19*3+DU19</f>
        <v>0</v>
      </c>
      <c r="DX19" s="18">
        <f>DW19+DV19</f>
        <v>0</v>
      </c>
      <c r="DY19" s="108">
        <v>1</v>
      </c>
      <c r="DZ19" s="40"/>
      <c r="EA19" s="40">
        <v>2</v>
      </c>
      <c r="EB19" s="40"/>
      <c r="EC19" s="156">
        <f>DY19*3+EA19</f>
        <v>5</v>
      </c>
      <c r="ED19" s="156">
        <f>DZ19*3+EB19</f>
        <v>0</v>
      </c>
      <c r="EE19" s="18">
        <f>ED19+EC19</f>
        <v>5</v>
      </c>
      <c r="EF19" s="108"/>
      <c r="EG19" s="40"/>
      <c r="EH19" s="40">
        <v>1</v>
      </c>
      <c r="EI19" s="40">
        <v>1</v>
      </c>
      <c r="EJ19" s="156">
        <f>EF19*3+EH19</f>
        <v>1</v>
      </c>
      <c r="EK19" s="156">
        <f>EG19*3+EI19</f>
        <v>1</v>
      </c>
      <c r="EL19" s="18">
        <f>EK19+EJ19</f>
        <v>2</v>
      </c>
      <c r="EM19" s="74">
        <f>SUM(AP19,AI19,AB19,U19,N19,AW19,BD19,BK19,BR19,BY19,CF19,CM19,CT19,DA19,DH19,DO19,DV19,EC19,EJ19)</f>
        <v>38</v>
      </c>
      <c r="EN19" s="75">
        <f ca="1">EM19/(10+TODAY()-G19)</f>
        <v>8.8785046728971959E-2</v>
      </c>
      <c r="EO19" s="76">
        <f>SUM(AQ19,AJ19,AC19,V19,O19,AX19,BE19,BL19,BS19,BZ19,CG19,CN19,CU19,DB19,DI19,DP19,DW19,ED19,EK19)</f>
        <v>5</v>
      </c>
      <c r="EP19" s="75">
        <f ca="1">EO19/(10+TODAY()-G19)</f>
        <v>1.1682242990654205E-2</v>
      </c>
      <c r="EQ19" s="76">
        <f>EM19+EO19</f>
        <v>43</v>
      </c>
      <c r="ER19" s="75">
        <f ca="1">EP19+EN19</f>
        <v>0.10046728971962617</v>
      </c>
      <c r="ES19" s="76">
        <f>SUM(AS19,AL19,AE19,X19,Q19,Q19,J19,AZ19,BG19,BN19,BU19,CB19,CI19,CP19,CW19,DD19,DK19,DR19,DY19,EF19)</f>
        <v>7</v>
      </c>
      <c r="ET19" s="76">
        <f>SUM(AT19,AM19,AF19,Y19,R19,R19,K19,BA19,BH19,BO19,BV19,CC19,CJ19,CQ19,CX19,DE19,DL19,DS19,DZ19,EG19)</f>
        <v>1</v>
      </c>
      <c r="EU19" s="76">
        <f>ET19+ES19</f>
        <v>8</v>
      </c>
    </row>
    <row r="20" spans="1:151" ht="15.75" thickBot="1" x14ac:dyDescent="0.3">
      <c r="A20" s="32">
        <v>9</v>
      </c>
      <c r="B20" s="33" t="s">
        <v>48</v>
      </c>
      <c r="C20" s="85" t="str">
        <f>B20&amp;" "&amp;A20</f>
        <v>כלנית 9</v>
      </c>
      <c r="D20" s="23" t="s">
        <v>6</v>
      </c>
      <c r="E20" s="23" t="s">
        <v>7</v>
      </c>
      <c r="F20" s="31" t="s">
        <v>144</v>
      </c>
      <c r="G20" s="30">
        <v>42979</v>
      </c>
      <c r="H20" s="19"/>
      <c r="I20" s="35"/>
      <c r="J20" s="48"/>
      <c r="K20" s="49"/>
      <c r="L20" s="49"/>
      <c r="M20" s="49"/>
      <c r="N20" s="50">
        <f>J20*3+L20</f>
        <v>0</v>
      </c>
      <c r="O20" s="50">
        <f>K20*3+M20</f>
        <v>0</v>
      </c>
      <c r="P20" s="15">
        <f>O20+N20</f>
        <v>0</v>
      </c>
      <c r="Q20" s="10"/>
      <c r="R20" s="12"/>
      <c r="S20" s="12"/>
      <c r="T20" s="12"/>
      <c r="U20" s="14">
        <f>Q20*3+S20</f>
        <v>0</v>
      </c>
      <c r="V20" s="14">
        <f>R20*3+T20</f>
        <v>0</v>
      </c>
      <c r="W20" s="16">
        <f>V20+U20</f>
        <v>0</v>
      </c>
      <c r="X20" s="10"/>
      <c r="Y20" s="12"/>
      <c r="Z20" s="12"/>
      <c r="AA20" s="12"/>
      <c r="AB20" s="17">
        <f>X20*3+Z20</f>
        <v>0</v>
      </c>
      <c r="AC20" s="17">
        <f>Y20*3+AA20</f>
        <v>0</v>
      </c>
      <c r="AD20" s="18">
        <f>AC20+AB20</f>
        <v>0</v>
      </c>
      <c r="AE20" s="10">
        <v>1</v>
      </c>
      <c r="AF20" s="12"/>
      <c r="AG20" s="12">
        <v>2</v>
      </c>
      <c r="AH20" s="12"/>
      <c r="AI20" s="14">
        <f>AE20*3+AG20</f>
        <v>5</v>
      </c>
      <c r="AJ20" s="14">
        <f>AF20*3+AH20</f>
        <v>0</v>
      </c>
      <c r="AK20" s="16">
        <f>AJ20+AI20</f>
        <v>5</v>
      </c>
      <c r="AL20" s="10">
        <v>1</v>
      </c>
      <c r="AM20" s="12"/>
      <c r="AN20" s="12"/>
      <c r="AO20" s="12"/>
      <c r="AP20" s="14">
        <f>AL20*3+AN20</f>
        <v>3</v>
      </c>
      <c r="AQ20" s="14">
        <f>AM20*3+AO20</f>
        <v>0</v>
      </c>
      <c r="AR20" s="16">
        <f>AQ20+AP20</f>
        <v>3</v>
      </c>
      <c r="AS20" s="10"/>
      <c r="AT20" s="12"/>
      <c r="AU20" s="12">
        <v>4</v>
      </c>
      <c r="AV20" s="12"/>
      <c r="AW20" s="14">
        <f>AS20*3+AU20</f>
        <v>4</v>
      </c>
      <c r="AX20" s="14">
        <f>AT20*3+AV20</f>
        <v>0</v>
      </c>
      <c r="AY20" s="16">
        <f>AX20+AW20</f>
        <v>4</v>
      </c>
      <c r="AZ20" s="10"/>
      <c r="BA20" s="12"/>
      <c r="BB20" s="12">
        <v>2</v>
      </c>
      <c r="BC20" s="12">
        <v>1</v>
      </c>
      <c r="BD20" s="14">
        <f>AZ20*3+BB20</f>
        <v>2</v>
      </c>
      <c r="BE20" s="14">
        <f>BA20*3+BC20</f>
        <v>1</v>
      </c>
      <c r="BF20" s="16">
        <f>BE20+BD20</f>
        <v>3</v>
      </c>
      <c r="BG20" s="32">
        <v>1</v>
      </c>
      <c r="BH20" s="40"/>
      <c r="BI20" s="40">
        <v>1</v>
      </c>
      <c r="BJ20" s="12"/>
      <c r="BK20" s="14">
        <f>BG20*3+BI20</f>
        <v>4</v>
      </c>
      <c r="BL20" s="14">
        <f>BH20*3+BJ20</f>
        <v>0</v>
      </c>
      <c r="BM20" s="39">
        <f>BL20+BK20</f>
        <v>4</v>
      </c>
      <c r="BN20" s="32"/>
      <c r="BO20" s="40"/>
      <c r="BP20" s="40">
        <v>3</v>
      </c>
      <c r="BQ20" s="40">
        <v>1</v>
      </c>
      <c r="BR20" s="14">
        <f>BN20*3+BP20</f>
        <v>3</v>
      </c>
      <c r="BS20" s="14">
        <f>BO20*3+BQ20</f>
        <v>1</v>
      </c>
      <c r="BT20" s="39">
        <f>BS20+BR20</f>
        <v>4</v>
      </c>
      <c r="BU20" s="32"/>
      <c r="BV20" s="40">
        <v>1</v>
      </c>
      <c r="BW20" s="40"/>
      <c r="BX20" s="40">
        <v>1</v>
      </c>
      <c r="BY20" s="14">
        <f>BU20*3+BW20</f>
        <v>0</v>
      </c>
      <c r="BZ20" s="14">
        <f>BV20*3+BX20</f>
        <v>4</v>
      </c>
      <c r="CA20" s="39">
        <f>BZ20+BY20</f>
        <v>4</v>
      </c>
      <c r="CB20" s="32"/>
      <c r="CC20" s="40"/>
      <c r="CD20" s="40"/>
      <c r="CE20" s="79"/>
      <c r="CF20" s="14">
        <f>CB20*3+CD20</f>
        <v>0</v>
      </c>
      <c r="CG20" s="14">
        <f>CC20*3+CE20</f>
        <v>0</v>
      </c>
      <c r="CH20" s="39">
        <f>CG20+CF20</f>
        <v>0</v>
      </c>
      <c r="CI20" s="40">
        <v>1</v>
      </c>
      <c r="CJ20" s="40"/>
      <c r="CK20" s="40">
        <v>1</v>
      </c>
      <c r="CL20" s="83"/>
      <c r="CM20" s="14">
        <f>CI20*3+CK20</f>
        <v>4</v>
      </c>
      <c r="CN20" s="14">
        <f>CJ20*3+CL20</f>
        <v>0</v>
      </c>
      <c r="CO20" s="39">
        <f>CN20+CM20</f>
        <v>4</v>
      </c>
      <c r="CP20" s="108"/>
      <c r="CQ20" s="40"/>
      <c r="CR20" s="40">
        <v>2</v>
      </c>
      <c r="CS20" s="40"/>
      <c r="CT20" s="14">
        <f>CP20*3+CR20</f>
        <v>2</v>
      </c>
      <c r="CU20" s="14">
        <f>CQ20*3+CS20</f>
        <v>0</v>
      </c>
      <c r="CV20" s="39">
        <f>CU20+CT20</f>
        <v>2</v>
      </c>
      <c r="CW20" s="32"/>
      <c r="CX20" s="40"/>
      <c r="CY20" s="40">
        <v>1</v>
      </c>
      <c r="CZ20" s="40"/>
      <c r="DA20" s="17">
        <f>CW20*3+CY20</f>
        <v>1</v>
      </c>
      <c r="DB20" s="17">
        <f>CX20*3+CZ20</f>
        <v>0</v>
      </c>
      <c r="DC20" s="18">
        <f>DB20+DA20</f>
        <v>1</v>
      </c>
      <c r="DD20" s="108">
        <v>1</v>
      </c>
      <c r="DE20" s="40"/>
      <c r="DF20" s="40">
        <v>1</v>
      </c>
      <c r="DG20" s="40"/>
      <c r="DH20" s="156">
        <f>DD20*3+DF20</f>
        <v>4</v>
      </c>
      <c r="DI20" s="156">
        <f>DE20*3+DG20</f>
        <v>0</v>
      </c>
      <c r="DJ20" s="18">
        <f>DI20+DH20</f>
        <v>4</v>
      </c>
      <c r="DK20" s="108">
        <v>1</v>
      </c>
      <c r="DL20" s="40"/>
      <c r="DM20" s="40"/>
      <c r="DN20" s="40">
        <v>1</v>
      </c>
      <c r="DO20" s="156">
        <f>DK20*3+DM20</f>
        <v>3</v>
      </c>
      <c r="DP20" s="156">
        <f>DL20*3+DN20</f>
        <v>1</v>
      </c>
      <c r="DQ20" s="18">
        <f>DP20+DO20</f>
        <v>4</v>
      </c>
      <c r="DR20" s="108"/>
      <c r="DS20" s="40"/>
      <c r="DT20" s="40">
        <v>2</v>
      </c>
      <c r="DU20" s="40"/>
      <c r="DV20" s="156">
        <f>DR20*3+DT20</f>
        <v>2</v>
      </c>
      <c r="DW20" s="156">
        <f>DS20*3+DU20</f>
        <v>0</v>
      </c>
      <c r="DX20" s="18">
        <f>DW20+DV20</f>
        <v>2</v>
      </c>
      <c r="DY20" s="108"/>
      <c r="DZ20" s="40">
        <v>1</v>
      </c>
      <c r="EA20" s="40">
        <v>2</v>
      </c>
      <c r="EB20" s="40"/>
      <c r="EC20" s="156">
        <f>DY20*3+EA20</f>
        <v>2</v>
      </c>
      <c r="ED20" s="156">
        <f>DZ20*3+EB20</f>
        <v>3</v>
      </c>
      <c r="EE20" s="18">
        <f>ED20+EC20</f>
        <v>5</v>
      </c>
      <c r="EF20" s="108"/>
      <c r="EG20" s="40"/>
      <c r="EH20" s="40">
        <v>2</v>
      </c>
      <c r="EI20" s="40"/>
      <c r="EJ20" s="156">
        <f>EF20*3+EH20</f>
        <v>2</v>
      </c>
      <c r="EK20" s="156">
        <f>EG20*3+EI20</f>
        <v>0</v>
      </c>
      <c r="EL20" s="18">
        <f>EK20+EJ20</f>
        <v>2</v>
      </c>
      <c r="EM20" s="74">
        <f>SUM(AP20,AI20,AB20,U20,N20,AW20,BD20,BK20,BR20,BY20,CF20,CM20,CT20,DA20,DH20,DO20,DV20,EC20,EJ20)</f>
        <v>41</v>
      </c>
      <c r="EN20" s="75">
        <f ca="1">EM20/(10+TODAY()-G20)</f>
        <v>8.3844580777096112E-2</v>
      </c>
      <c r="EO20" s="76">
        <f>SUM(AQ20,AJ20,AC20,V20,O20,AX20,BE20,BL20,BS20,BZ20,CG20,CN20,CU20,DB20,DI20,DP20,DW20,ED20,EK20)</f>
        <v>10</v>
      </c>
      <c r="EP20" s="75">
        <f ca="1">EO20/(10+TODAY()-G20)</f>
        <v>2.0449897750511249E-2</v>
      </c>
      <c r="EQ20" s="76">
        <f>EM20+EO20</f>
        <v>51</v>
      </c>
      <c r="ER20" s="75">
        <f ca="1">EP20+EN20</f>
        <v>0.10429447852760736</v>
      </c>
      <c r="ES20" s="76">
        <f>SUM(AS20,AL20,AE20,X20,Q20,Q20,J20,AZ20,BG20,BN20,BU20,CB20,CI20,CP20,CW20,DD20,DK20,DR20,DY20,EF20)</f>
        <v>6</v>
      </c>
      <c r="ET20" s="76">
        <f>SUM(AT20,AM20,AF20,Y20,R20,R20,K20,BA20,BH20,BO20,BV20,CC20,CJ20,CQ20,CX20,DE20,DL20,DS20,DZ20,EG20)</f>
        <v>2</v>
      </c>
      <c r="EU20" s="76">
        <f>ET20+ES20</f>
        <v>8</v>
      </c>
    </row>
    <row r="21" spans="1:151" ht="15.75" thickBot="1" x14ac:dyDescent="0.3">
      <c r="A21" s="10">
        <v>474</v>
      </c>
      <c r="B21" s="24" t="s">
        <v>166</v>
      </c>
      <c r="C21" s="11" t="str">
        <f>B21&amp;" "&amp;A21</f>
        <v>לירוז 474</v>
      </c>
      <c r="D21" s="23" t="s">
        <v>6</v>
      </c>
      <c r="E21" s="23" t="s">
        <v>7</v>
      </c>
      <c r="F21" s="31" t="s">
        <v>167</v>
      </c>
      <c r="G21" s="30">
        <v>43191</v>
      </c>
      <c r="H21" s="42"/>
      <c r="I21" s="13"/>
      <c r="J21" s="48"/>
      <c r="K21" s="49"/>
      <c r="L21" s="49"/>
      <c r="M21" s="49"/>
      <c r="N21" s="50">
        <f>J21*3+L21</f>
        <v>0</v>
      </c>
      <c r="O21" s="50">
        <f>K21*3+M21</f>
        <v>0</v>
      </c>
      <c r="P21" s="15">
        <f>O21+N21</f>
        <v>0</v>
      </c>
      <c r="Q21" s="10"/>
      <c r="R21" s="12"/>
      <c r="S21" s="12"/>
      <c r="T21" s="12"/>
      <c r="U21" s="14">
        <f>Q21*3+S21</f>
        <v>0</v>
      </c>
      <c r="V21" s="14">
        <f>R21*3+T21</f>
        <v>0</v>
      </c>
      <c r="W21" s="16">
        <f>V21+U21</f>
        <v>0</v>
      </c>
      <c r="X21" s="10"/>
      <c r="Y21" s="12"/>
      <c r="Z21" s="12"/>
      <c r="AA21" s="12"/>
      <c r="AB21" s="17">
        <f>X21*3+Z21</f>
        <v>0</v>
      </c>
      <c r="AC21" s="17">
        <f>Y21*3+AA21</f>
        <v>0</v>
      </c>
      <c r="AD21" s="18">
        <f>AC21+AB21</f>
        <v>0</v>
      </c>
      <c r="AE21" s="10"/>
      <c r="AF21" s="12"/>
      <c r="AG21" s="12"/>
      <c r="AH21" s="12"/>
      <c r="AI21" s="14">
        <f>AE21*3+AG21</f>
        <v>0</v>
      </c>
      <c r="AJ21" s="14">
        <f>AF21*3+AH21</f>
        <v>0</v>
      </c>
      <c r="AK21" s="16">
        <f>AJ21+AI21</f>
        <v>0</v>
      </c>
      <c r="AL21" s="10"/>
      <c r="AM21" s="12"/>
      <c r="AN21" s="12"/>
      <c r="AO21" s="12"/>
      <c r="AP21" s="14">
        <f>AL21*3+AN21</f>
        <v>0</v>
      </c>
      <c r="AQ21" s="14">
        <f>AM21*3+AO21</f>
        <v>0</v>
      </c>
      <c r="AR21" s="16">
        <f>AQ21+AP21</f>
        <v>0</v>
      </c>
      <c r="AS21" s="10"/>
      <c r="AT21" s="12"/>
      <c r="AU21" s="12"/>
      <c r="AV21" s="12"/>
      <c r="AW21" s="14">
        <f>AS21*3+AU21</f>
        <v>0</v>
      </c>
      <c r="AX21" s="14">
        <f>AT21*3+AV21</f>
        <v>0</v>
      </c>
      <c r="AY21" s="16">
        <f>AX21+AW21</f>
        <v>0</v>
      </c>
      <c r="AZ21" s="10"/>
      <c r="BA21" s="12"/>
      <c r="BB21" s="12"/>
      <c r="BC21" s="12"/>
      <c r="BD21" s="14">
        <f>AZ21*3+BB21</f>
        <v>0</v>
      </c>
      <c r="BE21" s="14">
        <f>BA21*3+BC21</f>
        <v>0</v>
      </c>
      <c r="BF21" s="16">
        <f>BE21+BD21</f>
        <v>0</v>
      </c>
      <c r="BG21" s="32"/>
      <c r="BH21" s="40"/>
      <c r="BI21" s="12"/>
      <c r="BJ21" s="12"/>
      <c r="BK21" s="14">
        <f>BG21*3+BI21</f>
        <v>0</v>
      </c>
      <c r="BL21" s="14">
        <f>BH21*3+BJ21</f>
        <v>0</v>
      </c>
      <c r="BM21" s="39">
        <f>BL21+BK21</f>
        <v>0</v>
      </c>
      <c r="BN21" s="32"/>
      <c r="BO21" s="40"/>
      <c r="BP21" s="40"/>
      <c r="BQ21" s="40"/>
      <c r="BR21" s="14">
        <f>BN21*3+BP21</f>
        <v>0</v>
      </c>
      <c r="BS21" s="14">
        <f>BO21*3+BQ21</f>
        <v>0</v>
      </c>
      <c r="BT21" s="39">
        <f>BS21+BR21</f>
        <v>0</v>
      </c>
      <c r="BU21" s="32"/>
      <c r="BV21" s="40"/>
      <c r="BW21" s="40"/>
      <c r="BX21" s="40"/>
      <c r="BY21" s="14">
        <f>BU21*3+BW21</f>
        <v>0</v>
      </c>
      <c r="BZ21" s="14">
        <f>BV21*3+BX21</f>
        <v>0</v>
      </c>
      <c r="CA21" s="39">
        <f>BZ21+BY21</f>
        <v>0</v>
      </c>
      <c r="CB21" s="32">
        <v>1</v>
      </c>
      <c r="CC21" s="40"/>
      <c r="CD21" s="40">
        <v>1</v>
      </c>
      <c r="CE21" s="79"/>
      <c r="CF21" s="14">
        <f>CB21*3+CD21</f>
        <v>4</v>
      </c>
      <c r="CG21" s="14">
        <f>CC21*3+CE21</f>
        <v>0</v>
      </c>
      <c r="CH21" s="39">
        <f>CG21+CF21</f>
        <v>4</v>
      </c>
      <c r="CI21" s="40"/>
      <c r="CJ21" s="40"/>
      <c r="CK21" s="40">
        <v>2</v>
      </c>
      <c r="CL21" s="83"/>
      <c r="CM21" s="14">
        <f>CI21*3+CK21</f>
        <v>2</v>
      </c>
      <c r="CN21" s="14">
        <f>CJ21*3+CL21</f>
        <v>0</v>
      </c>
      <c r="CO21" s="39">
        <f>CN21+CM21</f>
        <v>2</v>
      </c>
      <c r="CP21" s="108"/>
      <c r="CQ21" s="40"/>
      <c r="CR21" s="40">
        <v>3</v>
      </c>
      <c r="CS21" s="40">
        <v>1</v>
      </c>
      <c r="CT21" s="14">
        <f>CP21*3+CR21</f>
        <v>3</v>
      </c>
      <c r="CU21" s="14">
        <f>CQ21*3+CS21</f>
        <v>1</v>
      </c>
      <c r="CV21" s="39">
        <f>CU21+CT21</f>
        <v>4</v>
      </c>
      <c r="CW21" s="32">
        <v>1</v>
      </c>
      <c r="CX21" s="40"/>
      <c r="CY21" s="40"/>
      <c r="CZ21" s="40"/>
      <c r="DA21" s="17">
        <f>CW21*3+CY21</f>
        <v>3</v>
      </c>
      <c r="DB21" s="17">
        <f>CX21*3+CZ21</f>
        <v>0</v>
      </c>
      <c r="DC21" s="18">
        <f>DB21+DA21</f>
        <v>3</v>
      </c>
      <c r="DD21" s="108"/>
      <c r="DE21" s="40"/>
      <c r="DF21" s="40">
        <v>3</v>
      </c>
      <c r="DG21" s="40"/>
      <c r="DH21" s="156">
        <f>DD21*3+DF21</f>
        <v>3</v>
      </c>
      <c r="DI21" s="156">
        <f>DE21*3+DG21</f>
        <v>0</v>
      </c>
      <c r="DJ21" s="18">
        <f>DI21+DH21</f>
        <v>3</v>
      </c>
      <c r="DK21" s="108"/>
      <c r="DL21" s="40"/>
      <c r="DM21" s="40">
        <v>1</v>
      </c>
      <c r="DN21" s="40">
        <v>2</v>
      </c>
      <c r="DO21" s="156">
        <f>DK21*3+DM21</f>
        <v>1</v>
      </c>
      <c r="DP21" s="156">
        <f>DL21*3+DN21</f>
        <v>2</v>
      </c>
      <c r="DQ21" s="18">
        <f>DP21+DO21</f>
        <v>3</v>
      </c>
      <c r="DR21" s="108"/>
      <c r="DS21" s="40"/>
      <c r="DT21" s="40">
        <v>3</v>
      </c>
      <c r="DU21" s="40"/>
      <c r="DV21" s="156">
        <f>DR21*3+DT21</f>
        <v>3</v>
      </c>
      <c r="DW21" s="156">
        <f>DS21*3+DU21</f>
        <v>0</v>
      </c>
      <c r="DX21" s="18">
        <f>DW21+DV21</f>
        <v>3</v>
      </c>
      <c r="DY21" s="108">
        <v>1</v>
      </c>
      <c r="DZ21" s="40"/>
      <c r="EA21" s="40">
        <v>1</v>
      </c>
      <c r="EB21" s="40"/>
      <c r="EC21" s="156">
        <f>DY21*3+EA21</f>
        <v>4</v>
      </c>
      <c r="ED21" s="156">
        <f>DZ21*3+EB21</f>
        <v>0</v>
      </c>
      <c r="EE21" s="18">
        <f>ED21+EC21</f>
        <v>4</v>
      </c>
      <c r="EF21" s="108"/>
      <c r="EG21" s="40"/>
      <c r="EH21" s="40">
        <v>2</v>
      </c>
      <c r="EI21" s="40"/>
      <c r="EJ21" s="156">
        <f>EF21*3+EH21</f>
        <v>2</v>
      </c>
      <c r="EK21" s="156">
        <f>EG21*3+EI21</f>
        <v>0</v>
      </c>
      <c r="EL21" s="18">
        <f>EK21+EJ21</f>
        <v>2</v>
      </c>
      <c r="EM21" s="74">
        <f>SUM(AP21,AI21,AB21,U21,N21,AW21,BD21,BK21,BR21,BY21,CF21,CM21,CT21,DA21,DH21,DO21,DV21,EC21,EJ21)</f>
        <v>25</v>
      </c>
      <c r="EN21" s="75">
        <f ca="1">EM21/(10+TODAY()-G21)</f>
        <v>9.0252707581227443E-2</v>
      </c>
      <c r="EO21" s="76">
        <f>SUM(AQ21,AJ21,AC21,V21,O21,AX21,BE21,BL21,BS21,BZ21,CG21,CN21,CU21,DB21,DI21,DP21,DW21,ED21,EK21)</f>
        <v>3</v>
      </c>
      <c r="EP21" s="75">
        <f ca="1">EO21/(10+TODAY()-G21)</f>
        <v>1.0830324909747292E-2</v>
      </c>
      <c r="EQ21" s="76">
        <f>EM21+EO21</f>
        <v>28</v>
      </c>
      <c r="ER21" s="75">
        <f ca="1">EP21+EN21</f>
        <v>0.10108303249097474</v>
      </c>
      <c r="ES21" s="76">
        <f>SUM(AS21,AL21,AE21,X21,Q21,Q21,J21,AZ21,BG21,BN21,BU21,CB21,CI21,CP21,CW21,DD21,DK21,DR21,DY21,EF21)</f>
        <v>3</v>
      </c>
      <c r="ET21" s="76">
        <f>SUM(AT21,AM21,AF21,Y21,R21,R21,K21,BA21,BH21,BO21,BV21,CC21,CJ21,CQ21,CX21,DE21,DL21,DS21,DZ21,EG21)</f>
        <v>0</v>
      </c>
      <c r="EU21" s="76">
        <f>ET21+ES21</f>
        <v>3</v>
      </c>
    </row>
    <row r="22" spans="1:151" ht="15.75" thickBot="1" x14ac:dyDescent="0.3">
      <c r="A22" s="32">
        <v>9</v>
      </c>
      <c r="B22" s="247" t="s">
        <v>5</v>
      </c>
      <c r="C22" s="85" t="str">
        <f>B22&amp;" "&amp;A22</f>
        <v>מאי 9</v>
      </c>
      <c r="D22" s="23" t="s">
        <v>6</v>
      </c>
      <c r="E22" s="23" t="s">
        <v>7</v>
      </c>
      <c r="F22" s="31" t="s">
        <v>158</v>
      </c>
      <c r="G22" s="30">
        <v>43160</v>
      </c>
      <c r="H22" s="42"/>
      <c r="I22" s="35"/>
      <c r="J22" s="48"/>
      <c r="K22" s="49"/>
      <c r="L22" s="49"/>
      <c r="M22" s="49"/>
      <c r="N22" s="50">
        <f>J22*3+L22</f>
        <v>0</v>
      </c>
      <c r="O22" s="50">
        <f>K22*3+M22</f>
        <v>0</v>
      </c>
      <c r="P22" s="15">
        <f>O22+N22</f>
        <v>0</v>
      </c>
      <c r="Q22" s="10"/>
      <c r="R22" s="12"/>
      <c r="S22" s="12"/>
      <c r="T22" s="12"/>
      <c r="U22" s="14">
        <f>Q22*3+S22</f>
        <v>0</v>
      </c>
      <c r="V22" s="14">
        <f>R22*3+T22</f>
        <v>0</v>
      </c>
      <c r="W22" s="16">
        <f>V22+U22</f>
        <v>0</v>
      </c>
      <c r="X22" s="10"/>
      <c r="Y22" s="12"/>
      <c r="Z22" s="12"/>
      <c r="AA22" s="12"/>
      <c r="AB22" s="17">
        <f>X22*3+Z22</f>
        <v>0</v>
      </c>
      <c r="AC22" s="17">
        <f>Y22*3+AA22</f>
        <v>0</v>
      </c>
      <c r="AD22" s="18">
        <f>AC22+AB22</f>
        <v>0</v>
      </c>
      <c r="AE22" s="10"/>
      <c r="AF22" s="12"/>
      <c r="AG22" s="12"/>
      <c r="AH22" s="12"/>
      <c r="AI22" s="14">
        <f>AE22*3+AG22</f>
        <v>0</v>
      </c>
      <c r="AJ22" s="14">
        <f>AF22*3+AH22</f>
        <v>0</v>
      </c>
      <c r="AK22" s="16">
        <f>AJ22+AI22</f>
        <v>0</v>
      </c>
      <c r="AL22" s="10"/>
      <c r="AM22" s="12"/>
      <c r="AN22" s="12"/>
      <c r="AO22" s="12"/>
      <c r="AP22" s="14">
        <f>AL22*3+AN22</f>
        <v>0</v>
      </c>
      <c r="AQ22" s="14">
        <f>AM22*3+AO22</f>
        <v>0</v>
      </c>
      <c r="AR22" s="16">
        <f>AQ22+AP22</f>
        <v>0</v>
      </c>
      <c r="AS22" s="10"/>
      <c r="AT22" s="12"/>
      <c r="AU22" s="12"/>
      <c r="AV22" s="12"/>
      <c r="AW22" s="14">
        <f>AS22*3+AU22</f>
        <v>0</v>
      </c>
      <c r="AX22" s="14">
        <f>AT22*3+AV22</f>
        <v>0</v>
      </c>
      <c r="AY22" s="16">
        <f>AX22+AW22</f>
        <v>0</v>
      </c>
      <c r="AZ22" s="10"/>
      <c r="BA22" s="12"/>
      <c r="BB22" s="12"/>
      <c r="BC22" s="12"/>
      <c r="BD22" s="14">
        <f>AZ22*3+BB22</f>
        <v>0</v>
      </c>
      <c r="BE22" s="14">
        <f>BA22*3+BC22</f>
        <v>0</v>
      </c>
      <c r="BF22" s="16">
        <f>BE22+BD22</f>
        <v>0</v>
      </c>
      <c r="BG22" s="32"/>
      <c r="BH22" s="40"/>
      <c r="BI22" s="12"/>
      <c r="BJ22" s="12"/>
      <c r="BK22" s="14">
        <f>BG22*3+BI22</f>
        <v>0</v>
      </c>
      <c r="BL22" s="14">
        <f>BH22*3+BJ22</f>
        <v>0</v>
      </c>
      <c r="BM22" s="39">
        <f>BL22+BK22</f>
        <v>0</v>
      </c>
      <c r="BN22" s="32"/>
      <c r="BO22" s="40"/>
      <c r="BP22" s="40"/>
      <c r="BQ22" s="40"/>
      <c r="BR22" s="14">
        <f>BN22*3+BP22</f>
        <v>0</v>
      </c>
      <c r="BS22" s="14">
        <f>BO22*3+BQ22</f>
        <v>0</v>
      </c>
      <c r="BT22" s="39">
        <f>BS22+BR22</f>
        <v>0</v>
      </c>
      <c r="BU22" s="32"/>
      <c r="BV22" s="40"/>
      <c r="BW22" s="40">
        <v>1</v>
      </c>
      <c r="BX22" s="40"/>
      <c r="BY22" s="14">
        <f>BU22*3+BW22</f>
        <v>1</v>
      </c>
      <c r="BZ22" s="14">
        <f>BV22*3+BX22</f>
        <v>0</v>
      </c>
      <c r="CA22" s="39">
        <f>BZ22+BY22</f>
        <v>1</v>
      </c>
      <c r="CB22" s="78"/>
      <c r="CC22" s="40"/>
      <c r="CD22" s="40"/>
      <c r="CE22" s="79"/>
      <c r="CF22" s="14">
        <f>CB22*3+CD22</f>
        <v>0</v>
      </c>
      <c r="CG22" s="14">
        <f>CC22*3+CE22</f>
        <v>0</v>
      </c>
      <c r="CH22" s="39">
        <f>CG22+CF22</f>
        <v>0</v>
      </c>
      <c r="CI22" s="40"/>
      <c r="CJ22" s="40"/>
      <c r="CK22" s="40"/>
      <c r="CL22" s="83"/>
      <c r="CM22" s="14">
        <f>CI22*3+CK22</f>
        <v>0</v>
      </c>
      <c r="CN22" s="14">
        <f>CJ22*3+CL22</f>
        <v>0</v>
      </c>
      <c r="CO22" s="39">
        <f>CN22+CM22</f>
        <v>0</v>
      </c>
      <c r="CP22" s="108"/>
      <c r="CQ22" s="40"/>
      <c r="CR22" s="40"/>
      <c r="CS22" s="40"/>
      <c r="CT22" s="14">
        <f>CP22*3+CR22</f>
        <v>0</v>
      </c>
      <c r="CU22" s="14">
        <f>CQ22*3+CS22</f>
        <v>0</v>
      </c>
      <c r="CV22" s="39">
        <f>CU22+CT22</f>
        <v>0</v>
      </c>
      <c r="CW22" s="32"/>
      <c r="CX22" s="40"/>
      <c r="CY22" s="40"/>
      <c r="CZ22" s="40"/>
      <c r="DA22" s="17">
        <f>CW22*3+CY22</f>
        <v>0</v>
      </c>
      <c r="DB22" s="17">
        <f>CX22*3+CZ22</f>
        <v>0</v>
      </c>
      <c r="DC22" s="18">
        <f>DB22+DA22</f>
        <v>0</v>
      </c>
      <c r="DD22" s="108"/>
      <c r="DE22" s="40"/>
      <c r="DF22" s="40"/>
      <c r="DG22" s="40"/>
      <c r="DH22" s="156">
        <f>DD22*3+DF22</f>
        <v>0</v>
      </c>
      <c r="DI22" s="156">
        <f>DE22*3+DG22</f>
        <v>0</v>
      </c>
      <c r="DJ22" s="18">
        <f>DI22+DH22</f>
        <v>0</v>
      </c>
      <c r="DK22" s="108"/>
      <c r="DL22" s="40"/>
      <c r="DM22" s="40"/>
      <c r="DN22" s="40"/>
      <c r="DO22" s="156">
        <f>DK22*3+DM22</f>
        <v>0</v>
      </c>
      <c r="DP22" s="156">
        <f>DL22*3+DN22</f>
        <v>0</v>
      </c>
      <c r="DQ22" s="18">
        <f>DP22+DO22</f>
        <v>0</v>
      </c>
      <c r="DR22" s="108"/>
      <c r="DS22" s="40"/>
      <c r="DT22" s="40"/>
      <c r="DU22" s="40"/>
      <c r="DV22" s="156">
        <f>DR22*3+DT22</f>
        <v>0</v>
      </c>
      <c r="DW22" s="156">
        <f>DS22*3+DU22</f>
        <v>0</v>
      </c>
      <c r="DX22" s="18">
        <f>DW22+DV22</f>
        <v>0</v>
      </c>
      <c r="DY22" s="108"/>
      <c r="DZ22" s="40"/>
      <c r="EA22" s="40"/>
      <c r="EB22" s="40">
        <v>2</v>
      </c>
      <c r="EC22" s="156">
        <f>DY22*3+EA22</f>
        <v>0</v>
      </c>
      <c r="ED22" s="156">
        <f>DZ22*3+EB22</f>
        <v>2</v>
      </c>
      <c r="EE22" s="18">
        <f>ED22+EC22</f>
        <v>2</v>
      </c>
      <c r="EF22" s="108"/>
      <c r="EG22" s="40"/>
      <c r="EH22" s="40"/>
      <c r="EI22" s="40">
        <v>2</v>
      </c>
      <c r="EJ22" s="156">
        <f>EF22*3+EH22</f>
        <v>0</v>
      </c>
      <c r="EK22" s="156">
        <f>EG22*3+EI22</f>
        <v>2</v>
      </c>
      <c r="EL22" s="18">
        <f>EK22+EJ22</f>
        <v>2</v>
      </c>
      <c r="EM22" s="74">
        <f>SUM(AP22,AI22,AB22,U22,N22,AW22,BD22,BK22,BR22,BY22,CF22,CM22,CT22,DA22,DH22,DO22,DV22,EC22,EJ22)</f>
        <v>1</v>
      </c>
      <c r="EN22" s="75">
        <f ca="1">EM22/(10+TODAY()-G22)</f>
        <v>3.246753246753247E-3</v>
      </c>
      <c r="EO22" s="76">
        <f>SUM(AQ22,AJ22,AC22,V22,O22,AX22,BE22,BL22,BS22,BZ22,CG22,CN22,CU22,DB22,DI22,DP22,DW22,ED22,EK22)</f>
        <v>4</v>
      </c>
      <c r="EP22" s="75">
        <f ca="1">EO22/(10+TODAY()-G22)</f>
        <v>1.2987012987012988E-2</v>
      </c>
      <c r="EQ22" s="76">
        <f>EM22+EO22</f>
        <v>5</v>
      </c>
      <c r="ER22" s="75">
        <f ca="1">EP22+EN22</f>
        <v>1.6233766233766236E-2</v>
      </c>
      <c r="ES22" s="76">
        <f>SUM(AS22,AL22,AE22,X22,Q22,Q22,J22,AZ22,BG22,BN22,BU22,CB22,CI22,CP22,CW22,DD22,DK22,DR22,DY22,EF22)</f>
        <v>0</v>
      </c>
      <c r="ET22" s="76">
        <f>SUM(AT22,AM22,AF22,Y22,R22,R22,K22,BA22,BH22,BO22,BV22,CC22,CJ22,CQ22,CX22,DE22,DL22,DS22,DZ22,EG22)</f>
        <v>0</v>
      </c>
      <c r="EU22" s="76">
        <f>ET22+ES22</f>
        <v>0</v>
      </c>
    </row>
    <row r="23" spans="1:151" ht="15.75" thickBot="1" x14ac:dyDescent="0.3">
      <c r="A23" s="177" t="s">
        <v>12</v>
      </c>
      <c r="B23" s="247" t="s">
        <v>278</v>
      </c>
      <c r="C23" s="85" t="str">
        <f>B23&amp;" "&amp;A23</f>
        <v>נילי מפאוג</v>
      </c>
      <c r="D23" s="23" t="s">
        <v>6</v>
      </c>
      <c r="E23" s="23" t="s">
        <v>7</v>
      </c>
      <c r="F23" s="31" t="s">
        <v>275</v>
      </c>
      <c r="G23" s="30">
        <v>43393</v>
      </c>
      <c r="H23" s="31"/>
      <c r="I23" s="13"/>
      <c r="J23" s="48"/>
      <c r="K23" s="49"/>
      <c r="L23" s="49"/>
      <c r="M23" s="49"/>
      <c r="N23" s="50"/>
      <c r="O23" s="50"/>
      <c r="P23" s="15"/>
      <c r="Q23" s="10"/>
      <c r="R23" s="12"/>
      <c r="S23" s="12"/>
      <c r="T23" s="12"/>
      <c r="U23" s="14"/>
      <c r="V23" s="14"/>
      <c r="W23" s="16"/>
      <c r="X23" s="10"/>
      <c r="Y23" s="12"/>
      <c r="Z23" s="12"/>
      <c r="AA23" s="12"/>
      <c r="AB23" s="17"/>
      <c r="AC23" s="17"/>
      <c r="AD23" s="18"/>
      <c r="AE23" s="10"/>
      <c r="AF23" s="12"/>
      <c r="AG23" s="12"/>
      <c r="AH23" s="12"/>
      <c r="AI23" s="14"/>
      <c r="AJ23" s="14"/>
      <c r="AK23" s="16"/>
      <c r="AL23" s="10"/>
      <c r="AM23" s="12"/>
      <c r="AN23" s="12"/>
      <c r="AO23" s="12"/>
      <c r="AP23" s="14"/>
      <c r="AQ23" s="14"/>
      <c r="AR23" s="16"/>
      <c r="AS23" s="10"/>
      <c r="AT23" s="12"/>
      <c r="AU23" s="12"/>
      <c r="AV23" s="12"/>
      <c r="AW23" s="14"/>
      <c r="AX23" s="14"/>
      <c r="AY23" s="16"/>
      <c r="AZ23" s="10"/>
      <c r="BA23" s="12"/>
      <c r="BB23" s="12"/>
      <c r="BC23" s="12"/>
      <c r="BD23" s="14"/>
      <c r="BE23" s="14"/>
      <c r="BF23" s="16"/>
      <c r="BG23" s="32"/>
      <c r="BH23" s="40"/>
      <c r="BI23" s="12"/>
      <c r="BJ23" s="12"/>
      <c r="BK23" s="14"/>
      <c r="BL23" s="14"/>
      <c r="BM23" s="39"/>
      <c r="BN23" s="32"/>
      <c r="BO23" s="40"/>
      <c r="BP23" s="40"/>
      <c r="BQ23" s="40"/>
      <c r="BR23" s="14"/>
      <c r="BS23" s="14"/>
      <c r="BT23" s="39"/>
      <c r="BU23" s="32"/>
      <c r="BV23" s="40"/>
      <c r="BW23" s="40"/>
      <c r="BX23" s="40"/>
      <c r="BY23" s="14"/>
      <c r="BZ23" s="14"/>
      <c r="CA23" s="39"/>
      <c r="CB23" s="32"/>
      <c r="CC23" s="40"/>
      <c r="CD23" s="40"/>
      <c r="CE23" s="79"/>
      <c r="CF23" s="14"/>
      <c r="CG23" s="14"/>
      <c r="CH23" s="39"/>
      <c r="CI23" s="40"/>
      <c r="CJ23" s="40"/>
      <c r="CK23" s="40"/>
      <c r="CL23" s="83"/>
      <c r="CM23" s="14"/>
      <c r="CN23" s="14"/>
      <c r="CO23" s="39"/>
      <c r="CP23" s="108"/>
      <c r="CQ23" s="40"/>
      <c r="CR23" s="40"/>
      <c r="CS23" s="40"/>
      <c r="CT23" s="14"/>
      <c r="CU23" s="14"/>
      <c r="CV23" s="39"/>
      <c r="CW23" s="32"/>
      <c r="CX23" s="40"/>
      <c r="CY23" s="40"/>
      <c r="CZ23" s="40"/>
      <c r="DA23" s="17"/>
      <c r="DB23" s="17"/>
      <c r="DC23" s="18"/>
      <c r="DD23" s="108"/>
      <c r="DE23" s="40"/>
      <c r="DF23" s="40"/>
      <c r="DG23" s="40"/>
      <c r="DH23" s="156">
        <f>DD23*3+DF23</f>
        <v>0</v>
      </c>
      <c r="DI23" s="156">
        <f>DE23*3+DG23</f>
        <v>0</v>
      </c>
      <c r="DJ23" s="18">
        <f>DI23+DH23</f>
        <v>0</v>
      </c>
      <c r="DK23" s="108"/>
      <c r="DL23" s="40"/>
      <c r="DM23" s="40"/>
      <c r="DN23" s="40"/>
      <c r="DO23" s="156">
        <f>DK23*3+DM23</f>
        <v>0</v>
      </c>
      <c r="DP23" s="156">
        <f>DL23*3+DN23</f>
        <v>0</v>
      </c>
      <c r="DQ23" s="18">
        <f>DP23+DO23</f>
        <v>0</v>
      </c>
      <c r="DR23" s="108">
        <v>1</v>
      </c>
      <c r="DS23" s="40"/>
      <c r="DT23" s="40"/>
      <c r="DU23" s="40"/>
      <c r="DV23" s="156">
        <f>DR23*3+DT23</f>
        <v>3</v>
      </c>
      <c r="DW23" s="156">
        <f>DS23*3+DU23</f>
        <v>0</v>
      </c>
      <c r="DX23" s="18">
        <f>DW23+DV23</f>
        <v>3</v>
      </c>
      <c r="DY23" s="108"/>
      <c r="DZ23" s="40"/>
      <c r="EA23" s="40">
        <v>2</v>
      </c>
      <c r="EB23" s="40">
        <v>1</v>
      </c>
      <c r="EC23" s="156">
        <f>DY23*3+EA23</f>
        <v>2</v>
      </c>
      <c r="ED23" s="156">
        <f>DZ23*3+EB23</f>
        <v>1</v>
      </c>
      <c r="EE23" s="18">
        <f>ED23+EC23</f>
        <v>3</v>
      </c>
      <c r="EF23" s="108"/>
      <c r="EG23" s="40"/>
      <c r="EH23" s="40">
        <v>1</v>
      </c>
      <c r="EI23" s="40">
        <v>1</v>
      </c>
      <c r="EJ23" s="156">
        <f>EF23*3+EH23</f>
        <v>1</v>
      </c>
      <c r="EK23" s="156">
        <f>EG23*3+EI23</f>
        <v>1</v>
      </c>
      <c r="EL23" s="18">
        <f>EK23+EJ23</f>
        <v>2</v>
      </c>
      <c r="EM23" s="74">
        <f>SUM(AP23,AI23,AB23,U23,N23,AW23,BD23,BK23,BR23,BY23,CF23,CM23,CT23,DA23,DH23,DO23,DV23,EC23,EJ23)</f>
        <v>6</v>
      </c>
      <c r="EN23" s="75">
        <f ca="1">EM23/(10+TODAY()-G23)</f>
        <v>0.08</v>
      </c>
      <c r="EO23" s="76">
        <f>SUM(AQ23,AJ23,AC23,V23,O23,AX23,BE23,BL23,BS23,BZ23,CG23,CN23,CU23,DB23,DI23,DP23,DW23,ED23,EK23)</f>
        <v>2</v>
      </c>
      <c r="EP23" s="75">
        <f ca="1">EO23/(10+TODAY()-G23)</f>
        <v>2.6666666666666668E-2</v>
      </c>
      <c r="EQ23" s="76">
        <f>EM23+EO23</f>
        <v>8</v>
      </c>
      <c r="ER23" s="75">
        <f ca="1">EP23+EN23</f>
        <v>0.10666666666666667</v>
      </c>
      <c r="ES23" s="76">
        <f>SUM(AS23,AL23,AE23,X23,Q23,Q23,J23,AZ23,BG23,BN23,BU23,CB23,CI23,CP23,CW23,DD23,DK23,DR23,DY23,EF23)</f>
        <v>1</v>
      </c>
      <c r="ET23" s="76">
        <f>SUM(AT23,AM23,AF23,Y23,R23,R23,K23,BA23,BH23,BO23,BV23,CC23,CJ23,CQ23,CX23,DE23,DL23,DS23,DZ23,EG23)</f>
        <v>0</v>
      </c>
      <c r="EU23" s="76">
        <f>ET23+ES23</f>
        <v>1</v>
      </c>
    </row>
    <row r="24" spans="1:151" ht="15.75" thickBot="1" x14ac:dyDescent="0.3">
      <c r="A24" s="32">
        <v>11</v>
      </c>
      <c r="B24" s="247" t="s">
        <v>133</v>
      </c>
      <c r="C24" s="85" t="str">
        <f>B24&amp;" "&amp;A24</f>
        <v>ניקול 11</v>
      </c>
      <c r="D24" s="23" t="s">
        <v>6</v>
      </c>
      <c r="E24" s="23" t="s">
        <v>7</v>
      </c>
      <c r="F24" s="31" t="s">
        <v>148</v>
      </c>
      <c r="G24" s="30">
        <v>43151</v>
      </c>
      <c r="H24" s="42"/>
      <c r="I24" s="13"/>
      <c r="J24" s="48"/>
      <c r="K24" s="49"/>
      <c r="L24" s="49"/>
      <c r="M24" s="49"/>
      <c r="N24" s="50">
        <f>J24*3+L24</f>
        <v>0</v>
      </c>
      <c r="O24" s="50">
        <f>K24*3+M24</f>
        <v>0</v>
      </c>
      <c r="P24" s="15">
        <f>O24+N24</f>
        <v>0</v>
      </c>
      <c r="Q24" s="10"/>
      <c r="R24" s="12"/>
      <c r="S24" s="12"/>
      <c r="T24" s="12"/>
      <c r="U24" s="14">
        <f>Q24*3+S24</f>
        <v>0</v>
      </c>
      <c r="V24" s="14">
        <f>R24*3+T24</f>
        <v>0</v>
      </c>
      <c r="W24" s="16">
        <v>0</v>
      </c>
      <c r="X24" s="10"/>
      <c r="Y24" s="12"/>
      <c r="Z24" s="12"/>
      <c r="AA24" s="12"/>
      <c r="AB24" s="17">
        <f>X24*3+Z24</f>
        <v>0</v>
      </c>
      <c r="AC24" s="17">
        <f>Y24*3+AA24</f>
        <v>0</v>
      </c>
      <c r="AD24" s="18">
        <f>AC24+AB24</f>
        <v>0</v>
      </c>
      <c r="AE24" s="10"/>
      <c r="AF24" s="12"/>
      <c r="AG24" s="12"/>
      <c r="AH24" s="12"/>
      <c r="AI24" s="14">
        <f>AE24*3+AG24</f>
        <v>0</v>
      </c>
      <c r="AJ24" s="14">
        <f>AF24*3+AH24</f>
        <v>0</v>
      </c>
      <c r="AK24" s="16">
        <f>AJ24+AI24</f>
        <v>0</v>
      </c>
      <c r="AL24" s="10"/>
      <c r="AM24" s="12"/>
      <c r="AN24" s="12"/>
      <c r="AO24" s="12"/>
      <c r="AP24" s="14">
        <f>AL24*3+AN24</f>
        <v>0</v>
      </c>
      <c r="AQ24" s="14">
        <f>AM24*3+AO24</f>
        <v>0</v>
      </c>
      <c r="AR24" s="16">
        <f>AQ24+AP24</f>
        <v>0</v>
      </c>
      <c r="AS24" s="10"/>
      <c r="AT24" s="12"/>
      <c r="AU24" s="12"/>
      <c r="AV24" s="12"/>
      <c r="AW24" s="14">
        <f>AS24*3+AU24</f>
        <v>0</v>
      </c>
      <c r="AX24" s="14">
        <f>AT24*3+AV24</f>
        <v>0</v>
      </c>
      <c r="AY24" s="16">
        <f>AX24+AW24</f>
        <v>0</v>
      </c>
      <c r="AZ24" s="10"/>
      <c r="BA24" s="12"/>
      <c r="BB24" s="12"/>
      <c r="BC24" s="12"/>
      <c r="BD24" s="14">
        <f>AZ24*3+BB24</f>
        <v>0</v>
      </c>
      <c r="BE24" s="14">
        <f>BA24*3+BC24</f>
        <v>0</v>
      </c>
      <c r="BF24" s="16">
        <f>BE24+BD24</f>
        <v>0</v>
      </c>
      <c r="BG24" s="32"/>
      <c r="BH24" s="40"/>
      <c r="BI24" s="12"/>
      <c r="BJ24" s="12"/>
      <c r="BK24" s="14">
        <f>BG24*3+BI24</f>
        <v>0</v>
      </c>
      <c r="BL24" s="14">
        <f>BH24*3+BJ24</f>
        <v>0</v>
      </c>
      <c r="BM24" s="39">
        <f>BL24+BK24</f>
        <v>0</v>
      </c>
      <c r="BN24" s="32">
        <v>1</v>
      </c>
      <c r="BO24" s="40"/>
      <c r="BP24" s="40">
        <v>2</v>
      </c>
      <c r="BQ24" s="40"/>
      <c r="BR24" s="14">
        <f>BN24*3+BP24</f>
        <v>5</v>
      </c>
      <c r="BS24" s="14">
        <f>BO24*3+BQ24</f>
        <v>0</v>
      </c>
      <c r="BT24" s="39">
        <f>BS24+BR24</f>
        <v>5</v>
      </c>
      <c r="BU24" s="32">
        <v>1</v>
      </c>
      <c r="BV24" s="40"/>
      <c r="BW24" s="40">
        <v>1</v>
      </c>
      <c r="BX24" s="40"/>
      <c r="BY24" s="14">
        <f>BU24*3+BW24</f>
        <v>4</v>
      </c>
      <c r="BZ24" s="14">
        <f>BV24*3+BX24</f>
        <v>0</v>
      </c>
      <c r="CA24" s="39">
        <f>BZ24+BY24</f>
        <v>4</v>
      </c>
      <c r="CB24" s="32"/>
      <c r="CC24" s="40"/>
      <c r="CD24" s="40">
        <v>2</v>
      </c>
      <c r="CE24" s="79"/>
      <c r="CF24" s="14">
        <f>CB24*3+CD24</f>
        <v>2</v>
      </c>
      <c r="CG24" s="14">
        <f>CC24*3+CE24</f>
        <v>0</v>
      </c>
      <c r="CH24" s="39">
        <f>CG24+CF24</f>
        <v>2</v>
      </c>
      <c r="CI24" s="40"/>
      <c r="CJ24" s="40"/>
      <c r="CK24" s="40"/>
      <c r="CL24" s="83"/>
      <c r="CM24" s="14">
        <f>CI24*3+CK24</f>
        <v>0</v>
      </c>
      <c r="CN24" s="14">
        <f>CJ24*3+CL24</f>
        <v>0</v>
      </c>
      <c r="CO24" s="39">
        <f>CN24+CM24</f>
        <v>0</v>
      </c>
      <c r="CP24" s="108"/>
      <c r="CQ24" s="40"/>
      <c r="CR24" s="40"/>
      <c r="CS24" s="40">
        <v>1</v>
      </c>
      <c r="CT24" s="14">
        <f>CP24*3+CR24</f>
        <v>0</v>
      </c>
      <c r="CU24" s="14">
        <f>CQ24*3+CS24</f>
        <v>1</v>
      </c>
      <c r="CV24" s="39">
        <f>CU24+CT24</f>
        <v>1</v>
      </c>
      <c r="CW24" s="32"/>
      <c r="CX24" s="40"/>
      <c r="CY24" s="40">
        <v>2</v>
      </c>
      <c r="CZ24" s="40"/>
      <c r="DA24" s="17">
        <f>CW24*3+CY24</f>
        <v>2</v>
      </c>
      <c r="DB24" s="17">
        <f>CX24*3+CZ24</f>
        <v>0</v>
      </c>
      <c r="DC24" s="18">
        <f>DB24+DA24</f>
        <v>2</v>
      </c>
      <c r="DD24" s="108">
        <v>1</v>
      </c>
      <c r="DE24" s="40"/>
      <c r="DF24" s="40"/>
      <c r="DG24" s="40"/>
      <c r="DH24" s="156">
        <f>DD24*3+DF24</f>
        <v>3</v>
      </c>
      <c r="DI24" s="156">
        <f>DE24*3+DG24</f>
        <v>0</v>
      </c>
      <c r="DJ24" s="18">
        <f>DI24+DH24</f>
        <v>3</v>
      </c>
      <c r="DK24" s="108"/>
      <c r="DL24" s="40">
        <v>1</v>
      </c>
      <c r="DM24" s="40">
        <v>1</v>
      </c>
      <c r="DN24" s="40"/>
      <c r="DO24" s="156">
        <f>DK24*3+DM24</f>
        <v>1</v>
      </c>
      <c r="DP24" s="156">
        <f>DL24*3+DN24</f>
        <v>3</v>
      </c>
      <c r="DQ24" s="18">
        <f>DP24+DO24</f>
        <v>4</v>
      </c>
      <c r="DR24" s="108"/>
      <c r="DS24" s="40"/>
      <c r="DT24" s="40">
        <v>3</v>
      </c>
      <c r="DU24" s="40"/>
      <c r="DV24" s="156">
        <f>DR24*3+DT24</f>
        <v>3</v>
      </c>
      <c r="DW24" s="156">
        <f>DS24*3+DU24</f>
        <v>0</v>
      </c>
      <c r="DX24" s="18">
        <f>DW24+DV24</f>
        <v>3</v>
      </c>
      <c r="DY24" s="108">
        <v>1</v>
      </c>
      <c r="DZ24" s="40"/>
      <c r="EA24" s="40">
        <v>1</v>
      </c>
      <c r="EB24" s="40">
        <v>1</v>
      </c>
      <c r="EC24" s="156">
        <f>DY24*3+EA24</f>
        <v>4</v>
      </c>
      <c r="ED24" s="156">
        <f>DZ24*3+EB24</f>
        <v>1</v>
      </c>
      <c r="EE24" s="18">
        <f>ED24+EC24</f>
        <v>5</v>
      </c>
      <c r="EF24" s="108"/>
      <c r="EG24" s="40"/>
      <c r="EH24" s="40">
        <v>2</v>
      </c>
      <c r="EI24" s="40"/>
      <c r="EJ24" s="156">
        <f>EF24*3+EH24</f>
        <v>2</v>
      </c>
      <c r="EK24" s="156">
        <f>EG24*3+EI24</f>
        <v>0</v>
      </c>
      <c r="EL24" s="18">
        <f>EK24+EJ24</f>
        <v>2</v>
      </c>
      <c r="EM24" s="74">
        <f>SUM(AP24,AI24,AB24,U24,N24,AW24,BD24,BK24,BR24,BY24,CF24,CM24,CT24,DA24,DH24,DO24,DV24,EC24,EJ24)</f>
        <v>26</v>
      </c>
      <c r="EN24" s="75">
        <f ca="1">EM24/(10+TODAY()-G24)</f>
        <v>8.2018927444794956E-2</v>
      </c>
      <c r="EO24" s="76">
        <f>SUM(AQ24,AJ24,AC24,V24,O24,AX24,BE24,BL24,BS24,BZ24,CG24,CN24,CU24,DB24,DI24,DP24,DW24,ED24,EK24)</f>
        <v>5</v>
      </c>
      <c r="EP24" s="75">
        <f ca="1">EO24/(10+TODAY()-G24)</f>
        <v>1.5772870662460567E-2</v>
      </c>
      <c r="EQ24" s="76">
        <f>EM24+EO24</f>
        <v>31</v>
      </c>
      <c r="ER24" s="75">
        <f ca="1">EP24+EN24</f>
        <v>9.7791798107255523E-2</v>
      </c>
      <c r="ES24" s="76">
        <f>SUM(AS24,AL24,AE24,X24,Q24,Q24,J24,AZ24,BG24,BN24,BU24,CB24,CI24,CP24,CW24,DD24,DK24,DR24,DY24,EF24)</f>
        <v>4</v>
      </c>
      <c r="ET24" s="76">
        <f>SUM(AT24,AM24,AF24,Y24,R24,R24,K24,BA24,BH24,BO24,BV24,CC24,CJ24,CQ24,CX24,DE24,DL24,DS24,DZ24,EG24)</f>
        <v>1</v>
      </c>
      <c r="EU24" s="76">
        <f>ET24+ES24</f>
        <v>5</v>
      </c>
    </row>
    <row r="25" spans="1:151" ht="15.75" thickBot="1" x14ac:dyDescent="0.3">
      <c r="A25" s="32">
        <v>679</v>
      </c>
      <c r="B25" s="247" t="s">
        <v>311</v>
      </c>
      <c r="C25" s="85" t="str">
        <f>B25&amp;" "&amp;A25</f>
        <v>ספיר 679</v>
      </c>
      <c r="D25" s="23" t="s">
        <v>6</v>
      </c>
      <c r="E25" s="23" t="s">
        <v>6</v>
      </c>
      <c r="F25" s="31" t="s">
        <v>314</v>
      </c>
      <c r="G25" s="30">
        <v>43449</v>
      </c>
      <c r="H25" s="19"/>
      <c r="I25" s="35" t="s">
        <v>190</v>
      </c>
      <c r="J25" s="48"/>
      <c r="K25" s="49"/>
      <c r="L25" s="49"/>
      <c r="M25" s="49"/>
      <c r="N25" s="50"/>
      <c r="O25" s="50"/>
      <c r="P25" s="15"/>
      <c r="Q25" s="10"/>
      <c r="R25" s="12"/>
      <c r="S25" s="12"/>
      <c r="T25" s="12"/>
      <c r="U25" s="14"/>
      <c r="V25" s="14"/>
      <c r="W25" s="16"/>
      <c r="X25" s="10"/>
      <c r="Y25" s="12"/>
      <c r="Z25" s="12"/>
      <c r="AA25" s="12"/>
      <c r="AB25" s="17"/>
      <c r="AC25" s="17"/>
      <c r="AD25" s="18"/>
      <c r="AE25" s="10"/>
      <c r="AF25" s="12"/>
      <c r="AG25" s="12"/>
      <c r="AH25" s="12"/>
      <c r="AI25" s="14"/>
      <c r="AJ25" s="14"/>
      <c r="AK25" s="16"/>
      <c r="AL25" s="10"/>
      <c r="AM25" s="12"/>
      <c r="AN25" s="12"/>
      <c r="AO25" s="12"/>
      <c r="AP25" s="14"/>
      <c r="AQ25" s="14"/>
      <c r="AR25" s="16"/>
      <c r="AS25" s="10"/>
      <c r="AT25" s="12"/>
      <c r="AU25" s="12"/>
      <c r="AV25" s="12"/>
      <c r="AW25" s="14"/>
      <c r="AX25" s="14"/>
      <c r="AY25" s="16"/>
      <c r="AZ25" s="10"/>
      <c r="BA25" s="12"/>
      <c r="BB25" s="12"/>
      <c r="BC25" s="12"/>
      <c r="BD25" s="14"/>
      <c r="BE25" s="14"/>
      <c r="BF25" s="16"/>
      <c r="BG25" s="32"/>
      <c r="BH25" s="40"/>
      <c r="BI25" s="40"/>
      <c r="BJ25" s="12"/>
      <c r="BK25" s="14"/>
      <c r="BL25" s="14"/>
      <c r="BM25" s="39"/>
      <c r="BN25" s="32"/>
      <c r="BO25" s="40"/>
      <c r="BP25" s="40"/>
      <c r="BQ25" s="40"/>
      <c r="BR25" s="14"/>
      <c r="BS25" s="14"/>
      <c r="BT25" s="39"/>
      <c r="BU25" s="32"/>
      <c r="BV25" s="40"/>
      <c r="BW25" s="40"/>
      <c r="BX25" s="40"/>
      <c r="BY25" s="14"/>
      <c r="BZ25" s="14"/>
      <c r="CA25" s="39"/>
      <c r="CB25" s="32"/>
      <c r="CC25" s="40"/>
      <c r="CD25" s="40"/>
      <c r="CE25" s="79"/>
      <c r="CF25" s="14"/>
      <c r="CG25" s="14"/>
      <c r="CH25" s="39"/>
      <c r="CI25" s="40"/>
      <c r="CJ25" s="40"/>
      <c r="CK25" s="40"/>
      <c r="CL25" s="83"/>
      <c r="CM25" s="14"/>
      <c r="CN25" s="14"/>
      <c r="CO25" s="39"/>
      <c r="CP25" s="108"/>
      <c r="CQ25" s="40"/>
      <c r="CR25" s="40"/>
      <c r="CS25" s="40"/>
      <c r="CT25" s="14"/>
      <c r="CU25" s="14"/>
      <c r="CV25" s="39"/>
      <c r="CW25" s="32"/>
      <c r="CX25" s="40"/>
      <c r="CY25" s="40"/>
      <c r="CZ25" s="40"/>
      <c r="DA25" s="17"/>
      <c r="DB25" s="17"/>
      <c r="DC25" s="18"/>
      <c r="DD25" s="108"/>
      <c r="DE25" s="40"/>
      <c r="DF25" s="40"/>
      <c r="DG25" s="40"/>
      <c r="DH25" s="156"/>
      <c r="DI25" s="156"/>
      <c r="DJ25" s="18"/>
      <c r="DK25" s="108"/>
      <c r="DL25" s="40"/>
      <c r="DM25" s="40"/>
      <c r="DN25" s="40"/>
      <c r="DO25" s="156"/>
      <c r="DP25" s="156"/>
      <c r="DQ25" s="18"/>
      <c r="DR25" s="108"/>
      <c r="DS25" s="40"/>
      <c r="DT25" s="40"/>
      <c r="DU25" s="40"/>
      <c r="DV25" s="156">
        <f>DR25*3+DT25</f>
        <v>0</v>
      </c>
      <c r="DW25" s="156">
        <f>DS25*3+DU25</f>
        <v>0</v>
      </c>
      <c r="DX25" s="18">
        <f>DW25+DV25</f>
        <v>0</v>
      </c>
      <c r="DY25" s="108"/>
      <c r="DZ25" s="40"/>
      <c r="EA25" s="40"/>
      <c r="EB25" s="40"/>
      <c r="EC25" s="156">
        <f>DY25*3+EA25</f>
        <v>0</v>
      </c>
      <c r="ED25" s="156">
        <f>DZ25*3+EB25</f>
        <v>0</v>
      </c>
      <c r="EE25" s="18">
        <f>ED25+EC25</f>
        <v>0</v>
      </c>
      <c r="EF25" s="108"/>
      <c r="EG25" s="40"/>
      <c r="EH25" s="40">
        <v>2</v>
      </c>
      <c r="EI25" s="40"/>
      <c r="EJ25" s="156">
        <f>EF25*3+EH25</f>
        <v>2</v>
      </c>
      <c r="EK25" s="156">
        <f>EG25*3+EI25</f>
        <v>0</v>
      </c>
      <c r="EL25" s="18">
        <f>EK25+EJ25</f>
        <v>2</v>
      </c>
      <c r="EM25" s="74">
        <f>SUM(AP25,AI25,AB25,U25,N25,AW25,BD25,BK25,BR25,BY25,CF25,CM25,CT25,DA25,DH25,DO25,DV25,EC25,EJ25)</f>
        <v>2</v>
      </c>
      <c r="EN25" s="75">
        <f ca="1">EM25/(10+TODAY()-G25)</f>
        <v>0.10526315789473684</v>
      </c>
      <c r="EO25" s="76">
        <f>SUM(AQ25,AJ25,AC25,V25,O25,AX25,BE25,BL25,BS25,BZ25,CG25,CN25,CU25,DB25,DI25,DP25,DW25,ED25,EK25)</f>
        <v>0</v>
      </c>
      <c r="EP25" s="75">
        <f ca="1">EO25/(10+TODAY()-G25)</f>
        <v>0</v>
      </c>
      <c r="EQ25" s="76">
        <f>EM25+EO25</f>
        <v>2</v>
      </c>
      <c r="ER25" s="75">
        <f ca="1">EP25+EN25</f>
        <v>0.10526315789473684</v>
      </c>
      <c r="ES25" s="76">
        <f>SUM(AS25,AL25,AE25,X25,Q25,Q25,J25,AZ25,BG25,BN25,BU25,CB25,CI25,CP25,CW25,DD25,DK25,DR25,DY25,EF25)</f>
        <v>0</v>
      </c>
      <c r="ET25" s="76">
        <f>SUM(AT25,AM25,AF25,Y25,R25,R25,K25,BA25,BH25,BO25,BV25,CC25,CJ25,CQ25,CX25,DE25,DL25,DS25,DZ25,EG25)</f>
        <v>0</v>
      </c>
      <c r="EU25" s="76">
        <f>ET25+ES25</f>
        <v>0</v>
      </c>
    </row>
    <row r="26" spans="1:151" ht="15.75" thickBot="1" x14ac:dyDescent="0.3">
      <c r="A26" s="177">
        <v>209</v>
      </c>
      <c r="B26" s="24" t="s">
        <v>273</v>
      </c>
      <c r="C26" s="11" t="str">
        <f>B26&amp;" "&amp;A26</f>
        <v>קרין 209</v>
      </c>
      <c r="D26" s="23" t="s">
        <v>6</v>
      </c>
      <c r="E26" s="23" t="s">
        <v>6</v>
      </c>
      <c r="F26" s="31" t="s">
        <v>275</v>
      </c>
      <c r="G26" s="30">
        <v>43383</v>
      </c>
      <c r="H26" s="31"/>
      <c r="I26" s="35" t="s">
        <v>309</v>
      </c>
      <c r="J26" s="48"/>
      <c r="K26" s="49"/>
      <c r="L26" s="49"/>
      <c r="M26" s="49"/>
      <c r="N26" s="50"/>
      <c r="O26" s="50"/>
      <c r="P26" s="15"/>
      <c r="Q26" s="10"/>
      <c r="R26" s="12"/>
      <c r="S26" s="12"/>
      <c r="T26" s="12"/>
      <c r="U26" s="14"/>
      <c r="V26" s="14"/>
      <c r="W26" s="16"/>
      <c r="X26" s="10"/>
      <c r="Y26" s="12"/>
      <c r="Z26" s="12"/>
      <c r="AA26" s="12"/>
      <c r="AB26" s="17"/>
      <c r="AC26" s="17"/>
      <c r="AD26" s="18"/>
      <c r="AE26" s="10"/>
      <c r="AF26" s="12"/>
      <c r="AG26" s="12"/>
      <c r="AH26" s="12"/>
      <c r="AI26" s="14"/>
      <c r="AJ26" s="14"/>
      <c r="AK26" s="16"/>
      <c r="AL26" s="10"/>
      <c r="AM26" s="12"/>
      <c r="AN26" s="12"/>
      <c r="AO26" s="12"/>
      <c r="AP26" s="14"/>
      <c r="AQ26" s="14"/>
      <c r="AR26" s="16"/>
      <c r="AS26" s="10"/>
      <c r="AT26" s="12"/>
      <c r="AU26" s="12"/>
      <c r="AV26" s="12"/>
      <c r="AW26" s="14"/>
      <c r="AX26" s="14"/>
      <c r="AY26" s="16"/>
      <c r="AZ26" s="10"/>
      <c r="BA26" s="12"/>
      <c r="BB26" s="12"/>
      <c r="BC26" s="12"/>
      <c r="BD26" s="14"/>
      <c r="BE26" s="14"/>
      <c r="BF26" s="16"/>
      <c r="BG26" s="32"/>
      <c r="BH26" s="40"/>
      <c r="BI26" s="12"/>
      <c r="BJ26" s="12"/>
      <c r="BK26" s="14"/>
      <c r="BL26" s="14"/>
      <c r="BM26" s="39"/>
      <c r="BN26" s="32"/>
      <c r="BO26" s="40"/>
      <c r="BP26" s="40"/>
      <c r="BQ26" s="40"/>
      <c r="BR26" s="14"/>
      <c r="BS26" s="14"/>
      <c r="BT26" s="39"/>
      <c r="BU26" s="32"/>
      <c r="BV26" s="40"/>
      <c r="BW26" s="40"/>
      <c r="BX26" s="40"/>
      <c r="BY26" s="14"/>
      <c r="BZ26" s="14"/>
      <c r="CA26" s="39"/>
      <c r="CB26" s="32"/>
      <c r="CC26" s="40"/>
      <c r="CD26" s="40"/>
      <c r="CE26" s="79"/>
      <c r="CF26" s="14"/>
      <c r="CG26" s="14"/>
      <c r="CH26" s="39"/>
      <c r="CI26" s="40"/>
      <c r="CJ26" s="40"/>
      <c r="CK26" s="40"/>
      <c r="CL26" s="83"/>
      <c r="CM26" s="14"/>
      <c r="CN26" s="14"/>
      <c r="CO26" s="39"/>
      <c r="CP26" s="108"/>
      <c r="CQ26" s="40"/>
      <c r="CR26" s="40"/>
      <c r="CS26" s="40"/>
      <c r="CT26" s="14"/>
      <c r="CU26" s="14"/>
      <c r="CV26" s="39"/>
      <c r="CW26" s="32"/>
      <c r="CX26" s="40"/>
      <c r="CY26" s="40"/>
      <c r="CZ26" s="40"/>
      <c r="DA26" s="17"/>
      <c r="DB26" s="17"/>
      <c r="DC26" s="18"/>
      <c r="DD26" s="108"/>
      <c r="DE26" s="40"/>
      <c r="DF26" s="40"/>
      <c r="DG26" s="40"/>
      <c r="DH26" s="156">
        <f>DD26*3+DF26</f>
        <v>0</v>
      </c>
      <c r="DI26" s="156">
        <f>DE26*3+DG26</f>
        <v>0</v>
      </c>
      <c r="DJ26" s="18">
        <f>DI26+DH26</f>
        <v>0</v>
      </c>
      <c r="DK26" s="108"/>
      <c r="DL26" s="40"/>
      <c r="DM26" s="40"/>
      <c r="DN26" s="40"/>
      <c r="DO26" s="156">
        <f>DK26*3+DM26</f>
        <v>0</v>
      </c>
      <c r="DP26" s="156">
        <f>DL26*3+DN26</f>
        <v>0</v>
      </c>
      <c r="DQ26" s="18">
        <f>DP26+DO26</f>
        <v>0</v>
      </c>
      <c r="DR26" s="108"/>
      <c r="DS26" s="40"/>
      <c r="DT26" s="40">
        <v>3</v>
      </c>
      <c r="DU26" s="40"/>
      <c r="DV26" s="156">
        <f>DR26*3+DT26</f>
        <v>3</v>
      </c>
      <c r="DW26" s="156">
        <f>DS26*3+DU26</f>
        <v>0</v>
      </c>
      <c r="DX26" s="18">
        <f>DW26+DV26</f>
        <v>3</v>
      </c>
      <c r="DY26" s="108"/>
      <c r="DZ26" s="40"/>
      <c r="EA26" s="40">
        <v>4</v>
      </c>
      <c r="EB26" s="40"/>
      <c r="EC26" s="156">
        <f>DY26*3+EA26</f>
        <v>4</v>
      </c>
      <c r="ED26" s="156">
        <f>DZ26*3+EB26</f>
        <v>0</v>
      </c>
      <c r="EE26" s="18">
        <f>ED26+EC26</f>
        <v>4</v>
      </c>
      <c r="EF26" s="108"/>
      <c r="EG26" s="40"/>
      <c r="EH26" s="40">
        <v>2</v>
      </c>
      <c r="EI26" s="40"/>
      <c r="EJ26" s="156">
        <f>EF26*3+EH26</f>
        <v>2</v>
      </c>
      <c r="EK26" s="156">
        <f>EG26*3+EI26</f>
        <v>0</v>
      </c>
      <c r="EL26" s="18">
        <f>EK26+EJ26</f>
        <v>2</v>
      </c>
      <c r="EM26" s="74">
        <f>SUM(AP26,AI26,AB26,U26,N26,AW26,BD26,BK26,BR26,BY26,CF26,CM26,CT26,DA26,DH26,DO26,DV26,EC26,EJ26)</f>
        <v>9</v>
      </c>
      <c r="EN26" s="75">
        <f ca="1">EM26/(10+TODAY()-G26)</f>
        <v>0.10588235294117647</v>
      </c>
      <c r="EO26" s="76">
        <f>SUM(AQ26,AJ26,AC26,V26,O26,AX26,BE26,BL26,BS26,BZ26,CG26,CN26,CU26,DB26,DI26,DP26,DW26,ED26,EK26)</f>
        <v>0</v>
      </c>
      <c r="EP26" s="75">
        <f ca="1">EO26/(10+TODAY()-G26)</f>
        <v>0</v>
      </c>
      <c r="EQ26" s="76">
        <f>EM26+EO26</f>
        <v>9</v>
      </c>
      <c r="ER26" s="75">
        <f ca="1">EP26+EN26</f>
        <v>0.10588235294117647</v>
      </c>
      <c r="ES26" s="76">
        <f>SUM(AS26,AL26,AE26,X26,Q26,Q26,J26,AZ26,BG26,BN26,BU26,CB26,CI26,CP26,CW26,DD26,DK26,DR26,DY26,EF26)</f>
        <v>0</v>
      </c>
      <c r="ET26" s="76">
        <f>SUM(AT26,AM26,AF26,Y26,R26,R26,K26,BA26,BH26,BO26,BV26,CC26,CJ26,CQ26,CX26,DE26,DL26,DS26,DZ26,EG26)</f>
        <v>0</v>
      </c>
      <c r="EU26" s="76">
        <f>ET26+ES26</f>
        <v>0</v>
      </c>
    </row>
    <row r="27" spans="1:151" ht="15.75" thickBot="1" x14ac:dyDescent="0.3">
      <c r="A27" s="10">
        <v>474</v>
      </c>
      <c r="B27" s="24" t="s">
        <v>165</v>
      </c>
      <c r="C27" s="26" t="str">
        <f>B27&amp;" "&amp;A27</f>
        <v>רוני 474</v>
      </c>
      <c r="D27" s="23" t="s">
        <v>6</v>
      </c>
      <c r="E27" s="23" t="s">
        <v>7</v>
      </c>
      <c r="F27" s="31" t="s">
        <v>167</v>
      </c>
      <c r="G27" s="30">
        <v>43191</v>
      </c>
      <c r="H27" s="244"/>
      <c r="I27" s="13"/>
      <c r="J27" s="48"/>
      <c r="K27" s="49"/>
      <c r="L27" s="49"/>
      <c r="M27" s="49"/>
      <c r="N27" s="50">
        <f>J27*3+L27</f>
        <v>0</v>
      </c>
      <c r="O27" s="50">
        <f>K27*3+M27</f>
        <v>0</v>
      </c>
      <c r="P27" s="15">
        <f>O27+N27</f>
        <v>0</v>
      </c>
      <c r="Q27" s="10"/>
      <c r="R27" s="12"/>
      <c r="S27" s="12"/>
      <c r="T27" s="12"/>
      <c r="U27" s="14">
        <f>Q27*3+S27</f>
        <v>0</v>
      </c>
      <c r="V27" s="14">
        <f>R27*3+T27</f>
        <v>0</v>
      </c>
      <c r="W27" s="16">
        <f>V27+U27</f>
        <v>0</v>
      </c>
      <c r="X27" s="10"/>
      <c r="Y27" s="12"/>
      <c r="Z27" s="12"/>
      <c r="AA27" s="12"/>
      <c r="AB27" s="17">
        <f>X27*3+Z27</f>
        <v>0</v>
      </c>
      <c r="AC27" s="17">
        <f>Y27*3+AA27</f>
        <v>0</v>
      </c>
      <c r="AD27" s="18">
        <f>AC27+AB27</f>
        <v>0</v>
      </c>
      <c r="AE27" s="10"/>
      <c r="AF27" s="12"/>
      <c r="AG27" s="12"/>
      <c r="AH27" s="12"/>
      <c r="AI27" s="14">
        <f>AE27*3+AG27</f>
        <v>0</v>
      </c>
      <c r="AJ27" s="14">
        <f>AF27*3+AH27</f>
        <v>0</v>
      </c>
      <c r="AK27" s="16">
        <f>AJ27+AI27</f>
        <v>0</v>
      </c>
      <c r="AL27" s="10"/>
      <c r="AM27" s="12"/>
      <c r="AN27" s="12"/>
      <c r="AO27" s="12"/>
      <c r="AP27" s="14">
        <f>AL27*3+AN27</f>
        <v>0</v>
      </c>
      <c r="AQ27" s="14">
        <f>AM27*3+AO27</f>
        <v>0</v>
      </c>
      <c r="AR27" s="16">
        <f>AQ27+AP27</f>
        <v>0</v>
      </c>
      <c r="AS27" s="10"/>
      <c r="AT27" s="12"/>
      <c r="AU27" s="12"/>
      <c r="AV27" s="12"/>
      <c r="AW27" s="14">
        <f>AS27*3+AU27</f>
        <v>0</v>
      </c>
      <c r="AX27" s="14">
        <f>AT27*3+AV27</f>
        <v>0</v>
      </c>
      <c r="AY27" s="16">
        <f>AX27+AW27</f>
        <v>0</v>
      </c>
      <c r="AZ27" s="10"/>
      <c r="BA27" s="12"/>
      <c r="BB27" s="12"/>
      <c r="BC27" s="12"/>
      <c r="BD27" s="14">
        <f>AZ27*3+BB27</f>
        <v>0</v>
      </c>
      <c r="BE27" s="14">
        <f>BA27*3+BC27</f>
        <v>0</v>
      </c>
      <c r="BF27" s="16">
        <f>BE27+BD27</f>
        <v>0</v>
      </c>
      <c r="BG27" s="32"/>
      <c r="BH27" s="40"/>
      <c r="BI27" s="12"/>
      <c r="BJ27" s="12"/>
      <c r="BK27" s="14">
        <f>BG27*3+BI27</f>
        <v>0</v>
      </c>
      <c r="BL27" s="14">
        <f>BH27*3+BJ27</f>
        <v>0</v>
      </c>
      <c r="BM27" s="39">
        <f>BL27+BK27</f>
        <v>0</v>
      </c>
      <c r="BN27" s="32"/>
      <c r="BO27" s="40"/>
      <c r="BP27" s="40"/>
      <c r="BQ27" s="40"/>
      <c r="BR27" s="14">
        <f>BN27*3+BP27</f>
        <v>0</v>
      </c>
      <c r="BS27" s="14">
        <f>BO27*3+BQ27</f>
        <v>0</v>
      </c>
      <c r="BT27" s="39">
        <f>BS27+BR27</f>
        <v>0</v>
      </c>
      <c r="BU27" s="32"/>
      <c r="BV27" s="40"/>
      <c r="BW27" s="40">
        <v>1</v>
      </c>
      <c r="BX27" s="40"/>
      <c r="BY27" s="14">
        <f>BU27*3+BW27</f>
        <v>1</v>
      </c>
      <c r="BZ27" s="14">
        <f>BV27*3+BX27</f>
        <v>0</v>
      </c>
      <c r="CA27" s="39">
        <f>BZ27+BY27</f>
        <v>1</v>
      </c>
      <c r="CB27" s="32"/>
      <c r="CC27" s="40"/>
      <c r="CD27" s="40">
        <v>2</v>
      </c>
      <c r="CE27" s="79"/>
      <c r="CF27" s="14">
        <f>CB27*3+CD27</f>
        <v>2</v>
      </c>
      <c r="CG27" s="14">
        <f>CC27*3+CE27</f>
        <v>0</v>
      </c>
      <c r="CH27" s="39">
        <f>CG27+CF27</f>
        <v>2</v>
      </c>
      <c r="CI27" s="40">
        <v>1</v>
      </c>
      <c r="CJ27" s="40"/>
      <c r="CK27" s="40"/>
      <c r="CL27" s="83"/>
      <c r="CM27" s="14">
        <f>CI27*3+CK27</f>
        <v>3</v>
      </c>
      <c r="CN27" s="14">
        <f>CJ27*3+CL27</f>
        <v>0</v>
      </c>
      <c r="CO27" s="39">
        <f>CN27+CM27</f>
        <v>3</v>
      </c>
      <c r="CP27" s="108"/>
      <c r="CQ27" s="40"/>
      <c r="CR27" s="40">
        <v>3</v>
      </c>
      <c r="CS27" s="40">
        <v>1</v>
      </c>
      <c r="CT27" s="14">
        <f>CP27*3+CR27</f>
        <v>3</v>
      </c>
      <c r="CU27" s="14">
        <f>CQ27*3+CS27</f>
        <v>1</v>
      </c>
      <c r="CV27" s="39">
        <f>CU27+CT27</f>
        <v>4</v>
      </c>
      <c r="CW27" s="32">
        <v>1</v>
      </c>
      <c r="CX27" s="40"/>
      <c r="CY27" s="40"/>
      <c r="CZ27" s="40"/>
      <c r="DA27" s="17">
        <f>CW27*3+CY27</f>
        <v>3</v>
      </c>
      <c r="DB27" s="17">
        <f>CX27*3+CZ27</f>
        <v>0</v>
      </c>
      <c r="DC27" s="18">
        <f>DB27+DA27</f>
        <v>3</v>
      </c>
      <c r="DD27" s="108"/>
      <c r="DE27" s="40"/>
      <c r="DF27" s="40">
        <v>3</v>
      </c>
      <c r="DG27" s="40"/>
      <c r="DH27" s="156">
        <f>DD27*3+DF27</f>
        <v>3</v>
      </c>
      <c r="DI27" s="156">
        <f>DE27*3+DG27</f>
        <v>0</v>
      </c>
      <c r="DJ27" s="18">
        <f>DI27+DH27</f>
        <v>3</v>
      </c>
      <c r="DK27" s="108"/>
      <c r="DL27" s="40"/>
      <c r="DM27" s="40">
        <v>2</v>
      </c>
      <c r="DN27" s="40">
        <v>1</v>
      </c>
      <c r="DO27" s="156">
        <f>DK27*3+DM27</f>
        <v>2</v>
      </c>
      <c r="DP27" s="156">
        <f>DL27*3+DN27</f>
        <v>1</v>
      </c>
      <c r="DQ27" s="18">
        <f>DP27+DO27</f>
        <v>3</v>
      </c>
      <c r="DR27" s="108">
        <v>1</v>
      </c>
      <c r="DS27" s="40"/>
      <c r="DT27" s="40">
        <v>1</v>
      </c>
      <c r="DU27" s="40"/>
      <c r="DV27" s="156">
        <f>DR27*3+DT27</f>
        <v>4</v>
      </c>
      <c r="DW27" s="156">
        <f>DS27*3+DU27</f>
        <v>0</v>
      </c>
      <c r="DX27" s="18">
        <f>DW27+DV27</f>
        <v>4</v>
      </c>
      <c r="DY27" s="108"/>
      <c r="DZ27" s="40">
        <v>1</v>
      </c>
      <c r="EA27" s="40"/>
      <c r="EB27" s="40"/>
      <c r="EC27" s="156">
        <f>DY27*3+EA27</f>
        <v>0</v>
      </c>
      <c r="ED27" s="156">
        <f>DZ27*3+EB27</f>
        <v>3</v>
      </c>
      <c r="EE27" s="18">
        <f>ED27+EC27</f>
        <v>3</v>
      </c>
      <c r="EF27" s="108"/>
      <c r="EG27" s="40"/>
      <c r="EH27" s="40">
        <v>2</v>
      </c>
      <c r="EI27" s="40"/>
      <c r="EJ27" s="156">
        <f>EF27*3+EH27</f>
        <v>2</v>
      </c>
      <c r="EK27" s="156">
        <f>EG27*3+EI27</f>
        <v>0</v>
      </c>
      <c r="EL27" s="18">
        <f>EK27+EJ27</f>
        <v>2</v>
      </c>
      <c r="EM27" s="74">
        <f>SUM(AP27,AI27,AB27,U27,N27,AW27,BD27,BK27,BR27,BY27,CF27,CM27,CT27,DA27,DH27,DO27,DV27,EC27,EJ27)</f>
        <v>23</v>
      </c>
      <c r="EN27" s="75">
        <f ca="1">EM27/(10+TODAY()-G27)</f>
        <v>8.3032490974729242E-2</v>
      </c>
      <c r="EO27" s="76">
        <f>SUM(AQ27,AJ27,AC27,V27,O27,AX27,BE27,BL27,BS27,BZ27,CG27,CN27,CU27,DB27,DI27,DP27,DW27,ED27,EK27)</f>
        <v>5</v>
      </c>
      <c r="EP27" s="75">
        <f ca="1">EO27/(10+TODAY()-G27)</f>
        <v>1.8050541516245487E-2</v>
      </c>
      <c r="EQ27" s="76">
        <f>EM27+EO27</f>
        <v>28</v>
      </c>
      <c r="ER27" s="75">
        <f ca="1">EP27+EN27</f>
        <v>0.10108303249097472</v>
      </c>
      <c r="ES27" s="76">
        <f>SUM(AS27,AL27,AE27,X27,Q27,Q27,J27,AZ27,BG27,BN27,BU27,CB27,CI27,CP27,CW27,DD27,DK27,DR27,DY27,EF27)</f>
        <v>3</v>
      </c>
      <c r="ET27" s="76">
        <f>SUM(AT27,AM27,AF27,Y27,R27,R27,K27,BA27,BH27,BO27,BV27,CC27,CJ27,CQ27,CX27,DE27,DL27,DS27,DZ27,EG27)</f>
        <v>1</v>
      </c>
      <c r="EU27" s="76">
        <f>ET27+ES27</f>
        <v>4</v>
      </c>
    </row>
    <row r="28" spans="1:151" ht="15.75" thickBot="1" x14ac:dyDescent="0.3">
      <c r="A28" s="177" t="s">
        <v>63</v>
      </c>
      <c r="B28" s="247" t="s">
        <v>165</v>
      </c>
      <c r="C28" s="85" t="str">
        <f>B28&amp;" "&amp;A28</f>
        <v>רוני אחודה</v>
      </c>
      <c r="D28" s="23" t="s">
        <v>6</v>
      </c>
      <c r="E28" s="23" t="s">
        <v>6</v>
      </c>
      <c r="F28" s="31" t="s">
        <v>196</v>
      </c>
      <c r="G28" s="30">
        <v>43282</v>
      </c>
      <c r="H28" s="244"/>
      <c r="I28" s="13"/>
      <c r="J28" s="48"/>
      <c r="K28" s="49"/>
      <c r="L28" s="49"/>
      <c r="M28" s="49"/>
      <c r="N28" s="50"/>
      <c r="O28" s="50"/>
      <c r="P28" s="15"/>
      <c r="Q28" s="10"/>
      <c r="R28" s="12"/>
      <c r="S28" s="12"/>
      <c r="T28" s="12"/>
      <c r="U28" s="14"/>
      <c r="V28" s="14"/>
      <c r="W28" s="16"/>
      <c r="X28" s="10"/>
      <c r="Y28" s="12"/>
      <c r="Z28" s="12"/>
      <c r="AA28" s="12"/>
      <c r="AB28" s="17"/>
      <c r="AC28" s="17"/>
      <c r="AD28" s="18"/>
      <c r="AE28" s="10"/>
      <c r="AF28" s="12"/>
      <c r="AG28" s="12"/>
      <c r="AH28" s="12"/>
      <c r="AI28" s="14"/>
      <c r="AJ28" s="14"/>
      <c r="AK28" s="16"/>
      <c r="AL28" s="10"/>
      <c r="AM28" s="12"/>
      <c r="AN28" s="12"/>
      <c r="AO28" s="12"/>
      <c r="AP28" s="14"/>
      <c r="AQ28" s="14"/>
      <c r="AR28" s="16"/>
      <c r="AS28" s="10"/>
      <c r="AT28" s="12"/>
      <c r="AU28" s="12"/>
      <c r="AV28" s="12"/>
      <c r="AW28" s="14"/>
      <c r="AX28" s="14"/>
      <c r="AY28" s="16"/>
      <c r="AZ28" s="10"/>
      <c r="BA28" s="12"/>
      <c r="BB28" s="12"/>
      <c r="BC28" s="12"/>
      <c r="BD28" s="14"/>
      <c r="BE28" s="14"/>
      <c r="BF28" s="16"/>
      <c r="BG28" s="32"/>
      <c r="BH28" s="40"/>
      <c r="BI28" s="12"/>
      <c r="BJ28" s="12"/>
      <c r="BK28" s="14"/>
      <c r="BL28" s="14"/>
      <c r="BM28" s="39"/>
      <c r="BN28" s="32"/>
      <c r="BO28" s="40"/>
      <c r="BP28" s="40"/>
      <c r="BQ28" s="40"/>
      <c r="BR28" s="14"/>
      <c r="BS28" s="14"/>
      <c r="BT28" s="39"/>
      <c r="BU28" s="32"/>
      <c r="BV28" s="40"/>
      <c r="BW28" s="40"/>
      <c r="BX28" s="40"/>
      <c r="BY28" s="14"/>
      <c r="BZ28" s="14"/>
      <c r="CA28" s="39"/>
      <c r="CB28" s="32"/>
      <c r="CC28" s="40"/>
      <c r="CD28" s="40"/>
      <c r="CE28" s="79"/>
      <c r="CF28" s="14"/>
      <c r="CG28" s="14"/>
      <c r="CH28" s="39"/>
      <c r="CI28" s="40"/>
      <c r="CJ28" s="40"/>
      <c r="CK28" s="40"/>
      <c r="CL28" s="83"/>
      <c r="CM28" s="14">
        <f>CI28*3+CK28</f>
        <v>0</v>
      </c>
      <c r="CN28" s="14">
        <f>CJ28*3+CL28</f>
        <v>0</v>
      </c>
      <c r="CO28" s="39">
        <f>CN28+CM28</f>
        <v>0</v>
      </c>
      <c r="CP28" s="108"/>
      <c r="CQ28" s="40"/>
      <c r="CR28" s="40"/>
      <c r="CS28" s="40"/>
      <c r="CT28" s="14">
        <f>CP28*3+CR28</f>
        <v>0</v>
      </c>
      <c r="CU28" s="14">
        <f>CQ28*3+CS28</f>
        <v>0</v>
      </c>
      <c r="CV28" s="39">
        <f>CU28+CT28</f>
        <v>0</v>
      </c>
      <c r="CW28" s="32">
        <v>1</v>
      </c>
      <c r="CX28" s="40"/>
      <c r="CY28" s="40">
        <v>1</v>
      </c>
      <c r="CZ28" s="40"/>
      <c r="DA28" s="17">
        <f>CW28*3+CY28</f>
        <v>4</v>
      </c>
      <c r="DB28" s="17">
        <f>CX28*3+CZ28</f>
        <v>0</v>
      </c>
      <c r="DC28" s="18">
        <f>DB28+DA28</f>
        <v>4</v>
      </c>
      <c r="DD28" s="108">
        <v>1</v>
      </c>
      <c r="DE28" s="40">
        <v>1</v>
      </c>
      <c r="DF28" s="40">
        <v>1</v>
      </c>
      <c r="DG28" s="40"/>
      <c r="DH28" s="156">
        <f>DD28*3+DF28</f>
        <v>4</v>
      </c>
      <c r="DI28" s="156">
        <f>DE28*3+DG28</f>
        <v>3</v>
      </c>
      <c r="DJ28" s="18">
        <f>DI28+DH28</f>
        <v>7</v>
      </c>
      <c r="DK28" s="108"/>
      <c r="DL28" s="40"/>
      <c r="DM28" s="40">
        <v>2</v>
      </c>
      <c r="DN28" s="40"/>
      <c r="DO28" s="156">
        <f>DK28*3+DM28</f>
        <v>2</v>
      </c>
      <c r="DP28" s="156">
        <f>DL28*3+DN28</f>
        <v>0</v>
      </c>
      <c r="DQ28" s="18">
        <f>DP28+DO28</f>
        <v>2</v>
      </c>
      <c r="DR28" s="108"/>
      <c r="DS28" s="40"/>
      <c r="DT28" s="40">
        <v>1</v>
      </c>
      <c r="DU28" s="40"/>
      <c r="DV28" s="156">
        <f>DR28*3+DT28</f>
        <v>1</v>
      </c>
      <c r="DW28" s="156">
        <f>DS28*3+DU28</f>
        <v>0</v>
      </c>
      <c r="DX28" s="18">
        <f>DW28+DV28</f>
        <v>1</v>
      </c>
      <c r="DY28" s="108"/>
      <c r="DZ28" s="40"/>
      <c r="EA28" s="40">
        <v>2</v>
      </c>
      <c r="EB28" s="40"/>
      <c r="EC28" s="156">
        <f>DY28*3+EA28</f>
        <v>2</v>
      </c>
      <c r="ED28" s="156">
        <f>DZ28*3+EB28</f>
        <v>0</v>
      </c>
      <c r="EE28" s="18">
        <f>ED28+EC28</f>
        <v>2</v>
      </c>
      <c r="EF28" s="108"/>
      <c r="EG28" s="40"/>
      <c r="EH28" s="40">
        <v>1</v>
      </c>
      <c r="EI28" s="40">
        <v>1</v>
      </c>
      <c r="EJ28" s="156">
        <f>EF28*3+EH28</f>
        <v>1</v>
      </c>
      <c r="EK28" s="156">
        <f>EG28*3+EI28</f>
        <v>1</v>
      </c>
      <c r="EL28" s="18">
        <f>EK28+EJ28</f>
        <v>2</v>
      </c>
      <c r="EM28" s="74">
        <f>SUM(AP28,AI28,AB28,U28,N28,AW28,BD28,BK28,BR28,BY28,CF28,CM28,CT28,DA28,DH28,DO28,DV28,EC28,EJ28)</f>
        <v>14</v>
      </c>
      <c r="EN28" s="75">
        <f ca="1">EM28/(10+TODAY()-G28)</f>
        <v>7.5268817204301078E-2</v>
      </c>
      <c r="EO28" s="76">
        <f>SUM(AQ28,AJ28,AC28,V28,O28,AX28,BE28,BL28,BS28,BZ28,CG28,CN28,CU28,DB28,DI28,DP28,DW28,ED28,EK28)</f>
        <v>4</v>
      </c>
      <c r="EP28" s="75">
        <f ca="1">EO28/(10+TODAY()-G28)</f>
        <v>2.1505376344086023E-2</v>
      </c>
      <c r="EQ28" s="76">
        <f>EM28+EO28</f>
        <v>18</v>
      </c>
      <c r="ER28" s="75">
        <f ca="1">EP28+EN28</f>
        <v>9.6774193548387094E-2</v>
      </c>
      <c r="ES28" s="76">
        <f>SUM(AS28,AL28,AE28,X28,Q28,Q28,J28,AZ28,BG28,BN28,BU28,CB28,CI28,CP28,CW28,DD28,DK28,DR28,DY28,EF28)</f>
        <v>2</v>
      </c>
      <c r="ET28" s="76">
        <f>SUM(AT28,AM28,AF28,Y28,R28,R28,K28,BA28,BH28,BO28,BV28,CC28,CJ28,CQ28,CX28,DE28,DL28,DS28,DZ28,EG28)</f>
        <v>1</v>
      </c>
      <c r="EU28" s="76">
        <f>ET28+ES28</f>
        <v>3</v>
      </c>
    </row>
    <row r="29" spans="1:151" ht="15.75" thickBot="1" x14ac:dyDescent="0.3">
      <c r="A29" s="32">
        <v>209</v>
      </c>
      <c r="B29" s="24" t="s">
        <v>274</v>
      </c>
      <c r="C29" s="26" t="str">
        <f>B29&amp;" "&amp;A29</f>
        <v>שי 209</v>
      </c>
      <c r="D29" s="23" t="s">
        <v>6</v>
      </c>
      <c r="E29" s="23" t="s">
        <v>7</v>
      </c>
      <c r="F29" s="31" t="s">
        <v>275</v>
      </c>
      <c r="G29" s="30">
        <v>43383</v>
      </c>
      <c r="H29" s="114"/>
      <c r="I29" s="35"/>
      <c r="J29" s="48"/>
      <c r="K29" s="49"/>
      <c r="L29" s="49"/>
      <c r="M29" s="49"/>
      <c r="N29" s="50"/>
      <c r="O29" s="50"/>
      <c r="P29" s="15"/>
      <c r="Q29" s="10"/>
      <c r="R29" s="12"/>
      <c r="S29" s="12"/>
      <c r="T29" s="12"/>
      <c r="U29" s="14"/>
      <c r="V29" s="14"/>
      <c r="W29" s="16"/>
      <c r="X29" s="10"/>
      <c r="Y29" s="12"/>
      <c r="Z29" s="12"/>
      <c r="AA29" s="12"/>
      <c r="AB29" s="17"/>
      <c r="AC29" s="17"/>
      <c r="AD29" s="18"/>
      <c r="AE29" s="10"/>
      <c r="AF29" s="12"/>
      <c r="AG29" s="12"/>
      <c r="AH29" s="12"/>
      <c r="AI29" s="14"/>
      <c r="AJ29" s="14"/>
      <c r="AK29" s="16"/>
      <c r="AL29" s="10"/>
      <c r="AM29" s="12"/>
      <c r="AN29" s="12"/>
      <c r="AO29" s="12"/>
      <c r="AP29" s="14"/>
      <c r="AQ29" s="14"/>
      <c r="AR29" s="16"/>
      <c r="AS29" s="10"/>
      <c r="AT29" s="12"/>
      <c r="AU29" s="12"/>
      <c r="AV29" s="12"/>
      <c r="AW29" s="14"/>
      <c r="AX29" s="14"/>
      <c r="AY29" s="16"/>
      <c r="AZ29" s="10"/>
      <c r="BA29" s="12"/>
      <c r="BB29" s="12"/>
      <c r="BC29" s="12"/>
      <c r="BD29" s="14"/>
      <c r="BE29" s="14"/>
      <c r="BF29" s="16"/>
      <c r="BG29" s="32"/>
      <c r="BH29" s="40"/>
      <c r="BI29" s="12"/>
      <c r="BJ29" s="12"/>
      <c r="BK29" s="14"/>
      <c r="BL29" s="14"/>
      <c r="BM29" s="39"/>
      <c r="BN29" s="32"/>
      <c r="BO29" s="40"/>
      <c r="BP29" s="40"/>
      <c r="BQ29" s="40"/>
      <c r="BR29" s="14"/>
      <c r="BS29" s="14"/>
      <c r="BT29" s="39"/>
      <c r="BU29" s="32"/>
      <c r="BV29" s="40"/>
      <c r="BW29" s="40"/>
      <c r="BX29" s="40"/>
      <c r="BY29" s="14"/>
      <c r="BZ29" s="14"/>
      <c r="CA29" s="39"/>
      <c r="CB29" s="32"/>
      <c r="CC29" s="40"/>
      <c r="CD29" s="40"/>
      <c r="CE29" s="79"/>
      <c r="CF29" s="14"/>
      <c r="CG29" s="14"/>
      <c r="CH29" s="39"/>
      <c r="CI29" s="40"/>
      <c r="CJ29" s="40"/>
      <c r="CK29" s="40"/>
      <c r="CL29" s="83"/>
      <c r="CM29" s="14"/>
      <c r="CN29" s="14"/>
      <c r="CO29" s="39"/>
      <c r="CP29" s="108"/>
      <c r="CQ29" s="40"/>
      <c r="CR29" s="40"/>
      <c r="CS29" s="40"/>
      <c r="CT29" s="14"/>
      <c r="CU29" s="14"/>
      <c r="CV29" s="39"/>
      <c r="CW29" s="32"/>
      <c r="CX29" s="40"/>
      <c r="CY29" s="40"/>
      <c r="CZ29" s="40"/>
      <c r="DA29" s="17"/>
      <c r="DB29" s="17"/>
      <c r="DC29" s="18"/>
      <c r="DD29" s="108"/>
      <c r="DE29" s="40"/>
      <c r="DF29" s="40"/>
      <c r="DG29" s="40"/>
      <c r="DH29" s="156">
        <f>DD29*3+DF29</f>
        <v>0</v>
      </c>
      <c r="DI29" s="156">
        <f>DE29*3+DG29</f>
        <v>0</v>
      </c>
      <c r="DJ29" s="18">
        <f>DI29+DH29</f>
        <v>0</v>
      </c>
      <c r="DK29" s="108"/>
      <c r="DL29" s="40"/>
      <c r="DM29" s="40"/>
      <c r="DN29" s="40"/>
      <c r="DO29" s="156">
        <f>DK29*3+DM29</f>
        <v>0</v>
      </c>
      <c r="DP29" s="156">
        <f>DL29*3+DN29</f>
        <v>0</v>
      </c>
      <c r="DQ29" s="18">
        <f>DP29+DO29</f>
        <v>0</v>
      </c>
      <c r="DR29" s="108"/>
      <c r="DS29" s="40"/>
      <c r="DT29" s="40">
        <v>4</v>
      </c>
      <c r="DU29" s="40"/>
      <c r="DV29" s="156">
        <f>DR29*3+DT29</f>
        <v>4</v>
      </c>
      <c r="DW29" s="156">
        <f>DS29*3+DU29</f>
        <v>0</v>
      </c>
      <c r="DX29" s="18">
        <f>DW29+DV29</f>
        <v>4</v>
      </c>
      <c r="DY29" s="108">
        <v>1</v>
      </c>
      <c r="DZ29" s="40"/>
      <c r="EA29" s="40">
        <v>1</v>
      </c>
      <c r="EB29" s="40"/>
      <c r="EC29" s="156">
        <f>DY29*3+EA29</f>
        <v>4</v>
      </c>
      <c r="ED29" s="156">
        <f>DZ29*3+EB29</f>
        <v>0</v>
      </c>
      <c r="EE29" s="18">
        <f>ED29+EC29</f>
        <v>4</v>
      </c>
      <c r="EF29" s="108"/>
      <c r="EG29" s="40"/>
      <c r="EH29" s="40">
        <v>2</v>
      </c>
      <c r="EI29" s="40"/>
      <c r="EJ29" s="156">
        <f>EF29*3+EH29</f>
        <v>2</v>
      </c>
      <c r="EK29" s="156">
        <f>EG29*3+EI29</f>
        <v>0</v>
      </c>
      <c r="EL29" s="18">
        <f>EK29+EJ29</f>
        <v>2</v>
      </c>
      <c r="EM29" s="74">
        <f>SUM(AP29,AI29,AB29,U29,N29,AW29,BD29,BK29,BR29,BY29,CF29,CM29,CT29,DA29,DH29,DO29,DV29,EC29,EJ29)</f>
        <v>10</v>
      </c>
      <c r="EN29" s="75">
        <f ca="1">EM29/(10+TODAY()-G29)</f>
        <v>0.11764705882352941</v>
      </c>
      <c r="EO29" s="76">
        <f>SUM(AQ29,AJ29,AC29,V29,O29,AX29,BE29,BL29,BS29,BZ29,CG29,CN29,CU29,DB29,DI29,DP29,DW29,ED29,EK29)</f>
        <v>0</v>
      </c>
      <c r="EP29" s="75">
        <f ca="1">EO29/(10+TODAY()-G29)</f>
        <v>0</v>
      </c>
      <c r="EQ29" s="76">
        <f>EM29+EO29</f>
        <v>10</v>
      </c>
      <c r="ER29" s="75">
        <f ca="1">EP29+EN29</f>
        <v>0.11764705882352941</v>
      </c>
      <c r="ES29" s="76">
        <f>SUM(AS29,AL29,AE29,X29,Q29,Q29,J29,AZ29,BG29,BN29,BU29,CB29,CI29,CP29,CW29,DD29,DK29,DR29,DY29,EF29)</f>
        <v>1</v>
      </c>
      <c r="ET29" s="76">
        <f>SUM(AT29,AM29,AF29,Y29,R29,R29,K29,BA29,BH29,BO29,BV29,CC29,CJ29,CQ29,CX29,DE29,DL29,DS29,DZ29,EG29)</f>
        <v>0</v>
      </c>
      <c r="EU29" s="76">
        <f>ET29+ES29</f>
        <v>1</v>
      </c>
    </row>
    <row r="30" spans="1:151" ht="15.75" thickBot="1" x14ac:dyDescent="0.3">
      <c r="A30" s="32">
        <v>474</v>
      </c>
      <c r="B30" s="247" t="s">
        <v>312</v>
      </c>
      <c r="C30" s="85" t="str">
        <f>B30&amp;" "&amp;A30</f>
        <v>שירז 474</v>
      </c>
      <c r="D30" s="23" t="s">
        <v>6</v>
      </c>
      <c r="E30" s="23" t="s">
        <v>6</v>
      </c>
      <c r="F30" s="31" t="s">
        <v>314</v>
      </c>
      <c r="G30" s="30">
        <v>43449</v>
      </c>
      <c r="H30" s="246"/>
      <c r="I30" s="13"/>
      <c r="J30" s="48"/>
      <c r="K30" s="49"/>
      <c r="L30" s="49"/>
      <c r="M30" s="49"/>
      <c r="N30" s="50"/>
      <c r="O30" s="50"/>
      <c r="P30" s="15"/>
      <c r="Q30" s="10"/>
      <c r="R30" s="12"/>
      <c r="S30" s="12"/>
      <c r="T30" s="12"/>
      <c r="U30" s="14"/>
      <c r="V30" s="14"/>
      <c r="W30" s="16"/>
      <c r="X30" s="10"/>
      <c r="Y30" s="12"/>
      <c r="Z30" s="12"/>
      <c r="AA30" s="12"/>
      <c r="AB30" s="17"/>
      <c r="AC30" s="17"/>
      <c r="AD30" s="18"/>
      <c r="AE30" s="10"/>
      <c r="AF30" s="12"/>
      <c r="AG30" s="12"/>
      <c r="AH30" s="12"/>
      <c r="AI30" s="14"/>
      <c r="AJ30" s="14"/>
      <c r="AK30" s="16"/>
      <c r="AL30" s="10"/>
      <c r="AM30" s="12"/>
      <c r="AN30" s="12"/>
      <c r="AO30" s="12"/>
      <c r="AP30" s="14"/>
      <c r="AQ30" s="14"/>
      <c r="AR30" s="16"/>
      <c r="AS30" s="10"/>
      <c r="AT30" s="12"/>
      <c r="AU30" s="12"/>
      <c r="AV30" s="12"/>
      <c r="AW30" s="14"/>
      <c r="AX30" s="14"/>
      <c r="AY30" s="16"/>
      <c r="AZ30" s="10"/>
      <c r="BA30" s="12"/>
      <c r="BB30" s="12"/>
      <c r="BC30" s="12"/>
      <c r="BD30" s="14"/>
      <c r="BE30" s="14"/>
      <c r="BF30" s="16"/>
      <c r="BG30" s="32"/>
      <c r="BH30" s="40"/>
      <c r="BI30" s="40"/>
      <c r="BJ30" s="12"/>
      <c r="BK30" s="14"/>
      <c r="BL30" s="14"/>
      <c r="BM30" s="39"/>
      <c r="BN30" s="32"/>
      <c r="BO30" s="40"/>
      <c r="BP30" s="40"/>
      <c r="BQ30" s="40"/>
      <c r="BR30" s="14"/>
      <c r="BS30" s="14"/>
      <c r="BT30" s="39"/>
      <c r="BU30" s="32"/>
      <c r="BV30" s="40"/>
      <c r="BW30" s="40"/>
      <c r="BX30" s="40"/>
      <c r="BY30" s="14"/>
      <c r="BZ30" s="14"/>
      <c r="CA30" s="39"/>
      <c r="CB30" s="32"/>
      <c r="CC30" s="40"/>
      <c r="CD30" s="40"/>
      <c r="CE30" s="79"/>
      <c r="CF30" s="14"/>
      <c r="CG30" s="14"/>
      <c r="CH30" s="39"/>
      <c r="CI30" s="40"/>
      <c r="CJ30" s="40"/>
      <c r="CK30" s="40"/>
      <c r="CL30" s="83"/>
      <c r="CM30" s="14"/>
      <c r="CN30" s="14"/>
      <c r="CO30" s="39"/>
      <c r="CP30" s="108"/>
      <c r="CQ30" s="40"/>
      <c r="CR30" s="40"/>
      <c r="CS30" s="40"/>
      <c r="CT30" s="14"/>
      <c r="CU30" s="14"/>
      <c r="CV30" s="39"/>
      <c r="CW30" s="32"/>
      <c r="CX30" s="40"/>
      <c r="CY30" s="40"/>
      <c r="CZ30" s="40"/>
      <c r="DA30" s="17"/>
      <c r="DB30" s="17"/>
      <c r="DC30" s="18"/>
      <c r="DD30" s="108"/>
      <c r="DE30" s="40"/>
      <c r="DF30" s="40"/>
      <c r="DG30" s="40"/>
      <c r="DH30" s="156"/>
      <c r="DI30" s="156"/>
      <c r="DJ30" s="18"/>
      <c r="DK30" s="108"/>
      <c r="DL30" s="40"/>
      <c r="DM30" s="40"/>
      <c r="DN30" s="40"/>
      <c r="DO30" s="156"/>
      <c r="DP30" s="156"/>
      <c r="DQ30" s="18"/>
      <c r="DR30" s="108"/>
      <c r="DS30" s="40"/>
      <c r="DT30" s="40"/>
      <c r="DU30" s="40"/>
      <c r="DV30" s="156">
        <f>DR30*3+DT30</f>
        <v>0</v>
      </c>
      <c r="DW30" s="156">
        <f>DS30*3+DU30</f>
        <v>0</v>
      </c>
      <c r="DX30" s="18">
        <f>DW30+DV30</f>
        <v>0</v>
      </c>
      <c r="DY30" s="108"/>
      <c r="DZ30" s="40"/>
      <c r="EA30" s="40"/>
      <c r="EB30" s="40"/>
      <c r="EC30" s="156">
        <f>DY30*3+EA30</f>
        <v>0</v>
      </c>
      <c r="ED30" s="156">
        <f>DZ30*3+EB30</f>
        <v>0</v>
      </c>
      <c r="EE30" s="18">
        <f>ED30+EC30</f>
        <v>0</v>
      </c>
      <c r="EF30" s="108"/>
      <c r="EG30" s="40"/>
      <c r="EH30" s="40">
        <v>2</v>
      </c>
      <c r="EI30" s="40"/>
      <c r="EJ30" s="156">
        <f>EF30*3+EH30</f>
        <v>2</v>
      </c>
      <c r="EK30" s="156">
        <f>EG30*3+EI30</f>
        <v>0</v>
      </c>
      <c r="EL30" s="18">
        <f>EK30+EJ30</f>
        <v>2</v>
      </c>
      <c r="EM30" s="74">
        <f>SUM(AP30,AI30,AB30,U30,N30,AW30,BD30,BK30,BR30,BY30,CF30,CM30,CT30,DA30,DH30,DO30,DV30,EC30,EJ30)</f>
        <v>2</v>
      </c>
      <c r="EN30" s="75">
        <f ca="1">EM30/(10+TODAY()-G30)</f>
        <v>0.10526315789473684</v>
      </c>
      <c r="EO30" s="76">
        <f>SUM(AQ30,AJ30,AC30,V30,O30,AX30,BE30,BL30,BS30,BZ30,CG30,CN30,CU30,DB30,DI30,DP30,DW30,ED30,EK30)</f>
        <v>0</v>
      </c>
      <c r="EP30" s="75">
        <f ca="1">EO30/(10+TODAY()-G30)</f>
        <v>0</v>
      </c>
      <c r="EQ30" s="76">
        <f>EM30+EO30</f>
        <v>2</v>
      </c>
      <c r="ER30" s="75">
        <f ca="1">EP30+EN30</f>
        <v>0.10526315789473684</v>
      </c>
      <c r="ES30" s="76">
        <f>SUM(AS30,AL30,AE30,X30,Q30,Q30,J30,AZ30,BG30,BN30,BU30,CB30,CI30,CP30,CW30,DD30,DK30,DR30,DY30,EF30)</f>
        <v>0</v>
      </c>
      <c r="ET30" s="76">
        <f>SUM(AT30,AM30,AF30,Y30,R30,R30,K30,BA30,BH30,BO30,BV30,CC30,CJ30,CQ30,CX30,DE30,DL30,DS30,DZ30,EG30)</f>
        <v>0</v>
      </c>
      <c r="EU30" s="76">
        <f>ET30+ES30</f>
        <v>0</v>
      </c>
    </row>
    <row r="31" spans="1:151" ht="15.75" thickBot="1" x14ac:dyDescent="0.3">
      <c r="A31" s="32">
        <v>9</v>
      </c>
      <c r="B31" s="33" t="s">
        <v>10</v>
      </c>
      <c r="C31" s="85" t="str">
        <f>B31&amp;" "&amp;A31</f>
        <v>שקד 9</v>
      </c>
      <c r="D31" s="12" t="s">
        <v>6</v>
      </c>
      <c r="E31" s="23" t="s">
        <v>7</v>
      </c>
      <c r="F31" s="31" t="s">
        <v>145</v>
      </c>
      <c r="G31" s="30">
        <v>43009</v>
      </c>
      <c r="H31" s="114"/>
      <c r="I31" s="35"/>
      <c r="J31" s="48"/>
      <c r="K31" s="49"/>
      <c r="L31" s="49"/>
      <c r="M31" s="49"/>
      <c r="N31" s="50">
        <f>J31*3+L31</f>
        <v>0</v>
      </c>
      <c r="O31" s="50">
        <f>K31*3+M31</f>
        <v>0</v>
      </c>
      <c r="P31" s="15">
        <f>O31+N31</f>
        <v>0</v>
      </c>
      <c r="Q31" s="10"/>
      <c r="R31" s="12"/>
      <c r="S31" s="12"/>
      <c r="T31" s="12"/>
      <c r="U31" s="14">
        <f>Q31*3+S31</f>
        <v>0</v>
      </c>
      <c r="V31" s="14">
        <f>R31*3+T31</f>
        <v>0</v>
      </c>
      <c r="W31" s="16">
        <f>V31+U31</f>
        <v>0</v>
      </c>
      <c r="X31" s="10"/>
      <c r="Y31" s="12"/>
      <c r="Z31" s="12"/>
      <c r="AA31" s="12"/>
      <c r="AB31" s="17">
        <f>X31*3+Z31</f>
        <v>0</v>
      </c>
      <c r="AC31" s="17">
        <f>Y31*3+AA31</f>
        <v>0</v>
      </c>
      <c r="AD31" s="18">
        <f>AC31+AB31</f>
        <v>0</v>
      </c>
      <c r="AE31" s="10"/>
      <c r="AF31" s="12"/>
      <c r="AG31" s="12">
        <v>1</v>
      </c>
      <c r="AH31" s="12"/>
      <c r="AI31" s="14">
        <f>AE31*3+AG31</f>
        <v>1</v>
      </c>
      <c r="AJ31" s="14">
        <f>AF31*3+AH31</f>
        <v>0</v>
      </c>
      <c r="AK31" s="16">
        <f>AJ31+AI31</f>
        <v>1</v>
      </c>
      <c r="AL31" s="10">
        <v>1</v>
      </c>
      <c r="AM31" s="12"/>
      <c r="AN31" s="12">
        <v>2</v>
      </c>
      <c r="AO31" s="12"/>
      <c r="AP31" s="14">
        <f>AL31*3+AN31</f>
        <v>5</v>
      </c>
      <c r="AQ31" s="14">
        <f>AM31*3+AO31</f>
        <v>0</v>
      </c>
      <c r="AR31" s="16">
        <f>AQ31+AP31</f>
        <v>5</v>
      </c>
      <c r="AS31" s="10"/>
      <c r="AT31" s="12"/>
      <c r="AU31" s="12">
        <v>4</v>
      </c>
      <c r="AV31" s="12"/>
      <c r="AW31" s="14">
        <f>AS31*3+AU31</f>
        <v>4</v>
      </c>
      <c r="AX31" s="14">
        <f>AT31*3+AV31</f>
        <v>0</v>
      </c>
      <c r="AY31" s="16">
        <f>AX31+AW31</f>
        <v>4</v>
      </c>
      <c r="AZ31" s="10"/>
      <c r="BA31" s="12"/>
      <c r="BB31" s="12">
        <v>2</v>
      </c>
      <c r="BC31" s="12">
        <v>1</v>
      </c>
      <c r="BD31" s="14">
        <f>AZ31*3+BB31</f>
        <v>2</v>
      </c>
      <c r="BE31" s="14">
        <f>BA31*3+BC31</f>
        <v>1</v>
      </c>
      <c r="BF31" s="16">
        <f>BE31+BD31</f>
        <v>3</v>
      </c>
      <c r="BG31" s="32">
        <v>1</v>
      </c>
      <c r="BH31" s="40"/>
      <c r="BI31" s="40">
        <v>1</v>
      </c>
      <c r="BJ31" s="12"/>
      <c r="BK31" s="14">
        <f>BG31*3+BI31</f>
        <v>4</v>
      </c>
      <c r="BL31" s="14">
        <f>BH31*3+BJ31</f>
        <v>0</v>
      </c>
      <c r="BM31" s="39">
        <f>BL31+BK31</f>
        <v>4</v>
      </c>
      <c r="BN31" s="32">
        <v>1</v>
      </c>
      <c r="BO31" s="40"/>
      <c r="BP31" s="40">
        <v>1</v>
      </c>
      <c r="BQ31" s="40"/>
      <c r="BR31" s="14">
        <f>BN31*3+BP31</f>
        <v>4</v>
      </c>
      <c r="BS31" s="14">
        <f>BO31*3+BQ31</f>
        <v>0</v>
      </c>
      <c r="BT31" s="39">
        <f>BS31+BR31</f>
        <v>4</v>
      </c>
      <c r="BU31" s="32"/>
      <c r="BV31" s="40"/>
      <c r="BW31" s="40">
        <v>1</v>
      </c>
      <c r="BX31" s="40"/>
      <c r="BY31" s="14">
        <f>BU31*3+BW31</f>
        <v>1</v>
      </c>
      <c r="BZ31" s="14">
        <f>BV31*3+BX31</f>
        <v>0</v>
      </c>
      <c r="CA31" s="39">
        <f>BZ31+BY31</f>
        <v>1</v>
      </c>
      <c r="CB31" s="32"/>
      <c r="CC31" s="40"/>
      <c r="CD31" s="40">
        <v>1</v>
      </c>
      <c r="CE31" s="79"/>
      <c r="CF31" s="14">
        <f>CB31*3+CD31</f>
        <v>1</v>
      </c>
      <c r="CG31" s="14">
        <f>CC31*3+CE31</f>
        <v>0</v>
      </c>
      <c r="CH31" s="39">
        <f>CG31+CF31</f>
        <v>1</v>
      </c>
      <c r="CI31" s="40"/>
      <c r="CJ31" s="40">
        <v>1</v>
      </c>
      <c r="CK31" s="40">
        <v>1</v>
      </c>
      <c r="CL31" s="83"/>
      <c r="CM31" s="14">
        <f>CI31*3+CK31</f>
        <v>1</v>
      </c>
      <c r="CN31" s="14">
        <f>CJ31*3+CL31</f>
        <v>3</v>
      </c>
      <c r="CO31" s="39">
        <f>CN31+CM31</f>
        <v>4</v>
      </c>
      <c r="CP31" s="108"/>
      <c r="CQ31" s="40"/>
      <c r="CR31" s="40">
        <v>2</v>
      </c>
      <c r="CS31" s="40"/>
      <c r="CT31" s="14">
        <f>CP31*3+CR31</f>
        <v>2</v>
      </c>
      <c r="CU31" s="14">
        <f>CQ31*3+CS31</f>
        <v>0</v>
      </c>
      <c r="CV31" s="39">
        <f>CU31+CT31</f>
        <v>2</v>
      </c>
      <c r="CW31" s="32">
        <v>1</v>
      </c>
      <c r="CX31" s="40"/>
      <c r="CY31" s="40"/>
      <c r="CZ31" s="40"/>
      <c r="DA31" s="17">
        <f>CW31*3+CY31</f>
        <v>3</v>
      </c>
      <c r="DB31" s="17">
        <f>CX31*3+CZ31</f>
        <v>0</v>
      </c>
      <c r="DC31" s="18">
        <f>DB31+DA31</f>
        <v>3</v>
      </c>
      <c r="DD31" s="108"/>
      <c r="DE31" s="40"/>
      <c r="DF31" s="40">
        <v>3</v>
      </c>
      <c r="DG31" s="40"/>
      <c r="DH31" s="156">
        <f>DD31*3+DF31</f>
        <v>3</v>
      </c>
      <c r="DI31" s="156">
        <f>DE31*3+DG31</f>
        <v>0</v>
      </c>
      <c r="DJ31" s="18">
        <f>DI31+DH31</f>
        <v>3</v>
      </c>
      <c r="DK31" s="108"/>
      <c r="DL31" s="40">
        <v>1</v>
      </c>
      <c r="DM31" s="40">
        <v>1</v>
      </c>
      <c r="DN31" s="40"/>
      <c r="DO31" s="156">
        <f>DK31*3+DM31</f>
        <v>1</v>
      </c>
      <c r="DP31" s="156">
        <f>DL31*3+DN31</f>
        <v>3</v>
      </c>
      <c r="DQ31" s="18">
        <f>DP31+DO31</f>
        <v>4</v>
      </c>
      <c r="DR31" s="108"/>
      <c r="DS31" s="40"/>
      <c r="DT31" s="40">
        <v>2</v>
      </c>
      <c r="DU31" s="40"/>
      <c r="DV31" s="156">
        <f>DR31*3+DT31</f>
        <v>2</v>
      </c>
      <c r="DW31" s="156">
        <f>DS31*3+DU31</f>
        <v>0</v>
      </c>
      <c r="DX31" s="18">
        <f>DW31+DV31</f>
        <v>2</v>
      </c>
      <c r="DY31" s="108"/>
      <c r="DZ31" s="40">
        <v>1</v>
      </c>
      <c r="EA31" s="40">
        <v>1</v>
      </c>
      <c r="EB31" s="40">
        <v>1</v>
      </c>
      <c r="EC31" s="156">
        <f>DY31*3+EA31</f>
        <v>1</v>
      </c>
      <c r="ED31" s="156">
        <f>DZ31*3+EB31</f>
        <v>4</v>
      </c>
      <c r="EE31" s="18">
        <f>ED31+EC31</f>
        <v>5</v>
      </c>
      <c r="EF31" s="108"/>
      <c r="EG31" s="40"/>
      <c r="EH31" s="40">
        <v>2</v>
      </c>
      <c r="EI31" s="40"/>
      <c r="EJ31" s="156">
        <f>EF31*3+EH31</f>
        <v>2</v>
      </c>
      <c r="EK31" s="156">
        <f>EG31*3+EI31</f>
        <v>0</v>
      </c>
      <c r="EL31" s="18">
        <f>EK31+EJ31</f>
        <v>2</v>
      </c>
      <c r="EM31" s="74">
        <f>SUM(AP31,AI31,AB31,U31,N31,AW31,BD31,BK31,BR31,BY31,CF31,CM31,CT31,DA31,DH31,DO31,DV31,EC31,EJ31)</f>
        <v>37</v>
      </c>
      <c r="EN31" s="75">
        <f ca="1">EM31/(10+TODAY()-G31)</f>
        <v>8.0610021786492375E-2</v>
      </c>
      <c r="EO31" s="76">
        <f>SUM(AQ31,AJ31,AC31,V31,O31,AX31,BE31,BL31,BS31,BZ31,CG31,CN31,CU31,DB31,DI31,DP31,DW31,ED31,EK31)</f>
        <v>11</v>
      </c>
      <c r="EP31" s="75">
        <f ca="1">EO31/(10+TODAY()-G31)</f>
        <v>2.3965141612200435E-2</v>
      </c>
      <c r="EQ31" s="76">
        <f>EM31+EO31</f>
        <v>48</v>
      </c>
      <c r="ER31" s="75">
        <f ca="1">EP31+EN31</f>
        <v>0.10457516339869281</v>
      </c>
      <c r="ES31" s="76">
        <f>SUM(AS31,AL31,AE31,X31,Q31,Q31,J31,AZ31,BG31,BN31,BU31,CB31,CI31,CP31,CW31,DD31,DK31,DR31,DY31,EF31)</f>
        <v>4</v>
      </c>
      <c r="ET31" s="76">
        <f>SUM(AT31,AM31,AF31,Y31,R31,R31,K31,BA31,BH31,BO31,BV31,CC31,CJ31,CQ31,CX31,DE31,DL31,DS31,DZ31,EG31)</f>
        <v>3</v>
      </c>
      <c r="EU31" s="76">
        <f>ET31+ES31</f>
        <v>7</v>
      </c>
    </row>
    <row r="32" spans="1:151" ht="15.75" thickBot="1" x14ac:dyDescent="0.3">
      <c r="A32" s="32">
        <v>474</v>
      </c>
      <c r="B32" s="247" t="s">
        <v>313</v>
      </c>
      <c r="C32" s="85" t="str">
        <f>B32&amp;" "&amp;A32</f>
        <v>תהילה 474</v>
      </c>
      <c r="D32" s="23" t="s">
        <v>6</v>
      </c>
      <c r="E32" s="23" t="s">
        <v>6</v>
      </c>
      <c r="F32" s="31" t="s">
        <v>314</v>
      </c>
      <c r="G32" s="30">
        <v>43449</v>
      </c>
      <c r="H32" s="246"/>
      <c r="I32" s="13"/>
      <c r="J32" s="48"/>
      <c r="K32" s="49"/>
      <c r="L32" s="49"/>
      <c r="M32" s="49"/>
      <c r="N32" s="50"/>
      <c r="O32" s="50"/>
      <c r="P32" s="15"/>
      <c r="Q32" s="10"/>
      <c r="R32" s="12"/>
      <c r="S32" s="12"/>
      <c r="T32" s="12"/>
      <c r="U32" s="14"/>
      <c r="V32" s="14"/>
      <c r="W32" s="16"/>
      <c r="X32" s="10"/>
      <c r="Y32" s="12"/>
      <c r="Z32" s="12"/>
      <c r="AA32" s="12"/>
      <c r="AB32" s="17"/>
      <c r="AC32" s="17"/>
      <c r="AD32" s="18"/>
      <c r="AE32" s="10"/>
      <c r="AF32" s="12"/>
      <c r="AG32" s="12"/>
      <c r="AH32" s="12"/>
      <c r="AI32" s="14"/>
      <c r="AJ32" s="14"/>
      <c r="AK32" s="16"/>
      <c r="AL32" s="10"/>
      <c r="AM32" s="12"/>
      <c r="AN32" s="12"/>
      <c r="AO32" s="12"/>
      <c r="AP32" s="14"/>
      <c r="AQ32" s="14"/>
      <c r="AR32" s="16"/>
      <c r="AS32" s="10"/>
      <c r="AT32" s="12"/>
      <c r="AU32" s="12"/>
      <c r="AV32" s="12"/>
      <c r="AW32" s="14"/>
      <c r="AX32" s="14"/>
      <c r="AY32" s="16"/>
      <c r="AZ32" s="10"/>
      <c r="BA32" s="12"/>
      <c r="BB32" s="12"/>
      <c r="BC32" s="12"/>
      <c r="BD32" s="14"/>
      <c r="BE32" s="14"/>
      <c r="BF32" s="16"/>
      <c r="BG32" s="32"/>
      <c r="BH32" s="40"/>
      <c r="BI32" s="40"/>
      <c r="BJ32" s="12"/>
      <c r="BK32" s="14"/>
      <c r="BL32" s="14"/>
      <c r="BM32" s="39"/>
      <c r="BN32" s="32"/>
      <c r="BO32" s="40"/>
      <c r="BP32" s="40"/>
      <c r="BQ32" s="40"/>
      <c r="BR32" s="14"/>
      <c r="BS32" s="14"/>
      <c r="BT32" s="39"/>
      <c r="BU32" s="32"/>
      <c r="BV32" s="40"/>
      <c r="BW32" s="40"/>
      <c r="BX32" s="40"/>
      <c r="BY32" s="14"/>
      <c r="BZ32" s="14"/>
      <c r="CA32" s="39"/>
      <c r="CB32" s="32"/>
      <c r="CC32" s="40"/>
      <c r="CD32" s="40"/>
      <c r="CE32" s="79"/>
      <c r="CF32" s="14"/>
      <c r="CG32" s="14"/>
      <c r="CH32" s="39"/>
      <c r="CI32" s="40"/>
      <c r="CJ32" s="40"/>
      <c r="CK32" s="40"/>
      <c r="CL32" s="83"/>
      <c r="CM32" s="14"/>
      <c r="CN32" s="14"/>
      <c r="CO32" s="39"/>
      <c r="CP32" s="108"/>
      <c r="CQ32" s="40"/>
      <c r="CR32" s="40"/>
      <c r="CS32" s="40"/>
      <c r="CT32" s="14"/>
      <c r="CU32" s="14"/>
      <c r="CV32" s="39"/>
      <c r="CW32" s="32"/>
      <c r="CX32" s="40"/>
      <c r="CY32" s="40"/>
      <c r="CZ32" s="40"/>
      <c r="DA32" s="17"/>
      <c r="DB32" s="17"/>
      <c r="DC32" s="18"/>
      <c r="DD32" s="108"/>
      <c r="DE32" s="40"/>
      <c r="DF32" s="40"/>
      <c r="DG32" s="40"/>
      <c r="DH32" s="156"/>
      <c r="DI32" s="156"/>
      <c r="DJ32" s="18"/>
      <c r="DK32" s="108"/>
      <c r="DL32" s="40"/>
      <c r="DM32" s="40"/>
      <c r="DN32" s="40"/>
      <c r="DO32" s="156"/>
      <c r="DP32" s="156"/>
      <c r="DQ32" s="18"/>
      <c r="DR32" s="108"/>
      <c r="DS32" s="40"/>
      <c r="DT32" s="40"/>
      <c r="DU32" s="40"/>
      <c r="DV32" s="156">
        <f>DR32*3+DT32</f>
        <v>0</v>
      </c>
      <c r="DW32" s="156">
        <f>DS32*3+DU32</f>
        <v>0</v>
      </c>
      <c r="DX32" s="18">
        <f>DW32+DV32</f>
        <v>0</v>
      </c>
      <c r="DY32" s="108"/>
      <c r="DZ32" s="40"/>
      <c r="EA32" s="40"/>
      <c r="EB32" s="40"/>
      <c r="EC32" s="156">
        <f>DY32*3+EA32</f>
        <v>0</v>
      </c>
      <c r="ED32" s="156">
        <f>DZ32*3+EB32</f>
        <v>0</v>
      </c>
      <c r="EE32" s="18">
        <f>ED32+EC32</f>
        <v>0</v>
      </c>
      <c r="EF32" s="108"/>
      <c r="EG32" s="40"/>
      <c r="EH32" s="40">
        <v>2</v>
      </c>
      <c r="EI32" s="40"/>
      <c r="EJ32" s="156">
        <f>EF32*3+EH32</f>
        <v>2</v>
      </c>
      <c r="EK32" s="156">
        <f>EG32*3+EI32</f>
        <v>0</v>
      </c>
      <c r="EL32" s="18">
        <f>EK32+EJ32</f>
        <v>2</v>
      </c>
      <c r="EM32" s="74">
        <f>SUM(AP32,AI32,AB32,U32,N32,AW32,BD32,BK32,BR32,BY32,CF32,CM32,CT32,DA32,DH32,DO32,DV32,EC32,EJ32)</f>
        <v>2</v>
      </c>
      <c r="EN32" s="75">
        <f ca="1">EM32/(10+TODAY()-G32)</f>
        <v>0.10526315789473684</v>
      </c>
      <c r="EO32" s="76">
        <f>SUM(AQ32,AJ32,AC32,V32,O32,AX32,BE32,BL32,BS32,BZ32,CG32,CN32,CU32,DB32,DI32,DP32,DW32,ED32,EK32)</f>
        <v>0</v>
      </c>
      <c r="EP32" s="75">
        <f ca="1">EO32/(10+TODAY()-G32)</f>
        <v>0</v>
      </c>
      <c r="EQ32" s="76">
        <f>EM32+EO32</f>
        <v>2</v>
      </c>
      <c r="ER32" s="75">
        <f ca="1">EP32+EN32</f>
        <v>0.10526315789473684</v>
      </c>
      <c r="ES32" s="76">
        <f>SUM(AS32,AL32,AE32,X32,Q32,Q32,J32,AZ32,BG32,BN32,BU32,CB32,CI32,CP32,CW32,DD32,DK32,DR32,DY32,EF32)</f>
        <v>0</v>
      </c>
      <c r="ET32" s="76">
        <f>SUM(AT32,AM32,AF32,Y32,R32,R32,K32,BA32,BH32,BO32,BV32,CC32,CJ32,CQ32,CX32,DE32,DL32,DS32,DZ32,EG32)</f>
        <v>0</v>
      </c>
      <c r="EU32" s="76">
        <f>ET32+ES32</f>
        <v>0</v>
      </c>
    </row>
    <row r="33" spans="1:151" ht="15.75" thickBot="1" x14ac:dyDescent="0.3">
      <c r="A33" s="32">
        <v>9</v>
      </c>
      <c r="B33" s="247" t="s">
        <v>226</v>
      </c>
      <c r="C33" s="85" t="str">
        <f>B33&amp;" "&amp;A33</f>
        <v>דריה 9</v>
      </c>
      <c r="D33" s="23" t="s">
        <v>6</v>
      </c>
      <c r="E33" s="23" t="s">
        <v>6</v>
      </c>
      <c r="F33" s="31" t="s">
        <v>224</v>
      </c>
      <c r="G33" s="30">
        <v>43313</v>
      </c>
      <c r="H33" s="114"/>
      <c r="I33" s="13"/>
      <c r="J33" s="48"/>
      <c r="K33" s="49"/>
      <c r="L33" s="49"/>
      <c r="M33" s="49"/>
      <c r="N33" s="50"/>
      <c r="O33" s="50"/>
      <c r="P33" s="15"/>
      <c r="Q33" s="10"/>
      <c r="R33" s="12"/>
      <c r="S33" s="12"/>
      <c r="T33" s="12"/>
      <c r="U33" s="14"/>
      <c r="V33" s="14"/>
      <c r="W33" s="16"/>
      <c r="X33" s="10"/>
      <c r="Y33" s="12"/>
      <c r="Z33" s="12"/>
      <c r="AA33" s="12"/>
      <c r="AB33" s="17"/>
      <c r="AC33" s="17"/>
      <c r="AD33" s="18"/>
      <c r="AE33" s="10"/>
      <c r="AF33" s="12"/>
      <c r="AG33" s="12"/>
      <c r="AH33" s="12"/>
      <c r="AI33" s="14"/>
      <c r="AJ33" s="14"/>
      <c r="AK33" s="16"/>
      <c r="AL33" s="10"/>
      <c r="AM33" s="12"/>
      <c r="AN33" s="12"/>
      <c r="AO33" s="12"/>
      <c r="AP33" s="14"/>
      <c r="AQ33" s="14"/>
      <c r="AR33" s="16"/>
      <c r="AS33" s="10"/>
      <c r="AT33" s="12"/>
      <c r="AU33" s="12"/>
      <c r="AV33" s="12"/>
      <c r="AW33" s="14"/>
      <c r="AX33" s="14"/>
      <c r="AY33" s="16"/>
      <c r="AZ33" s="10"/>
      <c r="BA33" s="12"/>
      <c r="BB33" s="12"/>
      <c r="BC33" s="12"/>
      <c r="BD33" s="14"/>
      <c r="BE33" s="14"/>
      <c r="BF33" s="16"/>
      <c r="BG33" s="32"/>
      <c r="BH33" s="40"/>
      <c r="BI33" s="40"/>
      <c r="BJ33" s="12"/>
      <c r="BK33" s="14"/>
      <c r="BL33" s="14"/>
      <c r="BM33" s="39"/>
      <c r="BN33" s="32"/>
      <c r="BO33" s="40"/>
      <c r="BP33" s="40"/>
      <c r="BQ33" s="40"/>
      <c r="BR33" s="14"/>
      <c r="BS33" s="14"/>
      <c r="BT33" s="39"/>
      <c r="BU33" s="32"/>
      <c r="BV33" s="40"/>
      <c r="BW33" s="40"/>
      <c r="BX33" s="40"/>
      <c r="BY33" s="14"/>
      <c r="BZ33" s="14"/>
      <c r="CA33" s="39"/>
      <c r="CB33" s="32"/>
      <c r="CC33" s="40"/>
      <c r="CD33" s="40"/>
      <c r="CE33" s="79"/>
      <c r="CF33" s="14"/>
      <c r="CG33" s="14"/>
      <c r="CH33" s="39"/>
      <c r="CI33" s="40"/>
      <c r="CJ33" s="40"/>
      <c r="CK33" s="40"/>
      <c r="CL33" s="83"/>
      <c r="CM33" s="14"/>
      <c r="CN33" s="14"/>
      <c r="CO33" s="39"/>
      <c r="CP33" s="108"/>
      <c r="CQ33" s="40"/>
      <c r="CR33" s="40"/>
      <c r="CS33" s="40"/>
      <c r="CT33" s="14">
        <f>CP33*3+CR33</f>
        <v>0</v>
      </c>
      <c r="CU33" s="14">
        <f>CQ33*3+CS33</f>
        <v>0</v>
      </c>
      <c r="CV33" s="39">
        <f>CU33+CT33</f>
        <v>0</v>
      </c>
      <c r="CW33" s="32"/>
      <c r="CX33" s="40"/>
      <c r="CY33" s="40"/>
      <c r="CZ33" s="40"/>
      <c r="DA33" s="17">
        <f>CW33*3+CY33</f>
        <v>0</v>
      </c>
      <c r="DB33" s="17">
        <f>CX33*3+CZ33</f>
        <v>0</v>
      </c>
      <c r="DC33" s="18">
        <f>DB33+DA33</f>
        <v>0</v>
      </c>
      <c r="DD33" s="108">
        <v>1</v>
      </c>
      <c r="DE33" s="40"/>
      <c r="DF33" s="40">
        <v>1</v>
      </c>
      <c r="DG33" s="40"/>
      <c r="DH33" s="156">
        <f>DD33*3+DF33</f>
        <v>4</v>
      </c>
      <c r="DI33" s="156">
        <f>DE33*3+DG33</f>
        <v>0</v>
      </c>
      <c r="DJ33" s="18">
        <f>DI33+DH33</f>
        <v>4</v>
      </c>
      <c r="DK33" s="108"/>
      <c r="DL33" s="40"/>
      <c r="DM33" s="40">
        <v>2</v>
      </c>
      <c r="DN33" s="40">
        <v>1</v>
      </c>
      <c r="DO33" s="156">
        <f>DK33*3+DM33</f>
        <v>2</v>
      </c>
      <c r="DP33" s="156">
        <f>DL33*3+DN33</f>
        <v>1</v>
      </c>
      <c r="DQ33" s="18">
        <f>DP33+DO33</f>
        <v>3</v>
      </c>
      <c r="DR33" s="108">
        <v>1</v>
      </c>
      <c r="DS33" s="40"/>
      <c r="DT33" s="40">
        <v>1</v>
      </c>
      <c r="DU33" s="40">
        <v>2</v>
      </c>
      <c r="DV33" s="156">
        <f>DR33*3+DT33</f>
        <v>4</v>
      </c>
      <c r="DW33" s="156">
        <f>DS33*3+DU33</f>
        <v>2</v>
      </c>
      <c r="DX33" s="18">
        <f>DW33+DV33</f>
        <v>6</v>
      </c>
      <c r="DY33" s="108"/>
      <c r="DZ33" s="40"/>
      <c r="EA33" s="40">
        <v>1</v>
      </c>
      <c r="EB33" s="40"/>
      <c r="EC33" s="156">
        <f>DY33*3+EA33</f>
        <v>1</v>
      </c>
      <c r="ED33" s="156">
        <f>DZ33*3+EB33</f>
        <v>0</v>
      </c>
      <c r="EE33" s="18">
        <f>ED33+EC33</f>
        <v>1</v>
      </c>
      <c r="EF33" s="108">
        <v>1</v>
      </c>
      <c r="EG33" s="40"/>
      <c r="EH33" s="40"/>
      <c r="EI33" s="40"/>
      <c r="EJ33" s="156">
        <f>EF33*3+EH33</f>
        <v>3</v>
      </c>
      <c r="EK33" s="156">
        <f>EG33*3+EI33</f>
        <v>0</v>
      </c>
      <c r="EL33" s="18">
        <f>EK33+EJ33</f>
        <v>3</v>
      </c>
      <c r="EM33" s="74">
        <f>SUM(AP33,AI33,AB33,U33,N33,AW33,BD33,BK33,BR33,BY33,CF33,CM33,CT33,DA33,DH33,DO33,DV33,EC33,EJ33)</f>
        <v>14</v>
      </c>
      <c r="EN33" s="75">
        <f ca="1">EM33/(10+TODAY()-G33)</f>
        <v>9.0322580645161285E-2</v>
      </c>
      <c r="EO33" s="76">
        <f>SUM(AQ33,AJ33,AC33,V33,O33,AX33,BE33,BL33,BS33,BZ33,CG33,CN33,CU33,DB33,DI33,DP33,DW33,ED33,EK33)</f>
        <v>3</v>
      </c>
      <c r="EP33" s="75">
        <f ca="1">EO33/(10+TODAY()-G33)</f>
        <v>1.935483870967742E-2</v>
      </c>
      <c r="EQ33" s="76">
        <f>EM33+EO33</f>
        <v>17</v>
      </c>
      <c r="ER33" s="75">
        <f ca="1">EP33+EN33</f>
        <v>0.10967741935483871</v>
      </c>
      <c r="ES33" s="76">
        <f>SUM(AS33,AL33,AE33,X33,Q33,Q33,J33,AZ33,BG33,BN33,BU33,CB33,CI33,CP33,CW33,DD33,DK33,DR33,DY33,EF33)</f>
        <v>3</v>
      </c>
      <c r="ET33" s="76">
        <f>SUM(AT33,AM33,AF33,Y33,R33,R33,K33,BA33,BH33,BO33,BV33,CC33,CJ33,CQ33,CX33,DE33,DL33,DS33,DZ33,EG33)</f>
        <v>0</v>
      </c>
      <c r="EU33" s="76">
        <f>ET33+ES33</f>
        <v>3</v>
      </c>
    </row>
    <row r="34" spans="1:151" ht="15.75" thickBot="1" x14ac:dyDescent="0.3">
      <c r="A34" s="219">
        <v>209</v>
      </c>
      <c r="B34" s="24" t="s">
        <v>301</v>
      </c>
      <c r="C34" s="26" t="str">
        <f>B34&amp;" "&amp;A34</f>
        <v>טל 209</v>
      </c>
      <c r="D34" s="23" t="s">
        <v>6</v>
      </c>
      <c r="E34" s="23" t="s">
        <v>6</v>
      </c>
      <c r="F34" s="31" t="s">
        <v>302</v>
      </c>
      <c r="G34" s="30">
        <v>43405</v>
      </c>
      <c r="H34" s="244"/>
      <c r="I34" s="13"/>
      <c r="J34" s="48"/>
      <c r="K34" s="49"/>
      <c r="L34" s="49"/>
      <c r="M34" s="49"/>
      <c r="N34" s="50"/>
      <c r="O34" s="50"/>
      <c r="P34" s="15"/>
      <c r="Q34" s="10"/>
      <c r="R34" s="12"/>
      <c r="S34" s="12"/>
      <c r="T34" s="12"/>
      <c r="U34" s="14"/>
      <c r="V34" s="14"/>
      <c r="W34" s="16"/>
      <c r="X34" s="10"/>
      <c r="Y34" s="12"/>
      <c r="Z34" s="12"/>
      <c r="AA34" s="12"/>
      <c r="AB34" s="17"/>
      <c r="AC34" s="17"/>
      <c r="AD34" s="18"/>
      <c r="AE34" s="10"/>
      <c r="AF34" s="12"/>
      <c r="AG34" s="12"/>
      <c r="AH34" s="12"/>
      <c r="AI34" s="14"/>
      <c r="AJ34" s="14"/>
      <c r="AK34" s="16"/>
      <c r="AL34" s="10"/>
      <c r="AM34" s="12"/>
      <c r="AN34" s="12"/>
      <c r="AO34" s="12"/>
      <c r="AP34" s="14"/>
      <c r="AQ34" s="14"/>
      <c r="AR34" s="16"/>
      <c r="AS34" s="10"/>
      <c r="AT34" s="12"/>
      <c r="AU34" s="12"/>
      <c r="AV34" s="12"/>
      <c r="AW34" s="14"/>
      <c r="AX34" s="14"/>
      <c r="AY34" s="16"/>
      <c r="AZ34" s="10"/>
      <c r="BA34" s="12"/>
      <c r="BB34" s="12"/>
      <c r="BC34" s="12"/>
      <c r="BD34" s="14"/>
      <c r="BE34" s="14"/>
      <c r="BF34" s="16"/>
      <c r="BG34" s="32"/>
      <c r="BH34" s="40"/>
      <c r="BI34" s="12"/>
      <c r="BJ34" s="12"/>
      <c r="BK34" s="14"/>
      <c r="BL34" s="14"/>
      <c r="BM34" s="39"/>
      <c r="BN34" s="32"/>
      <c r="BO34" s="40"/>
      <c r="BP34" s="40"/>
      <c r="BQ34" s="40"/>
      <c r="BR34" s="14"/>
      <c r="BS34" s="14"/>
      <c r="BT34" s="39"/>
      <c r="BU34" s="32"/>
      <c r="BV34" s="40"/>
      <c r="BW34" s="40"/>
      <c r="BX34" s="40"/>
      <c r="BY34" s="14"/>
      <c r="BZ34" s="14"/>
      <c r="CA34" s="39"/>
      <c r="CB34" s="32"/>
      <c r="CC34" s="40"/>
      <c r="CD34" s="40"/>
      <c r="CE34" s="79"/>
      <c r="CF34" s="14"/>
      <c r="CG34" s="14"/>
      <c r="CH34" s="39"/>
      <c r="CI34" s="40"/>
      <c r="CJ34" s="40"/>
      <c r="CK34" s="40"/>
      <c r="CL34" s="83"/>
      <c r="CM34" s="14"/>
      <c r="CN34" s="14"/>
      <c r="CO34" s="39"/>
      <c r="CP34" s="108"/>
      <c r="CQ34" s="40"/>
      <c r="CR34" s="40"/>
      <c r="CS34" s="40"/>
      <c r="CT34" s="14"/>
      <c r="CU34" s="14"/>
      <c r="CV34" s="39"/>
      <c r="CW34" s="32"/>
      <c r="CX34" s="40"/>
      <c r="CY34" s="40"/>
      <c r="CZ34" s="40"/>
      <c r="DA34" s="17"/>
      <c r="DB34" s="17"/>
      <c r="DC34" s="18"/>
      <c r="DD34" s="108"/>
      <c r="DE34" s="40"/>
      <c r="DF34" s="40"/>
      <c r="DG34" s="40"/>
      <c r="DH34" s="156"/>
      <c r="DI34" s="156"/>
      <c r="DJ34" s="18"/>
      <c r="DK34" s="108"/>
      <c r="DL34" s="40"/>
      <c r="DM34" s="40"/>
      <c r="DN34" s="40"/>
      <c r="DO34" s="156">
        <f>DK34*3+DM34</f>
        <v>0</v>
      </c>
      <c r="DP34" s="156">
        <f>DL34*3+DN34</f>
        <v>0</v>
      </c>
      <c r="DQ34" s="18">
        <f>DP34+DO34</f>
        <v>0</v>
      </c>
      <c r="DR34" s="108"/>
      <c r="DS34" s="40"/>
      <c r="DT34" s="40"/>
      <c r="DU34" s="40"/>
      <c r="DV34" s="156">
        <f>DR34*3+DT34</f>
        <v>0</v>
      </c>
      <c r="DW34" s="156">
        <f>DS34*3+DU34</f>
        <v>0</v>
      </c>
      <c r="DX34" s="18">
        <f>DW34+DV34</f>
        <v>0</v>
      </c>
      <c r="DY34" s="108">
        <v>1</v>
      </c>
      <c r="DZ34" s="40"/>
      <c r="EA34" s="40">
        <v>1</v>
      </c>
      <c r="EB34" s="40"/>
      <c r="EC34" s="156">
        <f>DY34*3+EA34</f>
        <v>4</v>
      </c>
      <c r="ED34" s="156">
        <f>DZ34*3+EB34</f>
        <v>0</v>
      </c>
      <c r="EE34" s="18">
        <f>ED34+EC34</f>
        <v>4</v>
      </c>
      <c r="EF34" s="108"/>
      <c r="EG34" s="40"/>
      <c r="EH34" s="40">
        <v>3</v>
      </c>
      <c r="EI34" s="40"/>
      <c r="EJ34" s="156">
        <f>EF34*3+EH34</f>
        <v>3</v>
      </c>
      <c r="EK34" s="156">
        <f>EG34*3+EI34</f>
        <v>0</v>
      </c>
      <c r="EL34" s="18">
        <f>EK34+EJ34</f>
        <v>3</v>
      </c>
      <c r="EM34" s="74">
        <f>SUM(AP34,AI34,AB34,U34,N34,AW34,BD34,BK34,BR34,BY34,CF34,CM34,CT34,DA34,DH34,DO34,DV34,EC34,EJ34)</f>
        <v>7</v>
      </c>
      <c r="EN34" s="75">
        <f ca="1">EM34/(10+TODAY()-G34)</f>
        <v>0.1111111111111111</v>
      </c>
      <c r="EO34" s="76">
        <f>SUM(AQ34,AJ34,AC34,V34,O34,AX34,BE34,BL34,BS34,BZ34,CG34,CN34,CU34,DB34,DI34,DP34,DW34,ED34,EK34)</f>
        <v>0</v>
      </c>
      <c r="EP34" s="75">
        <f ca="1">EO34/(10+TODAY()-G34)</f>
        <v>0</v>
      </c>
      <c r="EQ34" s="76">
        <f>EM34+EO34</f>
        <v>7</v>
      </c>
      <c r="ER34" s="75">
        <f ca="1">EP34+EN34</f>
        <v>0.1111111111111111</v>
      </c>
      <c r="ES34" s="76">
        <f>SUM(AS34,AL34,AE34,X34,Q34,Q34,J34,AZ34,BG34,BN34,BU34,CB34,CI34,CP34,CW34,DD34,DK34,DR34,DY34,EF34)</f>
        <v>1</v>
      </c>
      <c r="ET34" s="76">
        <f>SUM(AT34,AM34,AF34,Y34,R34,R34,K34,BA34,BH34,BO34,BV34,CC34,CJ34,CQ34,CX34,DE34,DL34,DS34,DZ34,EG34)</f>
        <v>0</v>
      </c>
      <c r="EU34" s="76">
        <f>ET34+ES34</f>
        <v>1</v>
      </c>
    </row>
    <row r="35" spans="1:151" ht="15.75" thickBot="1" x14ac:dyDescent="0.3">
      <c r="A35" s="32">
        <v>9</v>
      </c>
      <c r="B35" s="247" t="s">
        <v>257</v>
      </c>
      <c r="C35" s="85" t="str">
        <f>B35&amp;" "&amp;A35</f>
        <v>טליה 9</v>
      </c>
      <c r="D35" s="23" t="s">
        <v>6</v>
      </c>
      <c r="E35" s="23" t="s">
        <v>6</v>
      </c>
      <c r="F35" s="31" t="s">
        <v>259</v>
      </c>
      <c r="G35" s="30">
        <v>43344</v>
      </c>
      <c r="H35" s="31"/>
      <c r="I35" s="35"/>
      <c r="J35" s="48"/>
      <c r="K35" s="49"/>
      <c r="L35" s="49"/>
      <c r="M35" s="49"/>
      <c r="N35" s="50"/>
      <c r="O35" s="50"/>
      <c r="P35" s="15"/>
      <c r="Q35" s="10"/>
      <c r="R35" s="12"/>
      <c r="S35" s="12"/>
      <c r="T35" s="12"/>
      <c r="U35" s="14"/>
      <c r="V35" s="14"/>
      <c r="W35" s="16"/>
      <c r="X35" s="10"/>
      <c r="Y35" s="12"/>
      <c r="Z35" s="12"/>
      <c r="AA35" s="12"/>
      <c r="AB35" s="17"/>
      <c r="AC35" s="17"/>
      <c r="AD35" s="18"/>
      <c r="AE35" s="10"/>
      <c r="AF35" s="12"/>
      <c r="AG35" s="12"/>
      <c r="AH35" s="12"/>
      <c r="AI35" s="14"/>
      <c r="AJ35" s="14"/>
      <c r="AK35" s="16"/>
      <c r="AL35" s="10"/>
      <c r="AM35" s="12"/>
      <c r="AN35" s="12"/>
      <c r="AO35" s="12"/>
      <c r="AP35" s="14"/>
      <c r="AQ35" s="14"/>
      <c r="AR35" s="16"/>
      <c r="AS35" s="10"/>
      <c r="AT35" s="12"/>
      <c r="AU35" s="12"/>
      <c r="AV35" s="12"/>
      <c r="AW35" s="14"/>
      <c r="AX35" s="14"/>
      <c r="AY35" s="16"/>
      <c r="AZ35" s="10"/>
      <c r="BA35" s="12"/>
      <c r="BB35" s="12"/>
      <c r="BC35" s="12"/>
      <c r="BD35" s="14"/>
      <c r="BE35" s="14"/>
      <c r="BF35" s="16"/>
      <c r="BG35" s="32"/>
      <c r="BH35" s="40"/>
      <c r="BI35" s="40"/>
      <c r="BJ35" s="12"/>
      <c r="BK35" s="14"/>
      <c r="BL35" s="14"/>
      <c r="BM35" s="39"/>
      <c r="BN35" s="32"/>
      <c r="BO35" s="40"/>
      <c r="BP35" s="40"/>
      <c r="BQ35" s="40"/>
      <c r="BR35" s="14"/>
      <c r="BS35" s="14"/>
      <c r="BT35" s="39"/>
      <c r="BU35" s="32"/>
      <c r="BV35" s="40"/>
      <c r="BW35" s="40"/>
      <c r="BX35" s="40"/>
      <c r="BY35" s="14"/>
      <c r="BZ35" s="14"/>
      <c r="CA35" s="39"/>
      <c r="CB35" s="32"/>
      <c r="CC35" s="40"/>
      <c r="CD35" s="40"/>
      <c r="CE35" s="79"/>
      <c r="CF35" s="14"/>
      <c r="CG35" s="14"/>
      <c r="CH35" s="39"/>
      <c r="CI35" s="40"/>
      <c r="CJ35" s="40"/>
      <c r="CK35" s="40"/>
      <c r="CL35" s="83"/>
      <c r="CM35" s="14"/>
      <c r="CN35" s="14"/>
      <c r="CO35" s="39"/>
      <c r="CP35" s="108"/>
      <c r="CQ35" s="40"/>
      <c r="CR35" s="40"/>
      <c r="CS35" s="40"/>
      <c r="CT35" s="14"/>
      <c r="CU35" s="14"/>
      <c r="CV35" s="39"/>
      <c r="CW35" s="32"/>
      <c r="CX35" s="40"/>
      <c r="CY35" s="40"/>
      <c r="CZ35" s="40"/>
      <c r="DA35" s="17"/>
      <c r="DB35" s="17"/>
      <c r="DC35" s="18"/>
      <c r="DD35" s="108"/>
      <c r="DE35" s="40"/>
      <c r="DF35" s="40"/>
      <c r="DG35" s="40"/>
      <c r="DH35" s="156">
        <f>DD35*3+DF35</f>
        <v>0</v>
      </c>
      <c r="DI35" s="156">
        <f>DE35*3+DG35</f>
        <v>0</v>
      </c>
      <c r="DJ35" s="18">
        <f>DI35+DH35</f>
        <v>0</v>
      </c>
      <c r="DK35" s="108">
        <v>1</v>
      </c>
      <c r="DL35" s="40"/>
      <c r="DM35" s="40">
        <v>2</v>
      </c>
      <c r="DN35" s="40"/>
      <c r="DO35" s="156">
        <f>DK35*3+DM35</f>
        <v>5</v>
      </c>
      <c r="DP35" s="156">
        <f>DL35*3+DN35</f>
        <v>0</v>
      </c>
      <c r="DQ35" s="18">
        <f>DP35+DO35</f>
        <v>5</v>
      </c>
      <c r="DR35" s="108">
        <v>1</v>
      </c>
      <c r="DS35" s="40"/>
      <c r="DT35" s="40">
        <v>1</v>
      </c>
      <c r="DU35" s="40"/>
      <c r="DV35" s="156">
        <f>DR35*3+DT35</f>
        <v>4</v>
      </c>
      <c r="DW35" s="156">
        <f>DS35*3+DU35</f>
        <v>0</v>
      </c>
      <c r="DX35" s="18">
        <f>DW35+DV35</f>
        <v>4</v>
      </c>
      <c r="DY35" s="108"/>
      <c r="DZ35" s="40"/>
      <c r="EA35" s="40">
        <v>1</v>
      </c>
      <c r="EB35" s="40"/>
      <c r="EC35" s="156">
        <f>DY35*3+EA35</f>
        <v>1</v>
      </c>
      <c r="ED35" s="156">
        <f>DZ35*3+EB35</f>
        <v>0</v>
      </c>
      <c r="EE35" s="18">
        <f>ED35+EC35</f>
        <v>1</v>
      </c>
      <c r="EF35" s="108">
        <v>1</v>
      </c>
      <c r="EG35" s="40"/>
      <c r="EH35" s="40"/>
      <c r="EI35" s="40"/>
      <c r="EJ35" s="156">
        <f>EF35*3+EH35</f>
        <v>3</v>
      </c>
      <c r="EK35" s="156">
        <f>EG35*3+EI35</f>
        <v>0</v>
      </c>
      <c r="EL35" s="18">
        <f>EK35+EJ35</f>
        <v>3</v>
      </c>
      <c r="EM35" s="74">
        <f>SUM(AP35,AI35,AB35,U35,N35,AW35,BD35,BK35,BR35,BY35,CF35,CM35,CT35,DA35,DH35,DO35,DV35,EC35,EJ35)</f>
        <v>13</v>
      </c>
      <c r="EN35" s="75">
        <f ca="1">EM35/(10+TODAY()-G35)</f>
        <v>0.10483870967741936</v>
      </c>
      <c r="EO35" s="76">
        <f>SUM(AQ35,AJ35,AC35,V35,O35,AX35,BE35,BL35,BS35,BZ35,CG35,CN35,CU35,DB35,DI35,DP35,DW35,ED35,EK35)</f>
        <v>0</v>
      </c>
      <c r="EP35" s="75">
        <f ca="1">EO35/(10+TODAY()-G35)</f>
        <v>0</v>
      </c>
      <c r="EQ35" s="76">
        <f>EM35+EO35</f>
        <v>13</v>
      </c>
      <c r="ER35" s="75">
        <f ca="1">EP35+EN35</f>
        <v>0.10483870967741936</v>
      </c>
      <c r="ES35" s="76">
        <f>SUM(AS35,AL35,AE35,X35,Q35,Q35,J35,AZ35,BG35,BN35,BU35,CB35,CI35,CP35,CW35,DD35,DK35,DR35,DY35,EF35)</f>
        <v>3</v>
      </c>
      <c r="ET35" s="76">
        <f>SUM(AT35,AM35,AF35,Y35,R35,R35,K35,BA35,BH35,BO35,BV35,CC35,CJ35,CQ35,CX35,DE35,DL35,DS35,DZ35,EG35)</f>
        <v>0</v>
      </c>
      <c r="EU35" s="76">
        <f>ET35+ES35</f>
        <v>3</v>
      </c>
    </row>
    <row r="36" spans="1:151" ht="15.75" thickBot="1" x14ac:dyDescent="0.3">
      <c r="A36" s="10">
        <v>474</v>
      </c>
      <c r="B36" s="24" t="s">
        <v>68</v>
      </c>
      <c r="C36" s="26" t="str">
        <f>B36&amp;" "&amp;A36</f>
        <v>יהל אור 474</v>
      </c>
      <c r="D36" s="12" t="s">
        <v>6</v>
      </c>
      <c r="E36" s="12" t="s">
        <v>7</v>
      </c>
      <c r="F36" s="31" t="s">
        <v>143</v>
      </c>
      <c r="G36" s="30">
        <v>42917</v>
      </c>
      <c r="H36" s="19"/>
      <c r="I36" s="13"/>
      <c r="J36" s="48"/>
      <c r="K36" s="49"/>
      <c r="L36" s="49"/>
      <c r="M36" s="49"/>
      <c r="N36" s="50">
        <f>J36*3+L36</f>
        <v>0</v>
      </c>
      <c r="O36" s="50">
        <f>K36*3+M36</f>
        <v>0</v>
      </c>
      <c r="P36" s="15">
        <f>O36+N36</f>
        <v>0</v>
      </c>
      <c r="Q36" s="10"/>
      <c r="R36" s="12"/>
      <c r="S36" s="12">
        <v>4</v>
      </c>
      <c r="T36" s="12"/>
      <c r="U36" s="14">
        <f>Q36*3+S36</f>
        <v>4</v>
      </c>
      <c r="V36" s="14">
        <f>R36*3+T36</f>
        <v>0</v>
      </c>
      <c r="W36" s="16">
        <f>V36+U36</f>
        <v>4</v>
      </c>
      <c r="X36" s="10">
        <v>1</v>
      </c>
      <c r="Y36" s="12"/>
      <c r="Z36" s="12">
        <v>1</v>
      </c>
      <c r="AA36" s="12"/>
      <c r="AB36" s="17">
        <f>X36*3+Z36</f>
        <v>4</v>
      </c>
      <c r="AC36" s="17">
        <f>Y36*3+AA36</f>
        <v>0</v>
      </c>
      <c r="AD36" s="18">
        <f>AC36+AB36</f>
        <v>4</v>
      </c>
      <c r="AE36" s="10"/>
      <c r="AF36" s="12"/>
      <c r="AG36" s="12">
        <v>2</v>
      </c>
      <c r="AH36" s="12">
        <v>2</v>
      </c>
      <c r="AI36" s="14">
        <f>AE36*3+AG36</f>
        <v>2</v>
      </c>
      <c r="AJ36" s="14">
        <f>AF36*3+AH36</f>
        <v>2</v>
      </c>
      <c r="AK36" s="16">
        <f>AJ36+AI36</f>
        <v>4</v>
      </c>
      <c r="AL36" s="10"/>
      <c r="AM36" s="12"/>
      <c r="AN36" s="12">
        <v>2</v>
      </c>
      <c r="AO36" s="12">
        <v>1</v>
      </c>
      <c r="AP36" s="14">
        <f>AL36*3+AN36</f>
        <v>2</v>
      </c>
      <c r="AQ36" s="14">
        <f>AM36*3+AO36</f>
        <v>1</v>
      </c>
      <c r="AR36" s="16">
        <f>AQ36+AP36</f>
        <v>3</v>
      </c>
      <c r="AS36" s="10">
        <v>1</v>
      </c>
      <c r="AT36" s="12"/>
      <c r="AU36" s="12"/>
      <c r="AV36" s="12"/>
      <c r="AW36" s="14">
        <f>AS36*3+AU36</f>
        <v>3</v>
      </c>
      <c r="AX36" s="14">
        <f>AT36*3+AV36</f>
        <v>0</v>
      </c>
      <c r="AY36" s="16">
        <f>AX36+AW36</f>
        <v>3</v>
      </c>
      <c r="AZ36" s="10"/>
      <c r="BA36" s="12"/>
      <c r="BB36" s="12">
        <v>3</v>
      </c>
      <c r="BC36" s="12"/>
      <c r="BD36" s="14">
        <f>AZ36*3+BB36</f>
        <v>3</v>
      </c>
      <c r="BE36" s="14">
        <f>BA36*3+BC36</f>
        <v>0</v>
      </c>
      <c r="BF36" s="16">
        <f>BE36+BD36</f>
        <v>3</v>
      </c>
      <c r="BG36" s="32">
        <v>1</v>
      </c>
      <c r="BH36" s="40"/>
      <c r="BI36" s="12"/>
      <c r="BJ36" s="12">
        <v>1</v>
      </c>
      <c r="BK36" s="14">
        <f>BG36*3+BI36</f>
        <v>3</v>
      </c>
      <c r="BL36" s="14">
        <f>BH36*3+BJ36</f>
        <v>1</v>
      </c>
      <c r="BM36" s="39">
        <f>BL36+BK36</f>
        <v>4</v>
      </c>
      <c r="BN36" s="32">
        <v>1</v>
      </c>
      <c r="BO36" s="40"/>
      <c r="BP36" s="40">
        <v>3</v>
      </c>
      <c r="BQ36" s="40"/>
      <c r="BR36" s="14">
        <f>BN36*3+BP36</f>
        <v>6</v>
      </c>
      <c r="BS36" s="14">
        <f>BO36*3+BQ36</f>
        <v>0</v>
      </c>
      <c r="BT36" s="39">
        <f>BS36+BR36</f>
        <v>6</v>
      </c>
      <c r="BU36" s="32"/>
      <c r="BV36" s="40"/>
      <c r="BW36" s="40">
        <v>1</v>
      </c>
      <c r="BX36" s="40">
        <v>1</v>
      </c>
      <c r="BY36" s="14">
        <f>BU36*3+BW36</f>
        <v>1</v>
      </c>
      <c r="BZ36" s="14">
        <f>BV36*3+BX36</f>
        <v>1</v>
      </c>
      <c r="CA36" s="39">
        <f>BZ36+BY36</f>
        <v>2</v>
      </c>
      <c r="CB36" s="32"/>
      <c r="CC36" s="40"/>
      <c r="CD36" s="40">
        <v>2</v>
      </c>
      <c r="CE36" s="79"/>
      <c r="CF36" s="14">
        <f>CB36*3+CD36</f>
        <v>2</v>
      </c>
      <c r="CG36" s="14">
        <f>CC36*3+CE36</f>
        <v>0</v>
      </c>
      <c r="CH36" s="39">
        <f>CG36+CF36</f>
        <v>2</v>
      </c>
      <c r="CI36" s="40">
        <v>1</v>
      </c>
      <c r="CJ36" s="40"/>
      <c r="CK36" s="40"/>
      <c r="CL36" s="83"/>
      <c r="CM36" s="14">
        <f>CI36*3+CK36</f>
        <v>3</v>
      </c>
      <c r="CN36" s="14">
        <f>CJ36*3+CL36</f>
        <v>0</v>
      </c>
      <c r="CO36" s="39">
        <f>CN36+CM36</f>
        <v>3</v>
      </c>
      <c r="CP36" s="108"/>
      <c r="CQ36" s="40"/>
      <c r="CR36" s="40">
        <v>1</v>
      </c>
      <c r="CS36" s="40"/>
      <c r="CT36" s="14">
        <f>CP36*3+CR36</f>
        <v>1</v>
      </c>
      <c r="CU36" s="14">
        <f>CQ36*3+CS36</f>
        <v>0</v>
      </c>
      <c r="CV36" s="39">
        <f>CU36+CT36</f>
        <v>1</v>
      </c>
      <c r="CW36" s="32"/>
      <c r="CX36" s="40"/>
      <c r="CY36" s="40">
        <v>2</v>
      </c>
      <c r="CZ36" s="40"/>
      <c r="DA36" s="17">
        <f>CW36*3+CY36</f>
        <v>2</v>
      </c>
      <c r="DB36" s="17">
        <f>CX36*3+CZ36</f>
        <v>0</v>
      </c>
      <c r="DC36" s="18">
        <f>DB36+DA36</f>
        <v>2</v>
      </c>
      <c r="DD36" s="108">
        <v>1</v>
      </c>
      <c r="DE36" s="40"/>
      <c r="DF36" s="40">
        <v>1</v>
      </c>
      <c r="DG36" s="40"/>
      <c r="DH36" s="156">
        <f>DD36*3+DF36</f>
        <v>4</v>
      </c>
      <c r="DI36" s="156">
        <f>DE36*3+DG36</f>
        <v>0</v>
      </c>
      <c r="DJ36" s="18">
        <f>DI36+DH36</f>
        <v>4</v>
      </c>
      <c r="DK36" s="108">
        <v>1</v>
      </c>
      <c r="DL36" s="40"/>
      <c r="DM36" s="40">
        <v>1</v>
      </c>
      <c r="DN36" s="40"/>
      <c r="DO36" s="156">
        <f>DK36*3+DM36</f>
        <v>4</v>
      </c>
      <c r="DP36" s="156">
        <f>DL36*3+DN36</f>
        <v>0</v>
      </c>
      <c r="DQ36" s="18">
        <f>DP36+DO36</f>
        <v>4</v>
      </c>
      <c r="DR36" s="108"/>
      <c r="DS36" s="40"/>
      <c r="DT36" s="40">
        <v>1</v>
      </c>
      <c r="DU36" s="40">
        <v>1</v>
      </c>
      <c r="DV36" s="156">
        <f>DR36*3+DT36</f>
        <v>1</v>
      </c>
      <c r="DW36" s="156">
        <f>DS36*3+DU36</f>
        <v>1</v>
      </c>
      <c r="DX36" s="18">
        <f>DW36+DV36</f>
        <v>2</v>
      </c>
      <c r="DY36" s="108"/>
      <c r="DZ36" s="40"/>
      <c r="EA36" s="40">
        <v>1</v>
      </c>
      <c r="EB36" s="40">
        <v>2</v>
      </c>
      <c r="EC36" s="156">
        <f>DY36*3+EA36</f>
        <v>1</v>
      </c>
      <c r="ED36" s="156">
        <f>DZ36*3+EB36</f>
        <v>2</v>
      </c>
      <c r="EE36" s="18">
        <f>ED36+EC36</f>
        <v>3</v>
      </c>
      <c r="EF36" s="108">
        <v>1</v>
      </c>
      <c r="EG36" s="40"/>
      <c r="EH36" s="40"/>
      <c r="EI36" s="40"/>
      <c r="EJ36" s="156">
        <f>EF36*3+EH36</f>
        <v>3</v>
      </c>
      <c r="EK36" s="156">
        <f>EG36*3+EI36</f>
        <v>0</v>
      </c>
      <c r="EL36" s="18">
        <f>EK36+EJ36</f>
        <v>3</v>
      </c>
      <c r="EM36" s="74">
        <f>SUM(AP36,AI36,AB36,U36,N36,AW36,BD36,BK36,BR36,BY36,CF36,CM36,CT36,DA36,DH36,DO36,DV36,EC36,EJ36)</f>
        <v>49</v>
      </c>
      <c r="EN36" s="75">
        <f ca="1">EM36/(10+TODAY()-G36)</f>
        <v>8.8929219600725959E-2</v>
      </c>
      <c r="EO36" s="76">
        <f>SUM(AQ36,AJ36,AC36,V36,O36,AX36,BE36,BL36,BS36,BZ36,CG36,CN36,CU36,DB36,DI36,DP36,DW36,ED36,EK36)</f>
        <v>8</v>
      </c>
      <c r="EP36" s="75">
        <f ca="1">EO36/(10+TODAY()-G36)</f>
        <v>1.4519056261343012E-2</v>
      </c>
      <c r="EQ36" s="76">
        <f>EM36+EO36</f>
        <v>57</v>
      </c>
      <c r="ER36" s="75">
        <f ca="1">EP36+EN36</f>
        <v>0.10344827586206898</v>
      </c>
      <c r="ES36" s="76">
        <f>SUM(AS36,AL36,AE36,X36,Q36,Q36,J36,AZ36,BG36,BN36,BU36,CB36,CI36,CP36,CW36,DD36,DK36,DR36,DY36,EF36)</f>
        <v>8</v>
      </c>
      <c r="ET36" s="76">
        <f>SUM(AT36,AM36,AF36,Y36,R36,R36,K36,BA36,BH36,BO36,BV36,CC36,CJ36,CQ36,CX36,DE36,DL36,DS36,DZ36,EG36)</f>
        <v>0</v>
      </c>
      <c r="EU36" s="76">
        <f>ET36+ES36</f>
        <v>8</v>
      </c>
    </row>
    <row r="37" spans="1:151" ht="15.75" thickBot="1" x14ac:dyDescent="0.3">
      <c r="A37" s="10">
        <v>11</v>
      </c>
      <c r="B37" s="24" t="s">
        <v>300</v>
      </c>
      <c r="C37" s="26" t="str">
        <f>B37&amp;" "&amp;A37</f>
        <v>לירון 11</v>
      </c>
      <c r="D37" s="23" t="s">
        <v>6</v>
      </c>
      <c r="E37" s="23" t="s">
        <v>7</v>
      </c>
      <c r="F37" s="31" t="s">
        <v>302</v>
      </c>
      <c r="G37" s="30">
        <v>43405</v>
      </c>
      <c r="H37" s="42"/>
      <c r="I37" s="13"/>
      <c r="J37" s="48"/>
      <c r="K37" s="49"/>
      <c r="L37" s="49"/>
      <c r="M37" s="49"/>
      <c r="N37" s="50"/>
      <c r="O37" s="50"/>
      <c r="P37" s="15"/>
      <c r="Q37" s="10"/>
      <c r="R37" s="12"/>
      <c r="S37" s="12"/>
      <c r="T37" s="12"/>
      <c r="U37" s="14"/>
      <c r="V37" s="14"/>
      <c r="W37" s="16"/>
      <c r="X37" s="10"/>
      <c r="Y37" s="12"/>
      <c r="Z37" s="12"/>
      <c r="AA37" s="12"/>
      <c r="AB37" s="17"/>
      <c r="AC37" s="17"/>
      <c r="AD37" s="18"/>
      <c r="AE37" s="10"/>
      <c r="AF37" s="12"/>
      <c r="AG37" s="12"/>
      <c r="AH37" s="12"/>
      <c r="AI37" s="14"/>
      <c r="AJ37" s="14"/>
      <c r="AK37" s="16"/>
      <c r="AL37" s="10"/>
      <c r="AM37" s="12"/>
      <c r="AN37" s="12"/>
      <c r="AO37" s="12"/>
      <c r="AP37" s="14"/>
      <c r="AQ37" s="14"/>
      <c r="AR37" s="16"/>
      <c r="AS37" s="10"/>
      <c r="AT37" s="12"/>
      <c r="AU37" s="12"/>
      <c r="AV37" s="12"/>
      <c r="AW37" s="14"/>
      <c r="AX37" s="14"/>
      <c r="AY37" s="16"/>
      <c r="AZ37" s="10"/>
      <c r="BA37" s="12"/>
      <c r="BB37" s="12"/>
      <c r="BC37" s="12"/>
      <c r="BD37" s="14"/>
      <c r="BE37" s="14"/>
      <c r="BF37" s="16"/>
      <c r="BG37" s="32"/>
      <c r="BH37" s="40"/>
      <c r="BI37" s="12"/>
      <c r="BJ37" s="12"/>
      <c r="BK37" s="14"/>
      <c r="BL37" s="14"/>
      <c r="BM37" s="39"/>
      <c r="BN37" s="32"/>
      <c r="BO37" s="40"/>
      <c r="BP37" s="40"/>
      <c r="BQ37" s="40"/>
      <c r="BR37" s="14"/>
      <c r="BS37" s="14"/>
      <c r="BT37" s="39"/>
      <c r="BU37" s="32"/>
      <c r="BV37" s="40"/>
      <c r="BW37" s="40"/>
      <c r="BX37" s="40"/>
      <c r="BY37" s="14"/>
      <c r="BZ37" s="14"/>
      <c r="CA37" s="39"/>
      <c r="CB37" s="32"/>
      <c r="CC37" s="40"/>
      <c r="CD37" s="40"/>
      <c r="CE37" s="79"/>
      <c r="CF37" s="14"/>
      <c r="CG37" s="14"/>
      <c r="CH37" s="39"/>
      <c r="CI37" s="40"/>
      <c r="CJ37" s="40"/>
      <c r="CK37" s="40"/>
      <c r="CL37" s="83"/>
      <c r="CM37" s="14"/>
      <c r="CN37" s="14"/>
      <c r="CO37" s="39"/>
      <c r="CP37" s="108"/>
      <c r="CQ37" s="40"/>
      <c r="CR37" s="40"/>
      <c r="CS37" s="40"/>
      <c r="CT37" s="14"/>
      <c r="CU37" s="14"/>
      <c r="CV37" s="39"/>
      <c r="CW37" s="32"/>
      <c r="CX37" s="40"/>
      <c r="CY37" s="40"/>
      <c r="CZ37" s="40"/>
      <c r="DA37" s="17"/>
      <c r="DB37" s="17"/>
      <c r="DC37" s="18"/>
      <c r="DD37" s="108"/>
      <c r="DE37" s="40"/>
      <c r="DF37" s="40"/>
      <c r="DG37" s="40"/>
      <c r="DH37" s="156"/>
      <c r="DI37" s="156"/>
      <c r="DJ37" s="18"/>
      <c r="DK37" s="108"/>
      <c r="DL37" s="40"/>
      <c r="DM37" s="40"/>
      <c r="DN37" s="40"/>
      <c r="DO37" s="156">
        <f>DK37*3+DM37</f>
        <v>0</v>
      </c>
      <c r="DP37" s="156">
        <f>DL37*3+DN37</f>
        <v>0</v>
      </c>
      <c r="DQ37" s="18">
        <f>DP37+DO37</f>
        <v>0</v>
      </c>
      <c r="DR37" s="108">
        <v>1</v>
      </c>
      <c r="DS37" s="40"/>
      <c r="DT37" s="40">
        <v>1</v>
      </c>
      <c r="DU37" s="40">
        <v>1</v>
      </c>
      <c r="DV37" s="156">
        <f>DR37*3+DT37</f>
        <v>4</v>
      </c>
      <c r="DW37" s="156">
        <f>DS37*3+DU37</f>
        <v>1</v>
      </c>
      <c r="DX37" s="18">
        <f>DW37+DV37</f>
        <v>5</v>
      </c>
      <c r="DY37" s="108"/>
      <c r="DZ37" s="40"/>
      <c r="EA37" s="40"/>
      <c r="EB37" s="40"/>
      <c r="EC37" s="156">
        <f>DY37*3+EA37</f>
        <v>0</v>
      </c>
      <c r="ED37" s="156">
        <f>DZ37*3+EB37</f>
        <v>0</v>
      </c>
      <c r="EE37" s="18">
        <f>ED37+EC37</f>
        <v>0</v>
      </c>
      <c r="EF37" s="108">
        <v>1</v>
      </c>
      <c r="EG37" s="40"/>
      <c r="EH37" s="40"/>
      <c r="EI37" s="40"/>
      <c r="EJ37" s="156">
        <f>EF37*3+EH37</f>
        <v>3</v>
      </c>
      <c r="EK37" s="156">
        <f>EG37*3+EI37</f>
        <v>0</v>
      </c>
      <c r="EL37" s="18">
        <f>EK37+EJ37</f>
        <v>3</v>
      </c>
      <c r="EM37" s="74">
        <f>SUM(AP37,AI37,AB37,U37,N37,AW37,BD37,BK37,BR37,BY37,CF37,CM37,CT37,DA37,DH37,DO37,DV37,EC37,EJ37)</f>
        <v>7</v>
      </c>
      <c r="EN37" s="75">
        <f ca="1">EM37/(10+TODAY()-G37)</f>
        <v>0.1111111111111111</v>
      </c>
      <c r="EO37" s="76">
        <f>SUM(AQ37,AJ37,AC37,V37,O37,AX37,BE37,BL37,BS37,BZ37,CG37,CN37,CU37,DB37,DI37,DP37,DW37,ED37,EK37)</f>
        <v>1</v>
      </c>
      <c r="EP37" s="75">
        <f ca="1">EO37/(10+TODAY()-G37)</f>
        <v>1.5873015873015872E-2</v>
      </c>
      <c r="EQ37" s="76">
        <f>EM37+EO37</f>
        <v>8</v>
      </c>
      <c r="ER37" s="75">
        <f ca="1">EP37+EN37</f>
        <v>0.12698412698412698</v>
      </c>
      <c r="ES37" s="76">
        <f>SUM(AS37,AL37,AE37,X37,Q37,Q37,J37,AZ37,BG37,BN37,BU37,CB37,CI37,CP37,CW37,DD37,DK37,DR37,DY37,EF37)</f>
        <v>2</v>
      </c>
      <c r="ET37" s="76">
        <f>SUM(AT37,AM37,AF37,Y37,R37,R37,K37,BA37,BH37,BO37,BV37,CC37,CJ37,CQ37,CX37,DE37,DL37,DS37,DZ37,EG37)</f>
        <v>0</v>
      </c>
      <c r="EU37" s="76">
        <f>ET37+ES37</f>
        <v>2</v>
      </c>
    </row>
    <row r="38" spans="1:151" ht="15.75" thickBot="1" x14ac:dyDescent="0.3">
      <c r="A38" s="32" t="s">
        <v>63</v>
      </c>
      <c r="B38" s="24" t="s">
        <v>284</v>
      </c>
      <c r="C38" s="26" t="str">
        <f>B38&amp;" "&amp;A38</f>
        <v>נעה אחודה</v>
      </c>
      <c r="D38" s="12" t="s">
        <v>6</v>
      </c>
      <c r="E38" s="23" t="s">
        <v>7</v>
      </c>
      <c r="F38" s="31" t="s">
        <v>147</v>
      </c>
      <c r="G38" s="30">
        <v>43101</v>
      </c>
      <c r="H38" s="31"/>
      <c r="I38" s="13"/>
      <c r="J38" s="48"/>
      <c r="K38" s="49"/>
      <c r="L38" s="49"/>
      <c r="M38" s="49"/>
      <c r="N38" s="50">
        <f>J38*3+L38</f>
        <v>0</v>
      </c>
      <c r="O38" s="50">
        <f>K38*3+M38</f>
        <v>0</v>
      </c>
      <c r="P38" s="15">
        <f>O38+N38</f>
        <v>0</v>
      </c>
      <c r="Q38" s="10"/>
      <c r="R38" s="12"/>
      <c r="S38" s="12"/>
      <c r="T38" s="12"/>
      <c r="U38" s="14">
        <f>Q38*3+S38</f>
        <v>0</v>
      </c>
      <c r="V38" s="14">
        <f>R38*3+T38</f>
        <v>0</v>
      </c>
      <c r="W38" s="16">
        <f>V38+U38</f>
        <v>0</v>
      </c>
      <c r="X38" s="10"/>
      <c r="Y38" s="12"/>
      <c r="Z38" s="12"/>
      <c r="AA38" s="12"/>
      <c r="AB38" s="17">
        <f>X38*3+Z38</f>
        <v>0</v>
      </c>
      <c r="AC38" s="17">
        <f>Y38*3+AA38</f>
        <v>0</v>
      </c>
      <c r="AD38" s="18">
        <f>AC38+AB38</f>
        <v>0</v>
      </c>
      <c r="AE38" s="10"/>
      <c r="AF38" s="12"/>
      <c r="AG38" s="12"/>
      <c r="AH38" s="12"/>
      <c r="AI38" s="14">
        <f>AE38*3+AG38</f>
        <v>0</v>
      </c>
      <c r="AJ38" s="14">
        <f>AF38*3+AH38</f>
        <v>0</v>
      </c>
      <c r="AK38" s="16">
        <f>AJ38+AI38</f>
        <v>0</v>
      </c>
      <c r="AL38" s="10"/>
      <c r="AM38" s="12"/>
      <c r="AN38" s="12"/>
      <c r="AO38" s="12"/>
      <c r="AP38" s="14">
        <f>AL38*3+AN38</f>
        <v>0</v>
      </c>
      <c r="AQ38" s="14">
        <f>AM38*3+AO38</f>
        <v>0</v>
      </c>
      <c r="AR38" s="16">
        <f>AQ38+AP38</f>
        <v>0</v>
      </c>
      <c r="AS38" s="10"/>
      <c r="AT38" s="12"/>
      <c r="AU38" s="12"/>
      <c r="AV38" s="12"/>
      <c r="AW38" s="14">
        <f>AS38*3+AU38</f>
        <v>0</v>
      </c>
      <c r="AX38" s="14">
        <f>AT38*3+AV38</f>
        <v>0</v>
      </c>
      <c r="AY38" s="16">
        <f>AX38+AW38</f>
        <v>0</v>
      </c>
      <c r="AZ38" s="10"/>
      <c r="BA38" s="12"/>
      <c r="BB38" s="12"/>
      <c r="BC38" s="12"/>
      <c r="BD38" s="14">
        <f>AZ38*3+BB38</f>
        <v>0</v>
      </c>
      <c r="BE38" s="14">
        <f>BA38*3+BC38</f>
        <v>0</v>
      </c>
      <c r="BF38" s="16">
        <f>BE38+BD38</f>
        <v>0</v>
      </c>
      <c r="BG38" s="32">
        <v>1</v>
      </c>
      <c r="BH38" s="40"/>
      <c r="BI38" s="12"/>
      <c r="BJ38" s="12"/>
      <c r="BK38" s="14">
        <f>BG38*3+BI38</f>
        <v>3</v>
      </c>
      <c r="BL38" s="14">
        <f>BH38*3+BJ38</f>
        <v>0</v>
      </c>
      <c r="BM38" s="39">
        <f>BL38+BK38</f>
        <v>3</v>
      </c>
      <c r="BN38" s="32">
        <v>1</v>
      </c>
      <c r="BO38" s="40"/>
      <c r="BP38" s="40">
        <v>1</v>
      </c>
      <c r="BQ38" s="40"/>
      <c r="BR38" s="14">
        <f>BN38*3+BP38</f>
        <v>4</v>
      </c>
      <c r="BS38" s="14">
        <f>BO38*3+BQ38</f>
        <v>0</v>
      </c>
      <c r="BT38" s="39">
        <f>BS38+BR38</f>
        <v>4</v>
      </c>
      <c r="BU38" s="32"/>
      <c r="BV38" s="40"/>
      <c r="BW38" s="40">
        <v>4</v>
      </c>
      <c r="BX38" s="40"/>
      <c r="BY38" s="14">
        <f>BU38*3+BW38</f>
        <v>4</v>
      </c>
      <c r="BZ38" s="14">
        <f>BV38*3+BX38</f>
        <v>0</v>
      </c>
      <c r="CA38" s="39">
        <f>BZ38+BY38</f>
        <v>4</v>
      </c>
      <c r="CB38" s="32"/>
      <c r="CC38" s="40">
        <v>1</v>
      </c>
      <c r="CD38" s="40">
        <v>1</v>
      </c>
      <c r="CE38" s="79"/>
      <c r="CF38" s="14">
        <f>CB38*3+CD38</f>
        <v>1</v>
      </c>
      <c r="CG38" s="14">
        <f>CC38*3+CE38</f>
        <v>3</v>
      </c>
      <c r="CH38" s="39">
        <f>CG38+CF38</f>
        <v>4</v>
      </c>
      <c r="CI38" s="40"/>
      <c r="CJ38" s="40"/>
      <c r="CK38" s="40"/>
      <c r="CL38" s="83">
        <v>1</v>
      </c>
      <c r="CM38" s="14">
        <f>CI38*3+CK38</f>
        <v>0</v>
      </c>
      <c r="CN38" s="14">
        <f>CJ38*3+CL38</f>
        <v>1</v>
      </c>
      <c r="CO38" s="39">
        <f>CN38+CM38</f>
        <v>1</v>
      </c>
      <c r="CP38" s="108">
        <v>1</v>
      </c>
      <c r="CQ38" s="40"/>
      <c r="CR38" s="40">
        <v>1</v>
      </c>
      <c r="CS38" s="40"/>
      <c r="CT38" s="14">
        <f>CP38*3+CR38</f>
        <v>4</v>
      </c>
      <c r="CU38" s="14">
        <f>CQ38*3+CS38</f>
        <v>0</v>
      </c>
      <c r="CV38" s="39">
        <f>CU38+CT38</f>
        <v>4</v>
      </c>
      <c r="CW38" s="32"/>
      <c r="CX38" s="40"/>
      <c r="CY38" s="40">
        <v>3</v>
      </c>
      <c r="CZ38" s="40"/>
      <c r="DA38" s="17">
        <f>CW38*3+CY38</f>
        <v>3</v>
      </c>
      <c r="DB38" s="17">
        <f>CX38*3+CZ38</f>
        <v>0</v>
      </c>
      <c r="DC38" s="18">
        <f>DB38+DA38</f>
        <v>3</v>
      </c>
      <c r="DD38" s="108">
        <v>1</v>
      </c>
      <c r="DE38" s="40"/>
      <c r="DF38" s="40"/>
      <c r="DG38" s="40">
        <v>1</v>
      </c>
      <c r="DH38" s="156">
        <f>DD38*3+DF38</f>
        <v>3</v>
      </c>
      <c r="DI38" s="156">
        <f>DE38*3+DG38</f>
        <v>1</v>
      </c>
      <c r="DJ38" s="18">
        <f>DI38+DH38</f>
        <v>4</v>
      </c>
      <c r="DK38" s="108"/>
      <c r="DL38" s="40"/>
      <c r="DM38" s="40">
        <v>2</v>
      </c>
      <c r="DN38" s="40"/>
      <c r="DO38" s="156">
        <f>DK38*3+DM38</f>
        <v>2</v>
      </c>
      <c r="DP38" s="156">
        <f>DL38*3+DN38</f>
        <v>0</v>
      </c>
      <c r="DQ38" s="18">
        <f>DP38+DO38</f>
        <v>2</v>
      </c>
      <c r="DR38" s="108"/>
      <c r="DS38" s="40">
        <v>1</v>
      </c>
      <c r="DT38" s="40">
        <v>1</v>
      </c>
      <c r="DU38" s="40"/>
      <c r="DV38" s="156">
        <f>DR38*3+DT38</f>
        <v>1</v>
      </c>
      <c r="DW38" s="156">
        <f>DS38*3+DU38</f>
        <v>3</v>
      </c>
      <c r="DX38" s="18">
        <f>DW38+DV38</f>
        <v>4</v>
      </c>
      <c r="DY38" s="108"/>
      <c r="DZ38" s="40"/>
      <c r="EA38" s="40">
        <v>2</v>
      </c>
      <c r="EB38" s="40"/>
      <c r="EC38" s="156">
        <f>DY38*3+EA38</f>
        <v>2</v>
      </c>
      <c r="ED38" s="156">
        <f>DZ38*3+EB38</f>
        <v>0</v>
      </c>
      <c r="EE38" s="18">
        <f>ED38+EC38</f>
        <v>2</v>
      </c>
      <c r="EF38" s="108">
        <v>1</v>
      </c>
      <c r="EG38" s="40"/>
      <c r="EH38" s="40"/>
      <c r="EI38" s="40"/>
      <c r="EJ38" s="156">
        <f>EF38*3+EH38</f>
        <v>3</v>
      </c>
      <c r="EK38" s="156">
        <f>EG38*3+EI38</f>
        <v>0</v>
      </c>
      <c r="EL38" s="18">
        <f>EK38+EJ38</f>
        <v>3</v>
      </c>
      <c r="EM38" s="74">
        <f>SUM(AP38,AI38,AB38,U38,N38,AW38,BD38,BK38,BR38,BY38,CF38,CM38,CT38,DA38,DH38,DO38,DV38,EC38,EJ38)</f>
        <v>30</v>
      </c>
      <c r="EN38" s="75">
        <f ca="1">EM38/(10+TODAY()-G38)</f>
        <v>8.1743869209809264E-2</v>
      </c>
      <c r="EO38" s="76">
        <f>SUM(AQ38,AJ38,AC38,V38,O38,AX38,BE38,BL38,BS38,BZ38,CG38,CN38,CU38,DB38,DI38,DP38,DW38,ED38,EK38)</f>
        <v>8</v>
      </c>
      <c r="EP38" s="75">
        <f ca="1">EO38/(10+TODAY()-G38)</f>
        <v>2.1798365122615803E-2</v>
      </c>
      <c r="EQ38" s="76">
        <f>EM38+EO38</f>
        <v>38</v>
      </c>
      <c r="ER38" s="75">
        <f ca="1">EP38+EN38</f>
        <v>0.10354223433242507</v>
      </c>
      <c r="ES38" s="76">
        <f>SUM(AS38,AL38,AE38,X38,Q38,Q38,J38,AZ38,BG38,BN38,BU38,CB38,CI38,CP38,CW38,DD38,DK38,DR38,DY38,EF38)</f>
        <v>5</v>
      </c>
      <c r="ET38" s="76">
        <f>SUM(AT38,AM38,AF38,Y38,R38,R38,K38,BA38,BH38,BO38,BV38,CC38,CJ38,CQ38,CX38,DE38,DL38,DS38,DZ38,EG38)</f>
        <v>2</v>
      </c>
      <c r="EU38" s="76">
        <f>ET38+ES38</f>
        <v>7</v>
      </c>
    </row>
    <row r="39" spans="1:151" ht="15.75" thickBot="1" x14ac:dyDescent="0.3">
      <c r="A39" s="32">
        <v>9</v>
      </c>
      <c r="B39" s="247" t="s">
        <v>303</v>
      </c>
      <c r="C39" s="85" t="str">
        <f>B39&amp;" "&amp;A39</f>
        <v>עדי 9</v>
      </c>
      <c r="D39" s="23" t="s">
        <v>6</v>
      </c>
      <c r="E39" s="23" t="s">
        <v>6</v>
      </c>
      <c r="F39" s="31" t="s">
        <v>302</v>
      </c>
      <c r="G39" s="30">
        <v>43414</v>
      </c>
      <c r="H39" s="31"/>
      <c r="I39" s="35" t="s">
        <v>190</v>
      </c>
      <c r="J39" s="48"/>
      <c r="K39" s="49"/>
      <c r="L39" s="49"/>
      <c r="M39" s="49"/>
      <c r="N39" s="50"/>
      <c r="O39" s="50"/>
      <c r="P39" s="15"/>
      <c r="Q39" s="10"/>
      <c r="R39" s="12"/>
      <c r="S39" s="12"/>
      <c r="T39" s="12"/>
      <c r="U39" s="14"/>
      <c r="V39" s="14"/>
      <c r="W39" s="16"/>
      <c r="X39" s="10"/>
      <c r="Y39" s="12"/>
      <c r="Z39" s="12"/>
      <c r="AA39" s="12"/>
      <c r="AB39" s="17"/>
      <c r="AC39" s="17"/>
      <c r="AD39" s="18"/>
      <c r="AE39" s="10"/>
      <c r="AF39" s="12"/>
      <c r="AG39" s="12"/>
      <c r="AH39" s="12"/>
      <c r="AI39" s="14"/>
      <c r="AJ39" s="14"/>
      <c r="AK39" s="16"/>
      <c r="AL39" s="10"/>
      <c r="AM39" s="12"/>
      <c r="AN39" s="12"/>
      <c r="AO39" s="12"/>
      <c r="AP39" s="14"/>
      <c r="AQ39" s="14"/>
      <c r="AR39" s="16"/>
      <c r="AS39" s="10"/>
      <c r="AT39" s="12"/>
      <c r="AU39" s="12"/>
      <c r="AV39" s="12"/>
      <c r="AW39" s="14"/>
      <c r="AX39" s="14"/>
      <c r="AY39" s="16"/>
      <c r="AZ39" s="10"/>
      <c r="BA39" s="12"/>
      <c r="BB39" s="12"/>
      <c r="BC39" s="12"/>
      <c r="BD39" s="14"/>
      <c r="BE39" s="14"/>
      <c r="BF39" s="16"/>
      <c r="BG39" s="32"/>
      <c r="BH39" s="40"/>
      <c r="BI39" s="40"/>
      <c r="BJ39" s="12"/>
      <c r="BK39" s="14"/>
      <c r="BL39" s="14"/>
      <c r="BM39" s="39"/>
      <c r="BN39" s="32"/>
      <c r="BO39" s="40"/>
      <c r="BP39" s="40"/>
      <c r="BQ39" s="40"/>
      <c r="BR39" s="14"/>
      <c r="BS39" s="14"/>
      <c r="BT39" s="39"/>
      <c r="BU39" s="32"/>
      <c r="BV39" s="40"/>
      <c r="BW39" s="40"/>
      <c r="BX39" s="40"/>
      <c r="BY39" s="14"/>
      <c r="BZ39" s="14"/>
      <c r="CA39" s="39"/>
      <c r="CB39" s="32"/>
      <c r="CC39" s="40"/>
      <c r="CD39" s="40"/>
      <c r="CE39" s="79"/>
      <c r="CF39" s="14"/>
      <c r="CG39" s="14"/>
      <c r="CH39" s="39"/>
      <c r="CI39" s="40"/>
      <c r="CJ39" s="40"/>
      <c r="CK39" s="40"/>
      <c r="CL39" s="83"/>
      <c r="CM39" s="14"/>
      <c r="CN39" s="14"/>
      <c r="CO39" s="39"/>
      <c r="CP39" s="108"/>
      <c r="CQ39" s="40"/>
      <c r="CR39" s="40"/>
      <c r="CS39" s="40"/>
      <c r="CT39" s="14"/>
      <c r="CU39" s="14"/>
      <c r="CV39" s="39"/>
      <c r="CW39" s="32"/>
      <c r="CX39" s="40"/>
      <c r="CY39" s="40"/>
      <c r="CZ39" s="40"/>
      <c r="DA39" s="17"/>
      <c r="DB39" s="17"/>
      <c r="DC39" s="18"/>
      <c r="DD39" s="108"/>
      <c r="DE39" s="40"/>
      <c r="DF39" s="40"/>
      <c r="DG39" s="40"/>
      <c r="DH39" s="156"/>
      <c r="DI39" s="156"/>
      <c r="DJ39" s="18"/>
      <c r="DK39" s="108"/>
      <c r="DL39" s="40"/>
      <c r="DM39" s="40"/>
      <c r="DN39" s="40"/>
      <c r="DO39" s="156">
        <f>DK39*3+DM39</f>
        <v>0</v>
      </c>
      <c r="DP39" s="156">
        <f>DL39*3+DN39</f>
        <v>0</v>
      </c>
      <c r="DQ39" s="18">
        <f>DP39+DO39</f>
        <v>0</v>
      </c>
      <c r="DR39" s="108"/>
      <c r="DS39" s="40"/>
      <c r="DT39" s="40"/>
      <c r="DU39" s="40"/>
      <c r="DV39" s="156">
        <f>DR39*3+DT39</f>
        <v>0</v>
      </c>
      <c r="DW39" s="156">
        <f>DS39*3+DU39</f>
        <v>0</v>
      </c>
      <c r="DX39" s="18">
        <f>DW39+DV39</f>
        <v>0</v>
      </c>
      <c r="DY39" s="108"/>
      <c r="DZ39" s="40"/>
      <c r="EA39" s="40">
        <v>3</v>
      </c>
      <c r="EB39" s="40"/>
      <c r="EC39" s="156">
        <f>DY39*3+EA39</f>
        <v>3</v>
      </c>
      <c r="ED39" s="156">
        <f>DZ39*3+EB39</f>
        <v>0</v>
      </c>
      <c r="EE39" s="18">
        <f>ED39+EC39</f>
        <v>3</v>
      </c>
      <c r="EF39" s="108">
        <v>1</v>
      </c>
      <c r="EG39" s="40"/>
      <c r="EH39" s="40"/>
      <c r="EI39" s="40"/>
      <c r="EJ39" s="156">
        <f>EF39*3+EH39</f>
        <v>3</v>
      </c>
      <c r="EK39" s="156">
        <f>EG39*3+EI39</f>
        <v>0</v>
      </c>
      <c r="EL39" s="18">
        <f>EK39+EJ39</f>
        <v>3</v>
      </c>
      <c r="EM39" s="74">
        <f>SUM(AP39,AI39,AB39,U39,N39,AW39,BD39,BK39,BR39,BY39,CF39,CM39,CT39,DA39,DH39,DO39,DV39,EC39,EJ39)</f>
        <v>6</v>
      </c>
      <c r="EN39" s="75">
        <f ca="1">EM39/(10+TODAY()-G39)</f>
        <v>0.1111111111111111</v>
      </c>
      <c r="EO39" s="76">
        <f>SUM(AQ39,AJ39,AC39,V39,O39,AX39,BE39,BL39,BS39,BZ39,CG39,CN39,CU39,DB39,DI39,DP39,DW39,ED39,EK39)</f>
        <v>0</v>
      </c>
      <c r="EP39" s="75">
        <f ca="1">EO39/(10+TODAY()-G39)</f>
        <v>0</v>
      </c>
      <c r="EQ39" s="76">
        <f>EM39+EO39</f>
        <v>6</v>
      </c>
      <c r="ER39" s="75">
        <f ca="1">EP39+EN39</f>
        <v>0.1111111111111111</v>
      </c>
      <c r="ES39" s="76">
        <f>SUM(AS39,AL39,AE39,X39,Q39,Q39,J39,AZ39,BG39,BN39,BU39,CB39,CI39,CP39,CW39,DD39,DK39,DR39,DY39,EF39)</f>
        <v>1</v>
      </c>
      <c r="ET39" s="76">
        <f>SUM(AT39,AM39,AF39,Y39,R39,R39,K39,BA39,BH39,BO39,BV39,CC39,CJ39,CQ39,CX39,DE39,DL39,DS39,DZ39,EG39)</f>
        <v>0</v>
      </c>
      <c r="EU39" s="76">
        <f>ET39+ES39</f>
        <v>1</v>
      </c>
    </row>
    <row r="40" spans="1:151" ht="15.75" thickBot="1" x14ac:dyDescent="0.3">
      <c r="A40" s="32" t="s">
        <v>63</v>
      </c>
      <c r="B40" s="247" t="s">
        <v>316</v>
      </c>
      <c r="C40" s="26" t="str">
        <f>B40&amp;" "&amp;A40</f>
        <v>קורל אחודה</v>
      </c>
      <c r="D40" s="23" t="s">
        <v>7</v>
      </c>
      <c r="E40" s="23" t="s">
        <v>6</v>
      </c>
      <c r="F40" s="31" t="s">
        <v>314</v>
      </c>
      <c r="G40" s="30">
        <v>43435</v>
      </c>
      <c r="H40" s="31"/>
      <c r="I40" s="13"/>
      <c r="J40" s="48"/>
      <c r="K40" s="49"/>
      <c r="L40" s="49"/>
      <c r="M40" s="49"/>
      <c r="N40" s="50"/>
      <c r="O40" s="50"/>
      <c r="P40" s="15"/>
      <c r="Q40" s="10"/>
      <c r="R40" s="12"/>
      <c r="S40" s="12"/>
      <c r="T40" s="12"/>
      <c r="U40" s="14"/>
      <c r="V40" s="14"/>
      <c r="W40" s="16"/>
      <c r="X40" s="10"/>
      <c r="Y40" s="12"/>
      <c r="Z40" s="12"/>
      <c r="AA40" s="12"/>
      <c r="AB40" s="17"/>
      <c r="AC40" s="17"/>
      <c r="AD40" s="18"/>
      <c r="AE40" s="10"/>
      <c r="AF40" s="12"/>
      <c r="AG40" s="12"/>
      <c r="AH40" s="12"/>
      <c r="AI40" s="14"/>
      <c r="AJ40" s="14"/>
      <c r="AK40" s="16"/>
      <c r="AL40" s="10"/>
      <c r="AM40" s="12"/>
      <c r="AN40" s="12"/>
      <c r="AO40" s="12"/>
      <c r="AP40" s="14"/>
      <c r="AQ40" s="14"/>
      <c r="AR40" s="16"/>
      <c r="AS40" s="10"/>
      <c r="AT40" s="12"/>
      <c r="AU40" s="12"/>
      <c r="AV40" s="12"/>
      <c r="AW40" s="14"/>
      <c r="AX40" s="14"/>
      <c r="AY40" s="16"/>
      <c r="AZ40" s="10"/>
      <c r="BA40" s="12"/>
      <c r="BB40" s="12"/>
      <c r="BC40" s="12"/>
      <c r="BD40" s="14"/>
      <c r="BE40" s="14"/>
      <c r="BF40" s="16"/>
      <c r="BG40" s="32"/>
      <c r="BH40" s="40"/>
      <c r="BI40" s="12"/>
      <c r="BJ40" s="12"/>
      <c r="BK40" s="14"/>
      <c r="BL40" s="14"/>
      <c r="BM40" s="39"/>
      <c r="BN40" s="32"/>
      <c r="BO40" s="40"/>
      <c r="BP40" s="40"/>
      <c r="BQ40" s="40"/>
      <c r="BR40" s="14"/>
      <c r="BS40" s="14"/>
      <c r="BT40" s="39"/>
      <c r="BU40" s="32"/>
      <c r="BV40" s="40"/>
      <c r="BW40" s="40"/>
      <c r="BX40" s="40"/>
      <c r="BY40" s="14"/>
      <c r="BZ40" s="14"/>
      <c r="CA40" s="39"/>
      <c r="CB40" s="32"/>
      <c r="CC40" s="40"/>
      <c r="CD40" s="40"/>
      <c r="CE40" s="79"/>
      <c r="CF40" s="14"/>
      <c r="CG40" s="14"/>
      <c r="CH40" s="39"/>
      <c r="CI40" s="40"/>
      <c r="CJ40" s="40"/>
      <c r="CK40" s="40"/>
      <c r="CL40" s="83"/>
      <c r="CM40" s="14"/>
      <c r="CN40" s="14"/>
      <c r="CO40" s="39"/>
      <c r="CP40" s="108"/>
      <c r="CQ40" s="40"/>
      <c r="CR40" s="40"/>
      <c r="CS40" s="40"/>
      <c r="CT40" s="14"/>
      <c r="CU40" s="14"/>
      <c r="CV40" s="39"/>
      <c r="CW40" s="32"/>
      <c r="CX40" s="40"/>
      <c r="CY40" s="40"/>
      <c r="CZ40" s="40"/>
      <c r="DA40" s="17"/>
      <c r="DB40" s="17"/>
      <c r="DC40" s="18"/>
      <c r="DD40" s="108"/>
      <c r="DE40" s="40"/>
      <c r="DF40" s="40"/>
      <c r="DG40" s="40"/>
      <c r="DH40" s="156"/>
      <c r="DI40" s="156"/>
      <c r="DJ40" s="18"/>
      <c r="DK40" s="108"/>
      <c r="DL40" s="40"/>
      <c r="DM40" s="40"/>
      <c r="DN40" s="40"/>
      <c r="DO40" s="156"/>
      <c r="DP40" s="156"/>
      <c r="DQ40" s="18"/>
      <c r="DR40" s="108"/>
      <c r="DS40" s="40"/>
      <c r="DT40" s="40"/>
      <c r="DU40" s="40"/>
      <c r="DV40" s="156">
        <f>DR40*3+DT40</f>
        <v>0</v>
      </c>
      <c r="DW40" s="156">
        <f>DS40*3+DU40</f>
        <v>0</v>
      </c>
      <c r="DX40" s="18">
        <f>DW40+DV40</f>
        <v>0</v>
      </c>
      <c r="DY40" s="108"/>
      <c r="DZ40" s="40"/>
      <c r="EA40" s="40"/>
      <c r="EB40" s="40"/>
      <c r="EC40" s="156">
        <f>DY40*3+EA40</f>
        <v>0</v>
      </c>
      <c r="ED40" s="156">
        <f>DZ40*3+EB40</f>
        <v>0</v>
      </c>
      <c r="EE40" s="18">
        <f>ED40+EC40</f>
        <v>0</v>
      </c>
      <c r="EF40" s="108"/>
      <c r="EG40" s="40"/>
      <c r="EH40" s="40"/>
      <c r="EI40" s="40">
        <v>3</v>
      </c>
      <c r="EJ40" s="156">
        <f>EF40*3+EH40</f>
        <v>0</v>
      </c>
      <c r="EK40" s="156">
        <f>EG40*3+EI40</f>
        <v>3</v>
      </c>
      <c r="EL40" s="18">
        <f>EK40+EJ40</f>
        <v>3</v>
      </c>
      <c r="EM40" s="74">
        <f>SUM(AP40,AI40,AB40,U40,N40,AW40,BD40,BK40,BR40,BY40,CF40,CM40,CT40,DA40,DH40,DO40,DV40,EC40,EJ40)</f>
        <v>0</v>
      </c>
      <c r="EN40" s="75">
        <f ca="1">EM40/(10+TODAY()-G40)</f>
        <v>0</v>
      </c>
      <c r="EO40" s="76">
        <f>SUM(AQ40,AJ40,AC40,V40,O40,AX40,BE40,BL40,BS40,BZ40,CG40,CN40,CU40,DB40,DI40,DP40,DW40,ED40,EK40)</f>
        <v>3</v>
      </c>
      <c r="EP40" s="75">
        <f ca="1">EO40/(10+TODAY()-G40)</f>
        <v>9.0909090909090912E-2</v>
      </c>
      <c r="EQ40" s="76">
        <f>EM40+EO40</f>
        <v>3</v>
      </c>
      <c r="ER40" s="75">
        <f ca="1">EP40+EN40</f>
        <v>9.0909090909090912E-2</v>
      </c>
      <c r="ES40" s="76">
        <f>SUM(AS40,AL40,AE40,X40,Q40,Q40,J40,AZ40,BG40,BN40,BU40,CB40,CI40,CP40,CW40,DD40,DK40,DR40,DY40,EF40)</f>
        <v>0</v>
      </c>
      <c r="ET40" s="76">
        <f>SUM(AT40,AM40,AF40,Y40,R40,R40,K40,BA40,BH40,BO40,BV40,CC40,CJ40,CQ40,CX40,DE40,DL40,DS40,DZ40,EG40)</f>
        <v>0</v>
      </c>
      <c r="EU40" s="76">
        <f>ET40+ES40</f>
        <v>0</v>
      </c>
    </row>
    <row r="41" spans="1:151" ht="15.75" thickBot="1" x14ac:dyDescent="0.3">
      <c r="A41" s="217" t="s">
        <v>12</v>
      </c>
      <c r="B41" s="45" t="s">
        <v>98</v>
      </c>
      <c r="C41" s="26" t="str">
        <f>B41&amp;" "&amp;A41</f>
        <v>רבקה מפאוג</v>
      </c>
      <c r="D41" s="36" t="s">
        <v>6</v>
      </c>
      <c r="E41" s="36" t="s">
        <v>7</v>
      </c>
      <c r="F41" s="31" t="s">
        <v>146</v>
      </c>
      <c r="G41" s="30">
        <v>43040</v>
      </c>
      <c r="H41" s="31"/>
      <c r="I41" s="73"/>
      <c r="J41" s="51"/>
      <c r="K41" s="52"/>
      <c r="L41" s="52"/>
      <c r="M41" s="52"/>
      <c r="N41" s="50">
        <f>J41*3+L41</f>
        <v>0</v>
      </c>
      <c r="O41" s="50">
        <f>K41*3+M41</f>
        <v>0</v>
      </c>
      <c r="P41" s="15">
        <f>O41+N41</f>
        <v>0</v>
      </c>
      <c r="Q41" s="25"/>
      <c r="R41" s="27"/>
      <c r="S41" s="27"/>
      <c r="T41" s="27"/>
      <c r="U41" s="14">
        <f>Q41*3+S41</f>
        <v>0</v>
      </c>
      <c r="V41" s="14">
        <f>R41*3+T41</f>
        <v>0</v>
      </c>
      <c r="W41" s="16">
        <f>V41+U41</f>
        <v>0</v>
      </c>
      <c r="X41" s="10"/>
      <c r="Y41" s="12"/>
      <c r="Z41" s="12"/>
      <c r="AA41" s="12"/>
      <c r="AB41" s="17">
        <f>X41*3+Z41</f>
        <v>0</v>
      </c>
      <c r="AC41" s="17">
        <f>Y41*3+AA41</f>
        <v>0</v>
      </c>
      <c r="AD41" s="18">
        <f>AC41+AB41</f>
        <v>0</v>
      </c>
      <c r="AE41" s="25"/>
      <c r="AF41" s="27"/>
      <c r="AG41" s="27"/>
      <c r="AH41" s="27"/>
      <c r="AI41" s="14">
        <f>AE41*3+AG41</f>
        <v>0</v>
      </c>
      <c r="AJ41" s="14">
        <f>AF41*3+AH41</f>
        <v>0</v>
      </c>
      <c r="AK41" s="16">
        <f>AJ41+AI41</f>
        <v>0</v>
      </c>
      <c r="AL41" s="25"/>
      <c r="AM41" s="27"/>
      <c r="AN41" s="27"/>
      <c r="AO41" s="27"/>
      <c r="AP41" s="14">
        <f>AL41*3+AN41</f>
        <v>0</v>
      </c>
      <c r="AQ41" s="14">
        <f>AM41*3+AO41</f>
        <v>0</v>
      </c>
      <c r="AR41" s="16">
        <f>AQ41+AP41</f>
        <v>0</v>
      </c>
      <c r="AS41" s="25"/>
      <c r="AT41" s="27"/>
      <c r="AU41" s="27">
        <v>1</v>
      </c>
      <c r="AV41" s="27"/>
      <c r="AW41" s="14">
        <f>AS41*3+AU41</f>
        <v>1</v>
      </c>
      <c r="AX41" s="14">
        <f>AT41*3+AV41</f>
        <v>0</v>
      </c>
      <c r="AY41" s="16">
        <f>AX41+AW41</f>
        <v>1</v>
      </c>
      <c r="AZ41" s="25">
        <v>1</v>
      </c>
      <c r="BA41" s="27"/>
      <c r="BB41" s="27">
        <v>2</v>
      </c>
      <c r="BC41" s="27"/>
      <c r="BD41" s="14">
        <f>AZ41*3+BB41</f>
        <v>5</v>
      </c>
      <c r="BE41" s="14">
        <f>BA41*3+BC41</f>
        <v>0</v>
      </c>
      <c r="BF41" s="16">
        <f>BE41+BD41</f>
        <v>5</v>
      </c>
      <c r="BG41" s="47"/>
      <c r="BH41" s="53"/>
      <c r="BI41" s="27">
        <v>3</v>
      </c>
      <c r="BJ41" s="27"/>
      <c r="BK41" s="14">
        <f>BG41*3+BI41</f>
        <v>3</v>
      </c>
      <c r="BL41" s="14">
        <f>BH41*3+BJ41</f>
        <v>0</v>
      </c>
      <c r="BM41" s="39">
        <f>BL41+BK41</f>
        <v>3</v>
      </c>
      <c r="BN41" s="32"/>
      <c r="BO41" s="40"/>
      <c r="BP41" s="40">
        <v>4</v>
      </c>
      <c r="BQ41" s="40"/>
      <c r="BR41" s="14">
        <f>BN41*3+BP41</f>
        <v>4</v>
      </c>
      <c r="BS41" s="14">
        <f>BO41*3+BQ41</f>
        <v>0</v>
      </c>
      <c r="BT41" s="39">
        <f>BS41+BR41</f>
        <v>4</v>
      </c>
      <c r="BU41" s="32">
        <v>1</v>
      </c>
      <c r="BV41" s="40"/>
      <c r="BW41" s="40">
        <v>1</v>
      </c>
      <c r="BX41" s="40">
        <v>1</v>
      </c>
      <c r="BY41" s="14">
        <f>BU41*3+BW41</f>
        <v>4</v>
      </c>
      <c r="BZ41" s="14">
        <f>BV41*3+BX41</f>
        <v>1</v>
      </c>
      <c r="CA41" s="39">
        <f>BZ41+BY41</f>
        <v>5</v>
      </c>
      <c r="CB41" s="32">
        <v>1</v>
      </c>
      <c r="CC41" s="40"/>
      <c r="CD41" s="40"/>
      <c r="CE41" s="79"/>
      <c r="CF41" s="14">
        <f>CB41*3+CD41</f>
        <v>3</v>
      </c>
      <c r="CG41" s="14">
        <f>CC41*3+CE41</f>
        <v>0</v>
      </c>
      <c r="CH41" s="39">
        <f>CG41+CF41</f>
        <v>3</v>
      </c>
      <c r="CI41" s="40"/>
      <c r="CJ41" s="40"/>
      <c r="CK41" s="40"/>
      <c r="CL41" s="83"/>
      <c r="CM41" s="14">
        <f>CI41*3+CK41</f>
        <v>0</v>
      </c>
      <c r="CN41" s="14">
        <f>CJ41*3+CL41</f>
        <v>0</v>
      </c>
      <c r="CO41" s="39">
        <f>CN41+CM41</f>
        <v>0</v>
      </c>
      <c r="CP41" s="108"/>
      <c r="CQ41" s="40"/>
      <c r="CR41" s="40">
        <v>2</v>
      </c>
      <c r="CS41" s="40">
        <v>1</v>
      </c>
      <c r="CT41" s="14">
        <f>CP41*3+CR41</f>
        <v>2</v>
      </c>
      <c r="CU41" s="14">
        <f>CQ41*3+CS41</f>
        <v>1</v>
      </c>
      <c r="CV41" s="39">
        <f>CU41+CT41</f>
        <v>3</v>
      </c>
      <c r="CW41" s="32">
        <v>1</v>
      </c>
      <c r="CX41" s="40"/>
      <c r="CY41" s="40">
        <v>1</v>
      </c>
      <c r="CZ41" s="40"/>
      <c r="DA41" s="17">
        <f>CW41*3+CY41</f>
        <v>4</v>
      </c>
      <c r="DB41" s="17">
        <f>CX41*3+CZ41</f>
        <v>0</v>
      </c>
      <c r="DC41" s="18">
        <f>DB41+DA41</f>
        <v>4</v>
      </c>
      <c r="DD41" s="108"/>
      <c r="DE41" s="40">
        <v>1</v>
      </c>
      <c r="DF41" s="40">
        <v>1</v>
      </c>
      <c r="DG41" s="40"/>
      <c r="DH41" s="156">
        <f>DD41*3+DF41</f>
        <v>1</v>
      </c>
      <c r="DI41" s="156">
        <f>DE41*3+DG41</f>
        <v>3</v>
      </c>
      <c r="DJ41" s="18">
        <f>DI41+DH41</f>
        <v>4</v>
      </c>
      <c r="DK41" s="108">
        <v>1</v>
      </c>
      <c r="DL41" s="40"/>
      <c r="DM41" s="40"/>
      <c r="DN41" s="40"/>
      <c r="DO41" s="156">
        <f>DK41*3+DM41</f>
        <v>3</v>
      </c>
      <c r="DP41" s="156">
        <f>DL41*3+DN41</f>
        <v>0</v>
      </c>
      <c r="DQ41" s="18">
        <f>DP41+DO41</f>
        <v>3</v>
      </c>
      <c r="DR41" s="108"/>
      <c r="DS41" s="40"/>
      <c r="DT41" s="40">
        <v>2</v>
      </c>
      <c r="DU41" s="40"/>
      <c r="DV41" s="156">
        <f>DR41*3+DT41</f>
        <v>2</v>
      </c>
      <c r="DW41" s="156">
        <f>DS41*3+DU41</f>
        <v>0</v>
      </c>
      <c r="DX41" s="18">
        <f>DW41+DV41</f>
        <v>2</v>
      </c>
      <c r="DY41" s="108"/>
      <c r="DZ41" s="40"/>
      <c r="EA41" s="40">
        <v>4</v>
      </c>
      <c r="EB41" s="40">
        <v>1</v>
      </c>
      <c r="EC41" s="156">
        <f>DY41*3+EA41</f>
        <v>4</v>
      </c>
      <c r="ED41" s="156">
        <f>DZ41*3+EB41</f>
        <v>1</v>
      </c>
      <c r="EE41" s="18">
        <f>ED41+EC41</f>
        <v>5</v>
      </c>
      <c r="EF41" s="108">
        <v>1</v>
      </c>
      <c r="EG41" s="40"/>
      <c r="EH41" s="40"/>
      <c r="EI41" s="40"/>
      <c r="EJ41" s="156">
        <f>EF41*3+EH41</f>
        <v>3</v>
      </c>
      <c r="EK41" s="156">
        <f>EG41*3+EI41</f>
        <v>0</v>
      </c>
      <c r="EL41" s="18">
        <f>EK41+EJ41</f>
        <v>3</v>
      </c>
      <c r="EM41" s="74">
        <f>SUM(AP41,AI41,AB41,U41,N41,AW41,BD41,BK41,BR41,BY41,CF41,CM41,CT41,DA41,DH41,DO41,DV41,EC41,EJ41)</f>
        <v>39</v>
      </c>
      <c r="EN41" s="75">
        <f ca="1">EM41/(10+TODAY()-G41)</f>
        <v>9.11214953271028E-2</v>
      </c>
      <c r="EO41" s="76">
        <f>SUM(AQ41,AJ41,AC41,V41,O41,AX41,BE41,BL41,BS41,BZ41,CG41,CN41,CU41,DB41,DI41,DP41,DW41,ED41,EK41)</f>
        <v>6</v>
      </c>
      <c r="EP41" s="75">
        <f ca="1">EO41/(10+TODAY()-G41)</f>
        <v>1.4018691588785047E-2</v>
      </c>
      <c r="EQ41" s="76">
        <f>EM41+EO41</f>
        <v>45</v>
      </c>
      <c r="ER41" s="75">
        <f ca="1">EP41+EN41</f>
        <v>0.10514018691588785</v>
      </c>
      <c r="ES41" s="76">
        <f>SUM(AS41,AL41,AE41,X41,Q41,Q41,J41,AZ41,BG41,BN41,BU41,CB41,CI41,CP41,CW41,DD41,DK41,DR41,DY41,EF41)</f>
        <v>6</v>
      </c>
      <c r="ET41" s="76">
        <f>SUM(AT41,AM41,AF41,Y41,R41,R41,K41,BA41,BH41,BO41,BV41,CC41,CJ41,CQ41,CX41,DE41,DL41,DS41,DZ41,EG41)</f>
        <v>1</v>
      </c>
      <c r="EU41" s="76">
        <f>ET41+ES41</f>
        <v>7</v>
      </c>
    </row>
    <row r="42" spans="1:151" ht="15.75" thickBot="1" x14ac:dyDescent="0.3">
      <c r="A42" s="47">
        <v>679</v>
      </c>
      <c r="B42" s="85" t="s">
        <v>11</v>
      </c>
      <c r="C42" s="85" t="str">
        <f>B42&amp;" "&amp;A42</f>
        <v>שיר 679</v>
      </c>
      <c r="D42" s="36" t="s">
        <v>6</v>
      </c>
      <c r="E42" s="12" t="s">
        <v>7</v>
      </c>
      <c r="F42" s="31" t="s">
        <v>143</v>
      </c>
      <c r="G42" s="30">
        <v>42917</v>
      </c>
      <c r="H42" s="19">
        <v>43558</v>
      </c>
      <c r="I42" s="73"/>
      <c r="J42" s="51"/>
      <c r="K42" s="52"/>
      <c r="L42" s="52"/>
      <c r="M42" s="52"/>
      <c r="N42" s="50">
        <f>J42*3+L42</f>
        <v>0</v>
      </c>
      <c r="O42" s="50">
        <f>K42*3+M42</f>
        <v>0</v>
      </c>
      <c r="P42" s="15">
        <f>O42+N42</f>
        <v>0</v>
      </c>
      <c r="Q42" s="25">
        <v>1</v>
      </c>
      <c r="R42" s="27"/>
      <c r="S42" s="27"/>
      <c r="T42" s="27"/>
      <c r="U42" s="14">
        <f>Q42*3+S42</f>
        <v>3</v>
      </c>
      <c r="V42" s="14">
        <f>R42*3+T42</f>
        <v>0</v>
      </c>
      <c r="W42" s="16">
        <f>V42+U42</f>
        <v>3</v>
      </c>
      <c r="X42" s="10">
        <v>1</v>
      </c>
      <c r="Y42" s="12"/>
      <c r="Z42" s="12">
        <v>1</v>
      </c>
      <c r="AA42" s="12"/>
      <c r="AB42" s="17">
        <f>X42*3+Z42</f>
        <v>4</v>
      </c>
      <c r="AC42" s="17">
        <f>Y42*3+AA42</f>
        <v>0</v>
      </c>
      <c r="AD42" s="18">
        <f>AC42+AB42</f>
        <v>4</v>
      </c>
      <c r="AE42" s="25"/>
      <c r="AF42" s="27"/>
      <c r="AG42" s="27">
        <v>1</v>
      </c>
      <c r="AH42" s="27">
        <v>2</v>
      </c>
      <c r="AI42" s="14">
        <f>AE42*3+AG42</f>
        <v>1</v>
      </c>
      <c r="AJ42" s="14">
        <f>AF42*3+AH42</f>
        <v>2</v>
      </c>
      <c r="AK42" s="16">
        <f>AJ42+AI42</f>
        <v>3</v>
      </c>
      <c r="AL42" s="25"/>
      <c r="AM42" s="27"/>
      <c r="AN42" s="27">
        <v>2</v>
      </c>
      <c r="AO42" s="27"/>
      <c r="AP42" s="14">
        <f>AL42*3+AN42</f>
        <v>2</v>
      </c>
      <c r="AQ42" s="14">
        <f>AM42*3+AO42</f>
        <v>0</v>
      </c>
      <c r="AR42" s="16">
        <f>AQ42+AP42</f>
        <v>2</v>
      </c>
      <c r="AS42" s="25"/>
      <c r="AT42" s="27"/>
      <c r="AU42" s="27">
        <v>3</v>
      </c>
      <c r="AV42" s="27"/>
      <c r="AW42" s="14">
        <f>AS42*3+AU42</f>
        <v>3</v>
      </c>
      <c r="AX42" s="14">
        <f>AT42*3+AV42</f>
        <v>0</v>
      </c>
      <c r="AY42" s="16">
        <f>AX42+AW42</f>
        <v>3</v>
      </c>
      <c r="AZ42" s="25">
        <v>1</v>
      </c>
      <c r="BA42" s="27"/>
      <c r="BB42" s="27">
        <v>1</v>
      </c>
      <c r="BC42" s="27">
        <v>1</v>
      </c>
      <c r="BD42" s="14">
        <f>AZ42*3+BB42</f>
        <v>4</v>
      </c>
      <c r="BE42" s="14">
        <f>BA42*3+BC42</f>
        <v>1</v>
      </c>
      <c r="BF42" s="16">
        <f>BE42+BD42</f>
        <v>5</v>
      </c>
      <c r="BG42" s="47">
        <v>1</v>
      </c>
      <c r="BH42" s="53"/>
      <c r="BI42" s="53">
        <v>1</v>
      </c>
      <c r="BJ42" s="27">
        <v>1</v>
      </c>
      <c r="BK42" s="14">
        <f>BG42*3+BI42</f>
        <v>4</v>
      </c>
      <c r="BL42" s="14">
        <f>BH42*3+BJ42</f>
        <v>1</v>
      </c>
      <c r="BM42" s="39">
        <f>BL42+BK42</f>
        <v>5</v>
      </c>
      <c r="BN42" s="32"/>
      <c r="BO42" s="40"/>
      <c r="BP42" s="40"/>
      <c r="BQ42" s="40">
        <v>2</v>
      </c>
      <c r="BR42" s="14">
        <f>BN42*3+BP42</f>
        <v>0</v>
      </c>
      <c r="BS42" s="14">
        <f>BO42*3+BQ42</f>
        <v>2</v>
      </c>
      <c r="BT42" s="39">
        <f>BS42+BR42</f>
        <v>2</v>
      </c>
      <c r="BU42" s="32"/>
      <c r="BV42" s="40">
        <v>1</v>
      </c>
      <c r="BW42" s="40"/>
      <c r="BX42" s="40">
        <v>2</v>
      </c>
      <c r="BY42" s="14">
        <f>BU42*3+BW42</f>
        <v>0</v>
      </c>
      <c r="BZ42" s="14">
        <f>BV42*3+BX42</f>
        <v>5</v>
      </c>
      <c r="CA42" s="39">
        <f>BZ42+BY42</f>
        <v>5</v>
      </c>
      <c r="CB42" s="32"/>
      <c r="CC42" s="40">
        <v>1</v>
      </c>
      <c r="CD42" s="40"/>
      <c r="CE42" s="79"/>
      <c r="CF42" s="14">
        <f>CB42*3+CD42</f>
        <v>0</v>
      </c>
      <c r="CG42" s="14">
        <f>CC42*3+CE42</f>
        <v>3</v>
      </c>
      <c r="CH42" s="39">
        <f>CG42+CF42</f>
        <v>3</v>
      </c>
      <c r="CI42" s="40"/>
      <c r="CJ42" s="40"/>
      <c r="CK42" s="40">
        <v>1</v>
      </c>
      <c r="CL42" s="83"/>
      <c r="CM42" s="14">
        <f>CI42*3+CK42</f>
        <v>1</v>
      </c>
      <c r="CN42" s="14">
        <f>CJ42*3+CL42</f>
        <v>0</v>
      </c>
      <c r="CO42" s="39">
        <f>CN42+CM42</f>
        <v>1</v>
      </c>
      <c r="CP42" s="108"/>
      <c r="CQ42" s="40">
        <v>1</v>
      </c>
      <c r="CR42" s="40"/>
      <c r="CS42" s="40">
        <v>1</v>
      </c>
      <c r="CT42" s="14">
        <f>CP42*3+CR42</f>
        <v>0</v>
      </c>
      <c r="CU42" s="14">
        <f>CQ42*3+CS42</f>
        <v>4</v>
      </c>
      <c r="CV42" s="39">
        <f>CU42+CT42</f>
        <v>4</v>
      </c>
      <c r="CW42" s="32"/>
      <c r="CX42" s="40"/>
      <c r="CY42" s="40"/>
      <c r="CZ42" s="40">
        <v>1</v>
      </c>
      <c r="DA42" s="17">
        <f>CW42*3+CY42</f>
        <v>0</v>
      </c>
      <c r="DB42" s="17">
        <f>CX42*3+CZ42</f>
        <v>1</v>
      </c>
      <c r="DC42" s="18">
        <f>DB42+DA42</f>
        <v>1</v>
      </c>
      <c r="DD42" s="108"/>
      <c r="DE42" s="40"/>
      <c r="DF42" s="40">
        <v>1</v>
      </c>
      <c r="DG42" s="40">
        <v>3</v>
      </c>
      <c r="DH42" s="156">
        <f>DD42*3+DF42</f>
        <v>1</v>
      </c>
      <c r="DI42" s="156">
        <f>DE42*3+DG42</f>
        <v>3</v>
      </c>
      <c r="DJ42" s="18">
        <f>DI42+DH42</f>
        <v>4</v>
      </c>
      <c r="DK42" s="108"/>
      <c r="DL42" s="40"/>
      <c r="DM42" s="40">
        <v>2</v>
      </c>
      <c r="DN42" s="40">
        <v>1</v>
      </c>
      <c r="DO42" s="156">
        <f>DK42*3+DM42</f>
        <v>2</v>
      </c>
      <c r="DP42" s="156">
        <f>DL42*3+DN42</f>
        <v>1</v>
      </c>
      <c r="DQ42" s="18">
        <f>DP42+DO42</f>
        <v>3</v>
      </c>
      <c r="DR42" s="108">
        <v>1</v>
      </c>
      <c r="DS42" s="40"/>
      <c r="DT42" s="40"/>
      <c r="DU42" s="40"/>
      <c r="DV42" s="156">
        <f>DR42*3+DT42</f>
        <v>3</v>
      </c>
      <c r="DW42" s="156">
        <f>DS42*3+DU42</f>
        <v>0</v>
      </c>
      <c r="DX42" s="18">
        <f>DW42+DV42</f>
        <v>3</v>
      </c>
      <c r="DY42" s="108"/>
      <c r="DZ42" s="40"/>
      <c r="EA42" s="40">
        <v>3</v>
      </c>
      <c r="EB42" s="40">
        <v>1</v>
      </c>
      <c r="EC42" s="156">
        <f>DY42*3+EA42</f>
        <v>3</v>
      </c>
      <c r="ED42" s="156">
        <f>DZ42*3+EB42</f>
        <v>1</v>
      </c>
      <c r="EE42" s="18">
        <f>ED42+EC42</f>
        <v>4</v>
      </c>
      <c r="EF42" s="108">
        <v>1</v>
      </c>
      <c r="EG42" s="40"/>
      <c r="EH42" s="40"/>
      <c r="EI42" s="40"/>
      <c r="EJ42" s="156">
        <f>EF42*3+EH42</f>
        <v>3</v>
      </c>
      <c r="EK42" s="156">
        <f>EG42*3+EI42</f>
        <v>0</v>
      </c>
      <c r="EL42" s="18">
        <f>EK42+EJ42</f>
        <v>3</v>
      </c>
      <c r="EM42" s="74">
        <f>SUM(AP42,AI42,AB42,U42,N42,AW42,BD42,BK42,BR42,BY42,CF42,CM42,CT42,DA42,DH42,DO42,DV42,EC42,EJ42)</f>
        <v>34</v>
      </c>
      <c r="EN42" s="75">
        <f ca="1">EM42/(10+TODAY()-G42)</f>
        <v>6.1705989110707807E-2</v>
      </c>
      <c r="EO42" s="76">
        <f>SUM(AQ42,AJ42,AC42,V42,O42,AX42,BE42,BL42,BS42,BZ42,CG42,CN42,CU42,DB42,DI42,DP42,DW42,ED42,EK42)</f>
        <v>24</v>
      </c>
      <c r="EP42" s="75">
        <f ca="1">EO42/(10+TODAY()-G42)</f>
        <v>4.3557168784029036E-2</v>
      </c>
      <c r="EQ42" s="76">
        <f>EM42+EO42</f>
        <v>58</v>
      </c>
      <c r="ER42" s="75">
        <f ca="1">EP42+EN42</f>
        <v>0.10526315789473684</v>
      </c>
      <c r="ES42" s="76">
        <f>SUM(AS42,AL42,AE42,X42,Q42,Q42,J42,AZ42,BG42,BN42,BU42,CB42,CI42,CP42,CW42,DD42,DK42,DR42,DY42,EF42)</f>
        <v>7</v>
      </c>
      <c r="ET42" s="76">
        <f>SUM(AT42,AM42,AF42,Y42,R42,R42,K42,BA42,BH42,BO42,BV42,CC42,CJ42,CQ42,CX42,DE42,DL42,DS42,DZ42,EG42)</f>
        <v>3</v>
      </c>
      <c r="EU42" s="76">
        <f>ET42+ES42</f>
        <v>10</v>
      </c>
    </row>
    <row r="43" spans="1:151" ht="15.75" thickBot="1" x14ac:dyDescent="0.3">
      <c r="A43" s="25">
        <v>474</v>
      </c>
      <c r="B43" s="45" t="s">
        <v>123</v>
      </c>
      <c r="C43" s="26" t="str">
        <f>B43&amp;" "&amp;A43</f>
        <v>אתי 474</v>
      </c>
      <c r="D43" s="36" t="s">
        <v>6</v>
      </c>
      <c r="E43" s="36" t="s">
        <v>7</v>
      </c>
      <c r="F43" s="31" t="s">
        <v>147</v>
      </c>
      <c r="G43" s="30">
        <v>43101</v>
      </c>
      <c r="H43" s="31"/>
      <c r="I43" s="73"/>
      <c r="J43" s="51"/>
      <c r="K43" s="52"/>
      <c r="L43" s="52"/>
      <c r="M43" s="52"/>
      <c r="N43" s="50">
        <f>J43*3+L43</f>
        <v>0</v>
      </c>
      <c r="O43" s="50">
        <f>K43*3+M43</f>
        <v>0</v>
      </c>
      <c r="P43" s="15">
        <f>O43+N43</f>
        <v>0</v>
      </c>
      <c r="Q43" s="25"/>
      <c r="R43" s="27"/>
      <c r="S43" s="27"/>
      <c r="T43" s="27"/>
      <c r="U43" s="14">
        <f>Q43*3+S43</f>
        <v>0</v>
      </c>
      <c r="V43" s="14">
        <f>R43*3+T43</f>
        <v>0</v>
      </c>
      <c r="W43" s="16">
        <f>V43+U43</f>
        <v>0</v>
      </c>
      <c r="X43" s="10"/>
      <c r="Y43" s="12"/>
      <c r="Z43" s="12"/>
      <c r="AA43" s="12"/>
      <c r="AB43" s="17">
        <f>X43*3+Z43</f>
        <v>0</v>
      </c>
      <c r="AC43" s="17">
        <f>Y43*3+AA43</f>
        <v>0</v>
      </c>
      <c r="AD43" s="18">
        <f>AC43+AB43</f>
        <v>0</v>
      </c>
      <c r="AE43" s="25"/>
      <c r="AF43" s="27"/>
      <c r="AG43" s="27"/>
      <c r="AH43" s="27"/>
      <c r="AI43" s="14">
        <f>AE43*3+AG43</f>
        <v>0</v>
      </c>
      <c r="AJ43" s="14">
        <f>AF43*3+AH43</f>
        <v>0</v>
      </c>
      <c r="AK43" s="16">
        <f>AJ43+AI43</f>
        <v>0</v>
      </c>
      <c r="AL43" s="25"/>
      <c r="AM43" s="27"/>
      <c r="AN43" s="27"/>
      <c r="AO43" s="27"/>
      <c r="AP43" s="14">
        <f>AL43*3+AN43</f>
        <v>0</v>
      </c>
      <c r="AQ43" s="14">
        <f>AM43*3+AO43</f>
        <v>0</v>
      </c>
      <c r="AR43" s="16">
        <f>AQ43+AP43</f>
        <v>0</v>
      </c>
      <c r="AS43" s="25"/>
      <c r="AT43" s="27"/>
      <c r="AU43" s="27"/>
      <c r="AV43" s="27"/>
      <c r="AW43" s="14">
        <f>AS43*3+AU43</f>
        <v>0</v>
      </c>
      <c r="AX43" s="14">
        <f>AT43*3+AV43</f>
        <v>0</v>
      </c>
      <c r="AY43" s="16">
        <f>AX43+AW43</f>
        <v>0</v>
      </c>
      <c r="AZ43" s="25"/>
      <c r="BA43" s="27"/>
      <c r="BB43" s="27"/>
      <c r="BC43" s="27"/>
      <c r="BD43" s="14">
        <f>AZ43*3+BB43</f>
        <v>0</v>
      </c>
      <c r="BE43" s="14">
        <f>BA43*3+BC43</f>
        <v>0</v>
      </c>
      <c r="BF43" s="16">
        <f>BE43+BD43</f>
        <v>0</v>
      </c>
      <c r="BG43" s="47">
        <v>1</v>
      </c>
      <c r="BH43" s="53"/>
      <c r="BI43" s="27"/>
      <c r="BJ43" s="27"/>
      <c r="BK43" s="14">
        <f>BG43*3+BI43</f>
        <v>3</v>
      </c>
      <c r="BL43" s="14">
        <f>BH43*3+BJ43</f>
        <v>0</v>
      </c>
      <c r="BM43" s="39">
        <f>BL43+BK43</f>
        <v>3</v>
      </c>
      <c r="BN43" s="32"/>
      <c r="BO43" s="40"/>
      <c r="BP43" s="40">
        <v>4</v>
      </c>
      <c r="BQ43" s="40"/>
      <c r="BR43" s="14">
        <f>BN43*3+BP43</f>
        <v>4</v>
      </c>
      <c r="BS43" s="14">
        <f>BO43*3+BQ43</f>
        <v>0</v>
      </c>
      <c r="BT43" s="39">
        <f>BS43+BR43</f>
        <v>4</v>
      </c>
      <c r="BU43" s="32"/>
      <c r="BV43" s="40"/>
      <c r="BW43" s="40">
        <v>3</v>
      </c>
      <c r="BX43" s="40"/>
      <c r="BY43" s="14">
        <f>BU43*3+BW43</f>
        <v>3</v>
      </c>
      <c r="BZ43" s="14">
        <f>BV43*3+BX43</f>
        <v>0</v>
      </c>
      <c r="CA43" s="39">
        <f>BZ43+BY43</f>
        <v>3</v>
      </c>
      <c r="CB43" s="32">
        <v>1</v>
      </c>
      <c r="CC43" s="40"/>
      <c r="CD43" s="40">
        <v>1</v>
      </c>
      <c r="CE43" s="79"/>
      <c r="CF43" s="14">
        <f>CB43*3+CD43</f>
        <v>4</v>
      </c>
      <c r="CG43" s="14">
        <f>CC43*3+CE43</f>
        <v>0</v>
      </c>
      <c r="CH43" s="39">
        <f>CG43+CF43</f>
        <v>4</v>
      </c>
      <c r="CI43" s="40"/>
      <c r="CJ43" s="40"/>
      <c r="CK43" s="40">
        <v>1</v>
      </c>
      <c r="CL43" s="83">
        <v>1</v>
      </c>
      <c r="CM43" s="14">
        <f>CI43*3+CK43</f>
        <v>1</v>
      </c>
      <c r="CN43" s="14">
        <f>CJ43*3+CL43</f>
        <v>1</v>
      </c>
      <c r="CO43" s="39">
        <f>CN43+CM43</f>
        <v>2</v>
      </c>
      <c r="CP43" s="108">
        <v>1</v>
      </c>
      <c r="CQ43" s="40"/>
      <c r="CR43" s="40">
        <v>1</v>
      </c>
      <c r="CS43" s="40"/>
      <c r="CT43" s="14">
        <f>CP43*3+CR43</f>
        <v>4</v>
      </c>
      <c r="CU43" s="14">
        <f>CQ43*3+CS43</f>
        <v>0</v>
      </c>
      <c r="CV43" s="39">
        <f>CU43+CT43</f>
        <v>4</v>
      </c>
      <c r="CW43" s="32"/>
      <c r="CX43" s="40"/>
      <c r="CY43" s="40">
        <v>2</v>
      </c>
      <c r="CZ43" s="40"/>
      <c r="DA43" s="17">
        <f>CW43*3+CY43</f>
        <v>2</v>
      </c>
      <c r="DB43" s="17">
        <f>CX43*3+CZ43</f>
        <v>0</v>
      </c>
      <c r="DC43" s="18">
        <f>DB43+DA43</f>
        <v>2</v>
      </c>
      <c r="DD43" s="108">
        <v>1</v>
      </c>
      <c r="DE43" s="40"/>
      <c r="DF43" s="40"/>
      <c r="DG43" s="40">
        <v>2</v>
      </c>
      <c r="DH43" s="156">
        <f>DD43*3+DF43</f>
        <v>3</v>
      </c>
      <c r="DI43" s="156">
        <f>DE43*3+DG43</f>
        <v>2</v>
      </c>
      <c r="DJ43" s="18">
        <f>DI43+DH43</f>
        <v>5</v>
      </c>
      <c r="DK43" s="108">
        <v>1</v>
      </c>
      <c r="DL43" s="40"/>
      <c r="DM43" s="40"/>
      <c r="DN43" s="40"/>
      <c r="DO43" s="156">
        <f>DK43*3+DM43</f>
        <v>3</v>
      </c>
      <c r="DP43" s="156">
        <f>DL43*3+DN43</f>
        <v>0</v>
      </c>
      <c r="DQ43" s="18">
        <f>DP43+DO43</f>
        <v>3</v>
      </c>
      <c r="DR43" s="108"/>
      <c r="DS43" s="40"/>
      <c r="DT43" s="40">
        <v>1</v>
      </c>
      <c r="DU43" s="40">
        <v>1</v>
      </c>
      <c r="DV43" s="156">
        <f>DR43*3+DT43</f>
        <v>1</v>
      </c>
      <c r="DW43" s="156">
        <f>DS43*3+DU43</f>
        <v>1</v>
      </c>
      <c r="DX43" s="18">
        <f>DW43+DV43</f>
        <v>2</v>
      </c>
      <c r="DY43" s="108"/>
      <c r="DZ43" s="40">
        <v>1</v>
      </c>
      <c r="EA43" s="40">
        <v>1</v>
      </c>
      <c r="EB43" s="40"/>
      <c r="EC43" s="156">
        <f>DY43*3+EA43</f>
        <v>1</v>
      </c>
      <c r="ED43" s="156">
        <f>DZ43*3+EB43</f>
        <v>3</v>
      </c>
      <c r="EE43" s="18">
        <f>ED43+EC43</f>
        <v>4</v>
      </c>
      <c r="EF43" s="108">
        <v>1</v>
      </c>
      <c r="EG43" s="40"/>
      <c r="EH43" s="40">
        <v>1</v>
      </c>
      <c r="EI43" s="40"/>
      <c r="EJ43" s="156">
        <f>EF43*3+EH43</f>
        <v>4</v>
      </c>
      <c r="EK43" s="156">
        <f>EG43*3+EI43</f>
        <v>0</v>
      </c>
      <c r="EL43" s="18">
        <f>EK43+EJ43</f>
        <v>4</v>
      </c>
      <c r="EM43" s="74">
        <f>SUM(AP43,AI43,AB43,U43,N43,AW43,BD43,BK43,BR43,BY43,CF43,CM43,CT43,DA43,DH43,DO43,DV43,EC43,EJ43)</f>
        <v>33</v>
      </c>
      <c r="EN43" s="75">
        <f ca="1">EM43/(10+TODAY()-G43)</f>
        <v>8.9918256130790186E-2</v>
      </c>
      <c r="EO43" s="76">
        <f>SUM(AQ43,AJ43,AC43,V43,O43,AX43,BE43,BL43,BS43,BZ43,CG43,CN43,CU43,DB43,DI43,DP43,DW43,ED43,EK43)</f>
        <v>7</v>
      </c>
      <c r="EP43" s="75">
        <f ca="1">EO43/(10+TODAY()-G43)</f>
        <v>1.9073569482288829E-2</v>
      </c>
      <c r="EQ43" s="76">
        <f>EM43+EO43</f>
        <v>40</v>
      </c>
      <c r="ER43" s="75">
        <f ca="1">EP43+EN43</f>
        <v>0.10899182561307902</v>
      </c>
      <c r="ES43" s="76">
        <f>SUM(AS43,AL43,AE43,X43,Q43,Q43,J43,AZ43,BG43,BN43,BU43,CB43,CI43,CP43,CW43,DD43,DK43,DR43,DY43,EF43)</f>
        <v>6</v>
      </c>
      <c r="ET43" s="76">
        <f>SUM(AT43,AM43,AF43,Y43,R43,R43,K43,BA43,BH43,BO43,BV43,CC43,CJ43,CQ43,CX43,DE43,DL43,DS43,DZ43,EG43)</f>
        <v>1</v>
      </c>
      <c r="EU43" s="76">
        <f>ET43+ES43</f>
        <v>7</v>
      </c>
    </row>
    <row r="44" spans="1:151" ht="15.75" thickBot="1" x14ac:dyDescent="0.3">
      <c r="A44" s="47">
        <v>9</v>
      </c>
      <c r="B44" s="250" t="s">
        <v>262</v>
      </c>
      <c r="C44" s="85" t="str">
        <f>B44&amp;" "&amp;A44</f>
        <v>מתן 9</v>
      </c>
      <c r="D44" s="36" t="s">
        <v>6</v>
      </c>
      <c r="E44" s="36" t="s">
        <v>6</v>
      </c>
      <c r="F44" s="31" t="s">
        <v>259</v>
      </c>
      <c r="G44" s="30">
        <v>43344</v>
      </c>
      <c r="H44" s="31"/>
      <c r="I44" s="54"/>
      <c r="J44" s="51"/>
      <c r="K44" s="52"/>
      <c r="L44" s="52"/>
      <c r="M44" s="52"/>
      <c r="N44" s="50"/>
      <c r="O44" s="50"/>
      <c r="P44" s="15"/>
      <c r="Q44" s="25"/>
      <c r="R44" s="27"/>
      <c r="S44" s="27"/>
      <c r="T44" s="27"/>
      <c r="U44" s="14"/>
      <c r="V44" s="14"/>
      <c r="W44" s="16"/>
      <c r="X44" s="10"/>
      <c r="Y44" s="12"/>
      <c r="Z44" s="12"/>
      <c r="AA44" s="12"/>
      <c r="AB44" s="17"/>
      <c r="AC44" s="17"/>
      <c r="AD44" s="18"/>
      <c r="AE44" s="25"/>
      <c r="AF44" s="27"/>
      <c r="AG44" s="27"/>
      <c r="AH44" s="27"/>
      <c r="AI44" s="14"/>
      <c r="AJ44" s="14"/>
      <c r="AK44" s="16"/>
      <c r="AL44" s="25"/>
      <c r="AM44" s="27"/>
      <c r="AN44" s="27"/>
      <c r="AO44" s="27"/>
      <c r="AP44" s="14"/>
      <c r="AQ44" s="14"/>
      <c r="AR44" s="16"/>
      <c r="AS44" s="25"/>
      <c r="AT44" s="27"/>
      <c r="AU44" s="27"/>
      <c r="AV44" s="27"/>
      <c r="AW44" s="14"/>
      <c r="AX44" s="14"/>
      <c r="AY44" s="16"/>
      <c r="AZ44" s="25"/>
      <c r="BA44" s="27"/>
      <c r="BB44" s="27"/>
      <c r="BC44" s="27"/>
      <c r="BD44" s="14"/>
      <c r="BE44" s="14"/>
      <c r="BF44" s="16"/>
      <c r="BG44" s="47"/>
      <c r="BH44" s="53"/>
      <c r="BI44" s="53"/>
      <c r="BJ44" s="27"/>
      <c r="BK44" s="14"/>
      <c r="BL44" s="14"/>
      <c r="BM44" s="39"/>
      <c r="BN44" s="32"/>
      <c r="BO44" s="40"/>
      <c r="BP44" s="40"/>
      <c r="BQ44" s="40"/>
      <c r="BR44" s="14"/>
      <c r="BS44" s="14"/>
      <c r="BT44" s="39"/>
      <c r="BU44" s="32"/>
      <c r="BV44" s="40"/>
      <c r="BW44" s="40"/>
      <c r="BX44" s="40"/>
      <c r="BY44" s="14"/>
      <c r="BZ44" s="14"/>
      <c r="CA44" s="39"/>
      <c r="CB44" s="32"/>
      <c r="CC44" s="40"/>
      <c r="CD44" s="40"/>
      <c r="CE44" s="79"/>
      <c r="CF44" s="14"/>
      <c r="CG44" s="14"/>
      <c r="CH44" s="39"/>
      <c r="CI44" s="40"/>
      <c r="CJ44" s="40"/>
      <c r="CK44" s="40"/>
      <c r="CL44" s="83"/>
      <c r="CM44" s="14"/>
      <c r="CN44" s="14"/>
      <c r="CO44" s="39"/>
      <c r="CP44" s="108"/>
      <c r="CQ44" s="40"/>
      <c r="CR44" s="40"/>
      <c r="CS44" s="40"/>
      <c r="CT44" s="14"/>
      <c r="CU44" s="14"/>
      <c r="CV44" s="39"/>
      <c r="CW44" s="32"/>
      <c r="CX44" s="40"/>
      <c r="CY44" s="40"/>
      <c r="CZ44" s="40"/>
      <c r="DA44" s="17"/>
      <c r="DB44" s="17"/>
      <c r="DC44" s="18"/>
      <c r="DD44" s="108"/>
      <c r="DE44" s="40"/>
      <c r="DF44" s="40"/>
      <c r="DG44" s="40"/>
      <c r="DH44" s="156">
        <f>DD44*3+DF44</f>
        <v>0</v>
      </c>
      <c r="DI44" s="156">
        <f>DE44*3+DG44</f>
        <v>0</v>
      </c>
      <c r="DJ44" s="18">
        <f>DI44+DH44</f>
        <v>0</v>
      </c>
      <c r="DK44" s="108"/>
      <c r="DL44" s="40"/>
      <c r="DM44" s="40">
        <v>2</v>
      </c>
      <c r="DN44" s="40"/>
      <c r="DO44" s="156">
        <f>DK44*3+DM44</f>
        <v>2</v>
      </c>
      <c r="DP44" s="156">
        <f>DL44*3+DN44</f>
        <v>0</v>
      </c>
      <c r="DQ44" s="18">
        <f>DP44+DO44</f>
        <v>2</v>
      </c>
      <c r="DR44" s="108">
        <v>1</v>
      </c>
      <c r="DS44" s="40"/>
      <c r="DT44" s="40">
        <v>1</v>
      </c>
      <c r="DU44" s="40"/>
      <c r="DV44" s="156">
        <f>DR44*3+DT44</f>
        <v>4</v>
      </c>
      <c r="DW44" s="156">
        <f>DS44*3+DU44</f>
        <v>0</v>
      </c>
      <c r="DX44" s="18">
        <f>DW44+DV44</f>
        <v>4</v>
      </c>
      <c r="DY44" s="108"/>
      <c r="DZ44" s="40"/>
      <c r="EA44" s="40">
        <v>2</v>
      </c>
      <c r="EB44" s="40">
        <v>1</v>
      </c>
      <c r="EC44" s="156">
        <f>DY44*3+EA44</f>
        <v>2</v>
      </c>
      <c r="ED44" s="156">
        <f>DZ44*3+EB44</f>
        <v>1</v>
      </c>
      <c r="EE44" s="18">
        <f>ED44+EC44</f>
        <v>3</v>
      </c>
      <c r="EF44" s="108">
        <v>1</v>
      </c>
      <c r="EG44" s="40"/>
      <c r="EH44" s="40"/>
      <c r="EI44" s="40">
        <v>1</v>
      </c>
      <c r="EJ44" s="156">
        <f>EF44*3+EH44</f>
        <v>3</v>
      </c>
      <c r="EK44" s="156">
        <f>EG44*3+EI44</f>
        <v>1</v>
      </c>
      <c r="EL44" s="18">
        <f>EK44+EJ44</f>
        <v>4</v>
      </c>
      <c r="EM44" s="74">
        <f>SUM(AP44,AI44,AB44,U44,N44,AW44,BD44,BK44,BR44,BY44,CF44,CM44,CT44,DA44,DH44,DO44,DV44,EC44,EJ44)</f>
        <v>11</v>
      </c>
      <c r="EN44" s="75">
        <f ca="1">EM44/(10+TODAY()-G44)</f>
        <v>8.8709677419354843E-2</v>
      </c>
      <c r="EO44" s="76">
        <f>SUM(AQ44,AJ44,AC44,V44,O44,AX44,BE44,BL44,BS44,BZ44,CG44,CN44,CU44,DB44,DI44,DP44,DW44,ED44,EK44)</f>
        <v>2</v>
      </c>
      <c r="EP44" s="75">
        <f ca="1">EO44/(10+TODAY()-G44)</f>
        <v>1.6129032258064516E-2</v>
      </c>
      <c r="EQ44" s="76">
        <f>EM44+EO44</f>
        <v>13</v>
      </c>
      <c r="ER44" s="75">
        <f ca="1">EP44+EN44</f>
        <v>0.10483870967741936</v>
      </c>
      <c r="ES44" s="76">
        <f>SUM(AS44,AL44,AE44,X44,Q44,Q44,J44,AZ44,BG44,BN44,BU44,CB44,CI44,CP44,CW44,DD44,DK44,DR44,DY44,EF44)</f>
        <v>2</v>
      </c>
      <c r="ET44" s="76">
        <f>SUM(AT44,AM44,AF44,Y44,R44,R44,K44,BA44,BH44,BO44,BV44,CC44,CJ44,CQ44,CX44,DE44,DL44,DS44,DZ44,EG44)</f>
        <v>0</v>
      </c>
      <c r="EU44" s="76">
        <f>ET44+ES44</f>
        <v>2</v>
      </c>
    </row>
    <row r="45" spans="1:151" ht="15.75" thickBot="1" x14ac:dyDescent="0.3">
      <c r="A45" s="47" t="s">
        <v>63</v>
      </c>
      <c r="B45" s="250" t="s">
        <v>8</v>
      </c>
      <c r="C45" s="85" t="str">
        <f>B45&amp;" "&amp;A45</f>
        <v>עדן אחודה</v>
      </c>
      <c r="D45" s="36" t="s">
        <v>6</v>
      </c>
      <c r="E45" s="36" t="s">
        <v>7</v>
      </c>
      <c r="F45" s="31" t="s">
        <v>158</v>
      </c>
      <c r="G45" s="30">
        <v>43160</v>
      </c>
      <c r="H45" s="31"/>
      <c r="I45" s="73"/>
      <c r="J45" s="51"/>
      <c r="K45" s="52"/>
      <c r="L45" s="52"/>
      <c r="M45" s="52"/>
      <c r="N45" s="50">
        <f>J45*3+L45</f>
        <v>0</v>
      </c>
      <c r="O45" s="50">
        <f>K45*3+M45</f>
        <v>0</v>
      </c>
      <c r="P45" s="15">
        <f>O45+N45</f>
        <v>0</v>
      </c>
      <c r="Q45" s="25"/>
      <c r="R45" s="27"/>
      <c r="S45" s="27"/>
      <c r="T45" s="27"/>
      <c r="U45" s="14">
        <f>Q45*3+S45</f>
        <v>0</v>
      </c>
      <c r="V45" s="14">
        <f>R45*3+T45</f>
        <v>0</v>
      </c>
      <c r="W45" s="16">
        <f>V45+U45</f>
        <v>0</v>
      </c>
      <c r="X45" s="10"/>
      <c r="Y45" s="12"/>
      <c r="Z45" s="12"/>
      <c r="AA45" s="12"/>
      <c r="AB45" s="17">
        <f>X45*3+Z45</f>
        <v>0</v>
      </c>
      <c r="AC45" s="17">
        <f>Y45*3+AA45</f>
        <v>0</v>
      </c>
      <c r="AD45" s="18">
        <f>AC45+AB45</f>
        <v>0</v>
      </c>
      <c r="AE45" s="25"/>
      <c r="AF45" s="27"/>
      <c r="AG45" s="27"/>
      <c r="AH45" s="27"/>
      <c r="AI45" s="14">
        <f>AE45*3+AG45</f>
        <v>0</v>
      </c>
      <c r="AJ45" s="14">
        <f>AF45*3+AH45</f>
        <v>0</v>
      </c>
      <c r="AK45" s="16">
        <f>AJ45+AI45</f>
        <v>0</v>
      </c>
      <c r="AL45" s="25"/>
      <c r="AM45" s="27"/>
      <c r="AN45" s="27"/>
      <c r="AO45" s="27"/>
      <c r="AP45" s="14">
        <f>AL45*3+AN45</f>
        <v>0</v>
      </c>
      <c r="AQ45" s="14">
        <f>AM45*3+AO45</f>
        <v>0</v>
      </c>
      <c r="AR45" s="16">
        <f>AQ45+AP45</f>
        <v>0</v>
      </c>
      <c r="AS45" s="25"/>
      <c r="AT45" s="27"/>
      <c r="AU45" s="27"/>
      <c r="AV45" s="27"/>
      <c r="AW45" s="14">
        <f>AS45*3+AU45</f>
        <v>0</v>
      </c>
      <c r="AX45" s="14">
        <f>AT45*3+AV45</f>
        <v>0</v>
      </c>
      <c r="AY45" s="16">
        <f>AX45+AW45</f>
        <v>0</v>
      </c>
      <c r="AZ45" s="25"/>
      <c r="BA45" s="27"/>
      <c r="BB45" s="27"/>
      <c r="BC45" s="27"/>
      <c r="BD45" s="14">
        <f>AZ45*3+BB45</f>
        <v>0</v>
      </c>
      <c r="BE45" s="14">
        <f>BA45*3+BC45</f>
        <v>0</v>
      </c>
      <c r="BF45" s="16">
        <f>BE45+BD45</f>
        <v>0</v>
      </c>
      <c r="BG45" s="47"/>
      <c r="BH45" s="53"/>
      <c r="BI45" s="27"/>
      <c r="BJ45" s="27"/>
      <c r="BK45" s="14">
        <f>BG45*3+BI45</f>
        <v>0</v>
      </c>
      <c r="BL45" s="14">
        <f>BH45*3+BJ45</f>
        <v>0</v>
      </c>
      <c r="BM45" s="39">
        <f>BL45+BK45</f>
        <v>0</v>
      </c>
      <c r="BN45" s="32"/>
      <c r="BO45" s="40"/>
      <c r="BP45" s="40"/>
      <c r="BQ45" s="40"/>
      <c r="BR45" s="14">
        <f>BN45*3+BP45</f>
        <v>0</v>
      </c>
      <c r="BS45" s="14">
        <f>BO45*3+BQ45</f>
        <v>0</v>
      </c>
      <c r="BT45" s="39">
        <f>BS45+BR45</f>
        <v>0</v>
      </c>
      <c r="BU45" s="32"/>
      <c r="BV45" s="40"/>
      <c r="BW45" s="40"/>
      <c r="BX45" s="40">
        <v>1</v>
      </c>
      <c r="BY45" s="14">
        <f>BU45*3+BW45</f>
        <v>0</v>
      </c>
      <c r="BZ45" s="14">
        <f>BV45*3+BX45</f>
        <v>1</v>
      </c>
      <c r="CA45" s="39">
        <f>BZ45+BY45</f>
        <v>1</v>
      </c>
      <c r="CB45" s="32"/>
      <c r="CC45" s="40"/>
      <c r="CD45" s="40">
        <v>1</v>
      </c>
      <c r="CE45" s="79"/>
      <c r="CF45" s="14">
        <f>CB45*3+CD45</f>
        <v>1</v>
      </c>
      <c r="CG45" s="14">
        <f>CC45*3+CE45</f>
        <v>0</v>
      </c>
      <c r="CH45" s="39">
        <f>CG45+CF45</f>
        <v>1</v>
      </c>
      <c r="CI45" s="40"/>
      <c r="CJ45" s="40"/>
      <c r="CK45" s="40">
        <v>2</v>
      </c>
      <c r="CL45" s="83"/>
      <c r="CM45" s="14">
        <f>CI45*3+CK45</f>
        <v>2</v>
      </c>
      <c r="CN45" s="14">
        <f>CJ45*3+CL45</f>
        <v>0</v>
      </c>
      <c r="CO45" s="39">
        <f>CN45+CM45</f>
        <v>2</v>
      </c>
      <c r="CP45" s="108"/>
      <c r="CQ45" s="40"/>
      <c r="CR45" s="40">
        <v>1</v>
      </c>
      <c r="CS45" s="40">
        <v>1</v>
      </c>
      <c r="CT45" s="14">
        <f>CP45*3+CR45</f>
        <v>1</v>
      </c>
      <c r="CU45" s="14">
        <f>CQ45*3+CS45</f>
        <v>1</v>
      </c>
      <c r="CV45" s="39">
        <f>CU45+CT45</f>
        <v>2</v>
      </c>
      <c r="CW45" s="32"/>
      <c r="CX45" s="40"/>
      <c r="CY45" s="40"/>
      <c r="CZ45" s="40">
        <v>2</v>
      </c>
      <c r="DA45" s="17">
        <f>CW45*3+CY45</f>
        <v>0</v>
      </c>
      <c r="DB45" s="17">
        <f>CX45*3+CZ45</f>
        <v>2</v>
      </c>
      <c r="DC45" s="18">
        <f>DB45+DA45</f>
        <v>2</v>
      </c>
      <c r="DD45" s="108"/>
      <c r="DE45" s="40"/>
      <c r="DF45" s="40"/>
      <c r="DG45" s="40"/>
      <c r="DH45" s="156">
        <f>DD45*3+DF45</f>
        <v>0</v>
      </c>
      <c r="DI45" s="156">
        <f>DE45*3+DG45</f>
        <v>0</v>
      </c>
      <c r="DJ45" s="18">
        <f>DI45+DH45</f>
        <v>0</v>
      </c>
      <c r="DK45" s="108"/>
      <c r="DL45" s="40"/>
      <c r="DM45" s="40"/>
      <c r="DN45" s="40">
        <v>2</v>
      </c>
      <c r="DO45" s="156">
        <f>DK45*3+DM45</f>
        <v>0</v>
      </c>
      <c r="DP45" s="156">
        <f>DL45*3+DN45</f>
        <v>2</v>
      </c>
      <c r="DQ45" s="18">
        <f>DP45+DO45</f>
        <v>2</v>
      </c>
      <c r="DR45" s="108"/>
      <c r="DS45" s="40">
        <v>1</v>
      </c>
      <c r="DT45" s="40">
        <v>1</v>
      </c>
      <c r="DU45" s="40"/>
      <c r="DV45" s="156">
        <f>DR45*3+DT45</f>
        <v>1</v>
      </c>
      <c r="DW45" s="156">
        <f>DS45*3+DU45</f>
        <v>3</v>
      </c>
      <c r="DX45" s="18">
        <f>DW45+DV45</f>
        <v>4</v>
      </c>
      <c r="DY45" s="108"/>
      <c r="DZ45" s="40"/>
      <c r="EA45" s="40">
        <v>3</v>
      </c>
      <c r="EB45" s="40"/>
      <c r="EC45" s="156">
        <f>DY45*3+EA45</f>
        <v>3</v>
      </c>
      <c r="ED45" s="156">
        <f>DZ45*3+EB45</f>
        <v>0</v>
      </c>
      <c r="EE45" s="18">
        <f>ED45+EC45</f>
        <v>3</v>
      </c>
      <c r="EF45" s="108">
        <v>1</v>
      </c>
      <c r="EG45" s="40"/>
      <c r="EH45" s="40"/>
      <c r="EI45" s="40">
        <v>1</v>
      </c>
      <c r="EJ45" s="156">
        <f>EF45*3+EH45</f>
        <v>3</v>
      </c>
      <c r="EK45" s="156">
        <f>EG45*3+EI45</f>
        <v>1</v>
      </c>
      <c r="EL45" s="18">
        <f>EK45+EJ45</f>
        <v>4</v>
      </c>
      <c r="EM45" s="74">
        <f>SUM(AP45,AI45,AB45,U45,N45,AW45,BD45,BK45,BR45,BY45,CF45,CM45,CT45,DA45,DH45,DO45,DV45,EC45,EJ45)</f>
        <v>11</v>
      </c>
      <c r="EN45" s="75">
        <f ca="1">EM45/(10+TODAY()-G45)</f>
        <v>3.5714285714285712E-2</v>
      </c>
      <c r="EO45" s="76">
        <f>SUM(AQ45,AJ45,AC45,V45,O45,AX45,BE45,BL45,BS45,BZ45,CG45,CN45,CU45,DB45,DI45,DP45,DW45,ED45,EK45)</f>
        <v>10</v>
      </c>
      <c r="EP45" s="75">
        <f ca="1">EO45/(10+TODAY()-G45)</f>
        <v>3.2467532467532464E-2</v>
      </c>
      <c r="EQ45" s="76">
        <f>EM45+EO45</f>
        <v>21</v>
      </c>
      <c r="ER45" s="75">
        <f ca="1">EP45+EN45</f>
        <v>6.8181818181818177E-2</v>
      </c>
      <c r="ES45" s="76">
        <f>SUM(AS45,AL45,AE45,X45,Q45,Q45,J45,AZ45,BG45,BN45,BU45,CB45,CI45,CP45,CW45,DD45,DK45,DR45,DY45,EF45)</f>
        <v>1</v>
      </c>
      <c r="ET45" s="76">
        <f>SUM(AT45,AM45,AF45,Y45,R45,R45,K45,BA45,BH45,BO45,BV45,CC45,CJ45,CQ45,CX45,DE45,DL45,DS45,DZ45,EG45)</f>
        <v>1</v>
      </c>
      <c r="EU45" s="76">
        <f>ET45+ES45</f>
        <v>2</v>
      </c>
    </row>
    <row r="46" spans="1:151" ht="15.75" thickBot="1" x14ac:dyDescent="0.3">
      <c r="A46" s="47" t="s">
        <v>63</v>
      </c>
      <c r="B46" s="45" t="s">
        <v>125</v>
      </c>
      <c r="C46" s="26" t="str">
        <f>B46&amp;" "&amp;A46</f>
        <v>עמית אחודה</v>
      </c>
      <c r="D46" s="27" t="s">
        <v>6</v>
      </c>
      <c r="E46" s="36" t="s">
        <v>7</v>
      </c>
      <c r="F46" s="31" t="s">
        <v>147</v>
      </c>
      <c r="G46" s="30">
        <v>43101</v>
      </c>
      <c r="H46" s="31"/>
      <c r="I46" s="73"/>
      <c r="J46" s="51"/>
      <c r="K46" s="52"/>
      <c r="L46" s="52"/>
      <c r="M46" s="52"/>
      <c r="N46" s="50">
        <f>J46*3+L46</f>
        <v>0</v>
      </c>
      <c r="O46" s="50">
        <f>K46*3+M46</f>
        <v>0</v>
      </c>
      <c r="P46" s="15">
        <f>O46+N46</f>
        <v>0</v>
      </c>
      <c r="Q46" s="25"/>
      <c r="R46" s="27"/>
      <c r="S46" s="27"/>
      <c r="T46" s="27"/>
      <c r="U46" s="14">
        <f>Q46*3+S46</f>
        <v>0</v>
      </c>
      <c r="V46" s="14">
        <f>R46*3+T46</f>
        <v>0</v>
      </c>
      <c r="W46" s="16">
        <f>V46+U46</f>
        <v>0</v>
      </c>
      <c r="X46" s="10"/>
      <c r="Y46" s="12"/>
      <c r="Z46" s="12"/>
      <c r="AA46" s="12"/>
      <c r="AB46" s="17">
        <f>X46*3+Z46</f>
        <v>0</v>
      </c>
      <c r="AC46" s="17">
        <f>Y46*3+AA46</f>
        <v>0</v>
      </c>
      <c r="AD46" s="18">
        <f>AC46+AB46</f>
        <v>0</v>
      </c>
      <c r="AE46" s="25"/>
      <c r="AF46" s="27"/>
      <c r="AG46" s="27"/>
      <c r="AH46" s="27"/>
      <c r="AI46" s="14">
        <f>AE46*3+AG46</f>
        <v>0</v>
      </c>
      <c r="AJ46" s="14">
        <f>AF46*3+AH46</f>
        <v>0</v>
      </c>
      <c r="AK46" s="16">
        <f>AJ46+AI46</f>
        <v>0</v>
      </c>
      <c r="AL46" s="25"/>
      <c r="AM46" s="27"/>
      <c r="AN46" s="27"/>
      <c r="AO46" s="27"/>
      <c r="AP46" s="14">
        <f>AL46*3+AN46</f>
        <v>0</v>
      </c>
      <c r="AQ46" s="14">
        <f>AM46*3+AO46</f>
        <v>0</v>
      </c>
      <c r="AR46" s="16">
        <f>AQ46+AP46</f>
        <v>0</v>
      </c>
      <c r="AS46" s="25"/>
      <c r="AT46" s="27"/>
      <c r="AU46" s="27"/>
      <c r="AV46" s="27"/>
      <c r="AW46" s="14">
        <f>AS46*3+AU46</f>
        <v>0</v>
      </c>
      <c r="AX46" s="14">
        <f>AT46*3+AV46</f>
        <v>0</v>
      </c>
      <c r="AY46" s="16">
        <f>AX46+AW46</f>
        <v>0</v>
      </c>
      <c r="AZ46" s="25"/>
      <c r="BA46" s="27"/>
      <c r="BB46" s="27"/>
      <c r="BC46" s="27"/>
      <c r="BD46" s="14">
        <f>AZ46*3+BB46</f>
        <v>0</v>
      </c>
      <c r="BE46" s="14">
        <f>BA46*3+BC46</f>
        <v>0</v>
      </c>
      <c r="BF46" s="16">
        <f>BE46+BD46</f>
        <v>0</v>
      </c>
      <c r="BG46" s="47">
        <v>1</v>
      </c>
      <c r="BH46" s="53"/>
      <c r="BI46" s="27"/>
      <c r="BJ46" s="27"/>
      <c r="BK46" s="14">
        <f>BG46*3+BI46</f>
        <v>3</v>
      </c>
      <c r="BL46" s="14">
        <f>BH46*3+BJ46</f>
        <v>0</v>
      </c>
      <c r="BM46" s="39">
        <f>BL46+BK46</f>
        <v>3</v>
      </c>
      <c r="BN46" s="32"/>
      <c r="BO46" s="40">
        <v>1</v>
      </c>
      <c r="BP46" s="40">
        <v>2</v>
      </c>
      <c r="BQ46" s="40"/>
      <c r="BR46" s="14">
        <f>BN46*3+BP46</f>
        <v>2</v>
      </c>
      <c r="BS46" s="14">
        <f>BO46*3+BQ46</f>
        <v>3</v>
      </c>
      <c r="BT46" s="39">
        <f>BS46+BR46</f>
        <v>5</v>
      </c>
      <c r="BU46" s="32"/>
      <c r="BV46" s="40"/>
      <c r="BW46" s="40">
        <v>3</v>
      </c>
      <c r="BX46" s="40"/>
      <c r="BY46" s="14">
        <f>BU46*3+BW46</f>
        <v>3</v>
      </c>
      <c r="BZ46" s="14">
        <f>BV46*3+BX46</f>
        <v>0</v>
      </c>
      <c r="CA46" s="39">
        <f>BZ46+BY46</f>
        <v>3</v>
      </c>
      <c r="CB46" s="32">
        <v>1</v>
      </c>
      <c r="CC46" s="40"/>
      <c r="CD46" s="40"/>
      <c r="CE46" s="79"/>
      <c r="CF46" s="14">
        <f>CB46*3+CD46</f>
        <v>3</v>
      </c>
      <c r="CG46" s="14">
        <f>CC46*3+CE46</f>
        <v>0</v>
      </c>
      <c r="CH46" s="39">
        <f>CG46+CF46</f>
        <v>3</v>
      </c>
      <c r="CI46" s="40"/>
      <c r="CJ46" s="40"/>
      <c r="CK46" s="40">
        <v>1</v>
      </c>
      <c r="CL46" s="83"/>
      <c r="CM46" s="14">
        <f>CI46*3+CK46</f>
        <v>1</v>
      </c>
      <c r="CN46" s="14">
        <f>CJ46*3+CL46</f>
        <v>0</v>
      </c>
      <c r="CO46" s="39">
        <f>CN46+CM46</f>
        <v>1</v>
      </c>
      <c r="CP46" s="108">
        <v>1</v>
      </c>
      <c r="CQ46" s="40">
        <v>1</v>
      </c>
      <c r="CR46" s="40"/>
      <c r="CS46" s="40"/>
      <c r="CT46" s="14">
        <f>CP46*3+CR46</f>
        <v>3</v>
      </c>
      <c r="CU46" s="14">
        <f>CQ46*3+CS46</f>
        <v>3</v>
      </c>
      <c r="CV46" s="39">
        <f>CU46+CT46</f>
        <v>6</v>
      </c>
      <c r="CW46" s="32"/>
      <c r="CX46" s="40"/>
      <c r="CY46" s="40">
        <v>2</v>
      </c>
      <c r="CZ46" s="40"/>
      <c r="DA46" s="17">
        <f>CW46*3+CY46</f>
        <v>2</v>
      </c>
      <c r="DB46" s="17">
        <f>CX46*3+CZ46</f>
        <v>0</v>
      </c>
      <c r="DC46" s="18">
        <f>DB46+DA46</f>
        <v>2</v>
      </c>
      <c r="DD46" s="108">
        <v>1</v>
      </c>
      <c r="DE46" s="40"/>
      <c r="DF46" s="40"/>
      <c r="DG46" s="40"/>
      <c r="DH46" s="156">
        <f>DD46*3+DF46</f>
        <v>3</v>
      </c>
      <c r="DI46" s="156">
        <f>DE46*3+DG46</f>
        <v>0</v>
      </c>
      <c r="DJ46" s="18">
        <f>DI46+DH46</f>
        <v>3</v>
      </c>
      <c r="DK46" s="108"/>
      <c r="DL46" s="40"/>
      <c r="DM46" s="40">
        <v>3</v>
      </c>
      <c r="DN46" s="40"/>
      <c r="DO46" s="156">
        <f>DK46*3+DM46</f>
        <v>3</v>
      </c>
      <c r="DP46" s="156">
        <f>DL46*3+DN46</f>
        <v>0</v>
      </c>
      <c r="DQ46" s="18">
        <f>DP46+DO46</f>
        <v>3</v>
      </c>
      <c r="DR46" s="108">
        <v>1</v>
      </c>
      <c r="DS46" s="40"/>
      <c r="DT46" s="40"/>
      <c r="DU46" s="40"/>
      <c r="DV46" s="156">
        <f>DR46*3+DT46</f>
        <v>3</v>
      </c>
      <c r="DW46" s="156">
        <f>DS46*3+DU46</f>
        <v>0</v>
      </c>
      <c r="DX46" s="18">
        <f>DW46+DV46</f>
        <v>3</v>
      </c>
      <c r="DY46" s="108"/>
      <c r="DZ46" s="40"/>
      <c r="EA46" s="40">
        <v>2</v>
      </c>
      <c r="EB46" s="40">
        <v>1</v>
      </c>
      <c r="EC46" s="156">
        <f>DY46*3+EA46</f>
        <v>2</v>
      </c>
      <c r="ED46" s="156">
        <f>DZ46*3+EB46</f>
        <v>1</v>
      </c>
      <c r="EE46" s="18">
        <f>ED46+EC46</f>
        <v>3</v>
      </c>
      <c r="EF46" s="108"/>
      <c r="EG46" s="40">
        <v>1</v>
      </c>
      <c r="EH46" s="40">
        <v>1</v>
      </c>
      <c r="EI46" s="40"/>
      <c r="EJ46" s="156">
        <f>EF46*3+EH46</f>
        <v>1</v>
      </c>
      <c r="EK46" s="156">
        <f>EG46*3+EI46</f>
        <v>3</v>
      </c>
      <c r="EL46" s="18">
        <f>EK46+EJ46</f>
        <v>4</v>
      </c>
      <c r="EM46" s="74">
        <f>SUM(AP46,AI46,AB46,U46,N46,AW46,BD46,BK46,BR46,BY46,CF46,CM46,CT46,DA46,DH46,DO46,DV46,EC46,EJ46)</f>
        <v>29</v>
      </c>
      <c r="EN46" s="75">
        <f ca="1">EM46/(10+TODAY()-G46)</f>
        <v>7.901907356948229E-2</v>
      </c>
      <c r="EO46" s="76">
        <f>SUM(AQ46,AJ46,AC46,V46,O46,AX46,BE46,BL46,BS46,BZ46,CG46,CN46,CU46,DB46,DI46,DP46,DW46,ED46,EK46)</f>
        <v>10</v>
      </c>
      <c r="EP46" s="75">
        <f ca="1">EO46/(10+TODAY()-G46)</f>
        <v>2.7247956403269755E-2</v>
      </c>
      <c r="EQ46" s="76">
        <f>EM46+EO46</f>
        <v>39</v>
      </c>
      <c r="ER46" s="75">
        <f ca="1">EP46+EN46</f>
        <v>0.10626702997275204</v>
      </c>
      <c r="ES46" s="76">
        <f>SUM(AS46,AL46,AE46,X46,Q46,Q46,J46,AZ46,BG46,BN46,BU46,CB46,CI46,CP46,CW46,DD46,DK46,DR46,DY46,EF46)</f>
        <v>5</v>
      </c>
      <c r="ET46" s="76">
        <f>SUM(AT46,AM46,AF46,Y46,R46,R46,K46,BA46,BH46,BO46,BV46,CC46,CJ46,CQ46,CX46,DE46,DL46,DS46,DZ46,EG46)</f>
        <v>3</v>
      </c>
      <c r="EU46" s="76">
        <f>ET46+ES46</f>
        <v>8</v>
      </c>
    </row>
    <row r="47" spans="1:151" ht="15.75" thickBot="1" x14ac:dyDescent="0.3">
      <c r="A47" s="110" t="s">
        <v>14</v>
      </c>
      <c r="B47" s="45" t="s">
        <v>11</v>
      </c>
      <c r="C47" s="26" t="str">
        <f>B47&amp;" "&amp;A47</f>
        <v>שיר מרחבים</v>
      </c>
      <c r="D47" s="36" t="s">
        <v>6</v>
      </c>
      <c r="E47" s="36" t="s">
        <v>7</v>
      </c>
      <c r="F47" s="31" t="s">
        <v>275</v>
      </c>
      <c r="G47" s="30">
        <v>43383</v>
      </c>
      <c r="H47" s="31"/>
      <c r="I47" s="54"/>
      <c r="J47" s="51"/>
      <c r="K47" s="52"/>
      <c r="L47" s="52"/>
      <c r="M47" s="52"/>
      <c r="N47" s="50"/>
      <c r="O47" s="50"/>
      <c r="P47" s="15"/>
      <c r="Q47" s="25"/>
      <c r="R47" s="27"/>
      <c r="S47" s="27"/>
      <c r="T47" s="27"/>
      <c r="U47" s="14"/>
      <c r="V47" s="14"/>
      <c r="W47" s="16"/>
      <c r="X47" s="10"/>
      <c r="Y47" s="12"/>
      <c r="Z47" s="12"/>
      <c r="AA47" s="12"/>
      <c r="AB47" s="17"/>
      <c r="AC47" s="17"/>
      <c r="AD47" s="18"/>
      <c r="AE47" s="25"/>
      <c r="AF47" s="27"/>
      <c r="AG47" s="27"/>
      <c r="AH47" s="27"/>
      <c r="AI47" s="14"/>
      <c r="AJ47" s="14"/>
      <c r="AK47" s="16"/>
      <c r="AL47" s="25"/>
      <c r="AM47" s="27"/>
      <c r="AN47" s="27"/>
      <c r="AO47" s="27"/>
      <c r="AP47" s="14"/>
      <c r="AQ47" s="14"/>
      <c r="AR47" s="16"/>
      <c r="AS47" s="25"/>
      <c r="AT47" s="27"/>
      <c r="AU47" s="27"/>
      <c r="AV47" s="27"/>
      <c r="AW47" s="14"/>
      <c r="AX47" s="14"/>
      <c r="AY47" s="16"/>
      <c r="AZ47" s="25"/>
      <c r="BA47" s="27"/>
      <c r="BB47" s="27"/>
      <c r="BC47" s="27"/>
      <c r="BD47" s="14"/>
      <c r="BE47" s="14"/>
      <c r="BF47" s="16"/>
      <c r="BG47" s="47"/>
      <c r="BH47" s="53"/>
      <c r="BI47" s="27"/>
      <c r="BJ47" s="27"/>
      <c r="BK47" s="14"/>
      <c r="BL47" s="14"/>
      <c r="BM47" s="39"/>
      <c r="BN47" s="32"/>
      <c r="BO47" s="40"/>
      <c r="BP47" s="40"/>
      <c r="BQ47" s="40"/>
      <c r="BR47" s="14"/>
      <c r="BS47" s="14"/>
      <c r="BT47" s="39"/>
      <c r="BU47" s="32"/>
      <c r="BV47" s="40"/>
      <c r="BW47" s="40"/>
      <c r="BX47" s="40"/>
      <c r="BY47" s="14"/>
      <c r="BZ47" s="14"/>
      <c r="CA47" s="39"/>
      <c r="CB47" s="32"/>
      <c r="CC47" s="40"/>
      <c r="CD47" s="40"/>
      <c r="CE47" s="79"/>
      <c r="CF47" s="14"/>
      <c r="CG47" s="14"/>
      <c r="CH47" s="39"/>
      <c r="CI47" s="40"/>
      <c r="CJ47" s="40"/>
      <c r="CK47" s="40"/>
      <c r="CL47" s="83"/>
      <c r="CM47" s="14"/>
      <c r="CN47" s="14"/>
      <c r="CO47" s="39"/>
      <c r="CP47" s="108"/>
      <c r="CQ47" s="40"/>
      <c r="CR47" s="40"/>
      <c r="CS47" s="40"/>
      <c r="CT47" s="14"/>
      <c r="CU47" s="14"/>
      <c r="CV47" s="39"/>
      <c r="CW47" s="32"/>
      <c r="CX47" s="40"/>
      <c r="CY47" s="40"/>
      <c r="CZ47" s="40"/>
      <c r="DA47" s="17"/>
      <c r="DB47" s="17"/>
      <c r="DC47" s="18"/>
      <c r="DD47" s="108"/>
      <c r="DE47" s="40"/>
      <c r="DF47" s="40"/>
      <c r="DG47" s="40"/>
      <c r="DH47" s="156">
        <f>DD47*3+DF47</f>
        <v>0</v>
      </c>
      <c r="DI47" s="156">
        <f>DE47*3+DG47</f>
        <v>0</v>
      </c>
      <c r="DJ47" s="18">
        <f>DI47+DH47</f>
        <v>0</v>
      </c>
      <c r="DK47" s="108"/>
      <c r="DL47" s="40"/>
      <c r="DM47" s="40"/>
      <c r="DN47" s="40"/>
      <c r="DO47" s="156">
        <f>DK47*3+DM47</f>
        <v>0</v>
      </c>
      <c r="DP47" s="156">
        <f>DL47*3+DN47</f>
        <v>0</v>
      </c>
      <c r="DQ47" s="18">
        <f>DP47+DO47</f>
        <v>0</v>
      </c>
      <c r="DR47" s="108">
        <v>1</v>
      </c>
      <c r="DS47" s="40"/>
      <c r="DT47" s="40"/>
      <c r="DU47" s="40"/>
      <c r="DV47" s="156">
        <f>DR47*3+DT47</f>
        <v>3</v>
      </c>
      <c r="DW47" s="156">
        <f>DS47*3+DU47</f>
        <v>0</v>
      </c>
      <c r="DX47" s="18">
        <f>DW47+DV47</f>
        <v>3</v>
      </c>
      <c r="DY47" s="108"/>
      <c r="DZ47" s="40"/>
      <c r="EA47" s="40">
        <v>3</v>
      </c>
      <c r="EB47" s="40"/>
      <c r="EC47" s="156">
        <f>DY47*3+EA47</f>
        <v>3</v>
      </c>
      <c r="ED47" s="156">
        <f>DZ47*3+EB47</f>
        <v>0</v>
      </c>
      <c r="EE47" s="18">
        <f>ED47+EC47</f>
        <v>3</v>
      </c>
      <c r="EF47" s="108"/>
      <c r="EG47" s="40">
        <v>1</v>
      </c>
      <c r="EH47" s="40">
        <v>1</v>
      </c>
      <c r="EI47" s="40"/>
      <c r="EJ47" s="156">
        <f>EF47*3+EH47</f>
        <v>1</v>
      </c>
      <c r="EK47" s="156">
        <f>EG47*3+EI47</f>
        <v>3</v>
      </c>
      <c r="EL47" s="18">
        <f>EK47+EJ47</f>
        <v>4</v>
      </c>
      <c r="EM47" s="74">
        <f>SUM(AP47,AI47,AB47,U47,N47,AW47,BD47,BK47,BR47,BY47,CF47,CM47,CT47,DA47,DH47,DO47,DV47,EC47,EJ47)</f>
        <v>7</v>
      </c>
      <c r="EN47" s="75">
        <f ca="1">EM47/(10+TODAY()-G47)</f>
        <v>8.2352941176470587E-2</v>
      </c>
      <c r="EO47" s="76">
        <f>SUM(AQ47,AJ47,AC47,V47,O47,AX47,BE47,BL47,BS47,BZ47,CG47,CN47,CU47,DB47,DI47,DP47,DW47,ED47,EK47)</f>
        <v>3</v>
      </c>
      <c r="EP47" s="75">
        <f ca="1">EO47/(10+TODAY()-G47)</f>
        <v>3.5294117647058823E-2</v>
      </c>
      <c r="EQ47" s="76">
        <f>EM47+EO47</f>
        <v>10</v>
      </c>
      <c r="ER47" s="75">
        <f ca="1">EP47+EN47</f>
        <v>0.11764705882352941</v>
      </c>
      <c r="ES47" s="76">
        <f>SUM(AS47,AL47,AE47,X47,Q47,Q47,J47,AZ47,BG47,BN47,BU47,CB47,CI47,CP47,CW47,DD47,DK47,DR47,DY47,EF47)</f>
        <v>1</v>
      </c>
      <c r="ET47" s="76">
        <f>SUM(AT47,AM47,AF47,Y47,R47,R47,K47,BA47,BH47,BO47,BV47,CC47,CJ47,CQ47,CX47,DE47,DL47,DS47,DZ47,EG47)</f>
        <v>1</v>
      </c>
      <c r="EU47" s="76">
        <f>ET47+ES47</f>
        <v>2</v>
      </c>
    </row>
    <row r="48" spans="1:151" ht="15.75" thickBot="1" x14ac:dyDescent="0.3">
      <c r="A48" s="47">
        <v>679</v>
      </c>
      <c r="B48" s="250" t="s">
        <v>276</v>
      </c>
      <c r="C48" s="26" t="str">
        <f>B48&amp;" "&amp;A48</f>
        <v>יובל 679</v>
      </c>
      <c r="D48" s="36" t="s">
        <v>6</v>
      </c>
      <c r="E48" s="36" t="s">
        <v>7</v>
      </c>
      <c r="F48" s="31" t="s">
        <v>275</v>
      </c>
      <c r="G48" s="30">
        <v>43383</v>
      </c>
      <c r="H48" s="19"/>
      <c r="I48" s="13"/>
      <c r="J48" s="51"/>
      <c r="K48" s="52"/>
      <c r="L48" s="52"/>
      <c r="M48" s="52"/>
      <c r="N48" s="50"/>
      <c r="O48" s="50"/>
      <c r="P48" s="15"/>
      <c r="Q48" s="25"/>
      <c r="R48" s="27"/>
      <c r="S48" s="27"/>
      <c r="T48" s="27"/>
      <c r="U48" s="14"/>
      <c r="V48" s="14"/>
      <c r="W48" s="16"/>
      <c r="X48" s="25"/>
      <c r="Y48" s="27"/>
      <c r="Z48" s="27"/>
      <c r="AA48" s="27"/>
      <c r="AB48" s="17"/>
      <c r="AC48" s="17"/>
      <c r="AD48" s="18"/>
      <c r="AE48" s="25"/>
      <c r="AF48" s="27"/>
      <c r="AG48" s="27"/>
      <c r="AH48" s="27"/>
      <c r="AI48" s="14"/>
      <c r="AJ48" s="14"/>
      <c r="AK48" s="16"/>
      <c r="AL48" s="25"/>
      <c r="AM48" s="27"/>
      <c r="AN48" s="27"/>
      <c r="AO48" s="27"/>
      <c r="AP48" s="14"/>
      <c r="AQ48" s="14"/>
      <c r="AR48" s="16"/>
      <c r="AS48" s="25"/>
      <c r="AT48" s="27"/>
      <c r="AU48" s="27"/>
      <c r="AV48" s="27"/>
      <c r="AW48" s="14"/>
      <c r="AX48" s="14"/>
      <c r="AY48" s="16"/>
      <c r="AZ48" s="25"/>
      <c r="BA48" s="27"/>
      <c r="BB48" s="27"/>
      <c r="BC48" s="27"/>
      <c r="BD48" s="14"/>
      <c r="BE48" s="14"/>
      <c r="BF48" s="16"/>
      <c r="BG48" s="47"/>
      <c r="BH48" s="53"/>
      <c r="BI48" s="27"/>
      <c r="BJ48" s="27"/>
      <c r="BK48" s="14"/>
      <c r="BL48" s="14"/>
      <c r="BM48" s="39"/>
      <c r="BN48" s="47"/>
      <c r="BO48" s="53"/>
      <c r="BP48" s="53"/>
      <c r="BQ48" s="53"/>
      <c r="BR48" s="14"/>
      <c r="BS48" s="14"/>
      <c r="BT48" s="39"/>
      <c r="BU48" s="47"/>
      <c r="BV48" s="53"/>
      <c r="BW48" s="53"/>
      <c r="BX48" s="53"/>
      <c r="BY48" s="14"/>
      <c r="BZ48" s="14"/>
      <c r="CA48" s="39"/>
      <c r="CB48" s="47"/>
      <c r="CC48" s="53"/>
      <c r="CD48" s="287"/>
      <c r="CE48" s="288"/>
      <c r="CF48" s="14"/>
      <c r="CG48" s="14"/>
      <c r="CH48" s="39"/>
      <c r="CI48" s="40"/>
      <c r="CJ48" s="40"/>
      <c r="CK48" s="40"/>
      <c r="CL48" s="83"/>
      <c r="CM48" s="14"/>
      <c r="CN48" s="14"/>
      <c r="CO48" s="39"/>
      <c r="CP48" s="109"/>
      <c r="CQ48" s="53"/>
      <c r="CR48" s="53"/>
      <c r="CS48" s="53"/>
      <c r="CT48" s="14"/>
      <c r="CU48" s="14"/>
      <c r="CV48" s="39"/>
      <c r="CW48" s="32"/>
      <c r="CX48" s="40"/>
      <c r="CY48" s="40"/>
      <c r="CZ48" s="40"/>
      <c r="DA48" s="17"/>
      <c r="DB48" s="17"/>
      <c r="DC48" s="18"/>
      <c r="DD48" s="108"/>
      <c r="DE48" s="40"/>
      <c r="DF48" s="40"/>
      <c r="DG48" s="40"/>
      <c r="DH48" s="156">
        <f>DD48*3+DF48</f>
        <v>0</v>
      </c>
      <c r="DI48" s="156">
        <f>DE48*3+DG48</f>
        <v>0</v>
      </c>
      <c r="DJ48" s="18">
        <f>DI48+DH48</f>
        <v>0</v>
      </c>
      <c r="DK48" s="108"/>
      <c r="DL48" s="40"/>
      <c r="DM48" s="40"/>
      <c r="DN48" s="40"/>
      <c r="DO48" s="156">
        <f>DK48*3+DM48</f>
        <v>0</v>
      </c>
      <c r="DP48" s="156">
        <f>DL48*3+DN48</f>
        <v>0</v>
      </c>
      <c r="DQ48" s="18">
        <f>DP48+DO48</f>
        <v>0</v>
      </c>
      <c r="DR48" s="108"/>
      <c r="DS48" s="40"/>
      <c r="DT48" s="40">
        <v>3</v>
      </c>
      <c r="DU48" s="40"/>
      <c r="DV48" s="156">
        <f>DR48*3+DT48</f>
        <v>3</v>
      </c>
      <c r="DW48" s="156">
        <f>DS48*3+DU48</f>
        <v>0</v>
      </c>
      <c r="DX48" s="18">
        <f>DW48+DV48</f>
        <v>3</v>
      </c>
      <c r="DY48" s="108"/>
      <c r="DZ48" s="40"/>
      <c r="EA48" s="40">
        <v>1</v>
      </c>
      <c r="EB48" s="40"/>
      <c r="EC48" s="156">
        <f>DY48*3+EA48</f>
        <v>1</v>
      </c>
      <c r="ED48" s="156">
        <f>DZ48*3+EB48</f>
        <v>0</v>
      </c>
      <c r="EE48" s="18">
        <f>ED48+EC48</f>
        <v>1</v>
      </c>
      <c r="EF48" s="108">
        <v>1</v>
      </c>
      <c r="EG48" s="40"/>
      <c r="EH48" s="40">
        <v>1</v>
      </c>
      <c r="EI48" s="40">
        <v>1</v>
      </c>
      <c r="EJ48" s="156">
        <f>EF48*3+EH48</f>
        <v>4</v>
      </c>
      <c r="EK48" s="156">
        <f>EG48*3+EI48</f>
        <v>1</v>
      </c>
      <c r="EL48" s="18">
        <f>EK48+EJ48</f>
        <v>5</v>
      </c>
      <c r="EM48" s="74">
        <f>SUM(AP48,AI48,AB48,U48,N48,AW48,BD48,BK48,BR48,BY48,CF48,CM48,CT48,DA48,DH48,DO48,DV48,EC48,EJ48)</f>
        <v>8</v>
      </c>
      <c r="EN48" s="75">
        <f ca="1">EM48/(10+TODAY()-G48)</f>
        <v>9.4117647058823528E-2</v>
      </c>
      <c r="EO48" s="76">
        <f>SUM(AQ48,AJ48,AC48,V48,O48,AX48,BE48,BL48,BS48,BZ48,CG48,CN48,CU48,DB48,DI48,DP48,DW48,ED48,EK48)</f>
        <v>1</v>
      </c>
      <c r="EP48" s="75">
        <f ca="1">EO48/(10+TODAY()-G48)</f>
        <v>1.1764705882352941E-2</v>
      </c>
      <c r="EQ48" s="76">
        <f>EM48+EO48</f>
        <v>9</v>
      </c>
      <c r="ER48" s="75">
        <f ca="1">EP48+EN48</f>
        <v>0.10588235294117647</v>
      </c>
      <c r="ES48" s="76">
        <f>SUM(AS48,AL48,AE48,X48,Q48,Q48,J48,AZ48,BG48,BN48,BU48,CB48,CI48,CP48,CW48,DD48,DK48,DR48,DY48,EF48)</f>
        <v>1</v>
      </c>
      <c r="ET48" s="76">
        <f>SUM(AT48,AM48,AF48,Y48,R48,R48,K48,BA48,BH48,BO48,BV48,CC48,CJ48,CQ48,CX48,DE48,DL48,DS48,DZ48,EG48)</f>
        <v>0</v>
      </c>
      <c r="EU48" s="76">
        <f>ET48+ES48</f>
        <v>1</v>
      </c>
    </row>
    <row r="49" spans="1:151" ht="15.75" thickBot="1" x14ac:dyDescent="0.3">
      <c r="A49" s="25">
        <v>474</v>
      </c>
      <c r="B49" s="26" t="s">
        <v>5</v>
      </c>
      <c r="C49" s="26" t="str">
        <f>B49&amp;" "&amp;A49</f>
        <v>מאי 474</v>
      </c>
      <c r="D49" s="36" t="s">
        <v>7</v>
      </c>
      <c r="E49" s="36" t="s">
        <v>7</v>
      </c>
      <c r="F49" s="31" t="s">
        <v>144</v>
      </c>
      <c r="G49" s="30">
        <v>42979</v>
      </c>
      <c r="H49" s="19"/>
      <c r="I49" s="13"/>
      <c r="J49" s="51"/>
      <c r="K49" s="52"/>
      <c r="L49" s="52"/>
      <c r="M49" s="52"/>
      <c r="N49" s="50">
        <f>J49*3+L49</f>
        <v>0</v>
      </c>
      <c r="O49" s="50">
        <f>K49*3+M49</f>
        <v>0</v>
      </c>
      <c r="P49" s="15">
        <f>O49+N49</f>
        <v>0</v>
      </c>
      <c r="Q49" s="25"/>
      <c r="R49" s="27"/>
      <c r="S49" s="27"/>
      <c r="T49" s="27"/>
      <c r="U49" s="14">
        <f>Q49*3+S49</f>
        <v>0</v>
      </c>
      <c r="V49" s="14">
        <f>R49*3+T49</f>
        <v>0</v>
      </c>
      <c r="W49" s="16">
        <f>V49+U49</f>
        <v>0</v>
      </c>
      <c r="X49" s="25"/>
      <c r="Y49" s="27"/>
      <c r="Z49" s="27"/>
      <c r="AA49" s="27"/>
      <c r="AB49" s="17">
        <f>X49*3+Z49</f>
        <v>0</v>
      </c>
      <c r="AC49" s="17">
        <f>Y49*3+AA49</f>
        <v>0</v>
      </c>
      <c r="AD49" s="18">
        <f>AC49+AB49</f>
        <v>0</v>
      </c>
      <c r="AE49" s="25">
        <v>1</v>
      </c>
      <c r="AF49" s="27"/>
      <c r="AG49" s="27">
        <v>2</v>
      </c>
      <c r="AH49" s="27"/>
      <c r="AI49" s="14">
        <f>AE49*3+AG49</f>
        <v>5</v>
      </c>
      <c r="AJ49" s="14">
        <f>AF49*3+AH49</f>
        <v>0</v>
      </c>
      <c r="AK49" s="16">
        <f>AJ49+AI49</f>
        <v>5</v>
      </c>
      <c r="AL49" s="25">
        <v>1</v>
      </c>
      <c r="AM49" s="27"/>
      <c r="AN49" s="27"/>
      <c r="AO49" s="27"/>
      <c r="AP49" s="14">
        <f>AL49*3+AN49</f>
        <v>3</v>
      </c>
      <c r="AQ49" s="14">
        <f>AM49*3+AO49</f>
        <v>0</v>
      </c>
      <c r="AR49" s="16">
        <f>AQ49+AP49</f>
        <v>3</v>
      </c>
      <c r="AS49" s="25"/>
      <c r="AT49" s="27"/>
      <c r="AU49" s="27"/>
      <c r="AV49" s="27">
        <v>2</v>
      </c>
      <c r="AW49" s="14">
        <f>AS49*3+AU49</f>
        <v>0</v>
      </c>
      <c r="AX49" s="14">
        <f>AT49*3+AV49</f>
        <v>2</v>
      </c>
      <c r="AY49" s="16">
        <f>AX49+AW49</f>
        <v>2</v>
      </c>
      <c r="AZ49" s="25"/>
      <c r="BA49" s="27">
        <v>1</v>
      </c>
      <c r="BB49" s="27"/>
      <c r="BC49" s="27">
        <v>2</v>
      </c>
      <c r="BD49" s="14">
        <f>AZ49*3+BB49</f>
        <v>0</v>
      </c>
      <c r="BE49" s="14">
        <f>BA49*3+BC49</f>
        <v>5</v>
      </c>
      <c r="BF49" s="16">
        <f>BE49+BD49</f>
        <v>5</v>
      </c>
      <c r="BG49" s="47"/>
      <c r="BH49" s="53">
        <v>1</v>
      </c>
      <c r="BI49" s="53"/>
      <c r="BJ49" s="27">
        <v>1</v>
      </c>
      <c r="BK49" s="14">
        <f>BG49*3+BI49</f>
        <v>0</v>
      </c>
      <c r="BL49" s="14">
        <f>BH49*3+BJ49</f>
        <v>4</v>
      </c>
      <c r="BM49" s="39">
        <f>BL49+BK49</f>
        <v>4</v>
      </c>
      <c r="BN49" s="47"/>
      <c r="BO49" s="53">
        <v>1</v>
      </c>
      <c r="BP49" s="53"/>
      <c r="BQ49" s="53">
        <v>1</v>
      </c>
      <c r="BR49" s="14">
        <f>BN49*3+BP49</f>
        <v>0</v>
      </c>
      <c r="BS49" s="14">
        <f>BO49*3+BQ49</f>
        <v>4</v>
      </c>
      <c r="BT49" s="39">
        <f>BS49+BR49</f>
        <v>4</v>
      </c>
      <c r="BU49" s="47"/>
      <c r="BV49" s="53"/>
      <c r="BW49" s="53"/>
      <c r="BX49" s="53">
        <v>2</v>
      </c>
      <c r="BY49" s="14">
        <f>BU49*3+BW49</f>
        <v>0</v>
      </c>
      <c r="BZ49" s="14">
        <f>BV49*3+BX49</f>
        <v>2</v>
      </c>
      <c r="CA49" s="39">
        <f>BZ49+BY49</f>
        <v>2</v>
      </c>
      <c r="CB49" s="47"/>
      <c r="CC49" s="53"/>
      <c r="CD49" s="53"/>
      <c r="CE49" s="81">
        <v>3</v>
      </c>
      <c r="CF49" s="14">
        <f>CB49*3+CD49</f>
        <v>0</v>
      </c>
      <c r="CG49" s="14">
        <f>CC49*3+CE49</f>
        <v>3</v>
      </c>
      <c r="CH49" s="39">
        <f>CG49+CF49</f>
        <v>3</v>
      </c>
      <c r="CI49" s="40"/>
      <c r="CJ49" s="40">
        <v>1</v>
      </c>
      <c r="CK49" s="40"/>
      <c r="CL49" s="83">
        <v>1</v>
      </c>
      <c r="CM49" s="14">
        <f>CI49*3+CK49</f>
        <v>0</v>
      </c>
      <c r="CN49" s="14">
        <f>CJ49*3+CL49</f>
        <v>4</v>
      </c>
      <c r="CO49" s="39">
        <f>CN49+CM49</f>
        <v>4</v>
      </c>
      <c r="CP49" s="109"/>
      <c r="CQ49" s="53"/>
      <c r="CR49" s="53"/>
      <c r="CS49" s="53">
        <v>2</v>
      </c>
      <c r="CT49" s="14">
        <f>CP49*3+CR49</f>
        <v>0</v>
      </c>
      <c r="CU49" s="14">
        <f>CQ49*3+CS49</f>
        <v>2</v>
      </c>
      <c r="CV49" s="39">
        <f>CU49+CT49</f>
        <v>2</v>
      </c>
      <c r="CW49" s="32"/>
      <c r="CX49" s="40">
        <v>1</v>
      </c>
      <c r="CY49" s="40"/>
      <c r="CZ49" s="40"/>
      <c r="DA49" s="17">
        <f>CW49*3+CY49</f>
        <v>0</v>
      </c>
      <c r="DB49" s="17">
        <f>CX49*3+CZ49</f>
        <v>3</v>
      </c>
      <c r="DC49" s="18">
        <f>DB49+DA49</f>
        <v>3</v>
      </c>
      <c r="DD49" s="108"/>
      <c r="DE49" s="40"/>
      <c r="DF49" s="40"/>
      <c r="DG49" s="40">
        <v>2</v>
      </c>
      <c r="DH49" s="156">
        <f>DD49*3+DF49</f>
        <v>0</v>
      </c>
      <c r="DI49" s="156">
        <f>DE49*3+DG49</f>
        <v>2</v>
      </c>
      <c r="DJ49" s="18">
        <f>DI49+DH49</f>
        <v>2</v>
      </c>
      <c r="DK49" s="108"/>
      <c r="DL49" s="40">
        <v>1</v>
      </c>
      <c r="DM49" s="40"/>
      <c r="DN49" s="40">
        <v>1</v>
      </c>
      <c r="DO49" s="156">
        <f>DK49*3+DM49</f>
        <v>0</v>
      </c>
      <c r="DP49" s="156">
        <f>DL49*3+DN49</f>
        <v>4</v>
      </c>
      <c r="DQ49" s="18">
        <f>DP49+DO49</f>
        <v>4</v>
      </c>
      <c r="DR49" s="108"/>
      <c r="DS49" s="40"/>
      <c r="DT49" s="40"/>
      <c r="DU49" s="40">
        <v>4</v>
      </c>
      <c r="DV49" s="156">
        <f>DR49*3+DT49</f>
        <v>0</v>
      </c>
      <c r="DW49" s="156">
        <f>DS49*3+DU49</f>
        <v>4</v>
      </c>
      <c r="DX49" s="18">
        <f>DW49+DV49</f>
        <v>4</v>
      </c>
      <c r="DY49" s="108"/>
      <c r="DZ49" s="40">
        <v>1</v>
      </c>
      <c r="EA49" s="40"/>
      <c r="EB49" s="40">
        <v>2</v>
      </c>
      <c r="EC49" s="156">
        <f>DY49*3+EA49</f>
        <v>0</v>
      </c>
      <c r="ED49" s="156">
        <f>DZ49*3+EB49</f>
        <v>5</v>
      </c>
      <c r="EE49" s="18">
        <f>ED49+EC49</f>
        <v>5</v>
      </c>
      <c r="EF49" s="108"/>
      <c r="EG49" s="40">
        <v>1</v>
      </c>
      <c r="EH49" s="40"/>
      <c r="EI49" s="40">
        <v>2</v>
      </c>
      <c r="EJ49" s="156">
        <f>EF49*3+EH49</f>
        <v>0</v>
      </c>
      <c r="EK49" s="156">
        <f>EG49*3+EI49</f>
        <v>5</v>
      </c>
      <c r="EL49" s="18">
        <f>EK49+EJ49</f>
        <v>5</v>
      </c>
      <c r="EM49" s="74">
        <f>SUM(AP49,AI49,AB49,U49,N49,AW49,BD49,BK49,BR49,BY49,CF49,CM49,CT49,DA49,DH49,DO49,DV49,EC49,EJ49)</f>
        <v>8</v>
      </c>
      <c r="EN49" s="75">
        <f ca="1">EM49/(10+TODAY()-G49)</f>
        <v>1.6359918200408999E-2</v>
      </c>
      <c r="EO49" s="76">
        <f>SUM(AQ49,AJ49,AC49,V49,O49,AX49,BE49,BL49,BS49,BZ49,CG49,CN49,CU49,DB49,DI49,DP49,DW49,ED49,EK49)</f>
        <v>49</v>
      </c>
      <c r="EP49" s="75">
        <f ca="1">EO49/(10+TODAY()-G49)</f>
        <v>0.10020449897750511</v>
      </c>
      <c r="EQ49" s="76">
        <f>EM49+EO49</f>
        <v>57</v>
      </c>
      <c r="ER49" s="75">
        <f ca="1">EP49+EN49</f>
        <v>0.1165644171779141</v>
      </c>
      <c r="ES49" s="76">
        <f>SUM(AS49,AL49,AE49,X49,Q49,Q49,J49,AZ49,BG49,BN49,BU49,CB49,CI49,CP49,CW49,DD49,DK49,DR49,DY49,EF49)</f>
        <v>2</v>
      </c>
      <c r="ET49" s="76">
        <f>SUM(AT49,AM49,AF49,Y49,R49,R49,K49,BA49,BH49,BO49,BV49,CC49,CJ49,CQ49,CX49,DE49,DL49,DS49,DZ49,EG49)</f>
        <v>8</v>
      </c>
      <c r="EU49" s="76">
        <f>ET49+ES49</f>
        <v>10</v>
      </c>
    </row>
    <row r="50" spans="1:151" x14ac:dyDescent="0.25">
      <c r="A50" s="10">
        <v>474</v>
      </c>
      <c r="B50" s="24" t="s">
        <v>124</v>
      </c>
      <c r="C50" s="11" t="str">
        <f>B50&amp;" "&amp;A50</f>
        <v>שובל 474</v>
      </c>
      <c r="D50" s="23" t="s">
        <v>7</v>
      </c>
      <c r="E50" s="23" t="s">
        <v>7</v>
      </c>
      <c r="F50" s="31" t="s">
        <v>147</v>
      </c>
      <c r="G50" s="30">
        <v>43101</v>
      </c>
      <c r="H50" s="31"/>
      <c r="I50" s="245"/>
      <c r="J50" s="51"/>
      <c r="K50" s="52"/>
      <c r="L50" s="52"/>
      <c r="M50" s="52"/>
      <c r="N50" s="50">
        <f>J50*3+L50</f>
        <v>0</v>
      </c>
      <c r="O50" s="50">
        <f>K50*3+M50</f>
        <v>0</v>
      </c>
      <c r="P50" s="15">
        <f>O50+N50</f>
        <v>0</v>
      </c>
      <c r="Q50" s="25"/>
      <c r="R50" s="27"/>
      <c r="S50" s="27"/>
      <c r="T50" s="27"/>
      <c r="U50" s="14">
        <f>Q50*3+S50</f>
        <v>0</v>
      </c>
      <c r="V50" s="14">
        <f>R50*3+T50</f>
        <v>0</v>
      </c>
      <c r="W50" s="16">
        <f>V50+U50</f>
        <v>0</v>
      </c>
      <c r="X50" s="25"/>
      <c r="Y50" s="27"/>
      <c r="Z50" s="27"/>
      <c r="AA50" s="27"/>
      <c r="AB50" s="17">
        <f>X50*3+Z50</f>
        <v>0</v>
      </c>
      <c r="AC50" s="17">
        <f>Y50*3+AA50</f>
        <v>0</v>
      </c>
      <c r="AD50" s="18">
        <f>AC50+AB50</f>
        <v>0</v>
      </c>
      <c r="AE50" s="25"/>
      <c r="AF50" s="27"/>
      <c r="AG50" s="27"/>
      <c r="AH50" s="27"/>
      <c r="AI50" s="14">
        <f>AE50*3+AG50</f>
        <v>0</v>
      </c>
      <c r="AJ50" s="14">
        <f>AF50*3+AH50</f>
        <v>0</v>
      </c>
      <c r="AK50" s="16">
        <f>AJ50+AI50</f>
        <v>0</v>
      </c>
      <c r="AL50" s="25"/>
      <c r="AM50" s="27"/>
      <c r="AN50" s="27"/>
      <c r="AO50" s="27"/>
      <c r="AP50" s="14">
        <f>AL50*3+AN50</f>
        <v>0</v>
      </c>
      <c r="AQ50" s="14">
        <f>AM50*3+AO50</f>
        <v>0</v>
      </c>
      <c r="AR50" s="16">
        <f>AQ50+AP50</f>
        <v>0</v>
      </c>
      <c r="AS50" s="25"/>
      <c r="AT50" s="27"/>
      <c r="AU50" s="27"/>
      <c r="AV50" s="27"/>
      <c r="AW50" s="14">
        <f>AS50*3+AU50</f>
        <v>0</v>
      </c>
      <c r="AX50" s="14">
        <f>AT50*3+AV50</f>
        <v>0</v>
      </c>
      <c r="AY50" s="16">
        <f>AX50+AW50</f>
        <v>0</v>
      </c>
      <c r="AZ50" s="25"/>
      <c r="BA50" s="27"/>
      <c r="BB50" s="27"/>
      <c r="BC50" s="27"/>
      <c r="BD50" s="14">
        <f>AZ50*3+BB50</f>
        <v>0</v>
      </c>
      <c r="BE50" s="14">
        <f>BA50*3+BC50</f>
        <v>0</v>
      </c>
      <c r="BF50" s="16">
        <f>BE50+BD50</f>
        <v>0</v>
      </c>
      <c r="BG50" s="47">
        <v>1</v>
      </c>
      <c r="BH50" s="53"/>
      <c r="BI50" s="27"/>
      <c r="BJ50" s="27"/>
      <c r="BK50" s="14">
        <f>BG50*3+BI50</f>
        <v>3</v>
      </c>
      <c r="BL50" s="14">
        <f>BH50*3+BJ50</f>
        <v>0</v>
      </c>
      <c r="BM50" s="39">
        <f>BL50+BK50</f>
        <v>3</v>
      </c>
      <c r="BN50" s="47"/>
      <c r="BO50" s="53"/>
      <c r="BP50" s="53">
        <v>3</v>
      </c>
      <c r="BQ50" s="53">
        <v>1</v>
      </c>
      <c r="BR50" s="14">
        <f>BN50*3+BP50</f>
        <v>3</v>
      </c>
      <c r="BS50" s="14">
        <f>BO50*3+BQ50</f>
        <v>1</v>
      </c>
      <c r="BT50" s="39">
        <f>BS50+BR50</f>
        <v>4</v>
      </c>
      <c r="BU50" s="47">
        <v>1</v>
      </c>
      <c r="BV50" s="53"/>
      <c r="BW50" s="53">
        <v>1</v>
      </c>
      <c r="BX50" s="53"/>
      <c r="BY50" s="14">
        <f>BU50*3+BW50</f>
        <v>4</v>
      </c>
      <c r="BZ50" s="14">
        <f>BV50*3+BX50</f>
        <v>0</v>
      </c>
      <c r="CA50" s="39">
        <f>BZ50+BY50</f>
        <v>4</v>
      </c>
      <c r="CB50" s="47"/>
      <c r="CC50" s="53"/>
      <c r="CD50" s="53">
        <v>2</v>
      </c>
      <c r="CE50" s="81"/>
      <c r="CF50" s="14">
        <f>CB50*3+CD50</f>
        <v>2</v>
      </c>
      <c r="CG50" s="14">
        <f>CC50*3+CE50</f>
        <v>0</v>
      </c>
      <c r="CH50" s="39">
        <f>CG50+CF50</f>
        <v>2</v>
      </c>
      <c r="CI50" s="40"/>
      <c r="CJ50" s="40">
        <v>1</v>
      </c>
      <c r="CK50" s="40"/>
      <c r="CL50" s="83">
        <v>1</v>
      </c>
      <c r="CM50" s="14">
        <f>CI50*3+CK50</f>
        <v>0</v>
      </c>
      <c r="CN50" s="14">
        <f>CJ50*3+CL50</f>
        <v>4</v>
      </c>
      <c r="CO50" s="39">
        <f>CN50+CM50</f>
        <v>4</v>
      </c>
      <c r="CP50" s="109"/>
      <c r="CQ50" s="53"/>
      <c r="CR50" s="53"/>
      <c r="CS50" s="53">
        <v>2</v>
      </c>
      <c r="CT50" s="14">
        <f>CP50*3+CR50</f>
        <v>0</v>
      </c>
      <c r="CU50" s="14">
        <f>CQ50*3+CS50</f>
        <v>2</v>
      </c>
      <c r="CV50" s="39">
        <f>CU50+CT50</f>
        <v>2</v>
      </c>
      <c r="CW50" s="32"/>
      <c r="CX50" s="40">
        <v>1</v>
      </c>
      <c r="CY50" s="40"/>
      <c r="CZ50" s="40">
        <v>1</v>
      </c>
      <c r="DA50" s="17">
        <f>CW50*3+CY50</f>
        <v>0</v>
      </c>
      <c r="DB50" s="17">
        <f>CX50*3+CZ50</f>
        <v>4</v>
      </c>
      <c r="DC50" s="18">
        <f>DB50+DA50</f>
        <v>4</v>
      </c>
      <c r="DD50" s="108"/>
      <c r="DE50" s="40"/>
      <c r="DF50" s="40"/>
      <c r="DG50" s="40">
        <v>3</v>
      </c>
      <c r="DH50" s="156">
        <f>DD50*3+DF50</f>
        <v>0</v>
      </c>
      <c r="DI50" s="156">
        <f>DE50*3+DG50</f>
        <v>3</v>
      </c>
      <c r="DJ50" s="18">
        <f>DI50+DH50</f>
        <v>3</v>
      </c>
      <c r="DK50" s="108"/>
      <c r="DL50" s="40">
        <v>1</v>
      </c>
      <c r="DM50" s="40"/>
      <c r="DN50" s="40"/>
      <c r="DO50" s="156">
        <f>DK50*3+DM50</f>
        <v>0</v>
      </c>
      <c r="DP50" s="156">
        <f>DL50*3+DN50</f>
        <v>3</v>
      </c>
      <c r="DQ50" s="18">
        <f>DP50+DO50</f>
        <v>3</v>
      </c>
      <c r="DR50" s="108"/>
      <c r="DS50" s="40"/>
      <c r="DT50" s="40"/>
      <c r="DU50" s="40">
        <v>3</v>
      </c>
      <c r="DV50" s="156">
        <f>DR50*3+DT50</f>
        <v>0</v>
      </c>
      <c r="DW50" s="156">
        <f>DS50*3+DU50</f>
        <v>3</v>
      </c>
      <c r="DX50" s="18">
        <f>DW50+DV50</f>
        <v>3</v>
      </c>
      <c r="DY50" s="108"/>
      <c r="DZ50" s="40">
        <v>1</v>
      </c>
      <c r="EA50" s="40"/>
      <c r="EB50" s="40">
        <v>2</v>
      </c>
      <c r="EC50" s="156">
        <f>DY50*3+EA50</f>
        <v>0</v>
      </c>
      <c r="ED50" s="156">
        <f>DZ50*3+EB50</f>
        <v>5</v>
      </c>
      <c r="EE50" s="18">
        <f>ED50+EC50</f>
        <v>5</v>
      </c>
      <c r="EF50" s="108"/>
      <c r="EG50" s="40">
        <v>1</v>
      </c>
      <c r="EH50" s="40"/>
      <c r="EI50" s="40">
        <v>2</v>
      </c>
      <c r="EJ50" s="156">
        <f>EF50*3+EH50</f>
        <v>0</v>
      </c>
      <c r="EK50" s="156">
        <f>EG50*3+EI50</f>
        <v>5</v>
      </c>
      <c r="EL50" s="18">
        <f>EK50+EJ50</f>
        <v>5</v>
      </c>
      <c r="EM50" s="74">
        <f>SUM(AP50,AI50,AB50,U50,N50,AW50,BD50,BK50,BR50,BY50,CF50,CM50,CT50,DA50,DH50,DO50,DV50,EC50,EJ50)</f>
        <v>12</v>
      </c>
      <c r="EN50" s="75">
        <f ca="1">EM50/(10+TODAY()-G50)</f>
        <v>3.2697547683923703E-2</v>
      </c>
      <c r="EO50" s="76">
        <f>SUM(AQ50,AJ50,AC50,V50,O50,AX50,BE50,BL50,BS50,BZ50,CG50,CN50,CU50,DB50,DI50,DP50,DW50,ED50,EK50)</f>
        <v>30</v>
      </c>
      <c r="EP50" s="75">
        <f ca="1">EO50/(10+TODAY()-G50)</f>
        <v>8.1743869209809264E-2</v>
      </c>
      <c r="EQ50" s="76">
        <f>EM50+EO50</f>
        <v>42</v>
      </c>
      <c r="ER50" s="75">
        <f ca="1">EP50+EN50</f>
        <v>0.11444141689373297</v>
      </c>
      <c r="ES50" s="76">
        <f>SUM(AS50,AL50,AE50,X50,Q50,Q50,J50,AZ50,BG50,BN50,BU50,CB50,CI50,CP50,CW50,DD50,DK50,DR50,DY50,EF50)</f>
        <v>2</v>
      </c>
      <c r="ET50" s="76">
        <f>SUM(AT50,AM50,AF50,Y50,R50,R50,K50,BA50,BH50,BO50,BV50,CC50,CJ50,CQ50,CX50,DE50,DL50,DS50,DZ50,EG50)</f>
        <v>5</v>
      </c>
      <c r="EU50" s="76">
        <f>ET50+ES50</f>
        <v>7</v>
      </c>
    </row>
    <row r="51" spans="1:151" x14ac:dyDescent="0.25">
      <c r="A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37"/>
      <c r="BO51" s="37"/>
      <c r="BP51" s="37"/>
      <c r="BQ51" s="37"/>
      <c r="BR51" s="37"/>
      <c r="BS51" s="9"/>
      <c r="BT51" s="9"/>
      <c r="BU51" s="37"/>
      <c r="BV51" s="37"/>
      <c r="BW51" s="37"/>
      <c r="BY51" s="37"/>
      <c r="BZ51" s="9"/>
      <c r="CA51" s="9"/>
      <c r="CB51" s="37"/>
      <c r="CC51" s="37"/>
      <c r="CD51" s="37"/>
      <c r="CE51" s="37"/>
      <c r="CF51" s="37"/>
      <c r="CG51" s="9"/>
      <c r="CH51" s="9"/>
      <c r="CI51" s="37"/>
      <c r="CJ51" s="37"/>
      <c r="CK51" s="37"/>
      <c r="CM51" s="37"/>
      <c r="CN51" s="9"/>
      <c r="CO51" s="9"/>
      <c r="CP51" s="37"/>
      <c r="CQ51" s="37"/>
      <c r="CR51" s="37"/>
      <c r="CS51" s="37"/>
      <c r="CT51" s="37"/>
      <c r="CU51" s="9"/>
      <c r="CV51" s="9"/>
      <c r="CW51" s="37"/>
      <c r="CX51" s="37"/>
      <c r="CY51" s="37"/>
      <c r="CZ51" s="37"/>
      <c r="DA51" s="37"/>
      <c r="DB51" s="9"/>
      <c r="DC51" s="9"/>
      <c r="DD51" s="37"/>
      <c r="DE51" s="37"/>
      <c r="DF51" s="37"/>
      <c r="DG51" s="37"/>
      <c r="DH51" s="153"/>
      <c r="DI51" s="154"/>
      <c r="DJ51" s="154"/>
      <c r="DK51" s="153"/>
      <c r="DL51" s="153"/>
      <c r="DM51" s="153"/>
      <c r="DN51" s="153"/>
      <c r="DO51" s="153"/>
      <c r="DP51" s="154"/>
      <c r="DQ51" s="154"/>
      <c r="DR51" s="153"/>
      <c r="DS51" s="153"/>
      <c r="DT51" s="153"/>
      <c r="DU51" s="153"/>
      <c r="DV51" s="153"/>
      <c r="DW51" s="154"/>
      <c r="DX51" s="154"/>
      <c r="DY51" s="153"/>
      <c r="DZ51" s="153"/>
      <c r="EA51" s="153"/>
      <c r="EB51" s="153"/>
      <c r="EC51" s="153"/>
      <c r="ED51" s="154"/>
      <c r="EE51" s="154"/>
      <c r="EF51" s="153"/>
      <c r="EG51" s="153"/>
      <c r="EH51" s="153"/>
      <c r="EI51" s="153"/>
      <c r="EJ51" s="153"/>
      <c r="EK51" s="154"/>
      <c r="EL51" s="154"/>
    </row>
    <row r="52" spans="1:151" x14ac:dyDescent="0.25">
      <c r="A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37"/>
      <c r="BO52" s="37"/>
      <c r="BP52" s="37"/>
      <c r="BQ52" s="37"/>
      <c r="BR52" s="37"/>
      <c r="BS52" s="9"/>
      <c r="BT52" s="9"/>
      <c r="BU52" s="37"/>
      <c r="BV52" s="37"/>
      <c r="BW52" s="37"/>
      <c r="BY52" s="37"/>
      <c r="BZ52" s="9"/>
      <c r="CA52" s="9"/>
      <c r="CB52" s="37"/>
      <c r="CC52" s="37"/>
      <c r="CD52" s="37"/>
      <c r="CE52" s="37"/>
      <c r="CF52" s="37"/>
      <c r="CG52" s="9"/>
      <c r="CH52" s="9"/>
      <c r="CI52" s="37"/>
      <c r="CJ52" s="37"/>
      <c r="CK52" s="37"/>
      <c r="CM52" s="37"/>
      <c r="CN52" s="9"/>
      <c r="CO52" s="9"/>
      <c r="CP52" s="37"/>
      <c r="CQ52" s="37"/>
      <c r="CR52" s="37"/>
      <c r="CS52" s="37"/>
      <c r="CT52" s="37"/>
      <c r="CU52" s="9"/>
      <c r="CV52" s="9"/>
      <c r="CW52" s="37"/>
      <c r="CX52" s="37"/>
      <c r="CY52" s="37"/>
      <c r="CZ52" s="37"/>
      <c r="DA52" s="37"/>
      <c r="DB52" s="9"/>
      <c r="DC52" s="9"/>
      <c r="DD52" s="37"/>
      <c r="DE52" s="37"/>
      <c r="DF52" s="37"/>
      <c r="DG52" s="37"/>
      <c r="DH52" s="153"/>
      <c r="DI52" s="154"/>
      <c r="DJ52" s="154"/>
      <c r="DK52" s="153"/>
      <c r="DL52" s="153"/>
      <c r="DM52" s="153"/>
      <c r="DN52" s="153"/>
      <c r="DO52" s="153"/>
      <c r="DP52" s="154"/>
      <c r="DQ52" s="154"/>
      <c r="DR52" s="153"/>
      <c r="DS52" s="153"/>
      <c r="DT52" s="153"/>
      <c r="DU52" s="153"/>
      <c r="DV52" s="153"/>
      <c r="DW52" s="154"/>
      <c r="DX52" s="154"/>
      <c r="DY52" s="153"/>
      <c r="DZ52" s="153"/>
      <c r="EA52" s="153"/>
      <c r="EB52" s="153"/>
      <c r="EC52" s="153"/>
      <c r="ED52" s="154"/>
      <c r="EE52" s="154"/>
      <c r="EF52" s="153"/>
      <c r="EG52" s="153"/>
      <c r="EH52" s="153"/>
      <c r="EI52" s="153"/>
      <c r="EJ52" s="153"/>
      <c r="EK52" s="154"/>
      <c r="EL52" s="154"/>
    </row>
    <row r="53" spans="1:151" ht="21" x14ac:dyDescent="0.35">
      <c r="A53" s="9"/>
      <c r="F53" s="115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1:151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1:151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1:151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37"/>
      <c r="BO56" s="37"/>
      <c r="BP56" s="37"/>
      <c r="BQ56" s="37"/>
      <c r="BR56" s="37"/>
      <c r="BS56" s="9"/>
      <c r="BT56" s="9"/>
      <c r="BU56" s="37"/>
      <c r="BV56" s="37"/>
      <c r="BW56" s="37"/>
      <c r="BY56" s="37"/>
      <c r="BZ56" s="9"/>
      <c r="CA56" s="9"/>
      <c r="CB56" s="37"/>
      <c r="CC56" s="37"/>
      <c r="CD56" s="37"/>
      <c r="CE56" s="37"/>
      <c r="CF56" s="37"/>
      <c r="CG56" s="9"/>
      <c r="CH56" s="9"/>
      <c r="CI56" s="37"/>
      <c r="CJ56" s="37"/>
      <c r="CK56" s="37"/>
      <c r="CM56" s="37"/>
      <c r="CN56" s="9"/>
      <c r="CO56" s="9"/>
      <c r="CP56" s="37"/>
      <c r="CQ56" s="37"/>
      <c r="CR56" s="37"/>
      <c r="CS56" s="37"/>
      <c r="CT56" s="37"/>
      <c r="CU56" s="9"/>
      <c r="CV56" s="9"/>
      <c r="CW56" s="37"/>
      <c r="CX56" s="37"/>
      <c r="CY56" s="37"/>
      <c r="CZ56" s="37"/>
      <c r="DA56" s="37"/>
      <c r="DB56" s="9"/>
      <c r="DC56" s="9"/>
      <c r="DD56" s="37"/>
      <c r="DE56" s="37"/>
      <c r="DF56" s="37"/>
      <c r="DG56" s="37"/>
      <c r="DH56" s="153"/>
      <c r="DI56" s="154"/>
      <c r="DJ56" s="154"/>
      <c r="DK56" s="153"/>
      <c r="DL56" s="153"/>
      <c r="DM56" s="153"/>
      <c r="DN56" s="153"/>
      <c r="DO56" s="153"/>
      <c r="DP56" s="154"/>
      <c r="DQ56" s="154"/>
      <c r="DR56" s="153"/>
      <c r="DS56" s="153"/>
      <c r="DT56" s="153"/>
      <c r="DU56" s="153"/>
      <c r="DV56" s="153"/>
      <c r="DW56" s="154"/>
      <c r="DX56" s="154"/>
      <c r="DY56" s="153"/>
      <c r="DZ56" s="153"/>
      <c r="EA56" s="153"/>
      <c r="EB56" s="153"/>
      <c r="EC56" s="153"/>
      <c r="ED56" s="154"/>
      <c r="EE56" s="154"/>
      <c r="EF56" s="153"/>
      <c r="EG56" s="153"/>
      <c r="EH56" s="153"/>
      <c r="EI56" s="153"/>
      <c r="EJ56" s="153"/>
      <c r="EK56" s="154"/>
      <c r="EL56" s="154"/>
    </row>
    <row r="57" spans="1:151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37"/>
      <c r="BO57" s="37"/>
      <c r="BP57" s="37"/>
      <c r="BQ57" s="37"/>
      <c r="BR57" s="37"/>
      <c r="BS57" s="9"/>
      <c r="BT57" s="9"/>
      <c r="BU57" s="37"/>
      <c r="BV57" s="37"/>
      <c r="BW57" s="37"/>
      <c r="BY57" s="37"/>
      <c r="BZ57" s="9"/>
      <c r="CA57" s="9"/>
      <c r="CB57" s="37"/>
      <c r="CC57" s="37"/>
      <c r="CD57" s="37"/>
      <c r="CE57" s="37"/>
      <c r="CF57" s="37"/>
      <c r="CG57" s="9"/>
      <c r="CH57" s="9"/>
      <c r="CI57" s="37"/>
      <c r="CJ57" s="37"/>
      <c r="CK57" s="37"/>
      <c r="CM57" s="37"/>
      <c r="CN57" s="9"/>
      <c r="CO57" s="9"/>
      <c r="CP57" s="37"/>
      <c r="CQ57" s="37"/>
      <c r="CR57" s="37"/>
      <c r="CS57" s="37"/>
      <c r="CT57" s="37"/>
      <c r="CU57" s="9"/>
      <c r="CV57" s="9"/>
      <c r="CW57" s="37"/>
      <c r="CX57" s="37"/>
      <c r="CY57" s="37"/>
      <c r="CZ57" s="37"/>
      <c r="DA57" s="37"/>
      <c r="DB57" s="9"/>
      <c r="DC57" s="9"/>
      <c r="DD57" s="37"/>
      <c r="DE57" s="37"/>
      <c r="DF57" s="37"/>
      <c r="DG57" s="37"/>
      <c r="DH57" s="153"/>
      <c r="DI57" s="154"/>
      <c r="DJ57" s="154"/>
      <c r="DK57" s="153"/>
      <c r="DL57" s="153"/>
      <c r="DM57" s="153"/>
      <c r="DN57" s="153"/>
      <c r="DO57" s="153"/>
      <c r="DP57" s="154"/>
      <c r="DQ57" s="154"/>
      <c r="DR57" s="153"/>
      <c r="DS57" s="153"/>
      <c r="DT57" s="153"/>
      <c r="DU57" s="153"/>
      <c r="DV57" s="153"/>
      <c r="DW57" s="154"/>
      <c r="DX57" s="154"/>
      <c r="DY57" s="153"/>
      <c r="DZ57" s="153"/>
      <c r="EA57" s="153"/>
      <c r="EB57" s="153"/>
      <c r="EC57" s="153"/>
      <c r="ED57" s="154"/>
      <c r="EE57" s="154"/>
      <c r="EF57" s="153"/>
      <c r="EG57" s="153"/>
      <c r="EH57" s="153"/>
      <c r="EI57" s="153"/>
      <c r="EJ57" s="153"/>
      <c r="EK57" s="154"/>
      <c r="EL57" s="154"/>
    </row>
    <row r="58" spans="1:151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37"/>
      <c r="BO58" s="37"/>
      <c r="BP58" s="37"/>
      <c r="BQ58" s="37"/>
      <c r="BR58" s="37"/>
      <c r="BS58" s="9"/>
      <c r="BT58" s="9"/>
      <c r="BU58" s="37"/>
      <c r="BV58" s="37"/>
      <c r="BW58" s="37"/>
      <c r="BY58" s="37"/>
      <c r="BZ58" s="9"/>
      <c r="CA58" s="9"/>
      <c r="CB58" s="37"/>
      <c r="CC58" s="37"/>
      <c r="CD58" s="37"/>
      <c r="CE58" s="37"/>
      <c r="CF58" s="37"/>
      <c r="CG58" s="9"/>
      <c r="CH58" s="9"/>
      <c r="CI58" s="37"/>
      <c r="CJ58" s="37"/>
      <c r="CK58" s="37"/>
      <c r="CM58" s="37"/>
      <c r="CN58" s="9"/>
      <c r="CO58" s="9"/>
      <c r="CP58" s="37"/>
      <c r="CQ58" s="37"/>
      <c r="CR58" s="37"/>
      <c r="CS58" s="37"/>
      <c r="CT58" s="37"/>
      <c r="CU58" s="9"/>
      <c r="CV58" s="9"/>
      <c r="CW58" s="37"/>
      <c r="CX58" s="37"/>
      <c r="CY58" s="37"/>
      <c r="CZ58" s="37"/>
      <c r="DA58" s="37"/>
      <c r="DB58" s="9"/>
      <c r="DC58" s="9"/>
      <c r="DD58" s="37"/>
      <c r="DE58" s="37"/>
      <c r="DF58" s="37"/>
      <c r="DG58" s="37"/>
      <c r="DH58" s="153"/>
      <c r="DI58" s="154"/>
      <c r="DJ58" s="154"/>
      <c r="DK58" s="153"/>
      <c r="DL58" s="153"/>
      <c r="DM58" s="153"/>
      <c r="DN58" s="153"/>
      <c r="DO58" s="153"/>
      <c r="DP58" s="154"/>
      <c r="DQ58" s="154"/>
      <c r="DR58" s="153"/>
      <c r="DS58" s="153"/>
      <c r="DT58" s="153"/>
      <c r="DU58" s="153"/>
      <c r="DV58" s="153"/>
      <c r="DW58" s="154"/>
      <c r="DX58" s="154"/>
      <c r="DY58" s="153"/>
      <c r="DZ58" s="153"/>
      <c r="EA58" s="153"/>
      <c r="EB58" s="153"/>
      <c r="EC58" s="153"/>
      <c r="ED58" s="154"/>
      <c r="EE58" s="154"/>
      <c r="EF58" s="153"/>
      <c r="EG58" s="153"/>
      <c r="EH58" s="153"/>
      <c r="EI58" s="153"/>
      <c r="EJ58" s="153"/>
      <c r="EK58" s="154"/>
      <c r="EL58" s="154"/>
    </row>
    <row r="59" spans="1:151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37"/>
      <c r="BO59" s="37"/>
      <c r="BP59" s="37"/>
      <c r="BQ59" s="37"/>
      <c r="BR59" s="37"/>
      <c r="BS59" s="9"/>
      <c r="BT59" s="9"/>
      <c r="BU59" s="37"/>
      <c r="BV59" s="37"/>
      <c r="BW59" s="37"/>
      <c r="BY59" s="37"/>
      <c r="BZ59" s="9"/>
      <c r="CA59" s="9"/>
      <c r="CB59" s="37"/>
      <c r="CC59" s="37"/>
      <c r="CD59" s="37"/>
      <c r="CE59" s="37"/>
      <c r="CF59" s="37"/>
      <c r="CG59" s="9"/>
      <c r="CH59" s="9"/>
      <c r="CI59" s="37"/>
      <c r="CJ59" s="37"/>
      <c r="CK59" s="37"/>
      <c r="CM59" s="37"/>
      <c r="CN59" s="9"/>
      <c r="CO59" s="9"/>
      <c r="CP59" s="37"/>
      <c r="CQ59" s="37"/>
      <c r="CR59" s="37"/>
      <c r="CS59" s="37"/>
      <c r="CT59" s="37"/>
      <c r="CU59" s="9"/>
      <c r="CV59" s="9"/>
      <c r="CW59" s="37"/>
      <c r="CX59" s="37"/>
      <c r="CY59" s="37"/>
      <c r="CZ59" s="37"/>
      <c r="DA59" s="37"/>
      <c r="DB59" s="9"/>
      <c r="DC59" s="9"/>
      <c r="DD59" s="37"/>
      <c r="DE59" s="37"/>
      <c r="DF59" s="37"/>
      <c r="DG59" s="37"/>
      <c r="DH59" s="153"/>
      <c r="DI59" s="154"/>
      <c r="DJ59" s="154"/>
      <c r="DK59" s="153"/>
      <c r="DL59" s="153"/>
      <c r="DM59" s="153"/>
      <c r="DN59" s="153"/>
      <c r="DO59" s="153"/>
      <c r="DP59" s="154"/>
      <c r="DQ59" s="154"/>
      <c r="DR59" s="153"/>
      <c r="DS59" s="153"/>
      <c r="DT59" s="153"/>
      <c r="DU59" s="153"/>
      <c r="DV59" s="153"/>
      <c r="DW59" s="154"/>
      <c r="DX59" s="154"/>
      <c r="DY59" s="153"/>
      <c r="DZ59" s="153"/>
      <c r="EA59" s="153"/>
      <c r="EB59" s="153"/>
      <c r="EC59" s="153"/>
      <c r="ED59" s="154"/>
      <c r="EE59" s="154"/>
      <c r="EF59" s="153"/>
      <c r="EG59" s="153"/>
      <c r="EH59" s="153"/>
      <c r="EI59" s="153"/>
      <c r="EJ59" s="153"/>
      <c r="EK59" s="154"/>
      <c r="EL59" s="154"/>
    </row>
    <row r="60" spans="1:151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37"/>
      <c r="BO60" s="37"/>
      <c r="BP60" s="37"/>
      <c r="BQ60" s="37"/>
      <c r="BR60" s="37"/>
      <c r="BS60" s="9"/>
      <c r="BT60" s="9"/>
      <c r="BU60" s="37"/>
      <c r="BV60" s="37"/>
      <c r="BW60" s="37"/>
      <c r="BY60" s="37"/>
      <c r="BZ60" s="9"/>
      <c r="CA60" s="9"/>
      <c r="CB60" s="37"/>
      <c r="CC60" s="37"/>
      <c r="CD60" s="37"/>
      <c r="CE60" s="37"/>
      <c r="CF60" s="37"/>
      <c r="CG60" s="9"/>
      <c r="CH60" s="9"/>
      <c r="CI60" s="37"/>
      <c r="CJ60" s="37"/>
      <c r="CK60" s="37"/>
      <c r="CM60" s="37"/>
      <c r="CN60" s="9"/>
      <c r="CO60" s="9"/>
      <c r="CP60" s="37"/>
      <c r="CQ60" s="37"/>
      <c r="CR60" s="37"/>
      <c r="CS60" s="37"/>
      <c r="CT60" s="37"/>
      <c r="CU60" s="9"/>
      <c r="CV60" s="9"/>
      <c r="CW60" s="37"/>
      <c r="CX60" s="37"/>
      <c r="CY60" s="37"/>
      <c r="CZ60" s="37"/>
      <c r="DA60" s="37"/>
      <c r="DB60" s="9"/>
      <c r="DC60" s="9"/>
      <c r="DD60" s="37"/>
      <c r="DE60" s="37"/>
      <c r="DF60" s="37"/>
      <c r="DG60" s="37"/>
      <c r="DH60" s="153"/>
      <c r="DI60" s="154"/>
      <c r="DJ60" s="154"/>
      <c r="DK60" s="153"/>
      <c r="DL60" s="153"/>
      <c r="DM60" s="153"/>
      <c r="DN60" s="153"/>
      <c r="DO60" s="153"/>
      <c r="DP60" s="154"/>
      <c r="DQ60" s="154"/>
      <c r="DR60" s="153"/>
      <c r="DS60" s="153"/>
      <c r="DT60" s="153"/>
      <c r="DU60" s="153"/>
      <c r="DV60" s="153"/>
      <c r="DW60" s="154"/>
      <c r="DX60" s="154"/>
      <c r="DY60" s="153"/>
      <c r="DZ60" s="153"/>
      <c r="EA60" s="153"/>
      <c r="EB60" s="153"/>
      <c r="EC60" s="153"/>
      <c r="ED60" s="154"/>
      <c r="EE60" s="154"/>
      <c r="EF60" s="153"/>
      <c r="EG60" s="153"/>
      <c r="EH60" s="153"/>
      <c r="EI60" s="153"/>
      <c r="EJ60" s="153"/>
      <c r="EK60" s="154"/>
      <c r="EL60" s="154"/>
    </row>
    <row r="61" spans="1:151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37"/>
      <c r="BO61" s="37"/>
      <c r="BP61" s="37"/>
      <c r="BQ61" s="37"/>
      <c r="BR61" s="37"/>
      <c r="BS61" s="9"/>
      <c r="BT61" s="9"/>
      <c r="BU61" s="37"/>
      <c r="BV61" s="37"/>
      <c r="BW61" s="37"/>
      <c r="BY61" s="37"/>
      <c r="BZ61" s="9"/>
      <c r="CA61" s="9"/>
      <c r="CB61" s="37"/>
      <c r="CC61" s="37"/>
      <c r="CD61" s="37"/>
      <c r="CE61" s="37"/>
      <c r="CF61" s="37"/>
      <c r="CG61" s="9"/>
      <c r="CH61" s="9"/>
      <c r="CI61" s="37"/>
      <c r="CJ61" s="37"/>
      <c r="CK61" s="37"/>
      <c r="CM61" s="37"/>
      <c r="CN61" s="9"/>
      <c r="CO61" s="9"/>
      <c r="CP61" s="37"/>
      <c r="CQ61" s="37"/>
      <c r="CR61" s="37"/>
      <c r="CS61" s="37"/>
      <c r="CT61" s="37"/>
      <c r="CU61" s="9"/>
      <c r="CV61" s="9"/>
      <c r="CW61" s="37"/>
      <c r="CX61" s="37"/>
      <c r="CY61" s="37"/>
      <c r="CZ61" s="37"/>
      <c r="DA61" s="37"/>
      <c r="DB61" s="9"/>
      <c r="DC61" s="9"/>
      <c r="DD61" s="37"/>
      <c r="DE61" s="37"/>
      <c r="DF61" s="37"/>
      <c r="DG61" s="37"/>
      <c r="DH61" s="153"/>
      <c r="DI61" s="154"/>
      <c r="DJ61" s="154"/>
      <c r="DK61" s="153"/>
      <c r="DL61" s="153"/>
      <c r="DM61" s="153"/>
      <c r="DN61" s="153"/>
      <c r="DO61" s="153"/>
      <c r="DP61" s="154"/>
      <c r="DQ61" s="154"/>
      <c r="DR61" s="153"/>
      <c r="DS61" s="153"/>
      <c r="DT61" s="153"/>
      <c r="DU61" s="153"/>
      <c r="DV61" s="153"/>
      <c r="DW61" s="154"/>
      <c r="DX61" s="154"/>
      <c r="DY61" s="153"/>
      <c r="DZ61" s="153"/>
      <c r="EA61" s="153"/>
      <c r="EB61" s="153"/>
      <c r="EC61" s="153"/>
      <c r="ED61" s="154"/>
      <c r="EE61" s="154"/>
      <c r="EF61" s="153"/>
      <c r="EG61" s="153"/>
      <c r="EH61" s="153"/>
      <c r="EI61" s="153"/>
      <c r="EJ61" s="153"/>
      <c r="EK61" s="154"/>
      <c r="EL61" s="154"/>
    </row>
    <row r="62" spans="1:151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37"/>
      <c r="BO62" s="37"/>
      <c r="BP62" s="37"/>
      <c r="BQ62" s="37"/>
      <c r="BR62" s="37"/>
      <c r="BS62" s="9"/>
      <c r="BT62" s="9"/>
      <c r="BU62" s="37"/>
      <c r="BV62" s="37"/>
      <c r="BW62" s="37"/>
      <c r="BY62" s="37"/>
      <c r="BZ62" s="9"/>
      <c r="CA62" s="9"/>
      <c r="CB62" s="37"/>
      <c r="CC62" s="37"/>
      <c r="CD62" s="37"/>
      <c r="CE62" s="37"/>
      <c r="CF62" s="37"/>
      <c r="CG62" s="9"/>
      <c r="CH62" s="9"/>
      <c r="CI62" s="37"/>
      <c r="CJ62" s="37"/>
      <c r="CK62" s="37"/>
      <c r="CM62" s="37"/>
      <c r="CN62" s="9"/>
      <c r="CO62" s="9"/>
      <c r="CP62" s="37"/>
      <c r="CQ62" s="37"/>
      <c r="CR62" s="37"/>
      <c r="CS62" s="37"/>
      <c r="CT62" s="37"/>
      <c r="CU62" s="9"/>
      <c r="CV62" s="9"/>
      <c r="CW62" s="37"/>
      <c r="CX62" s="37"/>
      <c r="CY62" s="37"/>
      <c r="CZ62" s="37"/>
      <c r="DA62" s="37"/>
      <c r="DB62" s="9"/>
      <c r="DC62" s="9"/>
      <c r="DD62" s="37"/>
      <c r="DE62" s="37"/>
      <c r="DF62" s="37"/>
      <c r="DG62" s="37"/>
      <c r="DH62" s="153"/>
      <c r="DI62" s="154"/>
      <c r="DJ62" s="154"/>
      <c r="DK62" s="153"/>
      <c r="DL62" s="153"/>
      <c r="DM62" s="153"/>
      <c r="DN62" s="153"/>
      <c r="DO62" s="153"/>
      <c r="DP62" s="154"/>
      <c r="DQ62" s="154"/>
      <c r="DR62" s="153"/>
      <c r="DS62" s="153"/>
      <c r="DT62" s="153"/>
      <c r="DU62" s="153"/>
      <c r="DV62" s="153"/>
      <c r="DW62" s="154"/>
      <c r="DX62" s="154"/>
      <c r="DY62" s="153"/>
      <c r="DZ62" s="153"/>
      <c r="EA62" s="153"/>
      <c r="EB62" s="153"/>
      <c r="EC62" s="153"/>
      <c r="ED62" s="154"/>
      <c r="EE62" s="154"/>
      <c r="EF62" s="153"/>
      <c r="EG62" s="153"/>
      <c r="EH62" s="153"/>
      <c r="EI62" s="153"/>
      <c r="EJ62" s="153"/>
      <c r="EK62" s="154"/>
      <c r="EL62" s="154"/>
    </row>
    <row r="63" spans="1:151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37"/>
      <c r="BO63" s="37"/>
      <c r="BP63" s="37"/>
      <c r="BQ63" s="37"/>
      <c r="BR63" s="37"/>
      <c r="BS63" s="9"/>
      <c r="BT63" s="9"/>
      <c r="BU63" s="37"/>
      <c r="BV63" s="37"/>
      <c r="BW63" s="37"/>
      <c r="BY63" s="37"/>
      <c r="BZ63" s="9"/>
      <c r="CA63" s="9"/>
      <c r="CB63" s="37"/>
      <c r="CC63" s="37"/>
      <c r="CD63" s="37"/>
      <c r="CE63" s="37"/>
      <c r="CF63" s="37"/>
      <c r="CG63" s="9"/>
      <c r="CH63" s="9"/>
      <c r="CI63" s="37"/>
      <c r="CJ63" s="37"/>
      <c r="CK63" s="37"/>
      <c r="CM63" s="37"/>
      <c r="CN63" s="9"/>
      <c r="CO63" s="9"/>
      <c r="CP63" s="37"/>
      <c r="CQ63" s="37"/>
      <c r="CR63" s="37"/>
      <c r="CS63" s="37"/>
      <c r="CT63" s="37"/>
      <c r="CU63" s="9"/>
      <c r="CV63" s="9"/>
      <c r="CW63" s="37"/>
      <c r="CX63" s="37"/>
      <c r="CY63" s="37"/>
      <c r="CZ63" s="37"/>
      <c r="DA63" s="37"/>
      <c r="DB63" s="9"/>
      <c r="DC63" s="9"/>
      <c r="DD63" s="37"/>
      <c r="DE63" s="37"/>
      <c r="DF63" s="37"/>
      <c r="DG63" s="37"/>
      <c r="DH63" s="153"/>
      <c r="DI63" s="154"/>
      <c r="DJ63" s="154"/>
      <c r="DK63" s="153"/>
      <c r="DL63" s="153"/>
      <c r="DM63" s="153"/>
      <c r="DN63" s="153"/>
      <c r="DO63" s="153"/>
      <c r="DP63" s="154"/>
      <c r="DQ63" s="154"/>
      <c r="DR63" s="153"/>
      <c r="DS63" s="153"/>
      <c r="DT63" s="153"/>
      <c r="DU63" s="153"/>
      <c r="DV63" s="153"/>
      <c r="DW63" s="154"/>
      <c r="DX63" s="154"/>
      <c r="DY63" s="153"/>
      <c r="DZ63" s="153"/>
      <c r="EA63" s="153"/>
      <c r="EB63" s="153"/>
      <c r="EC63" s="153"/>
      <c r="ED63" s="154"/>
      <c r="EE63" s="154"/>
      <c r="EF63" s="153"/>
      <c r="EG63" s="153"/>
      <c r="EH63" s="153"/>
      <c r="EI63" s="153"/>
      <c r="EJ63" s="153"/>
      <c r="EK63" s="154"/>
      <c r="EL63" s="154"/>
    </row>
    <row r="64" spans="1:151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37"/>
      <c r="BO64" s="37"/>
      <c r="BP64" s="37"/>
      <c r="BQ64" s="37"/>
      <c r="BR64" s="37"/>
      <c r="BS64" s="9"/>
      <c r="BT64" s="9"/>
      <c r="BU64" s="37"/>
      <c r="BV64" s="37"/>
      <c r="BW64" s="37"/>
      <c r="BY64" s="37"/>
      <c r="BZ64" s="9"/>
      <c r="CA64" s="9"/>
      <c r="CB64" s="37"/>
      <c r="CC64" s="37"/>
      <c r="CD64" s="37"/>
      <c r="CE64" s="37"/>
      <c r="CF64" s="37"/>
      <c r="CG64" s="9"/>
      <c r="CH64" s="9"/>
      <c r="CI64" s="37"/>
      <c r="CJ64" s="37"/>
      <c r="CK64" s="37"/>
      <c r="CM64" s="37"/>
      <c r="CN64" s="9"/>
      <c r="CO64" s="9"/>
      <c r="CP64" s="37"/>
      <c r="CQ64" s="37"/>
      <c r="CR64" s="37"/>
      <c r="CS64" s="37"/>
      <c r="CT64" s="37"/>
      <c r="CU64" s="9"/>
      <c r="CV64" s="9"/>
      <c r="CW64" s="37"/>
      <c r="CX64" s="37"/>
      <c r="CY64" s="37"/>
      <c r="CZ64" s="37"/>
      <c r="DA64" s="37"/>
      <c r="DB64" s="9"/>
      <c r="DC64" s="9"/>
      <c r="DD64" s="37"/>
      <c r="DE64" s="37"/>
      <c r="DF64" s="37"/>
      <c r="DG64" s="37"/>
      <c r="DH64" s="153"/>
      <c r="DI64" s="154"/>
      <c r="DJ64" s="154"/>
      <c r="DK64" s="153"/>
      <c r="DL64" s="153"/>
      <c r="DM64" s="153"/>
      <c r="DN64" s="153"/>
      <c r="DO64" s="153"/>
      <c r="DP64" s="154"/>
      <c r="DQ64" s="154"/>
      <c r="DR64" s="153"/>
      <c r="DS64" s="153"/>
      <c r="DT64" s="153"/>
      <c r="DU64" s="153"/>
      <c r="DV64" s="153"/>
      <c r="DW64" s="154"/>
      <c r="DX64" s="154"/>
      <c r="DY64" s="153"/>
      <c r="DZ64" s="153"/>
      <c r="EA64" s="153"/>
      <c r="EB64" s="153"/>
      <c r="EC64" s="153"/>
      <c r="ED64" s="154"/>
      <c r="EE64" s="154"/>
      <c r="EF64" s="153"/>
      <c r="EG64" s="153"/>
      <c r="EH64" s="153"/>
      <c r="EI64" s="153"/>
      <c r="EJ64" s="153"/>
      <c r="EK64" s="154"/>
      <c r="EL64" s="154"/>
    </row>
    <row r="65" spans="1:142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37"/>
      <c r="BO65" s="37"/>
      <c r="BP65" s="37"/>
      <c r="BQ65" s="37"/>
      <c r="BR65" s="37"/>
      <c r="BS65" s="9"/>
      <c r="BT65" s="9"/>
      <c r="BU65" s="37"/>
      <c r="BV65" s="37"/>
      <c r="BW65" s="37"/>
      <c r="BY65" s="37"/>
      <c r="BZ65" s="9"/>
      <c r="CA65" s="9"/>
      <c r="CB65" s="37"/>
      <c r="CC65" s="37"/>
      <c r="CD65" s="37"/>
      <c r="CE65" s="37"/>
      <c r="CF65" s="37"/>
      <c r="CG65" s="9"/>
      <c r="CH65" s="9"/>
      <c r="CI65" s="37"/>
      <c r="CJ65" s="37"/>
      <c r="CK65" s="37"/>
      <c r="CM65" s="37"/>
      <c r="CN65" s="9"/>
      <c r="CO65" s="9"/>
      <c r="CP65" s="37"/>
      <c r="CQ65" s="37"/>
      <c r="CR65" s="37"/>
      <c r="CS65" s="37"/>
      <c r="CT65" s="37"/>
      <c r="CU65" s="9"/>
      <c r="CV65" s="9"/>
      <c r="CW65" s="37"/>
      <c r="CX65" s="37"/>
      <c r="CY65" s="37"/>
      <c r="CZ65" s="37"/>
      <c r="DA65" s="37"/>
      <c r="DB65" s="9"/>
      <c r="DC65" s="9"/>
      <c r="DD65" s="37"/>
      <c r="DE65" s="37"/>
      <c r="DF65" s="37"/>
      <c r="DG65" s="37"/>
      <c r="DH65" s="153"/>
      <c r="DI65" s="154"/>
      <c r="DJ65" s="154"/>
      <c r="DK65" s="153"/>
      <c r="DL65" s="153"/>
      <c r="DM65" s="153"/>
      <c r="DN65" s="153"/>
      <c r="DO65" s="153"/>
      <c r="DP65" s="154"/>
      <c r="DQ65" s="154"/>
      <c r="DR65" s="153"/>
      <c r="DS65" s="153"/>
      <c r="DT65" s="153"/>
      <c r="DU65" s="153"/>
      <c r="DV65" s="153"/>
      <c r="DW65" s="154"/>
      <c r="DX65" s="154"/>
      <c r="DY65" s="153"/>
      <c r="DZ65" s="153"/>
      <c r="EA65" s="153"/>
      <c r="EB65" s="153"/>
      <c r="EC65" s="153"/>
      <c r="ED65" s="154"/>
      <c r="EE65" s="154"/>
      <c r="EF65" s="153"/>
      <c r="EG65" s="153"/>
      <c r="EH65" s="153"/>
      <c r="EI65" s="153"/>
      <c r="EJ65" s="153"/>
      <c r="EK65" s="154"/>
      <c r="EL65" s="154"/>
    </row>
    <row r="66" spans="1:142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37"/>
      <c r="BO66" s="37"/>
      <c r="BP66" s="37"/>
      <c r="BQ66" s="37"/>
      <c r="BR66" s="37"/>
      <c r="BS66" s="9"/>
      <c r="BT66" s="9"/>
      <c r="BU66" s="37"/>
      <c r="BV66" s="37"/>
      <c r="BW66" s="37"/>
      <c r="BY66" s="37"/>
      <c r="BZ66" s="9"/>
      <c r="CA66" s="9"/>
      <c r="CB66" s="37"/>
      <c r="CC66" s="37"/>
      <c r="CD66" s="37"/>
      <c r="CE66" s="37"/>
      <c r="CF66" s="37"/>
      <c r="CG66" s="9"/>
      <c r="CH66" s="9"/>
      <c r="CI66" s="37"/>
      <c r="CJ66" s="37"/>
      <c r="CK66" s="37"/>
      <c r="CM66" s="37"/>
      <c r="CN66" s="9"/>
      <c r="CO66" s="9"/>
      <c r="CP66" s="37"/>
      <c r="CQ66" s="37"/>
      <c r="CR66" s="37"/>
      <c r="CS66" s="37"/>
      <c r="CT66" s="37"/>
      <c r="CU66" s="9"/>
      <c r="CV66" s="9"/>
      <c r="CW66" s="37"/>
      <c r="CX66" s="37"/>
      <c r="CY66" s="37"/>
      <c r="CZ66" s="37"/>
      <c r="DA66" s="37"/>
      <c r="DB66" s="9"/>
      <c r="DC66" s="9"/>
      <c r="DD66" s="37"/>
      <c r="DE66" s="37"/>
      <c r="DF66" s="37"/>
      <c r="DG66" s="37"/>
      <c r="DH66" s="153"/>
      <c r="DI66" s="154"/>
      <c r="DJ66" s="154"/>
      <c r="DK66" s="153"/>
      <c r="DL66" s="153"/>
      <c r="DM66" s="153"/>
      <c r="DN66" s="153"/>
      <c r="DO66" s="153"/>
      <c r="DP66" s="154"/>
      <c r="DQ66" s="154"/>
      <c r="DR66" s="153"/>
      <c r="DS66" s="153"/>
      <c r="DT66" s="153"/>
      <c r="DU66" s="153"/>
      <c r="DV66" s="153"/>
      <c r="DW66" s="154"/>
      <c r="DX66" s="154"/>
      <c r="DY66" s="153"/>
      <c r="DZ66" s="153"/>
      <c r="EA66" s="153"/>
      <c r="EB66" s="153"/>
      <c r="EC66" s="153"/>
      <c r="ED66" s="154"/>
      <c r="EE66" s="154"/>
      <c r="EF66" s="153"/>
      <c r="EG66" s="153"/>
      <c r="EH66" s="153"/>
      <c r="EI66" s="153"/>
      <c r="EJ66" s="153"/>
      <c r="EK66" s="154"/>
      <c r="EL66" s="154"/>
    </row>
    <row r="67" spans="1:142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37"/>
      <c r="BO67" s="37"/>
      <c r="BP67" s="37"/>
      <c r="BQ67" s="37"/>
      <c r="BR67" s="37"/>
      <c r="BS67" s="9"/>
      <c r="BT67" s="9"/>
      <c r="BU67" s="37"/>
      <c r="BV67" s="37"/>
      <c r="BW67" s="37"/>
      <c r="BY67" s="37"/>
      <c r="BZ67" s="9"/>
      <c r="CA67" s="9"/>
      <c r="CB67" s="37"/>
      <c r="CC67" s="37"/>
      <c r="CD67" s="37"/>
      <c r="CE67" s="37"/>
      <c r="CF67" s="37"/>
      <c r="CG67" s="9"/>
      <c r="CH67" s="9"/>
      <c r="CI67" s="37"/>
      <c r="CJ67" s="37"/>
      <c r="CK67" s="37"/>
      <c r="CM67" s="37"/>
      <c r="CN67" s="9"/>
      <c r="CO67" s="9"/>
      <c r="CP67" s="37"/>
      <c r="CQ67" s="37"/>
      <c r="CR67" s="37"/>
      <c r="CS67" s="37"/>
      <c r="CT67" s="37"/>
      <c r="CU67" s="9"/>
      <c r="CV67" s="9"/>
      <c r="CW67" s="37"/>
      <c r="CX67" s="37"/>
      <c r="CY67" s="37"/>
      <c r="CZ67" s="37"/>
      <c r="DA67" s="37"/>
      <c r="DB67" s="9"/>
      <c r="DC67" s="9"/>
      <c r="DD67" s="37"/>
      <c r="DE67" s="37"/>
      <c r="DF67" s="37"/>
      <c r="DG67" s="37"/>
      <c r="DH67" s="153"/>
      <c r="DI67" s="154"/>
      <c r="DJ67" s="154"/>
      <c r="DK67" s="153"/>
      <c r="DL67" s="153"/>
      <c r="DM67" s="153"/>
      <c r="DN67" s="153"/>
      <c r="DO67" s="153"/>
      <c r="DP67" s="154"/>
      <c r="DQ67" s="154"/>
      <c r="DR67" s="153"/>
      <c r="DS67" s="153"/>
      <c r="DT67" s="153"/>
      <c r="DU67" s="153"/>
      <c r="DV67" s="153"/>
      <c r="DW67" s="154"/>
      <c r="DX67" s="154"/>
      <c r="DY67" s="153"/>
      <c r="DZ67" s="153"/>
      <c r="EA67" s="153"/>
      <c r="EB67" s="153"/>
      <c r="EC67" s="153"/>
      <c r="ED67" s="154"/>
      <c r="EE67" s="154"/>
      <c r="EF67" s="153"/>
      <c r="EG67" s="153"/>
      <c r="EH67" s="153"/>
      <c r="EI67" s="153"/>
      <c r="EJ67" s="153"/>
      <c r="EK67" s="154"/>
      <c r="EL67" s="154"/>
    </row>
    <row r="68" spans="1:142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37"/>
      <c r="BO68" s="37"/>
      <c r="BP68" s="37"/>
      <c r="BQ68" s="37"/>
      <c r="BR68" s="37"/>
      <c r="BS68" s="9"/>
      <c r="BT68" s="9"/>
      <c r="BU68" s="37"/>
      <c r="BV68" s="37"/>
      <c r="BW68" s="37"/>
      <c r="BY68" s="37"/>
      <c r="BZ68" s="9"/>
      <c r="CA68" s="9"/>
      <c r="CB68" s="37"/>
      <c r="CC68" s="37"/>
      <c r="CD68" s="37"/>
      <c r="CE68" s="37"/>
      <c r="CF68" s="37"/>
      <c r="CG68" s="9"/>
      <c r="CH68" s="9"/>
      <c r="CI68" s="37"/>
      <c r="CJ68" s="37"/>
      <c r="CK68" s="37"/>
      <c r="CM68" s="37"/>
      <c r="CN68" s="9"/>
      <c r="CO68" s="9"/>
      <c r="CP68" s="37"/>
      <c r="CQ68" s="37"/>
      <c r="CR68" s="37"/>
      <c r="CS68" s="37"/>
      <c r="CT68" s="37"/>
      <c r="CU68" s="9"/>
      <c r="CV68" s="9"/>
      <c r="CW68" s="37"/>
      <c r="CX68" s="37"/>
      <c r="CY68" s="37"/>
      <c r="CZ68" s="37"/>
      <c r="DA68" s="37"/>
      <c r="DB68" s="9"/>
      <c r="DC68" s="9"/>
      <c r="DD68" s="37"/>
      <c r="DE68" s="37"/>
      <c r="DF68" s="37"/>
      <c r="DG68" s="37"/>
      <c r="DH68" s="153"/>
      <c r="DI68" s="154"/>
      <c r="DJ68" s="154"/>
      <c r="DK68" s="153"/>
      <c r="DL68" s="153"/>
      <c r="DM68" s="153"/>
      <c r="DN68" s="153"/>
      <c r="DO68" s="153"/>
      <c r="DP68" s="154"/>
      <c r="DQ68" s="154"/>
      <c r="DR68" s="153"/>
      <c r="DS68" s="153"/>
      <c r="DT68" s="153"/>
      <c r="DU68" s="153"/>
      <c r="DV68" s="153"/>
      <c r="DW68" s="154"/>
      <c r="DX68" s="154"/>
      <c r="DY68" s="153"/>
      <c r="DZ68" s="153"/>
      <c r="EA68" s="153"/>
      <c r="EB68" s="153"/>
      <c r="EC68" s="153"/>
      <c r="ED68" s="154"/>
      <c r="EE68" s="154"/>
      <c r="EF68" s="153"/>
      <c r="EG68" s="153"/>
      <c r="EH68" s="153"/>
      <c r="EI68" s="153"/>
      <c r="EJ68" s="153"/>
      <c r="EK68" s="154"/>
      <c r="EL68" s="154"/>
    </row>
    <row r="69" spans="1:142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37"/>
      <c r="BO69" s="37"/>
      <c r="BP69" s="37"/>
      <c r="BQ69" s="37"/>
      <c r="BR69" s="37"/>
      <c r="BS69" s="9"/>
      <c r="BT69" s="9"/>
      <c r="BU69" s="37"/>
      <c r="BV69" s="37"/>
      <c r="BW69" s="37"/>
      <c r="BY69" s="37"/>
      <c r="BZ69" s="9"/>
      <c r="CA69" s="9"/>
      <c r="CB69" s="37"/>
      <c r="CC69" s="37"/>
      <c r="CD69" s="37"/>
      <c r="CE69" s="37"/>
      <c r="CF69" s="37"/>
      <c r="CG69" s="9"/>
      <c r="CH69" s="9"/>
      <c r="CI69" s="37"/>
      <c r="CJ69" s="37"/>
      <c r="CK69" s="37"/>
      <c r="CM69" s="37"/>
      <c r="CN69" s="9"/>
      <c r="CO69" s="9"/>
      <c r="CP69" s="37"/>
      <c r="CQ69" s="37"/>
      <c r="CR69" s="37"/>
      <c r="CS69" s="37"/>
      <c r="CT69" s="37"/>
      <c r="CU69" s="9"/>
      <c r="CV69" s="9"/>
      <c r="CW69" s="37"/>
      <c r="CX69" s="37"/>
      <c r="CY69" s="37"/>
      <c r="CZ69" s="37"/>
      <c r="DA69" s="37"/>
      <c r="DB69" s="9"/>
      <c r="DC69" s="9"/>
      <c r="DD69" s="37"/>
      <c r="DE69" s="37"/>
      <c r="DF69" s="37"/>
      <c r="DG69" s="37"/>
      <c r="DH69" s="153"/>
      <c r="DI69" s="154"/>
      <c r="DJ69" s="154"/>
      <c r="DK69" s="153"/>
      <c r="DL69" s="153"/>
      <c r="DM69" s="153"/>
      <c r="DN69" s="153"/>
      <c r="DO69" s="153"/>
      <c r="DP69" s="154"/>
      <c r="DQ69" s="154"/>
      <c r="DR69" s="153"/>
      <c r="DS69" s="153"/>
      <c r="DT69" s="153"/>
      <c r="DU69" s="153"/>
      <c r="DV69" s="153"/>
      <c r="DW69" s="154"/>
      <c r="DX69" s="154"/>
      <c r="DY69" s="153"/>
      <c r="DZ69" s="153"/>
      <c r="EA69" s="153"/>
      <c r="EB69" s="153"/>
      <c r="EC69" s="153"/>
      <c r="ED69" s="154"/>
      <c r="EE69" s="154"/>
      <c r="EF69" s="153"/>
      <c r="EG69" s="153"/>
      <c r="EH69" s="153"/>
      <c r="EI69" s="153"/>
      <c r="EJ69" s="153"/>
      <c r="EK69" s="154"/>
      <c r="EL69" s="154"/>
    </row>
    <row r="70" spans="1:142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37"/>
      <c r="BO70" s="37"/>
      <c r="BP70" s="37"/>
      <c r="BQ70" s="37"/>
      <c r="BR70" s="37"/>
      <c r="BS70" s="9"/>
      <c r="BT70" s="9"/>
      <c r="BU70" s="37"/>
      <c r="BV70" s="37"/>
      <c r="BW70" s="37"/>
      <c r="BY70" s="37"/>
      <c r="BZ70" s="9"/>
      <c r="CA70" s="9"/>
      <c r="CB70" s="37"/>
      <c r="CC70" s="37"/>
      <c r="CD70" s="37"/>
      <c r="CE70" s="37"/>
      <c r="CF70" s="37"/>
      <c r="CG70" s="9"/>
      <c r="CH70" s="9"/>
      <c r="CI70" s="37"/>
      <c r="CJ70" s="37"/>
      <c r="CK70" s="37"/>
      <c r="CM70" s="37"/>
      <c r="CN70" s="9"/>
      <c r="CO70" s="9"/>
      <c r="CP70" s="37"/>
      <c r="CQ70" s="37"/>
      <c r="CR70" s="37"/>
      <c r="CS70" s="37"/>
      <c r="CT70" s="37"/>
      <c r="CU70" s="9"/>
      <c r="CV70" s="9"/>
      <c r="CW70" s="37"/>
      <c r="CX70" s="37"/>
      <c r="CY70" s="37"/>
      <c r="CZ70" s="37"/>
      <c r="DA70" s="37"/>
      <c r="DB70" s="9"/>
      <c r="DC70" s="9"/>
      <c r="DD70" s="37"/>
      <c r="DE70" s="37"/>
      <c r="DF70" s="37"/>
      <c r="DG70" s="37"/>
      <c r="DH70" s="153"/>
      <c r="DI70" s="154"/>
      <c r="DJ70" s="154"/>
      <c r="DK70" s="153"/>
      <c r="DL70" s="153"/>
      <c r="DM70" s="153"/>
      <c r="DN70" s="153"/>
      <c r="DO70" s="153"/>
      <c r="DP70" s="154"/>
      <c r="DQ70" s="154"/>
      <c r="DR70" s="153"/>
      <c r="DS70" s="153"/>
      <c r="DT70" s="153"/>
      <c r="DU70" s="153"/>
      <c r="DV70" s="153"/>
      <c r="DW70" s="154"/>
      <c r="DX70" s="154"/>
      <c r="DY70" s="153"/>
      <c r="DZ70" s="153"/>
      <c r="EA70" s="153"/>
      <c r="EB70" s="153"/>
      <c r="EC70" s="153"/>
      <c r="ED70" s="154"/>
      <c r="EE70" s="154"/>
      <c r="EF70" s="153"/>
      <c r="EG70" s="153"/>
      <c r="EH70" s="153"/>
      <c r="EI70" s="153"/>
      <c r="EJ70" s="153"/>
      <c r="EK70" s="154"/>
      <c r="EL70" s="154"/>
    </row>
    <row r="71" spans="1:142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37"/>
      <c r="BO71" s="37"/>
      <c r="BP71" s="37"/>
      <c r="BQ71" s="37"/>
      <c r="BR71" s="37"/>
      <c r="BS71" s="9"/>
      <c r="BT71" s="9"/>
      <c r="BU71" s="37"/>
      <c r="BV71" s="37"/>
      <c r="BW71" s="37"/>
      <c r="BY71" s="37"/>
      <c r="BZ71" s="9"/>
      <c r="CA71" s="9"/>
      <c r="CB71" s="37"/>
      <c r="CC71" s="37"/>
      <c r="CD71" s="37"/>
      <c r="CE71" s="37"/>
      <c r="CF71" s="37"/>
      <c r="CG71" s="9"/>
      <c r="CH71" s="9"/>
      <c r="CI71" s="37"/>
      <c r="CJ71" s="37"/>
      <c r="CK71" s="37"/>
      <c r="CM71" s="37"/>
      <c r="CN71" s="9"/>
      <c r="CO71" s="9"/>
      <c r="CP71" s="37"/>
      <c r="CQ71" s="37"/>
      <c r="CR71" s="37"/>
      <c r="CS71" s="37"/>
      <c r="CT71" s="37"/>
      <c r="CU71" s="9"/>
      <c r="CV71" s="9"/>
      <c r="CW71" s="37"/>
      <c r="CX71" s="37"/>
      <c r="CY71" s="37"/>
      <c r="CZ71" s="37"/>
      <c r="DA71" s="37"/>
      <c r="DB71" s="9"/>
      <c r="DC71" s="9"/>
      <c r="DD71" s="37"/>
      <c r="DE71" s="37"/>
      <c r="DF71" s="37"/>
      <c r="DG71" s="37"/>
      <c r="DH71" s="153"/>
      <c r="DI71" s="154"/>
      <c r="DJ71" s="154"/>
      <c r="DK71" s="153"/>
      <c r="DL71" s="153"/>
      <c r="DM71" s="153"/>
      <c r="DN71" s="153"/>
      <c r="DO71" s="153"/>
      <c r="DP71" s="154"/>
      <c r="DQ71" s="154"/>
      <c r="DR71" s="153"/>
      <c r="DS71" s="153"/>
      <c r="DT71" s="153"/>
      <c r="DU71" s="153"/>
      <c r="DV71" s="153"/>
      <c r="DW71" s="154"/>
      <c r="DX71" s="154"/>
      <c r="DY71" s="153"/>
      <c r="DZ71" s="153"/>
      <c r="EA71" s="153"/>
      <c r="EB71" s="153"/>
      <c r="EC71" s="153"/>
      <c r="ED71" s="154"/>
      <c r="EE71" s="154"/>
      <c r="EF71" s="153"/>
      <c r="EG71" s="153"/>
      <c r="EH71" s="153"/>
      <c r="EI71" s="153"/>
      <c r="EJ71" s="153"/>
      <c r="EK71" s="154"/>
      <c r="EL71" s="154"/>
    </row>
    <row r="72" spans="1:142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37"/>
      <c r="BO72" s="37"/>
      <c r="BP72" s="37"/>
      <c r="BQ72" s="37"/>
      <c r="BR72" s="37"/>
      <c r="BS72" s="9"/>
      <c r="BT72" s="9"/>
      <c r="BU72" s="37"/>
      <c r="BV72" s="37"/>
      <c r="BW72" s="37"/>
      <c r="BY72" s="37"/>
      <c r="BZ72" s="9"/>
      <c r="CA72" s="9"/>
      <c r="CB72" s="37"/>
      <c r="CC72" s="37"/>
      <c r="CD72" s="37"/>
      <c r="CE72" s="37"/>
      <c r="CF72" s="37"/>
      <c r="CG72" s="9"/>
      <c r="CH72" s="9"/>
      <c r="CI72" s="37"/>
      <c r="CJ72" s="37"/>
      <c r="CK72" s="37"/>
      <c r="CM72" s="37"/>
      <c r="CN72" s="9"/>
      <c r="CO72" s="9"/>
      <c r="CP72" s="37"/>
      <c r="CQ72" s="37"/>
      <c r="CR72" s="37"/>
      <c r="CS72" s="37"/>
      <c r="CT72" s="37"/>
      <c r="CU72" s="9"/>
      <c r="CV72" s="9"/>
      <c r="CW72" s="37"/>
      <c r="CX72" s="37"/>
      <c r="CY72" s="37"/>
      <c r="CZ72" s="37"/>
      <c r="DA72" s="37"/>
      <c r="DB72" s="9"/>
      <c r="DC72" s="9"/>
      <c r="DD72" s="37"/>
      <c r="DE72" s="37"/>
      <c r="DF72" s="37"/>
      <c r="DG72" s="37"/>
      <c r="DH72" s="153"/>
      <c r="DI72" s="154"/>
      <c r="DJ72" s="154"/>
      <c r="DK72" s="153"/>
      <c r="DL72" s="153"/>
      <c r="DM72" s="153"/>
      <c r="DN72" s="153"/>
      <c r="DO72" s="153"/>
      <c r="DP72" s="154"/>
      <c r="DQ72" s="154"/>
      <c r="DR72" s="153"/>
      <c r="DS72" s="153"/>
      <c r="DT72" s="153"/>
      <c r="DU72" s="153"/>
      <c r="DV72" s="153"/>
      <c r="DW72" s="154"/>
      <c r="DX72" s="154"/>
      <c r="DY72" s="153"/>
      <c r="DZ72" s="153"/>
      <c r="EA72" s="153"/>
      <c r="EB72" s="153"/>
      <c r="EC72" s="153"/>
      <c r="ED72" s="154"/>
      <c r="EE72" s="154"/>
      <c r="EF72" s="153"/>
      <c r="EG72" s="153"/>
      <c r="EH72" s="153"/>
      <c r="EI72" s="153"/>
      <c r="EJ72" s="153"/>
      <c r="EK72" s="154"/>
      <c r="EL72" s="154"/>
    </row>
    <row r="73" spans="1:142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37"/>
      <c r="BO73" s="37"/>
      <c r="BP73" s="37"/>
      <c r="BQ73" s="37"/>
      <c r="BR73" s="37"/>
      <c r="BS73" s="9"/>
      <c r="BT73" s="9"/>
      <c r="BU73" s="37"/>
      <c r="BV73" s="37"/>
      <c r="BW73" s="37"/>
      <c r="BY73" s="37"/>
      <c r="BZ73" s="9"/>
      <c r="CA73" s="9"/>
      <c r="CB73" s="37"/>
      <c r="CC73" s="37"/>
      <c r="CD73" s="37"/>
      <c r="CE73" s="37"/>
      <c r="CF73" s="37"/>
      <c r="CG73" s="9"/>
      <c r="CH73" s="9"/>
      <c r="CI73" s="37"/>
      <c r="CJ73" s="37"/>
      <c r="CK73" s="37"/>
      <c r="CM73" s="37"/>
      <c r="CN73" s="9"/>
      <c r="CO73" s="9"/>
      <c r="CP73" s="37"/>
      <c r="CQ73" s="37"/>
      <c r="CR73" s="37"/>
      <c r="CS73" s="37"/>
      <c r="CT73" s="37"/>
      <c r="CU73" s="9"/>
      <c r="CV73" s="9"/>
      <c r="CW73" s="37"/>
      <c r="CX73" s="37"/>
      <c r="CY73" s="37"/>
      <c r="CZ73" s="37"/>
      <c r="DA73" s="37"/>
      <c r="DB73" s="9"/>
      <c r="DC73" s="9"/>
      <c r="DD73" s="37"/>
      <c r="DE73" s="37"/>
      <c r="DF73" s="37"/>
      <c r="DG73" s="37"/>
      <c r="DH73" s="153"/>
      <c r="DI73" s="154"/>
      <c r="DJ73" s="154"/>
      <c r="DK73" s="153"/>
      <c r="DL73" s="153"/>
      <c r="DM73" s="153"/>
      <c r="DN73" s="153"/>
      <c r="DO73" s="153"/>
      <c r="DP73" s="154"/>
      <c r="DQ73" s="154"/>
      <c r="DR73" s="153"/>
      <c r="DS73" s="153"/>
      <c r="DT73" s="153"/>
      <c r="DU73" s="153"/>
      <c r="DV73" s="153"/>
      <c r="DW73" s="154"/>
      <c r="DX73" s="154"/>
      <c r="DY73" s="153"/>
      <c r="DZ73" s="153"/>
      <c r="EA73" s="153"/>
      <c r="EB73" s="153"/>
      <c r="EC73" s="153"/>
      <c r="ED73" s="154"/>
      <c r="EE73" s="154"/>
      <c r="EF73" s="153"/>
      <c r="EG73" s="153"/>
      <c r="EH73" s="153"/>
      <c r="EI73" s="153"/>
      <c r="EJ73" s="153"/>
      <c r="EK73" s="154"/>
      <c r="EL73" s="154"/>
    </row>
    <row r="74" spans="1:142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37"/>
      <c r="BO74" s="37"/>
      <c r="BP74" s="37"/>
      <c r="BQ74" s="37"/>
      <c r="BR74" s="37"/>
      <c r="BS74" s="9"/>
      <c r="BT74" s="9"/>
      <c r="BU74" s="37"/>
      <c r="BV74" s="37"/>
      <c r="BW74" s="37"/>
      <c r="BY74" s="37"/>
      <c r="BZ74" s="9"/>
      <c r="CA74" s="9"/>
      <c r="CB74" s="37"/>
      <c r="CC74" s="37"/>
      <c r="CD74" s="37"/>
      <c r="CE74" s="37"/>
      <c r="CF74" s="37"/>
      <c r="CG74" s="9"/>
      <c r="CH74" s="9"/>
      <c r="CI74" s="37"/>
      <c r="CJ74" s="37"/>
      <c r="CK74" s="37"/>
      <c r="CM74" s="37"/>
      <c r="CN74" s="9"/>
      <c r="CO74" s="9"/>
      <c r="CP74" s="37"/>
      <c r="CQ74" s="37"/>
      <c r="CR74" s="37"/>
      <c r="CS74" s="37"/>
      <c r="CT74" s="37"/>
      <c r="CU74" s="9"/>
      <c r="CV74" s="9"/>
      <c r="CW74" s="37"/>
      <c r="CX74" s="37"/>
      <c r="CY74" s="37"/>
      <c r="CZ74" s="37"/>
      <c r="DA74" s="37"/>
      <c r="DB74" s="9"/>
      <c r="DC74" s="9"/>
      <c r="DD74" s="37"/>
      <c r="DE74" s="37"/>
      <c r="DF74" s="37"/>
      <c r="DG74" s="37"/>
      <c r="DH74" s="153"/>
      <c r="DI74" s="154"/>
      <c r="DJ74" s="154"/>
      <c r="DK74" s="153"/>
      <c r="DL74" s="153"/>
      <c r="DM74" s="153"/>
      <c r="DN74" s="153"/>
      <c r="DO74" s="153"/>
      <c r="DP74" s="154"/>
      <c r="DQ74" s="154"/>
      <c r="DR74" s="153"/>
      <c r="DS74" s="153"/>
      <c r="DT74" s="153"/>
      <c r="DU74" s="153"/>
      <c r="DV74" s="153"/>
      <c r="DW74" s="154"/>
      <c r="DX74" s="154"/>
      <c r="DY74" s="153"/>
      <c r="DZ74" s="153"/>
      <c r="EA74" s="153"/>
      <c r="EB74" s="153"/>
      <c r="EC74" s="153"/>
      <c r="ED74" s="154"/>
      <c r="EE74" s="154"/>
      <c r="EF74" s="153"/>
      <c r="EG74" s="153"/>
      <c r="EH74" s="153"/>
      <c r="EI74" s="153"/>
      <c r="EJ74" s="153"/>
      <c r="EK74" s="154"/>
      <c r="EL74" s="154"/>
    </row>
    <row r="75" spans="1:142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37"/>
      <c r="BO75" s="37"/>
      <c r="BP75" s="37"/>
      <c r="BQ75" s="37"/>
      <c r="BR75" s="37"/>
      <c r="BS75" s="9"/>
      <c r="BT75" s="9"/>
      <c r="BU75" s="37"/>
      <c r="BV75" s="37"/>
      <c r="BW75" s="37"/>
      <c r="BY75" s="37"/>
      <c r="BZ75" s="9"/>
      <c r="CA75" s="9"/>
      <c r="CB75" s="37"/>
      <c r="CC75" s="37"/>
      <c r="CD75" s="37"/>
      <c r="CE75" s="37"/>
      <c r="CF75" s="37"/>
      <c r="CG75" s="9"/>
      <c r="CH75" s="9"/>
      <c r="CI75" s="37"/>
      <c r="CJ75" s="37"/>
      <c r="CK75" s="37"/>
      <c r="CM75" s="37"/>
      <c r="CN75" s="9"/>
      <c r="CO75" s="9"/>
      <c r="CP75" s="37"/>
      <c r="CQ75" s="37"/>
      <c r="CR75" s="37"/>
      <c r="CS75" s="37"/>
      <c r="CT75" s="37"/>
      <c r="CU75" s="9"/>
      <c r="CV75" s="9"/>
      <c r="CW75" s="37"/>
      <c r="CX75" s="37"/>
      <c r="CY75" s="37"/>
      <c r="CZ75" s="37"/>
      <c r="DA75" s="37"/>
      <c r="DB75" s="9"/>
      <c r="DC75" s="9"/>
      <c r="DD75" s="37"/>
      <c r="DE75" s="37"/>
      <c r="DF75" s="37"/>
      <c r="DG75" s="37"/>
      <c r="DH75" s="153"/>
      <c r="DI75" s="154"/>
      <c r="DJ75" s="154"/>
      <c r="DK75" s="153"/>
      <c r="DL75" s="153"/>
      <c r="DM75" s="153"/>
      <c r="DN75" s="153"/>
      <c r="DO75" s="153"/>
      <c r="DP75" s="154"/>
      <c r="DQ75" s="154"/>
      <c r="DR75" s="153"/>
      <c r="DS75" s="153"/>
      <c r="DT75" s="153"/>
      <c r="DU75" s="153"/>
      <c r="DV75" s="153"/>
      <c r="DW75" s="154"/>
      <c r="DX75" s="154"/>
      <c r="DY75" s="153"/>
      <c r="DZ75" s="153"/>
      <c r="EA75" s="153"/>
      <c r="EB75" s="153"/>
      <c r="EC75" s="153"/>
      <c r="ED75" s="154"/>
      <c r="EE75" s="154"/>
      <c r="EF75" s="153"/>
      <c r="EG75" s="153"/>
      <c r="EH75" s="153"/>
      <c r="EI75" s="153"/>
      <c r="EJ75" s="153"/>
      <c r="EK75" s="154"/>
      <c r="EL75" s="154"/>
    </row>
    <row r="76" spans="1:142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37"/>
      <c r="BO76" s="37"/>
      <c r="BP76" s="37"/>
      <c r="BQ76" s="37"/>
      <c r="BR76" s="37"/>
      <c r="BS76" s="9"/>
      <c r="BT76" s="9"/>
      <c r="BU76" s="37"/>
      <c r="BV76" s="37"/>
      <c r="BW76" s="37"/>
      <c r="BY76" s="37"/>
      <c r="BZ76" s="9"/>
      <c r="CA76" s="9"/>
      <c r="CB76" s="37"/>
      <c r="CC76" s="37"/>
      <c r="CD76" s="37"/>
      <c r="CE76" s="37"/>
      <c r="CF76" s="37"/>
      <c r="CG76" s="9"/>
      <c r="CH76" s="9"/>
      <c r="CI76" s="37"/>
      <c r="CJ76" s="37"/>
      <c r="CK76" s="37"/>
      <c r="CM76" s="37"/>
      <c r="CN76" s="9"/>
      <c r="CO76" s="9"/>
      <c r="CP76" s="37"/>
      <c r="CQ76" s="37"/>
      <c r="CR76" s="37"/>
      <c r="CS76" s="37"/>
      <c r="CT76" s="37"/>
      <c r="CU76" s="9"/>
      <c r="CV76" s="9"/>
      <c r="CW76" s="37"/>
      <c r="CX76" s="37"/>
      <c r="CY76" s="37"/>
      <c r="CZ76" s="37"/>
      <c r="DA76" s="37"/>
      <c r="DB76" s="9"/>
      <c r="DC76" s="9"/>
      <c r="DD76" s="37"/>
      <c r="DE76" s="37"/>
      <c r="DF76" s="37"/>
      <c r="DG76" s="37"/>
      <c r="DH76" s="153"/>
      <c r="DI76" s="154"/>
      <c r="DJ76" s="154"/>
      <c r="DK76" s="153"/>
      <c r="DL76" s="153"/>
      <c r="DM76" s="153"/>
      <c r="DN76" s="153"/>
      <c r="DO76" s="153"/>
      <c r="DP76" s="154"/>
      <c r="DQ76" s="154"/>
      <c r="DR76" s="153"/>
      <c r="DS76" s="153"/>
      <c r="DT76" s="153"/>
      <c r="DU76" s="153"/>
      <c r="DV76" s="153"/>
      <c r="DW76" s="154"/>
      <c r="DX76" s="154"/>
      <c r="DY76" s="153"/>
      <c r="DZ76" s="153"/>
      <c r="EA76" s="153"/>
      <c r="EB76" s="153"/>
      <c r="EC76" s="153"/>
      <c r="ED76" s="154"/>
      <c r="EE76" s="154"/>
      <c r="EF76" s="153"/>
      <c r="EG76" s="153"/>
      <c r="EH76" s="153"/>
      <c r="EI76" s="153"/>
      <c r="EJ76" s="153"/>
      <c r="EK76" s="154"/>
      <c r="EL76" s="154"/>
    </row>
    <row r="77" spans="1:142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37"/>
      <c r="BO77" s="37"/>
      <c r="BP77" s="37"/>
      <c r="BQ77" s="37"/>
      <c r="BR77" s="37"/>
      <c r="BS77" s="9"/>
      <c r="BT77" s="9"/>
      <c r="BU77" s="37"/>
      <c r="BV77" s="37"/>
      <c r="BW77" s="37"/>
      <c r="BY77" s="37"/>
      <c r="BZ77" s="9"/>
      <c r="CA77" s="9"/>
      <c r="CB77" s="37"/>
      <c r="CC77" s="37"/>
      <c r="CD77" s="37"/>
      <c r="CE77" s="37"/>
      <c r="CF77" s="37"/>
      <c r="CG77" s="9"/>
      <c r="CH77" s="9"/>
      <c r="CI77" s="37"/>
      <c r="CJ77" s="37"/>
      <c r="CK77" s="37"/>
      <c r="CM77" s="37"/>
      <c r="CN77" s="9"/>
      <c r="CO77" s="9"/>
      <c r="CP77" s="37"/>
      <c r="CQ77" s="37"/>
      <c r="CR77" s="37"/>
      <c r="CS77" s="37"/>
      <c r="CT77" s="37"/>
      <c r="CU77" s="9"/>
      <c r="CV77" s="9"/>
      <c r="CW77" s="37"/>
      <c r="CX77" s="37"/>
      <c r="CY77" s="37"/>
      <c r="CZ77" s="37"/>
      <c r="DA77" s="37"/>
      <c r="DB77" s="9"/>
      <c r="DC77" s="9"/>
      <c r="DD77" s="37"/>
      <c r="DE77" s="37"/>
      <c r="DF77" s="37"/>
      <c r="DG77" s="37"/>
      <c r="DH77" s="153"/>
      <c r="DI77" s="154"/>
      <c r="DJ77" s="154"/>
      <c r="DK77" s="153"/>
      <c r="DL77" s="153"/>
      <c r="DM77" s="153"/>
      <c r="DN77" s="153"/>
      <c r="DO77" s="153"/>
      <c r="DP77" s="154"/>
      <c r="DQ77" s="154"/>
      <c r="DR77" s="153"/>
      <c r="DS77" s="153"/>
      <c r="DT77" s="153"/>
      <c r="DU77" s="153"/>
      <c r="DV77" s="153"/>
      <c r="DW77" s="154"/>
      <c r="DX77" s="154"/>
      <c r="DY77" s="153"/>
      <c r="DZ77" s="153"/>
      <c r="EA77" s="153"/>
      <c r="EB77" s="153"/>
      <c r="EC77" s="153"/>
      <c r="ED77" s="154"/>
      <c r="EE77" s="154"/>
      <c r="EF77" s="153"/>
      <c r="EG77" s="153"/>
      <c r="EH77" s="153"/>
      <c r="EI77" s="153"/>
      <c r="EJ77" s="153"/>
      <c r="EK77" s="154"/>
      <c r="EL77" s="154"/>
    </row>
    <row r="78" spans="1:142" x14ac:dyDescent="0.25">
      <c r="A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37"/>
      <c r="BO78" s="37"/>
      <c r="BP78" s="37"/>
      <c r="BQ78" s="37"/>
      <c r="BR78" s="37"/>
      <c r="BS78" s="9"/>
      <c r="BT78" s="9"/>
      <c r="BU78" s="37"/>
      <c r="BV78" s="37"/>
      <c r="BW78" s="37"/>
      <c r="BY78" s="37"/>
      <c r="BZ78" s="9"/>
      <c r="CA78" s="9"/>
      <c r="CB78" s="37"/>
      <c r="CC78" s="37"/>
      <c r="CD78" s="37"/>
      <c r="CE78" s="37"/>
      <c r="CF78" s="37"/>
      <c r="CG78" s="9"/>
      <c r="CH78" s="9"/>
      <c r="CI78" s="37"/>
      <c r="CJ78" s="37"/>
      <c r="CK78" s="37"/>
      <c r="CM78" s="37"/>
      <c r="CN78" s="9"/>
      <c r="CO78" s="9"/>
      <c r="CP78" s="37"/>
      <c r="CQ78" s="37"/>
      <c r="CR78" s="37"/>
      <c r="CS78" s="37"/>
      <c r="CT78" s="37"/>
      <c r="CU78" s="9"/>
      <c r="CV78" s="9"/>
      <c r="CW78" s="37"/>
      <c r="CX78" s="37"/>
      <c r="CY78" s="37"/>
      <c r="CZ78" s="37"/>
      <c r="DA78" s="37"/>
      <c r="DB78" s="9"/>
      <c r="DC78" s="9"/>
      <c r="DD78" s="37"/>
      <c r="DE78" s="37"/>
      <c r="DF78" s="37"/>
      <c r="DG78" s="37"/>
      <c r="DH78" s="153"/>
      <c r="DI78" s="154"/>
      <c r="DJ78" s="154"/>
      <c r="DK78" s="153"/>
      <c r="DL78" s="153"/>
      <c r="DM78" s="153"/>
      <c r="DN78" s="153"/>
      <c r="DO78" s="153"/>
      <c r="DP78" s="154"/>
      <c r="DQ78" s="154"/>
      <c r="DR78" s="153"/>
      <c r="DS78" s="153"/>
      <c r="DT78" s="153"/>
      <c r="DU78" s="153"/>
      <c r="DV78" s="153"/>
      <c r="DW78" s="154"/>
      <c r="DX78" s="154"/>
      <c r="DY78" s="153"/>
      <c r="DZ78" s="153"/>
      <c r="EA78" s="153"/>
      <c r="EB78" s="153"/>
      <c r="EC78" s="153"/>
      <c r="ED78" s="154"/>
      <c r="EE78" s="154"/>
      <c r="EF78" s="153"/>
      <c r="EG78" s="153"/>
      <c r="EH78" s="153"/>
      <c r="EI78" s="153"/>
      <c r="EJ78" s="153"/>
      <c r="EK78" s="154"/>
      <c r="EL78" s="154"/>
    </row>
    <row r="79" spans="1:142" x14ac:dyDescent="0.25">
      <c r="A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37"/>
      <c r="BO79" s="37"/>
      <c r="BP79" s="37"/>
      <c r="BQ79" s="37"/>
      <c r="BR79" s="37"/>
      <c r="BS79" s="9"/>
      <c r="BT79" s="9"/>
      <c r="BU79" s="37"/>
      <c r="BV79" s="37"/>
      <c r="BW79" s="37"/>
      <c r="BY79" s="37"/>
      <c r="BZ79" s="9"/>
      <c r="CA79" s="9"/>
      <c r="CB79" s="37"/>
      <c r="CC79" s="37"/>
      <c r="CD79" s="37"/>
      <c r="CE79" s="37"/>
      <c r="CF79" s="37"/>
      <c r="CG79" s="9"/>
      <c r="CH79" s="9"/>
      <c r="CI79" s="37"/>
      <c r="CJ79" s="37"/>
      <c r="CK79" s="37"/>
      <c r="CM79" s="37"/>
      <c r="CN79" s="9"/>
      <c r="CO79" s="9"/>
      <c r="CP79" s="37"/>
      <c r="CQ79" s="37"/>
      <c r="CR79" s="37"/>
      <c r="CS79" s="37"/>
      <c r="CT79" s="37"/>
      <c r="CU79" s="9"/>
      <c r="CV79" s="9"/>
      <c r="CW79" s="37"/>
      <c r="CX79" s="37"/>
      <c r="CY79" s="37"/>
      <c r="CZ79" s="37"/>
      <c r="DA79" s="37"/>
      <c r="DB79" s="9"/>
      <c r="DC79" s="9"/>
      <c r="DD79" s="37"/>
      <c r="DE79" s="37"/>
      <c r="DF79" s="37"/>
      <c r="DG79" s="37"/>
      <c r="DH79" s="153"/>
      <c r="DI79" s="154"/>
      <c r="DJ79" s="154"/>
      <c r="DK79" s="153"/>
      <c r="DL79" s="153"/>
      <c r="DM79" s="153"/>
      <c r="DN79" s="153"/>
      <c r="DO79" s="153"/>
      <c r="DP79" s="154"/>
      <c r="DQ79" s="154"/>
      <c r="DR79" s="153"/>
      <c r="DS79" s="153"/>
      <c r="DT79" s="153"/>
      <c r="DU79" s="153"/>
      <c r="DV79" s="153"/>
      <c r="DW79" s="154"/>
      <c r="DX79" s="154"/>
      <c r="DY79" s="153"/>
      <c r="DZ79" s="153"/>
      <c r="EA79" s="153"/>
      <c r="EB79" s="153"/>
      <c r="EC79" s="153"/>
      <c r="ED79" s="154"/>
      <c r="EE79" s="154"/>
      <c r="EF79" s="153"/>
      <c r="EG79" s="153"/>
      <c r="EH79" s="153"/>
      <c r="EI79" s="153"/>
      <c r="EJ79" s="153"/>
      <c r="EK79" s="154"/>
      <c r="EL79" s="154"/>
    </row>
    <row r="80" spans="1:142" x14ac:dyDescent="0.25">
      <c r="A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37"/>
      <c r="BO80" s="37"/>
      <c r="BP80" s="37"/>
      <c r="BQ80" s="37"/>
      <c r="BR80" s="37"/>
      <c r="BS80" s="9"/>
      <c r="BT80" s="9"/>
      <c r="BU80" s="37"/>
      <c r="BV80" s="37"/>
      <c r="BW80" s="37"/>
      <c r="BY80" s="37"/>
      <c r="BZ80" s="9"/>
      <c r="CA80" s="9"/>
      <c r="CB80" s="37"/>
      <c r="CC80" s="37"/>
      <c r="CD80" s="37"/>
      <c r="CE80" s="37"/>
      <c r="CF80" s="37"/>
      <c r="CG80" s="9"/>
      <c r="CH80" s="9"/>
      <c r="CI80" s="37"/>
      <c r="CJ80" s="37"/>
      <c r="CK80" s="37"/>
      <c r="CM80" s="37"/>
      <c r="CN80" s="9"/>
      <c r="CO80" s="9"/>
      <c r="CP80" s="37"/>
      <c r="CQ80" s="37"/>
      <c r="CR80" s="37"/>
      <c r="CS80" s="37"/>
      <c r="CT80" s="37"/>
      <c r="CU80" s="9"/>
      <c r="CV80" s="9"/>
      <c r="CW80" s="37"/>
      <c r="CX80" s="37"/>
      <c r="CY80" s="37"/>
      <c r="CZ80" s="37"/>
      <c r="DA80" s="37"/>
      <c r="DB80" s="9"/>
      <c r="DC80" s="9"/>
      <c r="DD80" s="37"/>
      <c r="DE80" s="37"/>
      <c r="DF80" s="37"/>
      <c r="DG80" s="37"/>
      <c r="DH80" s="153"/>
      <c r="DI80" s="154"/>
      <c r="DJ80" s="154"/>
      <c r="DK80" s="153"/>
      <c r="DL80" s="153"/>
      <c r="DM80" s="153"/>
      <c r="DN80" s="153"/>
      <c r="DO80" s="153"/>
      <c r="DP80" s="154"/>
      <c r="DQ80" s="154"/>
      <c r="DR80" s="153"/>
      <c r="DS80" s="153"/>
      <c r="DT80" s="153"/>
      <c r="DU80" s="153"/>
      <c r="DV80" s="153"/>
      <c r="DW80" s="154"/>
      <c r="DX80" s="154"/>
      <c r="DY80" s="153"/>
      <c r="DZ80" s="153"/>
      <c r="EA80" s="153"/>
      <c r="EB80" s="153"/>
      <c r="EC80" s="153"/>
      <c r="ED80" s="154"/>
      <c r="EE80" s="154"/>
      <c r="EF80" s="153"/>
      <c r="EG80" s="153"/>
      <c r="EH80" s="153"/>
      <c r="EI80" s="153"/>
      <c r="EJ80" s="153"/>
      <c r="EK80" s="154"/>
      <c r="EL80" s="154"/>
    </row>
    <row r="81" spans="1:142" x14ac:dyDescent="0.25">
      <c r="A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37"/>
      <c r="BO81" s="37"/>
      <c r="BP81" s="37"/>
      <c r="BQ81" s="37"/>
      <c r="BR81" s="37"/>
      <c r="BS81" s="9"/>
      <c r="BT81" s="9"/>
      <c r="BU81" s="37"/>
      <c r="BV81" s="37"/>
      <c r="BW81" s="37"/>
      <c r="BY81" s="37"/>
      <c r="BZ81" s="9"/>
      <c r="CA81" s="9"/>
      <c r="CB81" s="37"/>
      <c r="CC81" s="37"/>
      <c r="CD81" s="37"/>
      <c r="CE81" s="37"/>
      <c r="CF81" s="37"/>
      <c r="CG81" s="9"/>
      <c r="CH81" s="9"/>
      <c r="CI81" s="37"/>
      <c r="CJ81" s="37"/>
      <c r="CK81" s="37"/>
      <c r="CM81" s="37"/>
      <c r="CN81" s="9"/>
      <c r="CO81" s="9"/>
      <c r="CP81" s="37"/>
      <c r="CQ81" s="37"/>
      <c r="CR81" s="37"/>
      <c r="CS81" s="37"/>
      <c r="CT81" s="37"/>
      <c r="CU81" s="9"/>
      <c r="CV81" s="9"/>
      <c r="CW81" s="37"/>
      <c r="CX81" s="37"/>
      <c r="CY81" s="37"/>
      <c r="CZ81" s="37"/>
      <c r="DA81" s="37"/>
      <c r="DB81" s="9"/>
      <c r="DC81" s="9"/>
      <c r="DD81" s="37"/>
      <c r="DE81" s="37"/>
      <c r="DF81" s="37"/>
      <c r="DG81" s="37"/>
      <c r="DH81" s="153"/>
      <c r="DI81" s="154"/>
      <c r="DJ81" s="154"/>
      <c r="DK81" s="153"/>
      <c r="DL81" s="153"/>
      <c r="DM81" s="153"/>
      <c r="DN81" s="153"/>
      <c r="DO81" s="153"/>
      <c r="DP81" s="154"/>
      <c r="DQ81" s="154"/>
      <c r="DR81" s="153"/>
      <c r="DS81" s="153"/>
      <c r="DT81" s="153"/>
      <c r="DU81" s="153"/>
      <c r="DV81" s="153"/>
      <c r="DW81" s="154"/>
      <c r="DX81" s="154"/>
      <c r="DY81" s="153"/>
      <c r="DZ81" s="153"/>
      <c r="EA81" s="153"/>
      <c r="EB81" s="153"/>
      <c r="EC81" s="153"/>
      <c r="ED81" s="154"/>
      <c r="EE81" s="154"/>
      <c r="EF81" s="153"/>
      <c r="EG81" s="153"/>
      <c r="EH81" s="153"/>
      <c r="EI81" s="153"/>
      <c r="EJ81" s="153"/>
      <c r="EK81" s="154"/>
      <c r="EL81" s="154"/>
    </row>
    <row r="82" spans="1:142" x14ac:dyDescent="0.25">
      <c r="A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37"/>
      <c r="BO82" s="37"/>
      <c r="BP82" s="37"/>
      <c r="BQ82" s="37"/>
      <c r="BR82" s="37"/>
      <c r="BS82" s="9"/>
      <c r="BT82" s="9"/>
      <c r="BU82" s="37"/>
      <c r="BV82" s="37"/>
      <c r="BW82" s="37"/>
      <c r="BY82" s="37"/>
      <c r="BZ82" s="9"/>
      <c r="CA82" s="9"/>
      <c r="CB82" s="37"/>
      <c r="CC82" s="37"/>
      <c r="CD82" s="37"/>
      <c r="CE82" s="37"/>
      <c r="CF82" s="37"/>
      <c r="CG82" s="9"/>
      <c r="CH82" s="9"/>
      <c r="CI82" s="37"/>
      <c r="CJ82" s="37"/>
      <c r="CK82" s="37"/>
      <c r="CM82" s="37"/>
      <c r="CN82" s="9"/>
      <c r="CO82" s="9"/>
      <c r="CP82" s="37"/>
      <c r="CQ82" s="37"/>
      <c r="CR82" s="37"/>
      <c r="CS82" s="37"/>
      <c r="CT82" s="37"/>
      <c r="CU82" s="9"/>
      <c r="CV82" s="9"/>
      <c r="CW82" s="37"/>
      <c r="CX82" s="37"/>
      <c r="CY82" s="37"/>
      <c r="CZ82" s="37"/>
      <c r="DA82" s="37"/>
      <c r="DB82" s="9"/>
      <c r="DC82" s="9"/>
      <c r="DD82" s="37"/>
      <c r="DE82" s="37"/>
      <c r="DF82" s="37"/>
      <c r="DG82" s="37"/>
      <c r="DH82" s="153"/>
      <c r="DI82" s="154"/>
      <c r="DJ82" s="154"/>
      <c r="DK82" s="153"/>
      <c r="DL82" s="153"/>
      <c r="DM82" s="153"/>
      <c r="DN82" s="153"/>
      <c r="DO82" s="153"/>
      <c r="DP82" s="154"/>
      <c r="DQ82" s="154"/>
      <c r="DR82" s="153"/>
      <c r="DS82" s="153"/>
      <c r="DT82" s="153"/>
      <c r="DU82" s="153"/>
      <c r="DV82" s="153"/>
      <c r="DW82" s="154"/>
      <c r="DX82" s="154"/>
      <c r="DY82" s="153"/>
      <c r="DZ82" s="153"/>
      <c r="EA82" s="153"/>
      <c r="EB82" s="153"/>
      <c r="EC82" s="153"/>
      <c r="ED82" s="154"/>
      <c r="EE82" s="154"/>
      <c r="EF82" s="153"/>
      <c r="EG82" s="153"/>
      <c r="EH82" s="153"/>
      <c r="EI82" s="153"/>
      <c r="EJ82" s="153"/>
      <c r="EK82" s="154"/>
      <c r="EL82" s="154"/>
    </row>
    <row r="83" spans="1:142" x14ac:dyDescent="0.25">
      <c r="A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37"/>
      <c r="BO83" s="37"/>
      <c r="BP83" s="37"/>
      <c r="BQ83" s="37"/>
      <c r="BR83" s="37"/>
      <c r="BS83" s="9"/>
      <c r="BT83" s="9"/>
      <c r="BU83" s="37"/>
      <c r="BV83" s="37"/>
      <c r="BW83" s="37"/>
      <c r="BY83" s="37"/>
      <c r="BZ83" s="9"/>
      <c r="CA83" s="9"/>
      <c r="CB83" s="37"/>
      <c r="CC83" s="37"/>
      <c r="CD83" s="37"/>
      <c r="CE83" s="37"/>
      <c r="CF83" s="37"/>
      <c r="CG83" s="9"/>
      <c r="CH83" s="9"/>
      <c r="CI83" s="37"/>
      <c r="CJ83" s="37"/>
      <c r="CK83" s="37"/>
      <c r="CM83" s="37"/>
      <c r="CN83" s="9"/>
      <c r="CO83" s="9"/>
      <c r="CP83" s="37"/>
      <c r="CQ83" s="37"/>
      <c r="CR83" s="37"/>
      <c r="CS83" s="37"/>
      <c r="CT83" s="37"/>
      <c r="CU83" s="9"/>
      <c r="CV83" s="9"/>
      <c r="CW83" s="37"/>
      <c r="CX83" s="37"/>
      <c r="CY83" s="37"/>
      <c r="CZ83" s="37"/>
      <c r="DA83" s="37"/>
      <c r="DB83" s="9"/>
      <c r="DC83" s="9"/>
      <c r="DD83" s="37"/>
      <c r="DE83" s="37"/>
      <c r="DF83" s="37"/>
      <c r="DG83" s="37"/>
      <c r="DH83" s="153"/>
      <c r="DI83" s="154"/>
      <c r="DJ83" s="154"/>
      <c r="DK83" s="153"/>
      <c r="DL83" s="153"/>
      <c r="DM83" s="153"/>
      <c r="DN83" s="153"/>
      <c r="DO83" s="153"/>
      <c r="DP83" s="154"/>
      <c r="DQ83" s="154"/>
      <c r="DR83" s="153"/>
      <c r="DS83" s="153"/>
      <c r="DT83" s="153"/>
      <c r="DU83" s="153"/>
      <c r="DV83" s="153"/>
      <c r="DW83" s="154"/>
      <c r="DX83" s="154"/>
      <c r="DY83" s="153"/>
      <c r="DZ83" s="153"/>
      <c r="EA83" s="153"/>
      <c r="EB83" s="153"/>
      <c r="EC83" s="153"/>
      <c r="ED83" s="154"/>
      <c r="EE83" s="154"/>
      <c r="EF83" s="153"/>
      <c r="EG83" s="153"/>
      <c r="EH83" s="153"/>
      <c r="EI83" s="153"/>
      <c r="EJ83" s="153"/>
      <c r="EK83" s="154"/>
      <c r="EL83" s="154"/>
    </row>
    <row r="84" spans="1:142" x14ac:dyDescent="0.25">
      <c r="A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37"/>
      <c r="BO84" s="37"/>
      <c r="BP84" s="37"/>
      <c r="BQ84" s="37"/>
      <c r="BR84" s="37"/>
      <c r="BS84" s="9"/>
      <c r="BT84" s="9"/>
      <c r="BU84" s="37"/>
      <c r="BV84" s="37"/>
      <c r="BW84" s="37"/>
      <c r="BY84" s="37"/>
      <c r="BZ84" s="9"/>
      <c r="CA84" s="9"/>
      <c r="CB84" s="37"/>
      <c r="CC84" s="37"/>
      <c r="CD84" s="37"/>
      <c r="CE84" s="37"/>
      <c r="CF84" s="37"/>
      <c r="CG84" s="9"/>
      <c r="CH84" s="9"/>
      <c r="CI84" s="37"/>
      <c r="CJ84" s="37"/>
      <c r="CK84" s="37"/>
      <c r="CM84" s="37"/>
      <c r="CN84" s="9"/>
      <c r="CO84" s="9"/>
      <c r="CP84" s="37"/>
      <c r="CQ84" s="37"/>
      <c r="CR84" s="37"/>
      <c r="CS84" s="37"/>
      <c r="CT84" s="37"/>
      <c r="CU84" s="9"/>
      <c r="CV84" s="9"/>
      <c r="CW84" s="37"/>
      <c r="CX84" s="37"/>
      <c r="CY84" s="37"/>
      <c r="CZ84" s="37"/>
      <c r="DA84" s="37"/>
      <c r="DB84" s="9"/>
      <c r="DC84" s="9"/>
      <c r="DD84" s="37"/>
      <c r="DE84" s="37"/>
      <c r="DF84" s="37"/>
      <c r="DG84" s="37"/>
      <c r="DH84" s="153"/>
      <c r="DI84" s="154"/>
      <c r="DJ84" s="154"/>
      <c r="DK84" s="153"/>
      <c r="DL84" s="153"/>
      <c r="DM84" s="153"/>
      <c r="DN84" s="153"/>
      <c r="DO84" s="153"/>
      <c r="DP84" s="154"/>
      <c r="DQ84" s="154"/>
      <c r="DR84" s="153"/>
      <c r="DS84" s="153"/>
      <c r="DT84" s="153"/>
      <c r="DU84" s="153"/>
      <c r="DV84" s="153"/>
      <c r="DW84" s="154"/>
      <c r="DX84" s="154"/>
      <c r="DY84" s="153"/>
      <c r="DZ84" s="153"/>
      <c r="EA84" s="153"/>
      <c r="EB84" s="153"/>
      <c r="EC84" s="153"/>
      <c r="ED84" s="154"/>
      <c r="EE84" s="154"/>
      <c r="EF84" s="153"/>
      <c r="EG84" s="153"/>
      <c r="EH84" s="153"/>
      <c r="EI84" s="153"/>
      <c r="EJ84" s="153"/>
      <c r="EK84" s="154"/>
      <c r="EL84" s="154"/>
    </row>
    <row r="85" spans="1:142" x14ac:dyDescent="0.25">
      <c r="A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37"/>
      <c r="BO85" s="37"/>
      <c r="BP85" s="37"/>
      <c r="BQ85" s="37"/>
      <c r="BR85" s="37"/>
      <c r="BS85" s="9"/>
      <c r="BT85" s="9"/>
      <c r="BU85" s="37"/>
      <c r="BV85" s="37"/>
      <c r="BW85" s="37"/>
      <c r="BY85" s="37"/>
      <c r="BZ85" s="9"/>
      <c r="CA85" s="9"/>
      <c r="CB85" s="37"/>
      <c r="CC85" s="37"/>
      <c r="CD85" s="37"/>
      <c r="CE85" s="37"/>
      <c r="CF85" s="37"/>
      <c r="CG85" s="9"/>
      <c r="CH85" s="9"/>
      <c r="CI85" s="37"/>
      <c r="CJ85" s="37"/>
      <c r="CK85" s="37"/>
      <c r="CM85" s="37"/>
      <c r="CN85" s="9"/>
      <c r="CO85" s="9"/>
      <c r="CP85" s="37"/>
      <c r="CQ85" s="37"/>
      <c r="CR85" s="37"/>
      <c r="CS85" s="37"/>
      <c r="CT85" s="37"/>
      <c r="CU85" s="9"/>
      <c r="CV85" s="9"/>
      <c r="CW85" s="37"/>
      <c r="CX85" s="37"/>
      <c r="CY85" s="37"/>
      <c r="CZ85" s="37"/>
      <c r="DA85" s="37"/>
      <c r="DB85" s="9"/>
      <c r="DC85" s="9"/>
      <c r="DD85" s="37"/>
      <c r="DE85" s="37"/>
      <c r="DF85" s="37"/>
      <c r="DG85" s="37"/>
      <c r="DH85" s="153"/>
      <c r="DI85" s="154"/>
      <c r="DJ85" s="154"/>
      <c r="DK85" s="153"/>
      <c r="DL85" s="153"/>
      <c r="DM85" s="153"/>
      <c r="DN85" s="153"/>
      <c r="DO85" s="153"/>
      <c r="DP85" s="154"/>
      <c r="DQ85" s="154"/>
      <c r="DR85" s="153"/>
      <c r="DS85" s="153"/>
      <c r="DT85" s="153"/>
      <c r="DU85" s="153"/>
      <c r="DV85" s="153"/>
      <c r="DW85" s="154"/>
      <c r="DX85" s="154"/>
      <c r="DY85" s="153"/>
      <c r="DZ85" s="153"/>
      <c r="EA85" s="153"/>
      <c r="EB85" s="153"/>
      <c r="EC85" s="153"/>
      <c r="ED85" s="154"/>
      <c r="EE85" s="154"/>
      <c r="EF85" s="153"/>
      <c r="EG85" s="153"/>
      <c r="EH85" s="153"/>
      <c r="EI85" s="153"/>
      <c r="EJ85" s="153"/>
      <c r="EK85" s="154"/>
      <c r="EL85" s="154"/>
    </row>
  </sheetData>
  <conditionalFormatting sqref="E114:H1048576 H27 E50:G50 H22 G23:H24 E18:F27 G18:G22 E46:G47 F45:G45 H41:H50 E2:H8 E10:H11 F9:H9 H12:H20 E16:G17 E28:H34 E35:G44">
    <cfRule type="cellIs" dxfId="28" priority="91" operator="equal">
      <formula>"לא"</formula>
    </cfRule>
  </conditionalFormatting>
  <conditionalFormatting sqref="D114:D1048576 D46:D47 D40:D44 D2:D8 D10:D11 D16:D35">
    <cfRule type="cellIs" dxfId="27" priority="90" operator="equal">
      <formula>"כן"</formula>
    </cfRule>
  </conditionalFormatting>
  <conditionalFormatting sqref="Q51:W71">
    <cfRule type="cellIs" dxfId="26" priority="84" operator="notEqual">
      <formula>0</formula>
    </cfRule>
  </conditionalFormatting>
  <conditionalFormatting sqref="E12:E15">
    <cfRule type="cellIs" dxfId="25" priority="76" operator="equal">
      <formula>"לא"</formula>
    </cfRule>
  </conditionalFormatting>
  <conditionalFormatting sqref="D12:D15">
    <cfRule type="cellIs" dxfId="24" priority="75" operator="equal">
      <formula>"כן"</formula>
    </cfRule>
  </conditionalFormatting>
  <conditionalFormatting sqref="H21 H26">
    <cfRule type="cellIs" dxfId="23" priority="72" operator="equal">
      <formula>"לא"</formula>
    </cfRule>
  </conditionalFormatting>
  <conditionalFormatting sqref="H25">
    <cfRule type="cellIs" dxfId="22" priority="70" operator="equal">
      <formula>"לא"</formula>
    </cfRule>
  </conditionalFormatting>
  <conditionalFormatting sqref="G25">
    <cfRule type="cellIs" dxfId="21" priority="59" operator="equal">
      <formula>"לא"</formula>
    </cfRule>
  </conditionalFormatting>
  <conditionalFormatting sqref="D36:D39">
    <cfRule type="cellIs" dxfId="20" priority="53" operator="equal">
      <formula>"כן"</formula>
    </cfRule>
  </conditionalFormatting>
  <conditionalFormatting sqref="G12:G15">
    <cfRule type="cellIs" dxfId="19" priority="44" operator="equal">
      <formula>"לא"</formula>
    </cfRule>
  </conditionalFormatting>
  <conditionalFormatting sqref="G26">
    <cfRule type="cellIs" dxfId="18" priority="34" operator="equal">
      <formula>"לא"</formula>
    </cfRule>
  </conditionalFormatting>
  <conditionalFormatting sqref="G27">
    <cfRule type="cellIs" dxfId="17" priority="33" operator="equal">
      <formula>"לא"</formula>
    </cfRule>
  </conditionalFormatting>
  <conditionalFormatting sqref="H35">
    <cfRule type="cellIs" dxfId="16" priority="31" operator="equal">
      <formula>"לא"</formula>
    </cfRule>
  </conditionalFormatting>
  <conditionalFormatting sqref="H36:H39">
    <cfRule type="cellIs" dxfId="15" priority="30" operator="equal">
      <formula>"לא"</formula>
    </cfRule>
  </conditionalFormatting>
  <conditionalFormatting sqref="H40">
    <cfRule type="cellIs" dxfId="14" priority="29" operator="equal">
      <formula>"לא"</formula>
    </cfRule>
  </conditionalFormatting>
  <conditionalFormatting sqref="F12:F15">
    <cfRule type="cellIs" dxfId="13" priority="23" operator="equal">
      <formula>"לא"</formula>
    </cfRule>
  </conditionalFormatting>
  <conditionalFormatting sqref="E48">
    <cfRule type="cellIs" dxfId="12" priority="14" operator="equal">
      <formula>"לא"</formula>
    </cfRule>
  </conditionalFormatting>
  <conditionalFormatting sqref="D48">
    <cfRule type="cellIs" dxfId="11" priority="13" operator="equal">
      <formula>"כן"</formula>
    </cfRule>
  </conditionalFormatting>
  <conditionalFormatting sqref="F48">
    <cfRule type="cellIs" dxfId="10" priority="11" operator="equal">
      <formula>"לא"</formula>
    </cfRule>
  </conditionalFormatting>
  <conditionalFormatting sqref="E45">
    <cfRule type="cellIs" dxfId="9" priority="10" operator="equal">
      <formula>"לא"</formula>
    </cfRule>
  </conditionalFormatting>
  <conditionalFormatting sqref="D45">
    <cfRule type="cellIs" dxfId="8" priority="9" operator="equal">
      <formula>"כן"</formula>
    </cfRule>
  </conditionalFormatting>
  <conditionalFormatting sqref="D50">
    <cfRule type="cellIs" dxfId="7" priority="8" operator="equal">
      <formula>"כן"</formula>
    </cfRule>
  </conditionalFormatting>
  <conditionalFormatting sqref="E9">
    <cfRule type="cellIs" dxfId="6" priority="7" operator="equal">
      <formula>"לא"</formula>
    </cfRule>
  </conditionalFormatting>
  <conditionalFormatting sqref="D9">
    <cfRule type="cellIs" dxfId="5" priority="6" operator="equal">
      <formula>"כן"</formula>
    </cfRule>
  </conditionalFormatting>
  <conditionalFormatting sqref="G48">
    <cfRule type="cellIs" dxfId="4" priority="5" operator="equal">
      <formula>"לא"</formula>
    </cfRule>
  </conditionalFormatting>
  <conditionalFormatting sqref="E49">
    <cfRule type="cellIs" dxfId="3" priority="4" operator="equal">
      <formula>"לא"</formula>
    </cfRule>
  </conditionalFormatting>
  <conditionalFormatting sqref="D49">
    <cfRule type="cellIs" dxfId="2" priority="3" operator="equal">
      <formula>"כן"</formula>
    </cfRule>
  </conditionalFormatting>
  <conditionalFormatting sqref="F49">
    <cfRule type="cellIs" dxfId="1" priority="2" operator="equal">
      <formula>"לא"</formula>
    </cfRule>
  </conditionalFormatting>
  <conditionalFormatting sqref="G49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30" zoomScaleNormal="130" workbookViewId="0">
      <selection activeCell="B29" sqref="B29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299</v>
      </c>
      <c r="C2" s="3">
        <f>COUNTIF(חיילים!D:D,"=כן")</f>
        <v>4</v>
      </c>
    </row>
    <row r="3" spans="2:10" ht="17.25" customHeight="1" thickBot="1" x14ac:dyDescent="0.3">
      <c r="B3" s="1" t="s">
        <v>16</v>
      </c>
      <c r="C3" s="1">
        <f>COUNTIF(חיילים!$D:D,"=לא")</f>
        <v>45</v>
      </c>
      <c r="F3" s="68"/>
      <c r="G3" s="89" t="s">
        <v>184</v>
      </c>
      <c r="H3" s="41" t="s">
        <v>185</v>
      </c>
      <c r="I3" s="41" t="s">
        <v>186</v>
      </c>
      <c r="J3" s="90" t="s">
        <v>187</v>
      </c>
    </row>
    <row r="4" spans="2:10" x14ac:dyDescent="0.25">
      <c r="B4" s="1" t="s">
        <v>15</v>
      </c>
      <c r="C4" s="2">
        <f>C3+C2</f>
        <v>49</v>
      </c>
      <c r="F4" s="86" t="s">
        <v>29</v>
      </c>
      <c r="G4" s="59">
        <f>SUM(חיילים!EF:EF)</f>
        <v>12</v>
      </c>
      <c r="H4" s="60">
        <f>SUM(חיילים!EG:EG)</f>
        <v>4</v>
      </c>
      <c r="I4" s="60">
        <f>SUM(חיילים!EH:EH)</f>
        <v>48</v>
      </c>
      <c r="J4" s="61">
        <f>SUM(חיילים!EI:EI)</f>
        <v>16</v>
      </c>
    </row>
    <row r="5" spans="2:10" x14ac:dyDescent="0.25">
      <c r="F5" s="87" t="s">
        <v>30</v>
      </c>
      <c r="G5" s="62">
        <f>G6-G4</f>
        <v>0</v>
      </c>
      <c r="H5" s="63">
        <f t="shared" ref="H5:I5" si="0">H6-H4</f>
        <v>0</v>
      </c>
      <c r="I5" s="63">
        <f t="shared" si="0"/>
        <v>0</v>
      </c>
      <c r="J5" s="64">
        <f>J6-J4</f>
        <v>0</v>
      </c>
    </row>
    <row r="6" spans="2:10" ht="15.75" thickBot="1" x14ac:dyDescent="0.3">
      <c r="F6" s="88" t="s">
        <v>31</v>
      </c>
      <c r="G6" s="65">
        <f>4*3</f>
        <v>12</v>
      </c>
      <c r="H6" s="66">
        <f>4*1</f>
        <v>4</v>
      </c>
      <c r="I6" s="66">
        <f>4*4*3</f>
        <v>48</v>
      </c>
      <c r="J6" s="67">
        <f>4*4*1</f>
        <v>16</v>
      </c>
    </row>
    <row r="7" spans="2:10" x14ac:dyDescent="0.25">
      <c r="B7" s="1" t="s">
        <v>17</v>
      </c>
      <c r="C7" s="1">
        <f>COUNTIF(חיילים!E:E,"=כן")</f>
        <v>31</v>
      </c>
    </row>
    <row r="8" spans="2:10" x14ac:dyDescent="0.25">
      <c r="B8" s="3" t="s">
        <v>18</v>
      </c>
      <c r="C8" s="3">
        <f>COUNTIF(חיילים!E:E,"=לא")</f>
        <v>18</v>
      </c>
    </row>
    <row r="9" spans="2:10" x14ac:dyDescent="0.25">
      <c r="B9" s="1" t="s">
        <v>15</v>
      </c>
      <c r="C9" s="2">
        <f>C8+C7</f>
        <v>49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CEA46-8E4F-4D3F-A0B9-0ADE5890139B}">
  <dimension ref="A1:K80"/>
  <sheetViews>
    <sheetView rightToLeft="1" topLeftCell="A22" zoomScale="178" zoomScaleNormal="178" workbookViewId="0">
      <selection activeCell="H28" sqref="H28"/>
    </sheetView>
  </sheetViews>
  <sheetFormatPr defaultRowHeight="15" x14ac:dyDescent="0.25"/>
  <cols>
    <col min="1" max="1" width="7.28515625" style="21" customWidth="1"/>
    <col min="2" max="2" width="7" style="9" bestFit="1" customWidth="1"/>
    <col min="3" max="10" width="7.7109375" style="38" customWidth="1"/>
  </cols>
  <sheetData>
    <row r="1" spans="1:11" ht="60.75" thickBot="1" x14ac:dyDescent="0.3">
      <c r="A1" s="157" t="s">
        <v>0</v>
      </c>
      <c r="B1" s="158" t="s">
        <v>1</v>
      </c>
      <c r="C1" s="172" t="s">
        <v>72</v>
      </c>
      <c r="D1" s="224" t="s">
        <v>72</v>
      </c>
      <c r="E1" s="168" t="s">
        <v>73</v>
      </c>
      <c r="F1" s="223" t="s">
        <v>73</v>
      </c>
      <c r="G1" s="168" t="s">
        <v>74</v>
      </c>
      <c r="H1" s="223" t="s">
        <v>74</v>
      </c>
      <c r="I1" s="168" t="s">
        <v>75</v>
      </c>
      <c r="J1" s="223" t="s">
        <v>75</v>
      </c>
    </row>
    <row r="2" spans="1:11" x14ac:dyDescent="0.25">
      <c r="A2" s="32">
        <v>11</v>
      </c>
      <c r="B2" s="237" t="s">
        <v>133</v>
      </c>
      <c r="C2" s="108"/>
      <c r="D2" s="108"/>
      <c r="E2" s="40"/>
      <c r="F2" s="108"/>
      <c r="G2" s="40">
        <v>3</v>
      </c>
      <c r="H2" s="40">
        <v>3</v>
      </c>
      <c r="I2" s="40"/>
      <c r="J2" s="108"/>
    </row>
    <row r="3" spans="1:11" ht="33.75" x14ac:dyDescent="0.5">
      <c r="A3" s="177">
        <v>209</v>
      </c>
      <c r="B3" s="24" t="s">
        <v>273</v>
      </c>
      <c r="C3" s="108"/>
      <c r="D3" s="108"/>
      <c r="E3" s="40"/>
      <c r="F3" s="108"/>
      <c r="G3" s="40">
        <v>3</v>
      </c>
      <c r="H3" s="40">
        <v>3</v>
      </c>
      <c r="I3" s="40"/>
      <c r="J3" s="108"/>
      <c r="K3" s="46"/>
    </row>
    <row r="4" spans="1:11" ht="33.75" x14ac:dyDescent="0.5">
      <c r="A4" s="32">
        <v>209</v>
      </c>
      <c r="B4" s="24" t="s">
        <v>274</v>
      </c>
      <c r="C4" s="108"/>
      <c r="D4" s="108"/>
      <c r="E4" s="40"/>
      <c r="F4" s="108"/>
      <c r="G4" s="40">
        <v>3</v>
      </c>
      <c r="H4" s="40">
        <v>4</v>
      </c>
      <c r="I4" s="40"/>
      <c r="J4" s="108"/>
      <c r="K4" s="46"/>
    </row>
    <row r="5" spans="1:11" x14ac:dyDescent="0.25">
      <c r="A5" s="10">
        <v>474</v>
      </c>
      <c r="B5" s="24" t="s">
        <v>166</v>
      </c>
      <c r="C5" s="108"/>
      <c r="D5" s="108"/>
      <c r="E5" s="40"/>
      <c r="F5" s="108"/>
      <c r="G5" s="40">
        <v>3</v>
      </c>
      <c r="H5" s="40">
        <v>3</v>
      </c>
      <c r="I5" s="40"/>
      <c r="J5" s="108"/>
    </row>
    <row r="6" spans="1:11" x14ac:dyDescent="0.25">
      <c r="A6" s="32">
        <v>679</v>
      </c>
      <c r="B6" s="237" t="s">
        <v>49</v>
      </c>
      <c r="C6" s="108"/>
      <c r="D6" s="108"/>
      <c r="E6" s="40"/>
      <c r="F6" s="108"/>
      <c r="G6" s="40">
        <v>3</v>
      </c>
      <c r="H6" s="40">
        <v>3</v>
      </c>
      <c r="I6" s="40"/>
      <c r="J6" s="108"/>
    </row>
    <row r="7" spans="1:11" x14ac:dyDescent="0.25">
      <c r="A7" s="32">
        <v>679</v>
      </c>
      <c r="B7" s="237" t="s">
        <v>276</v>
      </c>
      <c r="C7" s="108"/>
      <c r="D7" s="108"/>
      <c r="E7" s="40"/>
      <c r="F7" s="108"/>
      <c r="G7" s="40">
        <v>3</v>
      </c>
      <c r="H7" s="40">
        <v>3</v>
      </c>
      <c r="I7" s="40"/>
      <c r="J7" s="108"/>
    </row>
    <row r="8" spans="1:11" x14ac:dyDescent="0.25">
      <c r="A8" s="216" t="s">
        <v>63</v>
      </c>
      <c r="B8" s="218" t="s">
        <v>11</v>
      </c>
      <c r="C8" s="108"/>
      <c r="D8" s="108"/>
      <c r="E8" s="40"/>
      <c r="F8" s="108"/>
      <c r="G8" s="40">
        <v>3</v>
      </c>
      <c r="H8" s="40">
        <v>3</v>
      </c>
      <c r="I8" s="40"/>
      <c r="J8" s="108"/>
    </row>
    <row r="9" spans="1:11" x14ac:dyDescent="0.25">
      <c r="A9" s="177" t="s">
        <v>14</v>
      </c>
      <c r="B9" s="237" t="s">
        <v>189</v>
      </c>
      <c r="C9" s="108">
        <v>1</v>
      </c>
      <c r="D9" s="108">
        <v>1</v>
      </c>
      <c r="E9" s="40"/>
      <c r="F9" s="108"/>
      <c r="G9" s="40">
        <v>2</v>
      </c>
      <c r="H9" s="40">
        <v>2</v>
      </c>
      <c r="I9" s="40"/>
      <c r="J9" s="108"/>
    </row>
    <row r="10" spans="1:11" x14ac:dyDescent="0.25">
      <c r="A10" s="32">
        <v>9</v>
      </c>
      <c r="B10" s="33" t="s">
        <v>48</v>
      </c>
      <c r="C10" s="108"/>
      <c r="D10" s="108"/>
      <c r="E10" s="40"/>
      <c r="F10" s="108"/>
      <c r="G10" s="40">
        <v>2</v>
      </c>
      <c r="H10" s="40">
        <v>2</v>
      </c>
      <c r="I10" s="40"/>
      <c r="J10" s="108"/>
    </row>
    <row r="11" spans="1:11" x14ac:dyDescent="0.25">
      <c r="A11" s="32">
        <v>9</v>
      </c>
      <c r="B11" s="33" t="s">
        <v>10</v>
      </c>
      <c r="C11" s="108"/>
      <c r="D11" s="108"/>
      <c r="E11" s="40"/>
      <c r="F11" s="108"/>
      <c r="G11" s="40">
        <v>2</v>
      </c>
      <c r="H11" s="40">
        <v>2</v>
      </c>
      <c r="I11" s="40"/>
      <c r="J11" s="108"/>
    </row>
    <row r="12" spans="1:11" x14ac:dyDescent="0.25">
      <c r="A12" s="177" t="s">
        <v>12</v>
      </c>
      <c r="B12" s="237" t="s">
        <v>254</v>
      </c>
      <c r="C12" s="108"/>
      <c r="D12" s="108"/>
      <c r="E12" s="40"/>
      <c r="F12" s="108"/>
      <c r="G12" s="40">
        <v>2</v>
      </c>
      <c r="H12" s="40">
        <v>2</v>
      </c>
      <c r="I12" s="40"/>
      <c r="J12" s="108"/>
    </row>
    <row r="13" spans="1:11" x14ac:dyDescent="0.25">
      <c r="A13" s="219" t="s">
        <v>12</v>
      </c>
      <c r="B13" s="24" t="s">
        <v>98</v>
      </c>
      <c r="C13" s="108"/>
      <c r="D13" s="108"/>
      <c r="E13" s="40"/>
      <c r="F13" s="108"/>
      <c r="G13" s="40">
        <v>2</v>
      </c>
      <c r="H13" s="40">
        <v>2</v>
      </c>
      <c r="I13" s="40"/>
      <c r="J13" s="108"/>
    </row>
    <row r="14" spans="1:11" x14ac:dyDescent="0.25">
      <c r="A14" s="32">
        <v>9</v>
      </c>
      <c r="B14" s="237" t="s">
        <v>226</v>
      </c>
      <c r="C14" s="108">
        <v>1</v>
      </c>
      <c r="D14" s="108">
        <v>1</v>
      </c>
      <c r="E14" s="40"/>
      <c r="F14" s="108"/>
      <c r="G14" s="40">
        <v>1</v>
      </c>
      <c r="H14" s="40">
        <v>1</v>
      </c>
      <c r="I14" s="40">
        <v>2</v>
      </c>
      <c r="J14" s="108">
        <v>2</v>
      </c>
    </row>
    <row r="15" spans="1:11" x14ac:dyDescent="0.25">
      <c r="A15" s="177" t="s">
        <v>63</v>
      </c>
      <c r="B15" s="237" t="s">
        <v>279</v>
      </c>
      <c r="C15" s="108"/>
      <c r="D15" s="108"/>
      <c r="E15" s="40"/>
      <c r="F15" s="108"/>
      <c r="G15" s="40">
        <v>1</v>
      </c>
      <c r="H15" s="40">
        <v>1</v>
      </c>
      <c r="I15" s="40">
        <v>2</v>
      </c>
      <c r="J15" s="108">
        <v>2</v>
      </c>
    </row>
    <row r="16" spans="1:11" x14ac:dyDescent="0.25">
      <c r="A16" s="10">
        <v>11</v>
      </c>
      <c r="B16" s="24" t="s">
        <v>300</v>
      </c>
      <c r="C16" s="108">
        <v>1</v>
      </c>
      <c r="D16" s="108">
        <v>1</v>
      </c>
      <c r="E16" s="40"/>
      <c r="F16" s="108"/>
      <c r="G16" s="40">
        <v>1</v>
      </c>
      <c r="H16" s="40">
        <v>1</v>
      </c>
      <c r="I16" s="40">
        <v>1</v>
      </c>
      <c r="J16" s="108">
        <v>1</v>
      </c>
    </row>
    <row r="17" spans="1:10" x14ac:dyDescent="0.25">
      <c r="A17" s="10">
        <v>9</v>
      </c>
      <c r="B17" s="11" t="s">
        <v>9</v>
      </c>
      <c r="C17" s="108"/>
      <c r="D17" s="108"/>
      <c r="E17" s="40"/>
      <c r="F17" s="108"/>
      <c r="G17" s="40">
        <v>1</v>
      </c>
      <c r="H17" s="40">
        <v>1</v>
      </c>
      <c r="I17" s="40">
        <v>1</v>
      </c>
      <c r="J17" s="108">
        <v>1</v>
      </c>
    </row>
    <row r="18" spans="1:10" x14ac:dyDescent="0.25">
      <c r="A18" s="10">
        <v>474</v>
      </c>
      <c r="B18" s="24" t="s">
        <v>123</v>
      </c>
      <c r="C18" s="108"/>
      <c r="D18" s="108"/>
      <c r="E18" s="40"/>
      <c r="F18" s="108"/>
      <c r="G18" s="40">
        <v>1</v>
      </c>
      <c r="H18" s="40">
        <v>1</v>
      </c>
      <c r="I18" s="40">
        <v>1</v>
      </c>
      <c r="J18" s="108">
        <v>1</v>
      </c>
    </row>
    <row r="19" spans="1:10" x14ac:dyDescent="0.25">
      <c r="A19" s="10">
        <v>474</v>
      </c>
      <c r="B19" s="24" t="s">
        <v>68</v>
      </c>
      <c r="C19" s="108"/>
      <c r="D19" s="108"/>
      <c r="E19" s="40"/>
      <c r="F19" s="108"/>
      <c r="G19" s="40">
        <v>1</v>
      </c>
      <c r="H19" s="40">
        <v>1</v>
      </c>
      <c r="I19" s="40">
        <v>1</v>
      </c>
      <c r="J19" s="108">
        <v>1</v>
      </c>
    </row>
    <row r="20" spans="1:10" x14ac:dyDescent="0.25">
      <c r="A20" s="32" t="s">
        <v>63</v>
      </c>
      <c r="B20" s="24" t="s">
        <v>132</v>
      </c>
      <c r="C20" s="108"/>
      <c r="D20" s="108"/>
      <c r="E20" s="40"/>
      <c r="F20" s="108"/>
      <c r="G20" s="40">
        <v>1</v>
      </c>
      <c r="H20" s="40">
        <v>1</v>
      </c>
      <c r="I20" s="40">
        <v>1</v>
      </c>
      <c r="J20" s="108">
        <v>1</v>
      </c>
    </row>
    <row r="21" spans="1:10" x14ac:dyDescent="0.25">
      <c r="A21" s="32">
        <v>679</v>
      </c>
      <c r="B21" s="33" t="s">
        <v>13</v>
      </c>
      <c r="C21" s="108"/>
      <c r="D21" s="108"/>
      <c r="E21" s="40">
        <v>1</v>
      </c>
      <c r="F21" s="108">
        <v>1</v>
      </c>
      <c r="G21" s="40">
        <v>1</v>
      </c>
      <c r="H21" s="40">
        <v>1</v>
      </c>
      <c r="I21" s="40"/>
      <c r="J21" s="108"/>
    </row>
    <row r="22" spans="1:10" x14ac:dyDescent="0.25">
      <c r="A22" s="32" t="s">
        <v>63</v>
      </c>
      <c r="B22" s="24" t="s">
        <v>284</v>
      </c>
      <c r="C22" s="108"/>
      <c r="D22" s="108"/>
      <c r="E22" s="40">
        <v>1</v>
      </c>
      <c r="F22" s="108">
        <v>1</v>
      </c>
      <c r="G22" s="40">
        <v>1</v>
      </c>
      <c r="H22" s="40">
        <v>1</v>
      </c>
      <c r="I22" s="40"/>
      <c r="J22" s="108"/>
    </row>
    <row r="23" spans="1:10" x14ac:dyDescent="0.25">
      <c r="A23" s="32" t="s">
        <v>63</v>
      </c>
      <c r="B23" s="237" t="s">
        <v>8</v>
      </c>
      <c r="C23" s="108"/>
      <c r="D23" s="108"/>
      <c r="E23" s="40">
        <v>1</v>
      </c>
      <c r="F23" s="108">
        <v>1</v>
      </c>
      <c r="G23" s="40">
        <v>1</v>
      </c>
      <c r="H23" s="40">
        <v>1</v>
      </c>
      <c r="I23" s="40"/>
      <c r="J23" s="108"/>
    </row>
    <row r="24" spans="1:10" x14ac:dyDescent="0.25">
      <c r="A24" s="32">
        <v>9</v>
      </c>
      <c r="B24" s="237" t="s">
        <v>257</v>
      </c>
      <c r="C24" s="108">
        <v>1</v>
      </c>
      <c r="D24" s="108">
        <v>1</v>
      </c>
      <c r="E24" s="40"/>
      <c r="F24" s="108"/>
      <c r="G24" s="40">
        <v>1</v>
      </c>
      <c r="H24" s="40">
        <v>1</v>
      </c>
      <c r="I24" s="40"/>
      <c r="J24" s="108"/>
    </row>
    <row r="25" spans="1:10" x14ac:dyDescent="0.25">
      <c r="A25" s="32">
        <v>9</v>
      </c>
      <c r="B25" s="237" t="s">
        <v>262</v>
      </c>
      <c r="C25" s="108">
        <v>1</v>
      </c>
      <c r="D25" s="108">
        <v>1</v>
      </c>
      <c r="E25" s="40"/>
      <c r="F25" s="108"/>
      <c r="G25" s="40">
        <v>1</v>
      </c>
      <c r="H25" s="40">
        <v>1</v>
      </c>
      <c r="I25" s="40"/>
      <c r="J25" s="108"/>
    </row>
    <row r="26" spans="1:10" x14ac:dyDescent="0.25">
      <c r="A26" s="10">
        <v>474</v>
      </c>
      <c r="B26" s="24" t="s">
        <v>165</v>
      </c>
      <c r="C26" s="108">
        <v>1</v>
      </c>
      <c r="D26" s="108">
        <v>1</v>
      </c>
      <c r="E26" s="40"/>
      <c r="F26" s="108"/>
      <c r="G26" s="40">
        <v>1</v>
      </c>
      <c r="H26" s="40">
        <v>1</v>
      </c>
      <c r="I26" s="40"/>
      <c r="J26" s="108"/>
    </row>
    <row r="27" spans="1:10" x14ac:dyDescent="0.25">
      <c r="A27" s="177" t="s">
        <v>12</v>
      </c>
      <c r="B27" s="237" t="s">
        <v>223</v>
      </c>
      <c r="C27" s="108">
        <v>1</v>
      </c>
      <c r="D27" s="108">
        <v>1</v>
      </c>
      <c r="E27" s="40"/>
      <c r="F27" s="108"/>
      <c r="G27" s="40">
        <v>1</v>
      </c>
      <c r="H27" s="40">
        <v>1</v>
      </c>
      <c r="I27" s="40"/>
      <c r="J27" s="108"/>
    </row>
    <row r="28" spans="1:10" x14ac:dyDescent="0.25">
      <c r="A28" s="10">
        <v>209</v>
      </c>
      <c r="B28" s="24" t="s">
        <v>116</v>
      </c>
      <c r="C28" s="108"/>
      <c r="D28" s="108"/>
      <c r="E28" s="40"/>
      <c r="F28" s="108"/>
      <c r="G28" s="40">
        <v>1</v>
      </c>
      <c r="H28" s="40"/>
      <c r="I28" s="40"/>
      <c r="J28" s="108"/>
    </row>
    <row r="29" spans="1:10" x14ac:dyDescent="0.25">
      <c r="A29" s="10">
        <v>209</v>
      </c>
      <c r="B29" s="24" t="s">
        <v>97</v>
      </c>
      <c r="C29" s="108"/>
      <c r="D29" s="108"/>
      <c r="E29" s="40"/>
      <c r="F29" s="108"/>
      <c r="G29" s="40">
        <v>1</v>
      </c>
      <c r="H29" s="40">
        <v>1</v>
      </c>
      <c r="I29" s="40"/>
      <c r="J29" s="108"/>
    </row>
    <row r="30" spans="1:10" x14ac:dyDescent="0.25">
      <c r="A30" s="177" t="s">
        <v>63</v>
      </c>
      <c r="B30" s="237" t="s">
        <v>165</v>
      </c>
      <c r="C30" s="108"/>
      <c r="D30" s="108"/>
      <c r="E30" s="40"/>
      <c r="F30" s="108"/>
      <c r="G30" s="40">
        <v>1</v>
      </c>
      <c r="H30" s="40">
        <v>1</v>
      </c>
      <c r="I30" s="40"/>
      <c r="J30" s="108"/>
    </row>
    <row r="31" spans="1:10" x14ac:dyDescent="0.25">
      <c r="A31" s="10">
        <v>474</v>
      </c>
      <c r="B31" s="11" t="s">
        <v>5</v>
      </c>
      <c r="C31" s="108"/>
      <c r="D31" s="108"/>
      <c r="E31" s="40"/>
      <c r="F31" s="108"/>
      <c r="G31" s="40"/>
      <c r="H31" s="40"/>
      <c r="I31" s="40">
        <v>4</v>
      </c>
      <c r="J31" s="108">
        <v>4</v>
      </c>
    </row>
    <row r="32" spans="1:10" x14ac:dyDescent="0.25">
      <c r="A32" s="10">
        <v>474</v>
      </c>
      <c r="B32" s="24" t="s">
        <v>124</v>
      </c>
      <c r="C32" s="108"/>
      <c r="D32" s="108"/>
      <c r="E32" s="40"/>
      <c r="F32" s="108"/>
      <c r="G32" s="40"/>
      <c r="H32" s="40"/>
      <c r="I32" s="40">
        <v>3</v>
      </c>
      <c r="J32" s="108">
        <v>3</v>
      </c>
    </row>
    <row r="33" spans="1:10" x14ac:dyDescent="0.25">
      <c r="A33" s="10">
        <v>11</v>
      </c>
      <c r="B33" s="24" t="s">
        <v>164</v>
      </c>
      <c r="C33" s="108"/>
      <c r="D33" s="108"/>
      <c r="E33" s="40">
        <v>1</v>
      </c>
      <c r="F33" s="108">
        <v>1</v>
      </c>
      <c r="G33" s="40"/>
      <c r="H33" s="40"/>
      <c r="I33" s="40"/>
      <c r="J33" s="108"/>
    </row>
    <row r="34" spans="1:10" x14ac:dyDescent="0.25">
      <c r="A34" s="10">
        <v>11</v>
      </c>
      <c r="B34" s="24" t="s">
        <v>123</v>
      </c>
      <c r="C34" s="108">
        <v>1</v>
      </c>
      <c r="D34" s="108">
        <v>1</v>
      </c>
      <c r="E34" s="40"/>
      <c r="F34" s="108"/>
      <c r="G34" s="40"/>
      <c r="H34" s="40"/>
      <c r="I34" s="40"/>
      <c r="J34" s="108"/>
    </row>
    <row r="35" spans="1:10" x14ac:dyDescent="0.25">
      <c r="A35" s="32">
        <v>679</v>
      </c>
      <c r="B35" s="33" t="s">
        <v>11</v>
      </c>
      <c r="C35" s="108">
        <v>1</v>
      </c>
      <c r="D35" s="108">
        <v>1</v>
      </c>
      <c r="E35" s="40"/>
      <c r="F35" s="108"/>
      <c r="G35" s="40"/>
      <c r="H35" s="40"/>
      <c r="I35" s="40"/>
      <c r="J35" s="108"/>
    </row>
    <row r="36" spans="1:10" x14ac:dyDescent="0.25">
      <c r="A36" s="32" t="s">
        <v>63</v>
      </c>
      <c r="B36" s="24" t="s">
        <v>125</v>
      </c>
      <c r="C36" s="108">
        <v>1</v>
      </c>
      <c r="D36" s="108">
        <v>1</v>
      </c>
      <c r="E36" s="40"/>
      <c r="F36" s="108"/>
      <c r="G36" s="40"/>
      <c r="H36" s="40"/>
      <c r="I36" s="40"/>
      <c r="J36" s="108"/>
    </row>
    <row r="37" spans="1:10" x14ac:dyDescent="0.25">
      <c r="A37" s="110" t="s">
        <v>12</v>
      </c>
      <c r="B37" s="240" t="s">
        <v>278</v>
      </c>
      <c r="C37" s="108">
        <v>1</v>
      </c>
      <c r="D37" s="108">
        <v>1</v>
      </c>
      <c r="E37" s="40"/>
      <c r="F37" s="108"/>
      <c r="G37" s="40"/>
      <c r="H37" s="40"/>
      <c r="I37" s="40"/>
      <c r="J37" s="108"/>
    </row>
    <row r="38" spans="1:10" x14ac:dyDescent="0.25">
      <c r="A38" s="110" t="s">
        <v>14</v>
      </c>
      <c r="B38" s="45" t="s">
        <v>11</v>
      </c>
      <c r="C38" s="108">
        <v>1</v>
      </c>
      <c r="D38" s="108">
        <v>1</v>
      </c>
      <c r="E38" s="40"/>
      <c r="F38" s="108"/>
      <c r="G38" s="40"/>
      <c r="H38" s="40"/>
      <c r="I38" s="40"/>
      <c r="J38" s="108"/>
    </row>
    <row r="39" spans="1:10" x14ac:dyDescent="0.25">
      <c r="A39" s="25">
        <v>9</v>
      </c>
      <c r="B39" s="45" t="s">
        <v>96</v>
      </c>
      <c r="C39" s="108"/>
      <c r="D39" s="108"/>
      <c r="E39" s="40"/>
      <c r="F39" s="108"/>
      <c r="G39" s="40"/>
      <c r="H39" s="40"/>
      <c r="I39" s="40"/>
      <c r="J39" s="108"/>
    </row>
    <row r="40" spans="1:10" x14ac:dyDescent="0.25">
      <c r="A40" s="243">
        <v>9</v>
      </c>
      <c r="B40" s="242" t="s">
        <v>5</v>
      </c>
      <c r="C40" s="108"/>
      <c r="D40" s="108"/>
      <c r="E40" s="40"/>
      <c r="F40" s="108"/>
      <c r="G40" s="40"/>
      <c r="H40" s="40"/>
      <c r="I40" s="40"/>
      <c r="J40" s="108"/>
    </row>
    <row r="41" spans="1:10" x14ac:dyDescent="0.25">
      <c r="A41" s="47">
        <v>9</v>
      </c>
      <c r="B41" s="240" t="s">
        <v>303</v>
      </c>
      <c r="C41" s="108"/>
      <c r="D41" s="108"/>
      <c r="E41" s="40"/>
      <c r="F41" s="108"/>
      <c r="G41" s="40"/>
      <c r="H41" s="40"/>
      <c r="I41" s="40"/>
      <c r="J41" s="108"/>
    </row>
    <row r="42" spans="1:10" x14ac:dyDescent="0.25">
      <c r="A42" s="243">
        <v>11</v>
      </c>
      <c r="B42" s="242" t="s">
        <v>258</v>
      </c>
      <c r="C42" s="108"/>
      <c r="D42" s="108"/>
      <c r="E42" s="40"/>
      <c r="F42" s="108"/>
      <c r="G42" s="40"/>
      <c r="H42" s="40"/>
      <c r="I42" s="40"/>
      <c r="J42" s="108"/>
    </row>
    <row r="43" spans="1:10" x14ac:dyDescent="0.25">
      <c r="A43" s="217">
        <v>209</v>
      </c>
      <c r="B43" s="45" t="s">
        <v>301</v>
      </c>
      <c r="C43" s="108"/>
      <c r="D43" s="108"/>
      <c r="E43" s="40"/>
      <c r="F43" s="108"/>
      <c r="G43" s="40"/>
      <c r="H43" s="40"/>
      <c r="I43" s="40"/>
      <c r="J43" s="108"/>
    </row>
    <row r="44" spans="1:10" x14ac:dyDescent="0.25">
      <c r="A44" s="241" t="s">
        <v>63</v>
      </c>
      <c r="B44" s="242" t="s">
        <v>272</v>
      </c>
      <c r="C44" s="108"/>
      <c r="D44" s="108"/>
      <c r="E44" s="40"/>
      <c r="F44" s="108"/>
      <c r="G44" s="40"/>
      <c r="H44" s="40"/>
      <c r="I44" s="40"/>
      <c r="J44" s="108"/>
    </row>
    <row r="45" spans="1:10" x14ac:dyDescent="0.25">
      <c r="A45" s="219" t="s">
        <v>12</v>
      </c>
      <c r="B45" s="24" t="s">
        <v>11</v>
      </c>
      <c r="C45" s="108"/>
      <c r="D45" s="108"/>
      <c r="E45" s="40"/>
      <c r="F45" s="108"/>
      <c r="G45" s="40"/>
      <c r="H45" s="40"/>
      <c r="I45" s="40"/>
      <c r="J45" s="108"/>
    </row>
    <row r="46" spans="1:10" x14ac:dyDescent="0.25">
      <c r="A46" s="9"/>
      <c r="C46" s="153"/>
      <c r="D46" s="153"/>
      <c r="E46" s="153"/>
      <c r="F46" s="153"/>
      <c r="G46" s="153"/>
      <c r="H46" s="153"/>
      <c r="I46" s="153"/>
      <c r="J46" s="153"/>
    </row>
    <row r="47" spans="1:10" x14ac:dyDescent="0.25">
      <c r="A47" s="9"/>
      <c r="C47" s="153"/>
      <c r="D47" s="153"/>
      <c r="E47" s="153"/>
      <c r="F47" s="153"/>
      <c r="G47" s="153"/>
      <c r="H47" s="153"/>
      <c r="I47" s="153"/>
      <c r="J47" s="153"/>
    </row>
    <row r="48" spans="1:10" x14ac:dyDescent="0.25">
      <c r="A48" s="9"/>
    </row>
    <row r="49" spans="1:10" x14ac:dyDescent="0.25">
      <c r="A49" s="9"/>
    </row>
    <row r="50" spans="1:10" x14ac:dyDescent="0.25">
      <c r="A50" s="9"/>
    </row>
    <row r="51" spans="1:10" x14ac:dyDescent="0.25">
      <c r="A51" s="9"/>
      <c r="C51" s="153"/>
      <c r="D51" s="153"/>
      <c r="E51" s="153"/>
      <c r="F51" s="153"/>
      <c r="G51" s="153"/>
      <c r="H51" s="153"/>
      <c r="I51" s="153"/>
      <c r="J51" s="153"/>
    </row>
    <row r="52" spans="1:10" x14ac:dyDescent="0.25">
      <c r="A52" s="9"/>
      <c r="C52" s="153"/>
      <c r="D52" s="153"/>
      <c r="E52" s="153"/>
      <c r="F52" s="153"/>
      <c r="G52" s="153"/>
      <c r="H52" s="153"/>
      <c r="I52" s="153"/>
      <c r="J52" s="153"/>
    </row>
    <row r="53" spans="1:10" x14ac:dyDescent="0.25">
      <c r="A53" s="9"/>
      <c r="C53" s="153"/>
      <c r="D53" s="153"/>
      <c r="E53" s="153"/>
      <c r="F53" s="153"/>
      <c r="G53" s="153"/>
      <c r="H53" s="153"/>
      <c r="I53" s="153"/>
      <c r="J53" s="153"/>
    </row>
    <row r="54" spans="1:10" x14ac:dyDescent="0.25">
      <c r="A54" s="9"/>
      <c r="C54" s="153"/>
      <c r="D54" s="153"/>
      <c r="E54" s="153"/>
      <c r="F54" s="153"/>
      <c r="G54" s="153"/>
      <c r="H54" s="153"/>
      <c r="I54" s="153"/>
      <c r="J54" s="153"/>
    </row>
    <row r="55" spans="1:10" x14ac:dyDescent="0.25">
      <c r="A55" s="9"/>
      <c r="C55" s="153"/>
      <c r="D55" s="153"/>
      <c r="E55" s="153"/>
      <c r="F55" s="153"/>
      <c r="G55" s="153"/>
      <c r="H55" s="153"/>
      <c r="I55" s="153"/>
      <c r="J55" s="153"/>
    </row>
    <row r="56" spans="1:10" x14ac:dyDescent="0.25">
      <c r="A56" s="9"/>
      <c r="C56" s="153"/>
      <c r="D56" s="153"/>
      <c r="E56" s="153"/>
      <c r="F56" s="153"/>
      <c r="G56" s="153"/>
      <c r="H56" s="153"/>
      <c r="I56" s="153"/>
      <c r="J56" s="153"/>
    </row>
    <row r="57" spans="1:10" x14ac:dyDescent="0.25">
      <c r="A57" s="9"/>
      <c r="C57" s="153"/>
      <c r="D57" s="153"/>
      <c r="E57" s="153"/>
      <c r="F57" s="153"/>
      <c r="G57" s="153"/>
      <c r="H57" s="153"/>
      <c r="I57" s="153"/>
      <c r="J57" s="153"/>
    </row>
    <row r="58" spans="1:10" x14ac:dyDescent="0.25">
      <c r="A58" s="9"/>
      <c r="C58" s="153"/>
      <c r="D58" s="153"/>
      <c r="E58" s="153"/>
      <c r="F58" s="153"/>
      <c r="G58" s="153"/>
      <c r="H58" s="153"/>
      <c r="I58" s="153"/>
      <c r="J58" s="153"/>
    </row>
    <row r="59" spans="1:10" x14ac:dyDescent="0.25">
      <c r="A59" s="9"/>
      <c r="C59" s="153"/>
      <c r="D59" s="153"/>
      <c r="E59" s="153"/>
      <c r="F59" s="153"/>
      <c r="G59" s="153"/>
      <c r="H59" s="153"/>
      <c r="I59" s="153"/>
      <c r="J59" s="153"/>
    </row>
    <row r="60" spans="1:10" x14ac:dyDescent="0.25">
      <c r="A60" s="9"/>
      <c r="C60" s="153"/>
      <c r="D60" s="153"/>
      <c r="E60" s="153"/>
      <c r="F60" s="153"/>
      <c r="G60" s="153"/>
      <c r="H60" s="153"/>
      <c r="I60" s="153"/>
      <c r="J60" s="153"/>
    </row>
    <row r="61" spans="1:10" x14ac:dyDescent="0.25">
      <c r="A61" s="9"/>
      <c r="C61" s="153"/>
      <c r="D61" s="153"/>
      <c r="E61" s="153"/>
      <c r="F61" s="153"/>
      <c r="G61" s="153"/>
      <c r="H61" s="153"/>
      <c r="I61" s="153"/>
      <c r="J61" s="153"/>
    </row>
    <row r="62" spans="1:10" x14ac:dyDescent="0.25">
      <c r="A62" s="9"/>
      <c r="C62" s="153"/>
      <c r="D62" s="153"/>
      <c r="E62" s="153"/>
      <c r="F62" s="153"/>
      <c r="G62" s="153"/>
      <c r="H62" s="153"/>
      <c r="I62" s="153"/>
      <c r="J62" s="153"/>
    </row>
    <row r="63" spans="1:10" x14ac:dyDescent="0.25">
      <c r="A63" s="9"/>
      <c r="C63" s="153"/>
      <c r="D63" s="153"/>
      <c r="E63" s="153"/>
      <c r="F63" s="153"/>
      <c r="G63" s="153"/>
      <c r="H63" s="153"/>
      <c r="I63" s="153"/>
      <c r="J63" s="153"/>
    </row>
    <row r="64" spans="1:10" x14ac:dyDescent="0.25">
      <c r="A64" s="9"/>
      <c r="C64" s="153"/>
      <c r="D64" s="153"/>
      <c r="E64" s="153"/>
      <c r="F64" s="153"/>
      <c r="G64" s="153"/>
      <c r="H64" s="153"/>
      <c r="I64" s="153"/>
      <c r="J64" s="153"/>
    </row>
    <row r="65" spans="1:10" x14ac:dyDescent="0.25">
      <c r="A65" s="9"/>
      <c r="C65" s="153"/>
      <c r="D65" s="153"/>
      <c r="E65" s="153"/>
      <c r="F65" s="153"/>
      <c r="G65" s="153"/>
      <c r="H65" s="153"/>
      <c r="I65" s="153"/>
      <c r="J65" s="153"/>
    </row>
    <row r="66" spans="1:10" x14ac:dyDescent="0.25">
      <c r="A66" s="9"/>
      <c r="C66" s="153"/>
      <c r="D66" s="153"/>
      <c r="E66" s="153"/>
      <c r="F66" s="153"/>
      <c r="G66" s="153"/>
      <c r="H66" s="153"/>
      <c r="I66" s="153"/>
      <c r="J66" s="153"/>
    </row>
    <row r="67" spans="1:10" x14ac:dyDescent="0.25">
      <c r="A67" s="9"/>
      <c r="C67" s="153"/>
      <c r="D67" s="153"/>
      <c r="E67" s="153"/>
      <c r="F67" s="153"/>
      <c r="G67" s="153"/>
      <c r="H67" s="153"/>
      <c r="I67" s="153"/>
      <c r="J67" s="153"/>
    </row>
    <row r="68" spans="1:10" x14ac:dyDescent="0.25">
      <c r="A68" s="9"/>
      <c r="C68" s="153"/>
      <c r="D68" s="153"/>
      <c r="E68" s="153"/>
      <c r="F68" s="153"/>
      <c r="G68" s="153"/>
      <c r="H68" s="153"/>
      <c r="I68" s="153"/>
      <c r="J68" s="153"/>
    </row>
    <row r="69" spans="1:10" x14ac:dyDescent="0.25">
      <c r="A69" s="9"/>
      <c r="C69" s="153"/>
      <c r="D69" s="153"/>
      <c r="E69" s="153"/>
      <c r="F69" s="153"/>
      <c r="G69" s="153"/>
      <c r="H69" s="153"/>
      <c r="I69" s="153"/>
      <c r="J69" s="153"/>
    </row>
    <row r="70" spans="1:10" x14ac:dyDescent="0.25">
      <c r="A70" s="9"/>
      <c r="C70" s="153"/>
      <c r="D70" s="153"/>
      <c r="E70" s="153"/>
      <c r="F70" s="153"/>
      <c r="G70" s="153"/>
      <c r="H70" s="153"/>
      <c r="I70" s="153"/>
      <c r="J70" s="153"/>
    </row>
    <row r="71" spans="1:10" x14ac:dyDescent="0.25">
      <c r="A71" s="9"/>
      <c r="C71" s="153"/>
      <c r="D71" s="153"/>
      <c r="E71" s="153"/>
      <c r="F71" s="153"/>
      <c r="G71" s="153"/>
      <c r="H71" s="153"/>
      <c r="I71" s="153"/>
      <c r="J71" s="153"/>
    </row>
    <row r="72" spans="1:10" x14ac:dyDescent="0.25">
      <c r="A72" s="9"/>
      <c r="C72" s="153"/>
      <c r="D72" s="153"/>
      <c r="E72" s="153"/>
      <c r="F72" s="153"/>
      <c r="G72" s="153"/>
      <c r="H72" s="153"/>
      <c r="I72" s="153"/>
      <c r="J72" s="153"/>
    </row>
    <row r="73" spans="1:10" x14ac:dyDescent="0.25">
      <c r="A73" s="9"/>
      <c r="C73" s="153"/>
      <c r="D73" s="153"/>
      <c r="E73" s="153"/>
      <c r="F73" s="153"/>
      <c r="G73" s="153"/>
      <c r="H73" s="153"/>
      <c r="I73" s="153"/>
      <c r="J73" s="153"/>
    </row>
    <row r="74" spans="1:10" x14ac:dyDescent="0.25">
      <c r="A74" s="9"/>
      <c r="C74" s="153"/>
      <c r="D74" s="153"/>
      <c r="E74" s="153"/>
      <c r="F74" s="153"/>
      <c r="G74" s="153"/>
      <c r="H74" s="153"/>
      <c r="I74" s="153"/>
      <c r="J74" s="153"/>
    </row>
    <row r="75" spans="1:10" x14ac:dyDescent="0.25">
      <c r="A75" s="9"/>
      <c r="C75" s="153"/>
      <c r="D75" s="153"/>
      <c r="E75" s="153"/>
      <c r="F75" s="153"/>
      <c r="G75" s="153"/>
      <c r="H75" s="153"/>
      <c r="I75" s="153"/>
      <c r="J75" s="153"/>
    </row>
    <row r="76" spans="1:10" x14ac:dyDescent="0.25">
      <c r="A76" s="9"/>
      <c r="C76" s="153"/>
      <c r="D76" s="153"/>
      <c r="E76" s="153"/>
      <c r="F76" s="153"/>
      <c r="G76" s="153"/>
      <c r="H76" s="153"/>
      <c r="I76" s="153"/>
      <c r="J76" s="153"/>
    </row>
    <row r="77" spans="1:10" x14ac:dyDescent="0.25">
      <c r="A77" s="9"/>
      <c r="C77" s="153"/>
      <c r="D77" s="153"/>
      <c r="E77" s="153"/>
      <c r="F77" s="153"/>
      <c r="G77" s="153"/>
      <c r="H77" s="153"/>
      <c r="I77" s="153"/>
      <c r="J77" s="153"/>
    </row>
    <row r="78" spans="1:10" x14ac:dyDescent="0.25">
      <c r="A78" s="9"/>
      <c r="C78" s="153"/>
      <c r="D78" s="153"/>
      <c r="E78" s="153"/>
      <c r="F78" s="153"/>
      <c r="G78" s="153"/>
      <c r="H78" s="153"/>
      <c r="I78" s="153"/>
      <c r="J78" s="153"/>
    </row>
    <row r="79" spans="1:10" x14ac:dyDescent="0.25">
      <c r="A79" s="9"/>
      <c r="C79" s="153"/>
      <c r="D79" s="153"/>
      <c r="E79" s="153"/>
      <c r="F79" s="153"/>
      <c r="G79" s="153"/>
      <c r="H79" s="153"/>
      <c r="I79" s="153"/>
      <c r="J79" s="153"/>
    </row>
    <row r="80" spans="1:10" x14ac:dyDescent="0.25">
      <c r="A80" s="9"/>
      <c r="C80" s="153"/>
      <c r="D80" s="153"/>
      <c r="E80" s="153"/>
      <c r="F80" s="153"/>
      <c r="G80" s="153"/>
      <c r="H80" s="153"/>
      <c r="I80" s="153"/>
      <c r="J80" s="153"/>
    </row>
  </sheetData>
  <autoFilter ref="A1:J45" xr:uid="{DBE45F1D-CCD6-497A-9677-5E75A77F9EE4}">
    <sortState xmlns:xlrd2="http://schemas.microsoft.com/office/spreadsheetml/2017/richdata2" ref="A2:J45">
      <sortCondition descending="1" ref="G1:G45"/>
    </sortState>
  </autoFilter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59" t="s">
        <v>209</v>
      </c>
      <c r="B1" s="60" t="s">
        <v>208</v>
      </c>
    </row>
    <row r="2" spans="1:2" x14ac:dyDescent="0.25">
      <c r="A2" s="62" t="s">
        <v>198</v>
      </c>
      <c r="B2" s="63" t="s">
        <v>203</v>
      </c>
    </row>
    <row r="3" spans="1:2" x14ac:dyDescent="0.25">
      <c r="A3" s="62" t="s">
        <v>199</v>
      </c>
      <c r="B3" s="63" t="s">
        <v>204</v>
      </c>
    </row>
    <row r="4" spans="1:2" x14ac:dyDescent="0.25">
      <c r="A4" s="62" t="s">
        <v>200</v>
      </c>
      <c r="B4" s="63" t="s">
        <v>205</v>
      </c>
    </row>
    <row r="5" spans="1:2" x14ac:dyDescent="0.25">
      <c r="A5" s="62" t="s">
        <v>201</v>
      </c>
      <c r="B5" s="63" t="s">
        <v>207</v>
      </c>
    </row>
    <row r="6" spans="1:2" ht="15.75" thickBot="1" x14ac:dyDescent="0.3">
      <c r="A6" s="65" t="s">
        <v>202</v>
      </c>
      <c r="B6" s="66" t="s">
        <v>206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B1EA-49F9-47C0-A656-EF1610DB32D8}">
  <dimension ref="A1:B17"/>
  <sheetViews>
    <sheetView rightToLeft="1" zoomScale="145" zoomScaleNormal="145" workbookViewId="0">
      <selection activeCell="B18" sqref="B18"/>
    </sheetView>
  </sheetViews>
  <sheetFormatPr defaultRowHeight="15" x14ac:dyDescent="0.25"/>
  <cols>
    <col min="1" max="1" width="12.140625" bestFit="1" customWidth="1"/>
    <col min="2" max="2" width="31.42578125" bestFit="1" customWidth="1"/>
  </cols>
  <sheetData>
    <row r="1" spans="1:2" x14ac:dyDescent="0.25">
      <c r="A1" s="155" t="s">
        <v>228</v>
      </c>
      <c r="B1" s="155" t="s">
        <v>229</v>
      </c>
    </row>
    <row r="2" spans="1:2" x14ac:dyDescent="0.25">
      <c r="A2" s="1" t="s">
        <v>230</v>
      </c>
      <c r="B2" s="1" t="s">
        <v>232</v>
      </c>
    </row>
    <row r="3" spans="1:2" x14ac:dyDescent="0.25">
      <c r="A3" s="1" t="s">
        <v>231</v>
      </c>
      <c r="B3" s="1" t="s">
        <v>232</v>
      </c>
    </row>
    <row r="4" spans="1:2" x14ac:dyDescent="0.25">
      <c r="A4" s="1" t="s">
        <v>90</v>
      </c>
      <c r="B4" s="1" t="s">
        <v>233</v>
      </c>
    </row>
    <row r="5" spans="1:2" x14ac:dyDescent="0.25">
      <c r="A5" s="1" t="s">
        <v>70</v>
      </c>
      <c r="B5" s="1" t="s">
        <v>234</v>
      </c>
    </row>
    <row r="6" spans="1:2" x14ac:dyDescent="0.25">
      <c r="A6" s="1" t="s">
        <v>235</v>
      </c>
      <c r="B6" s="1" t="s">
        <v>236</v>
      </c>
    </row>
    <row r="7" spans="1:2" x14ac:dyDescent="0.25">
      <c r="A7" s="1" t="s">
        <v>252</v>
      </c>
      <c r="B7" s="1" t="s">
        <v>253</v>
      </c>
    </row>
    <row r="8" spans="1:2" x14ac:dyDescent="0.25">
      <c r="A8" s="1" t="s">
        <v>237</v>
      </c>
      <c r="B8" s="1" t="s">
        <v>238</v>
      </c>
    </row>
    <row r="9" spans="1:2" x14ac:dyDescent="0.25">
      <c r="A9" s="1" t="s">
        <v>239</v>
      </c>
      <c r="B9" s="1" t="s">
        <v>242</v>
      </c>
    </row>
    <row r="10" spans="1:2" x14ac:dyDescent="0.25">
      <c r="A10" s="1" t="s">
        <v>240</v>
      </c>
      <c r="B10" s="1" t="s">
        <v>242</v>
      </c>
    </row>
    <row r="11" spans="1:2" x14ac:dyDescent="0.25">
      <c r="A11" s="1" t="s">
        <v>241</v>
      </c>
      <c r="B11" s="1" t="s">
        <v>242</v>
      </c>
    </row>
    <row r="12" spans="1:2" x14ac:dyDescent="0.25">
      <c r="A12" s="1" t="s">
        <v>243</v>
      </c>
      <c r="B12" s="1" t="s">
        <v>244</v>
      </c>
    </row>
    <row r="13" spans="1:2" x14ac:dyDescent="0.25">
      <c r="A13" s="1" t="s">
        <v>245</v>
      </c>
      <c r="B13" s="1" t="s">
        <v>247</v>
      </c>
    </row>
    <row r="14" spans="1:2" x14ac:dyDescent="0.25">
      <c r="A14" s="1" t="s">
        <v>246</v>
      </c>
      <c r="B14" s="1" t="s">
        <v>247</v>
      </c>
    </row>
    <row r="15" spans="1:2" x14ac:dyDescent="0.25">
      <c r="A15" s="1" t="s">
        <v>248</v>
      </c>
      <c r="B15" s="1" t="s">
        <v>249</v>
      </c>
    </row>
    <row r="16" spans="1:2" x14ac:dyDescent="0.25">
      <c r="A16" s="1" t="s">
        <v>250</v>
      </c>
      <c r="B16" s="1" t="s">
        <v>251</v>
      </c>
    </row>
    <row r="17" spans="1:2" x14ac:dyDescent="0.25">
      <c r="A17" s="1" t="s">
        <v>255</v>
      </c>
      <c r="B17" s="1" t="s">
        <v>256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20" zoomScaleNormal="220" workbookViewId="0">
      <selection activeCell="E12" sqref="E12"/>
    </sheetView>
  </sheetViews>
  <sheetFormatPr defaultRowHeight="15" x14ac:dyDescent="0.25"/>
  <cols>
    <col min="3" max="3" width="40.42578125" bestFit="1" customWidth="1"/>
  </cols>
  <sheetData>
    <row r="1" spans="1:3" x14ac:dyDescent="0.25">
      <c r="A1" s="82" t="s">
        <v>0</v>
      </c>
      <c r="B1" s="82" t="s">
        <v>1</v>
      </c>
      <c r="C1" s="82" t="s">
        <v>197</v>
      </c>
    </row>
    <row r="2" spans="1:3" x14ac:dyDescent="0.25">
      <c r="A2" s="91"/>
      <c r="B2" s="91"/>
      <c r="C2" s="2"/>
    </row>
    <row r="3" spans="1:3" x14ac:dyDescent="0.25">
      <c r="A3" s="24"/>
      <c r="B3" s="24"/>
      <c r="C3" s="2"/>
    </row>
    <row r="4" spans="1:3" x14ac:dyDescent="0.25">
      <c r="A4" s="24"/>
      <c r="B4" s="24"/>
      <c r="C4" s="2"/>
    </row>
    <row r="5" spans="1:3" x14ac:dyDescent="0.25">
      <c r="A5" s="24"/>
      <c r="B5" s="24"/>
      <c r="C5" s="2"/>
    </row>
    <row r="6" spans="1:3" x14ac:dyDescent="0.25">
      <c r="A6" s="91"/>
      <c r="B6" s="91"/>
      <c r="C6" s="2"/>
    </row>
    <row r="7" spans="1:3" x14ac:dyDescent="0.25">
      <c r="A7" s="91"/>
      <c r="B7" s="91"/>
      <c r="C7" s="2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H46"/>
  <sheetViews>
    <sheetView rightToLeft="1" topLeftCell="A13" zoomScale="178" zoomScaleNormal="178" workbookViewId="0">
      <selection activeCell="F17" sqref="F17:H17"/>
    </sheetView>
  </sheetViews>
  <sheetFormatPr defaultRowHeight="15" x14ac:dyDescent="0.25"/>
  <cols>
    <col min="2" max="5" width="11.7109375" customWidth="1"/>
  </cols>
  <sheetData>
    <row r="1" spans="1:8" x14ac:dyDescent="0.25">
      <c r="A1" s="4"/>
      <c r="B1" s="43"/>
      <c r="C1" s="43"/>
      <c r="D1" s="43"/>
      <c r="E1" s="43"/>
      <c r="F1" s="43">
        <v>29</v>
      </c>
      <c r="G1" s="43">
        <f>F1+1</f>
        <v>30</v>
      </c>
      <c r="H1" s="44">
        <v>1</v>
      </c>
    </row>
    <row r="2" spans="1:8" x14ac:dyDescent="0.25">
      <c r="A2" s="7" t="s">
        <v>22</v>
      </c>
      <c r="B2" s="152"/>
      <c r="C2" s="150"/>
      <c r="D2" s="152"/>
      <c r="E2" s="150"/>
      <c r="F2" s="253">
        <v>3</v>
      </c>
      <c r="G2" s="253"/>
      <c r="H2" s="254"/>
    </row>
    <row r="3" spans="1:8" x14ac:dyDescent="0.25">
      <c r="A3" s="7" t="s">
        <v>19</v>
      </c>
      <c r="B3" s="235"/>
      <c r="C3" s="235"/>
      <c r="D3" s="236"/>
      <c r="E3" s="236"/>
      <c r="F3" s="264" t="s">
        <v>280</v>
      </c>
      <c r="G3" s="265"/>
      <c r="H3" s="266"/>
    </row>
    <row r="4" spans="1:8" x14ac:dyDescent="0.25">
      <c r="A4" s="7" t="s">
        <v>20</v>
      </c>
      <c r="B4" s="227"/>
      <c r="C4" s="228"/>
      <c r="D4" s="228"/>
      <c r="E4" s="227"/>
      <c r="F4" s="264" t="s">
        <v>129</v>
      </c>
      <c r="G4" s="265"/>
      <c r="H4" s="266"/>
    </row>
    <row r="5" spans="1:8" x14ac:dyDescent="0.25">
      <c r="A5" s="7" t="s">
        <v>21</v>
      </c>
      <c r="B5" s="228"/>
      <c r="C5" s="227"/>
      <c r="D5" s="227"/>
      <c r="E5" s="228"/>
      <c r="F5" s="259" t="s">
        <v>269</v>
      </c>
      <c r="G5" s="260"/>
      <c r="H5" s="261"/>
    </row>
    <row r="6" spans="1:8" ht="15.75" thickBot="1" x14ac:dyDescent="0.3">
      <c r="A6" s="7" t="s">
        <v>79</v>
      </c>
      <c r="B6" s="231"/>
      <c r="C6" s="231"/>
      <c r="D6" s="231"/>
      <c r="E6" s="232"/>
      <c r="F6" s="267" t="s">
        <v>221</v>
      </c>
      <c r="G6" s="267"/>
      <c r="H6" s="268"/>
    </row>
    <row r="7" spans="1:8" x14ac:dyDescent="0.25">
      <c r="A7" s="4"/>
      <c r="B7" s="43">
        <f>H1+1</f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</row>
    <row r="8" spans="1:8" x14ac:dyDescent="0.25">
      <c r="A8" s="7" t="s">
        <v>22</v>
      </c>
      <c r="B8" s="227">
        <v>3</v>
      </c>
      <c r="C8" s="228">
        <v>3</v>
      </c>
      <c r="D8" s="227">
        <v>3</v>
      </c>
      <c r="E8" s="228">
        <v>3</v>
      </c>
      <c r="F8" s="253">
        <v>3</v>
      </c>
      <c r="G8" s="253"/>
      <c r="H8" s="254"/>
    </row>
    <row r="9" spans="1:8" x14ac:dyDescent="0.25">
      <c r="A9" s="7" t="s">
        <v>19</v>
      </c>
      <c r="B9" s="227" t="s">
        <v>141</v>
      </c>
      <c r="C9" s="230" t="s">
        <v>112</v>
      </c>
      <c r="D9" s="229" t="s">
        <v>127</v>
      </c>
      <c r="E9" s="228" t="s">
        <v>222</v>
      </c>
      <c r="F9" s="253" t="s">
        <v>60</v>
      </c>
      <c r="G9" s="253"/>
      <c r="H9" s="254"/>
    </row>
    <row r="10" spans="1:8" x14ac:dyDescent="0.25">
      <c r="A10" s="7" t="s">
        <v>20</v>
      </c>
      <c r="B10" s="227" t="s">
        <v>267</v>
      </c>
      <c r="C10" s="227" t="s">
        <v>114</v>
      </c>
      <c r="D10" s="227" t="s">
        <v>61</v>
      </c>
      <c r="E10" s="230" t="s">
        <v>267</v>
      </c>
      <c r="F10" s="269" t="s">
        <v>59</v>
      </c>
      <c r="G10" s="269"/>
      <c r="H10" s="270"/>
    </row>
    <row r="11" spans="1:8" x14ac:dyDescent="0.25">
      <c r="A11" s="7" t="s">
        <v>21</v>
      </c>
      <c r="B11" s="230" t="s">
        <v>71</v>
      </c>
      <c r="C11" s="227" t="s">
        <v>162</v>
      </c>
      <c r="D11" s="227" t="s">
        <v>58</v>
      </c>
      <c r="E11" s="228" t="s">
        <v>69</v>
      </c>
      <c r="F11" s="253" t="s">
        <v>130</v>
      </c>
      <c r="G11" s="253"/>
      <c r="H11" s="254"/>
    </row>
    <row r="12" spans="1:8" x14ac:dyDescent="0.25">
      <c r="A12" s="7" t="s">
        <v>79</v>
      </c>
      <c r="B12" s="227" t="s">
        <v>260</v>
      </c>
      <c r="C12" s="227" t="s">
        <v>225</v>
      </c>
      <c r="D12" s="227" t="s">
        <v>282</v>
      </c>
      <c r="E12" s="227" t="s">
        <v>71</v>
      </c>
      <c r="F12" s="253" t="s">
        <v>266</v>
      </c>
      <c r="G12" s="253"/>
      <c r="H12" s="254"/>
    </row>
    <row r="13" spans="1:8" x14ac:dyDescent="0.25">
      <c r="A13" s="221" t="s">
        <v>307</v>
      </c>
      <c r="B13" s="225"/>
      <c r="C13" s="225"/>
      <c r="D13" s="225"/>
      <c r="E13" s="225"/>
      <c r="F13" s="253"/>
      <c r="G13" s="253"/>
      <c r="H13" s="254"/>
    </row>
    <row r="14" spans="1:8" ht="15.75" thickBot="1" x14ac:dyDescent="0.3">
      <c r="A14" s="221" t="s">
        <v>308</v>
      </c>
      <c r="B14" s="80" t="s">
        <v>58</v>
      </c>
      <c r="C14" s="80" t="s">
        <v>92</v>
      </c>
      <c r="D14" s="80" t="s">
        <v>191</v>
      </c>
      <c r="E14" s="80" t="s">
        <v>281</v>
      </c>
      <c r="F14" s="269" t="s">
        <v>225</v>
      </c>
      <c r="G14" s="269"/>
      <c r="H14" s="270"/>
    </row>
    <row r="15" spans="1:8" x14ac:dyDescent="0.25">
      <c r="A15" s="4"/>
      <c r="B15" s="43">
        <f>B7+7</f>
        <v>9</v>
      </c>
      <c r="C15" s="43">
        <f>B15+1</f>
        <v>10</v>
      </c>
      <c r="D15" s="43">
        <f t="shared" ref="D15:H15" si="1">C15+1</f>
        <v>11</v>
      </c>
      <c r="E15" s="43">
        <f t="shared" si="1"/>
        <v>12</v>
      </c>
      <c r="F15" s="43">
        <f t="shared" si="1"/>
        <v>13</v>
      </c>
      <c r="G15" s="43">
        <f>F15+1</f>
        <v>14</v>
      </c>
      <c r="H15" s="44">
        <f t="shared" si="1"/>
        <v>15</v>
      </c>
    </row>
    <row r="16" spans="1:8" x14ac:dyDescent="0.25">
      <c r="A16" s="7" t="s">
        <v>22</v>
      </c>
      <c r="B16" s="227">
        <v>3</v>
      </c>
      <c r="C16" s="228">
        <v>3</v>
      </c>
      <c r="D16" s="227">
        <v>3</v>
      </c>
      <c r="E16" s="228">
        <v>3</v>
      </c>
      <c r="F16" s="253">
        <v>2</v>
      </c>
      <c r="G16" s="253"/>
      <c r="H16" s="254"/>
    </row>
    <row r="17" spans="1:8" x14ac:dyDescent="0.25">
      <c r="A17" s="7" t="s">
        <v>19</v>
      </c>
      <c r="B17" s="228" t="s">
        <v>277</v>
      </c>
      <c r="C17" s="227" t="s">
        <v>281</v>
      </c>
      <c r="D17" s="228" t="s">
        <v>112</v>
      </c>
      <c r="E17" s="228" t="s">
        <v>195</v>
      </c>
      <c r="F17" s="253" t="s">
        <v>92</v>
      </c>
      <c r="G17" s="253"/>
      <c r="H17" s="254"/>
    </row>
    <row r="18" spans="1:8" x14ac:dyDescent="0.25">
      <c r="A18" s="7" t="s">
        <v>20</v>
      </c>
      <c r="B18" s="229" t="s">
        <v>58</v>
      </c>
      <c r="C18" s="234" t="s">
        <v>280</v>
      </c>
      <c r="D18" s="233" t="s">
        <v>176</v>
      </c>
      <c r="E18" s="228" t="s">
        <v>269</v>
      </c>
      <c r="F18" s="269" t="s">
        <v>126</v>
      </c>
      <c r="G18" s="269"/>
      <c r="H18" s="270"/>
    </row>
    <row r="19" spans="1:8" x14ac:dyDescent="0.25">
      <c r="A19" s="7" t="s">
        <v>21</v>
      </c>
      <c r="B19" s="228" t="s">
        <v>64</v>
      </c>
      <c r="C19" s="227" t="s">
        <v>162</v>
      </c>
      <c r="D19" s="229" t="s">
        <v>141</v>
      </c>
      <c r="E19" s="230" t="s">
        <v>59</v>
      </c>
      <c r="F19" s="269" t="s">
        <v>127</v>
      </c>
      <c r="G19" s="269"/>
      <c r="H19" s="270"/>
    </row>
    <row r="20" spans="1:8" x14ac:dyDescent="0.25">
      <c r="A20" s="7" t="s">
        <v>79</v>
      </c>
      <c r="B20" s="227" t="s">
        <v>227</v>
      </c>
      <c r="C20" s="227" t="s">
        <v>306</v>
      </c>
      <c r="D20" s="227" t="s">
        <v>282</v>
      </c>
      <c r="E20" s="228" t="s">
        <v>142</v>
      </c>
      <c r="F20" s="253" t="s">
        <v>283</v>
      </c>
      <c r="G20" s="253"/>
      <c r="H20" s="254"/>
    </row>
    <row r="21" spans="1:8" x14ac:dyDescent="0.25">
      <c r="A21" s="221" t="s">
        <v>307</v>
      </c>
      <c r="B21" s="225"/>
      <c r="C21" s="225"/>
      <c r="D21" s="225"/>
      <c r="E21" s="80"/>
      <c r="F21" s="253"/>
      <c r="G21" s="253"/>
      <c r="H21" s="254"/>
    </row>
    <row r="22" spans="1:8" ht="15.75" thickBot="1" x14ac:dyDescent="0.3">
      <c r="A22" s="221" t="s">
        <v>308</v>
      </c>
      <c r="B22" s="80" t="s">
        <v>61</v>
      </c>
      <c r="C22" s="80" t="s">
        <v>114</v>
      </c>
      <c r="D22" s="80" t="s">
        <v>129</v>
      </c>
      <c r="E22" s="80" t="s">
        <v>175</v>
      </c>
      <c r="F22" s="269" t="s">
        <v>115</v>
      </c>
      <c r="G22" s="269"/>
      <c r="H22" s="270"/>
    </row>
    <row r="23" spans="1:8" x14ac:dyDescent="0.25">
      <c r="A23" s="4"/>
      <c r="B23" s="43">
        <f>B15+7</f>
        <v>16</v>
      </c>
      <c r="C23" s="43">
        <f>B23+1</f>
        <v>17</v>
      </c>
      <c r="D23" s="43">
        <f t="shared" ref="D23:E23" si="2">C23+1</f>
        <v>18</v>
      </c>
      <c r="E23" s="43">
        <f t="shared" si="2"/>
        <v>19</v>
      </c>
      <c r="F23" s="5">
        <f>E23+1</f>
        <v>20</v>
      </c>
      <c r="G23" s="5">
        <f>F23+1</f>
        <v>21</v>
      </c>
      <c r="H23" s="6">
        <f>G23+1</f>
        <v>22</v>
      </c>
    </row>
    <row r="24" spans="1:8" x14ac:dyDescent="0.25">
      <c r="A24" s="7" t="s">
        <v>22</v>
      </c>
      <c r="B24" s="227">
        <v>3</v>
      </c>
      <c r="C24" s="228">
        <v>3</v>
      </c>
      <c r="D24" s="227">
        <v>3</v>
      </c>
      <c r="E24" s="228">
        <v>3</v>
      </c>
      <c r="F24" s="253">
        <v>3</v>
      </c>
      <c r="G24" s="253"/>
      <c r="H24" s="254"/>
    </row>
    <row r="25" spans="1:8" x14ac:dyDescent="0.25">
      <c r="A25" s="7" t="s">
        <v>19</v>
      </c>
      <c r="B25" s="230" t="s">
        <v>113</v>
      </c>
      <c r="C25" s="228" t="s">
        <v>60</v>
      </c>
      <c r="D25" s="228" t="s">
        <v>191</v>
      </c>
      <c r="E25" s="230" t="s">
        <v>174</v>
      </c>
      <c r="F25" s="264" t="s">
        <v>281</v>
      </c>
      <c r="G25" s="265"/>
      <c r="H25" s="266"/>
    </row>
    <row r="26" spans="1:8" x14ac:dyDescent="0.25">
      <c r="A26" s="7" t="s">
        <v>20</v>
      </c>
      <c r="B26" s="233" t="s">
        <v>277</v>
      </c>
      <c r="C26" s="230" t="s">
        <v>268</v>
      </c>
      <c r="D26" s="233" t="s">
        <v>280</v>
      </c>
      <c r="E26" s="228" t="s">
        <v>64</v>
      </c>
      <c r="F26" s="259" t="s">
        <v>114</v>
      </c>
      <c r="G26" s="260"/>
      <c r="H26" s="261"/>
    </row>
    <row r="27" spans="1:8" x14ac:dyDescent="0.25">
      <c r="A27" s="7" t="s">
        <v>21</v>
      </c>
      <c r="B27" s="227" t="s">
        <v>112</v>
      </c>
      <c r="C27" s="227" t="s">
        <v>115</v>
      </c>
      <c r="D27" s="229" t="s">
        <v>130</v>
      </c>
      <c r="E27" s="228" t="s">
        <v>129</v>
      </c>
      <c r="F27" s="253" t="s">
        <v>141</v>
      </c>
      <c r="G27" s="253"/>
      <c r="H27" s="254"/>
    </row>
    <row r="28" spans="1:8" x14ac:dyDescent="0.25">
      <c r="A28" s="7" t="s">
        <v>79</v>
      </c>
      <c r="B28" s="227" t="s">
        <v>306</v>
      </c>
      <c r="C28" s="227" t="s">
        <v>162</v>
      </c>
      <c r="D28" s="227" t="s">
        <v>304</v>
      </c>
      <c r="E28" s="227" t="s">
        <v>282</v>
      </c>
      <c r="F28" s="253" t="s">
        <v>305</v>
      </c>
      <c r="G28" s="253"/>
      <c r="H28" s="254"/>
    </row>
    <row r="29" spans="1:8" x14ac:dyDescent="0.25">
      <c r="A29" s="221" t="s">
        <v>307</v>
      </c>
      <c r="B29" s="225"/>
      <c r="C29" s="225"/>
      <c r="D29" s="225"/>
      <c r="E29" s="80" t="s">
        <v>266</v>
      </c>
      <c r="F29" s="262"/>
      <c r="G29" s="262"/>
      <c r="H29" s="263"/>
    </row>
    <row r="30" spans="1:8" ht="15.75" thickBot="1" x14ac:dyDescent="0.3">
      <c r="A30" s="221" t="s">
        <v>308</v>
      </c>
      <c r="B30" s="80" t="s">
        <v>174</v>
      </c>
      <c r="C30" s="80" t="s">
        <v>176</v>
      </c>
      <c r="D30" s="80" t="s">
        <v>71</v>
      </c>
      <c r="E30" s="80" t="s">
        <v>283</v>
      </c>
      <c r="F30" s="269" t="s">
        <v>69</v>
      </c>
      <c r="G30" s="269"/>
      <c r="H30" s="270"/>
    </row>
    <row r="31" spans="1:8" x14ac:dyDescent="0.25">
      <c r="A31" s="4"/>
      <c r="B31" s="43">
        <f>B23+7</f>
        <v>23</v>
      </c>
      <c r="C31" s="43">
        <f>B31+1</f>
        <v>24</v>
      </c>
      <c r="D31" s="43">
        <f t="shared" ref="D31:E31" si="3">C31+1</f>
        <v>25</v>
      </c>
      <c r="E31" s="43">
        <f t="shared" si="3"/>
        <v>26</v>
      </c>
      <c r="F31" s="5">
        <f>E31+1</f>
        <v>27</v>
      </c>
      <c r="G31" s="5">
        <f>F31+1</f>
        <v>28</v>
      </c>
      <c r="H31" s="6">
        <f>G31+1</f>
        <v>29</v>
      </c>
    </row>
    <row r="32" spans="1:8" x14ac:dyDescent="0.25">
      <c r="A32" s="7" t="s">
        <v>22</v>
      </c>
      <c r="B32" s="227">
        <v>3</v>
      </c>
      <c r="C32" s="228">
        <v>3</v>
      </c>
      <c r="D32" s="227">
        <v>3</v>
      </c>
      <c r="E32" s="228">
        <v>3</v>
      </c>
      <c r="F32" s="253">
        <v>3</v>
      </c>
      <c r="G32" s="253"/>
      <c r="H32" s="254"/>
    </row>
    <row r="33" spans="1:8" x14ac:dyDescent="0.25">
      <c r="A33" s="7" t="s">
        <v>19</v>
      </c>
      <c r="B33" s="227" t="s">
        <v>61</v>
      </c>
      <c r="C33" s="228" t="s">
        <v>280</v>
      </c>
      <c r="D33" s="228" t="s">
        <v>112</v>
      </c>
      <c r="E33" s="228" t="s">
        <v>69</v>
      </c>
      <c r="F33" s="264" t="s">
        <v>174</v>
      </c>
      <c r="G33" s="265"/>
      <c r="H33" s="266"/>
    </row>
    <row r="34" spans="1:8" x14ac:dyDescent="0.25">
      <c r="A34" s="7" t="s">
        <v>20</v>
      </c>
      <c r="B34" s="228" t="s">
        <v>142</v>
      </c>
      <c r="C34" s="230" t="s">
        <v>115</v>
      </c>
      <c r="D34" s="230" t="s">
        <v>268</v>
      </c>
      <c r="E34" s="228" t="s">
        <v>64</v>
      </c>
      <c r="F34" s="264" t="s">
        <v>113</v>
      </c>
      <c r="G34" s="265"/>
      <c r="H34" s="266"/>
    </row>
    <row r="35" spans="1:8" x14ac:dyDescent="0.25">
      <c r="A35" s="7" t="s">
        <v>21</v>
      </c>
      <c r="B35" s="229" t="s">
        <v>127</v>
      </c>
      <c r="C35" s="227" t="s">
        <v>126</v>
      </c>
      <c r="D35" s="227" t="s">
        <v>92</v>
      </c>
      <c r="E35" s="230" t="s">
        <v>129</v>
      </c>
      <c r="F35" s="269" t="s">
        <v>175</v>
      </c>
      <c r="G35" s="269"/>
      <c r="H35" s="270"/>
    </row>
    <row r="36" spans="1:8" x14ac:dyDescent="0.25">
      <c r="A36" s="7" t="s">
        <v>79</v>
      </c>
      <c r="B36" s="227" t="s">
        <v>306</v>
      </c>
      <c r="C36" s="227" t="s">
        <v>304</v>
      </c>
      <c r="D36" s="227" t="s">
        <v>225</v>
      </c>
      <c r="E36" s="227" t="s">
        <v>114</v>
      </c>
      <c r="F36" s="264" t="s">
        <v>176</v>
      </c>
      <c r="G36" s="265"/>
      <c r="H36" s="266"/>
    </row>
    <row r="37" spans="1:8" x14ac:dyDescent="0.25">
      <c r="A37" s="221" t="s">
        <v>307</v>
      </c>
      <c r="B37" s="225"/>
      <c r="C37" s="80" t="s">
        <v>282</v>
      </c>
      <c r="D37" s="80"/>
      <c r="E37" s="80" t="s">
        <v>305</v>
      </c>
      <c r="F37" s="262"/>
      <c r="G37" s="262"/>
      <c r="H37" s="263"/>
    </row>
    <row r="38" spans="1:8" ht="15.75" thickBot="1" x14ac:dyDescent="0.3">
      <c r="A38" s="221" t="s">
        <v>308</v>
      </c>
      <c r="B38" s="80" t="s">
        <v>269</v>
      </c>
      <c r="C38" s="80" t="s">
        <v>162</v>
      </c>
      <c r="D38" s="80" t="s">
        <v>277</v>
      </c>
      <c r="E38" s="80" t="s">
        <v>130</v>
      </c>
      <c r="F38" s="269" t="s">
        <v>195</v>
      </c>
      <c r="G38" s="269"/>
      <c r="H38" s="270"/>
    </row>
    <row r="39" spans="1:8" x14ac:dyDescent="0.25">
      <c r="A39" s="4"/>
      <c r="B39" s="43">
        <f>B31+7</f>
        <v>30</v>
      </c>
      <c r="C39" s="43">
        <f>B39+1</f>
        <v>31</v>
      </c>
      <c r="D39" s="43">
        <v>1</v>
      </c>
      <c r="E39" s="43">
        <f t="shared" ref="E39" si="4">D39+1</f>
        <v>2</v>
      </c>
      <c r="F39" s="5">
        <f>E39+1</f>
        <v>3</v>
      </c>
      <c r="G39" s="5">
        <f>F39+1</f>
        <v>4</v>
      </c>
      <c r="H39" s="6">
        <f>G39+1</f>
        <v>5</v>
      </c>
    </row>
    <row r="40" spans="1:8" x14ac:dyDescent="0.25">
      <c r="A40" s="7" t="s">
        <v>22</v>
      </c>
      <c r="B40" s="227">
        <v>3</v>
      </c>
      <c r="C40" s="228">
        <v>3</v>
      </c>
      <c r="D40" s="227">
        <v>3</v>
      </c>
      <c r="E40" s="228">
        <v>3</v>
      </c>
      <c r="F40" s="253">
        <v>2</v>
      </c>
      <c r="G40" s="253"/>
      <c r="H40" s="254"/>
    </row>
    <row r="41" spans="1:8" x14ac:dyDescent="0.25">
      <c r="A41" s="7" t="s">
        <v>19</v>
      </c>
      <c r="B41" s="227" t="s">
        <v>225</v>
      </c>
      <c r="C41" s="228" t="s">
        <v>195</v>
      </c>
      <c r="D41" s="228" t="s">
        <v>277</v>
      </c>
      <c r="E41" s="228" t="s">
        <v>142</v>
      </c>
      <c r="F41" s="259" t="s">
        <v>58</v>
      </c>
      <c r="G41" s="260"/>
      <c r="H41" s="261"/>
    </row>
    <row r="42" spans="1:8" x14ac:dyDescent="0.25">
      <c r="A42" s="7" t="s">
        <v>20</v>
      </c>
      <c r="B42" s="228" t="s">
        <v>267</v>
      </c>
      <c r="C42" s="230" t="s">
        <v>59</v>
      </c>
      <c r="D42" s="230" t="s">
        <v>64</v>
      </c>
      <c r="E42" s="227" t="s">
        <v>269</v>
      </c>
      <c r="F42" s="259" t="s">
        <v>61</v>
      </c>
      <c r="G42" s="260"/>
      <c r="H42" s="261"/>
    </row>
    <row r="43" spans="1:8" x14ac:dyDescent="0.25">
      <c r="A43" s="7" t="s">
        <v>21</v>
      </c>
      <c r="B43" s="230" t="s">
        <v>142</v>
      </c>
      <c r="C43" s="227" t="s">
        <v>283</v>
      </c>
      <c r="D43" s="228" t="s">
        <v>129</v>
      </c>
      <c r="E43" s="229" t="s">
        <v>115</v>
      </c>
      <c r="F43" s="253" t="s">
        <v>191</v>
      </c>
      <c r="G43" s="253"/>
      <c r="H43" s="254"/>
    </row>
    <row r="44" spans="1:8" x14ac:dyDescent="0.25">
      <c r="A44" s="7" t="s">
        <v>79</v>
      </c>
      <c r="B44" s="227" t="s">
        <v>304</v>
      </c>
      <c r="C44" s="220" t="s">
        <v>222</v>
      </c>
      <c r="D44" s="227" t="s">
        <v>305</v>
      </c>
      <c r="E44" s="220" t="s">
        <v>282</v>
      </c>
      <c r="F44" s="253" t="s">
        <v>71</v>
      </c>
      <c r="G44" s="253"/>
      <c r="H44" s="254"/>
    </row>
    <row r="45" spans="1:8" x14ac:dyDescent="0.25">
      <c r="A45" s="221" t="s">
        <v>307</v>
      </c>
      <c r="B45" s="178"/>
      <c r="C45" s="178"/>
      <c r="D45" s="178"/>
      <c r="E45" s="80" t="s">
        <v>306</v>
      </c>
      <c r="F45" s="262"/>
      <c r="G45" s="262"/>
      <c r="H45" s="263"/>
    </row>
    <row r="46" spans="1:8" ht="15.75" thickBot="1" x14ac:dyDescent="0.3">
      <c r="A46" s="222" t="s">
        <v>308</v>
      </c>
      <c r="B46" s="226" t="s">
        <v>112</v>
      </c>
      <c r="C46" s="226" t="s">
        <v>126</v>
      </c>
      <c r="D46" s="226" t="s">
        <v>113</v>
      </c>
      <c r="E46" s="226" t="s">
        <v>141</v>
      </c>
      <c r="F46" s="257" t="s">
        <v>227</v>
      </c>
      <c r="G46" s="257"/>
      <c r="H46" s="258"/>
    </row>
  </sheetData>
  <mergeCells count="40">
    <mergeCell ref="F44:H44"/>
    <mergeCell ref="F27:H27"/>
    <mergeCell ref="F28:H28"/>
    <mergeCell ref="F32:H32"/>
    <mergeCell ref="F33:H33"/>
    <mergeCell ref="F34:H34"/>
    <mergeCell ref="F35:H35"/>
    <mergeCell ref="F36:H36"/>
    <mergeCell ref="F40:H40"/>
    <mergeCell ref="F41:H41"/>
    <mergeCell ref="F42:H42"/>
    <mergeCell ref="F43:H43"/>
    <mergeCell ref="F29:H29"/>
    <mergeCell ref="F30:H30"/>
    <mergeCell ref="F37:H37"/>
    <mergeCell ref="F38:H38"/>
    <mergeCell ref="F19:H19"/>
    <mergeCell ref="F20:H20"/>
    <mergeCell ref="F24:H24"/>
    <mergeCell ref="F25:H25"/>
    <mergeCell ref="F13:H13"/>
    <mergeCell ref="F14:H14"/>
    <mergeCell ref="F21:H21"/>
    <mergeCell ref="F22:H22"/>
    <mergeCell ref="F45:H45"/>
    <mergeCell ref="F46:H46"/>
    <mergeCell ref="F8:H8"/>
    <mergeCell ref="F2:H2"/>
    <mergeCell ref="F3:H3"/>
    <mergeCell ref="F4:H4"/>
    <mergeCell ref="F5:H5"/>
    <mergeCell ref="F6:H6"/>
    <mergeCell ref="F26:H26"/>
    <mergeCell ref="F9:H9"/>
    <mergeCell ref="F10:H10"/>
    <mergeCell ref="F11:H11"/>
    <mergeCell ref="F12:H12"/>
    <mergeCell ref="F16:H16"/>
    <mergeCell ref="F17:H17"/>
    <mergeCell ref="F18:H18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K34"/>
  <sheetViews>
    <sheetView rightToLeft="1" topLeftCell="A4" zoomScale="115" zoomScaleNormal="115" workbookViewId="0">
      <selection activeCell="F24" sqref="F24:H24"/>
    </sheetView>
  </sheetViews>
  <sheetFormatPr defaultRowHeight="15" x14ac:dyDescent="0.25"/>
  <cols>
    <col min="2" max="5" width="12.7109375" customWidth="1"/>
    <col min="10" max="10" width="25.28515625" style="214" customWidth="1"/>
    <col min="11" max="11" width="69.42578125" bestFit="1" customWidth="1"/>
  </cols>
  <sheetData>
    <row r="1" spans="1:10" x14ac:dyDescent="0.25">
      <c r="A1" s="4"/>
      <c r="B1" s="43"/>
      <c r="C1" s="43"/>
      <c r="D1" s="43"/>
      <c r="E1" s="43"/>
      <c r="F1" s="43">
        <v>1</v>
      </c>
      <c r="G1" s="43">
        <f>F1+1</f>
        <v>2</v>
      </c>
      <c r="H1" s="44">
        <f>G1+1</f>
        <v>3</v>
      </c>
    </row>
    <row r="2" spans="1:10" x14ac:dyDescent="0.25">
      <c r="A2" s="7" t="s">
        <v>22</v>
      </c>
      <c r="B2" s="152"/>
      <c r="C2" s="150"/>
      <c r="D2" s="152"/>
      <c r="E2" s="150"/>
      <c r="F2" s="253">
        <v>2</v>
      </c>
      <c r="G2" s="253"/>
      <c r="H2" s="254"/>
    </row>
    <row r="3" spans="1:10" x14ac:dyDescent="0.25">
      <c r="A3" s="7" t="s">
        <v>19</v>
      </c>
      <c r="B3" s="55"/>
      <c r="C3" s="55"/>
      <c r="D3" s="56"/>
      <c r="E3" s="56"/>
      <c r="F3" s="269" t="s">
        <v>81</v>
      </c>
      <c r="G3" s="269"/>
      <c r="H3" s="270"/>
    </row>
    <row r="4" spans="1:10" x14ac:dyDescent="0.25">
      <c r="A4" s="7" t="s">
        <v>20</v>
      </c>
      <c r="B4" s="55"/>
      <c r="C4" s="56"/>
      <c r="D4" s="56"/>
      <c r="E4" s="55"/>
      <c r="F4" s="269" t="s">
        <v>59</v>
      </c>
      <c r="G4" s="269"/>
      <c r="H4" s="270"/>
    </row>
    <row r="5" spans="1:10" x14ac:dyDescent="0.25">
      <c r="A5" s="7" t="s">
        <v>21</v>
      </c>
      <c r="B5" s="56"/>
      <c r="C5" s="55"/>
      <c r="D5" s="55"/>
      <c r="E5" s="56"/>
      <c r="F5" s="251" t="s">
        <v>112</v>
      </c>
      <c r="G5" s="251"/>
      <c r="H5" s="252"/>
    </row>
    <row r="6" spans="1:10" ht="15.75" thickBot="1" x14ac:dyDescent="0.3">
      <c r="A6" s="7" t="s">
        <v>79</v>
      </c>
      <c r="B6" s="57"/>
      <c r="C6" s="57"/>
      <c r="D6" s="57"/>
      <c r="E6" s="58"/>
      <c r="F6" s="253" t="s">
        <v>261</v>
      </c>
      <c r="G6" s="253"/>
      <c r="H6" s="254"/>
    </row>
    <row r="7" spans="1:10" x14ac:dyDescent="0.25">
      <c r="A7" s="4"/>
      <c r="B7" s="43">
        <f>H1+1</f>
        <v>4</v>
      </c>
      <c r="C7" s="43">
        <f>B7+1</f>
        <v>5</v>
      </c>
      <c r="D7" s="43">
        <f t="shared" ref="D7:H7" si="0">C7+1</f>
        <v>6</v>
      </c>
      <c r="E7" s="43">
        <f t="shared" si="0"/>
        <v>7</v>
      </c>
      <c r="F7" s="43">
        <f t="shared" si="0"/>
        <v>8</v>
      </c>
      <c r="G7" s="43">
        <f t="shared" si="0"/>
        <v>9</v>
      </c>
      <c r="H7" s="44">
        <f t="shared" si="0"/>
        <v>10</v>
      </c>
    </row>
    <row r="8" spans="1:10" x14ac:dyDescent="0.25">
      <c r="A8" s="7" t="s">
        <v>22</v>
      </c>
      <c r="B8" s="152">
        <v>3</v>
      </c>
      <c r="C8" s="150">
        <v>3</v>
      </c>
      <c r="D8" s="152">
        <v>3</v>
      </c>
      <c r="E8" s="150">
        <v>3</v>
      </c>
      <c r="F8" s="253">
        <v>3</v>
      </c>
      <c r="G8" s="253"/>
      <c r="H8" s="254"/>
    </row>
    <row r="9" spans="1:10" x14ac:dyDescent="0.25">
      <c r="A9" s="7" t="s">
        <v>19</v>
      </c>
      <c r="B9" s="204" t="s">
        <v>176</v>
      </c>
      <c r="C9" s="207" t="s">
        <v>92</v>
      </c>
      <c r="D9" s="205" t="s">
        <v>142</v>
      </c>
      <c r="E9" s="204" t="s">
        <v>176</v>
      </c>
      <c r="F9" s="269" t="s">
        <v>162</v>
      </c>
      <c r="G9" s="269"/>
      <c r="H9" s="270"/>
    </row>
    <row r="10" spans="1:10" x14ac:dyDescent="0.25">
      <c r="A10" s="7" t="s">
        <v>20</v>
      </c>
      <c r="B10" s="205" t="s">
        <v>263</v>
      </c>
      <c r="C10" s="206" t="s">
        <v>126</v>
      </c>
      <c r="D10" s="152" t="s">
        <v>114</v>
      </c>
      <c r="E10" s="206" t="s">
        <v>59</v>
      </c>
      <c r="F10" s="253" t="s">
        <v>267</v>
      </c>
      <c r="G10" s="253"/>
      <c r="H10" s="254"/>
      <c r="J10" s="214" t="s">
        <v>290</v>
      </c>
    </row>
    <row r="11" spans="1:10" x14ac:dyDescent="0.25">
      <c r="A11" s="7" t="s">
        <v>21</v>
      </c>
      <c r="B11" s="152" t="s">
        <v>194</v>
      </c>
      <c r="C11" s="207" t="s">
        <v>174</v>
      </c>
      <c r="D11" s="204" t="s">
        <v>269</v>
      </c>
      <c r="E11" s="203" t="s">
        <v>113</v>
      </c>
      <c r="F11" s="253" t="s">
        <v>191</v>
      </c>
      <c r="G11" s="253"/>
      <c r="H11" s="254"/>
      <c r="J11" s="214" t="s">
        <v>293</v>
      </c>
    </row>
    <row r="12" spans="1:10" x14ac:dyDescent="0.25">
      <c r="A12" s="7" t="s">
        <v>79</v>
      </c>
      <c r="B12" s="152" t="s">
        <v>282</v>
      </c>
      <c r="C12" s="152" t="s">
        <v>141</v>
      </c>
      <c r="D12" s="28" t="s">
        <v>71</v>
      </c>
      <c r="E12" s="152" t="s">
        <v>281</v>
      </c>
      <c r="F12" s="253" t="s">
        <v>225</v>
      </c>
      <c r="G12" s="253"/>
      <c r="H12" s="254"/>
      <c r="J12" s="214" t="s">
        <v>298</v>
      </c>
    </row>
    <row r="13" spans="1:10" ht="15.75" thickBot="1" x14ac:dyDescent="0.3">
      <c r="A13" s="189" t="s">
        <v>264</v>
      </c>
      <c r="B13" s="190" t="s">
        <v>270</v>
      </c>
      <c r="C13" s="190"/>
      <c r="D13" s="190" t="s">
        <v>227</v>
      </c>
      <c r="E13" s="190"/>
      <c r="F13" s="273"/>
      <c r="G13" s="273"/>
      <c r="H13" s="274"/>
    </row>
    <row r="14" spans="1:10" x14ac:dyDescent="0.25">
      <c r="A14" s="4"/>
      <c r="B14" s="43">
        <f>B7+7</f>
        <v>11</v>
      </c>
      <c r="C14" s="43">
        <f>B14+1</f>
        <v>12</v>
      </c>
      <c r="D14" s="43">
        <f t="shared" ref="D14:H14" si="1">C14+1</f>
        <v>13</v>
      </c>
      <c r="E14" s="43">
        <f t="shared" si="1"/>
        <v>14</v>
      </c>
      <c r="F14" s="43">
        <f t="shared" si="1"/>
        <v>15</v>
      </c>
      <c r="G14" s="43">
        <f>F14+1</f>
        <v>16</v>
      </c>
      <c r="H14" s="44">
        <f t="shared" si="1"/>
        <v>17</v>
      </c>
    </row>
    <row r="15" spans="1:10" x14ac:dyDescent="0.25">
      <c r="A15" s="7" t="s">
        <v>22</v>
      </c>
      <c r="B15" s="152">
        <v>3</v>
      </c>
      <c r="C15" s="150">
        <v>3</v>
      </c>
      <c r="D15" s="152">
        <v>3</v>
      </c>
      <c r="E15" s="150">
        <v>3</v>
      </c>
      <c r="F15" s="253">
        <v>3</v>
      </c>
      <c r="G15" s="253"/>
      <c r="H15" s="254"/>
    </row>
    <row r="16" spans="1:10" x14ac:dyDescent="0.25">
      <c r="A16" s="7" t="s">
        <v>19</v>
      </c>
      <c r="B16" s="150" t="s">
        <v>222</v>
      </c>
      <c r="C16" s="204" t="s">
        <v>114</v>
      </c>
      <c r="D16" s="206" t="s">
        <v>59</v>
      </c>
      <c r="E16" s="208" t="s">
        <v>112</v>
      </c>
      <c r="F16" s="253" t="s">
        <v>175</v>
      </c>
      <c r="G16" s="253"/>
      <c r="H16" s="254"/>
    </row>
    <row r="17" spans="1:11" x14ac:dyDescent="0.25">
      <c r="A17" s="7" t="s">
        <v>20</v>
      </c>
      <c r="B17" s="204" t="s">
        <v>112</v>
      </c>
      <c r="C17" s="206" t="s">
        <v>115</v>
      </c>
      <c r="D17" s="152" t="s">
        <v>194</v>
      </c>
      <c r="E17" s="151" t="s">
        <v>270</v>
      </c>
      <c r="F17" s="253" t="s">
        <v>195</v>
      </c>
      <c r="G17" s="253"/>
      <c r="H17" s="254"/>
      <c r="J17" s="214" t="s">
        <v>285</v>
      </c>
      <c r="K17" t="s">
        <v>288</v>
      </c>
    </row>
    <row r="18" spans="1:11" x14ac:dyDescent="0.25">
      <c r="A18" s="7" t="s">
        <v>21</v>
      </c>
      <c r="B18" s="205" t="s">
        <v>127</v>
      </c>
      <c r="C18" s="204" t="s">
        <v>283</v>
      </c>
      <c r="D18" s="203" t="s">
        <v>141</v>
      </c>
      <c r="E18" s="203" t="s">
        <v>58</v>
      </c>
      <c r="F18" s="269" t="s">
        <v>174</v>
      </c>
      <c r="G18" s="269"/>
      <c r="H18" s="270"/>
      <c r="K18" t="s">
        <v>295</v>
      </c>
    </row>
    <row r="19" spans="1:11" x14ac:dyDescent="0.25">
      <c r="A19" s="7" t="s">
        <v>79</v>
      </c>
      <c r="B19" s="152" t="s">
        <v>261</v>
      </c>
      <c r="C19" s="152" t="s">
        <v>281</v>
      </c>
      <c r="D19" s="152" t="s">
        <v>266</v>
      </c>
      <c r="E19" s="202" t="s">
        <v>71</v>
      </c>
      <c r="F19" s="253" t="s">
        <v>227</v>
      </c>
      <c r="G19" s="253"/>
      <c r="H19" s="254"/>
    </row>
    <row r="20" spans="1:11" ht="15.75" thickBot="1" x14ac:dyDescent="0.3">
      <c r="A20" s="189" t="s">
        <v>264</v>
      </c>
      <c r="B20" s="190"/>
      <c r="C20" s="190"/>
      <c r="D20" s="190"/>
      <c r="E20" s="190" t="s">
        <v>263</v>
      </c>
      <c r="F20" s="273"/>
      <c r="G20" s="273"/>
      <c r="H20" s="274"/>
    </row>
    <row r="21" spans="1:11" x14ac:dyDescent="0.25">
      <c r="A21" s="4"/>
      <c r="B21" s="43">
        <f>B14+7</f>
        <v>18</v>
      </c>
      <c r="C21" s="43">
        <f>B21+1</f>
        <v>19</v>
      </c>
      <c r="D21" s="43">
        <f t="shared" ref="D21:E21" si="2">C21+1</f>
        <v>20</v>
      </c>
      <c r="E21" s="43">
        <f t="shared" si="2"/>
        <v>21</v>
      </c>
      <c r="F21" s="5">
        <f>E21+1</f>
        <v>22</v>
      </c>
      <c r="G21" s="5">
        <f>F21+1</f>
        <v>23</v>
      </c>
      <c r="H21" s="6">
        <f>G21+1</f>
        <v>24</v>
      </c>
    </row>
    <row r="22" spans="1:11" x14ac:dyDescent="0.25">
      <c r="A22" s="7" t="s">
        <v>22</v>
      </c>
      <c r="B22" s="152">
        <v>3</v>
      </c>
      <c r="C22" s="150">
        <v>3</v>
      </c>
      <c r="D22" s="152">
        <v>3</v>
      </c>
      <c r="E22" s="150">
        <v>3</v>
      </c>
      <c r="F22" s="253">
        <v>3</v>
      </c>
      <c r="G22" s="253"/>
      <c r="H22" s="254"/>
    </row>
    <row r="23" spans="1:11" x14ac:dyDescent="0.25">
      <c r="A23" s="7" t="s">
        <v>19</v>
      </c>
      <c r="B23" s="204" t="s">
        <v>191</v>
      </c>
      <c r="C23" s="150" t="s">
        <v>141</v>
      </c>
      <c r="D23" s="212" t="s">
        <v>142</v>
      </c>
      <c r="E23" s="206" t="s">
        <v>59</v>
      </c>
      <c r="F23" s="264" t="s">
        <v>64</v>
      </c>
      <c r="G23" s="265"/>
      <c r="H23" s="266"/>
    </row>
    <row r="24" spans="1:11" x14ac:dyDescent="0.25">
      <c r="A24" s="7" t="s">
        <v>20</v>
      </c>
      <c r="B24" s="205" t="s">
        <v>263</v>
      </c>
      <c r="C24" s="152" t="s">
        <v>267</v>
      </c>
      <c r="D24" s="204" t="s">
        <v>283</v>
      </c>
      <c r="E24" s="203" t="s">
        <v>60</v>
      </c>
      <c r="F24" s="259" t="s">
        <v>69</v>
      </c>
      <c r="G24" s="260"/>
      <c r="H24" s="261"/>
      <c r="J24" s="215" t="s">
        <v>286</v>
      </c>
      <c r="K24" t="s">
        <v>291</v>
      </c>
    </row>
    <row r="25" spans="1:11" x14ac:dyDescent="0.25">
      <c r="A25" s="7" t="s">
        <v>21</v>
      </c>
      <c r="B25" s="203" t="s">
        <v>60</v>
      </c>
      <c r="C25" s="205" t="s">
        <v>127</v>
      </c>
      <c r="D25" s="213" t="s">
        <v>92</v>
      </c>
      <c r="E25" s="204" t="s">
        <v>194</v>
      </c>
      <c r="F25" s="253" t="s">
        <v>277</v>
      </c>
      <c r="G25" s="253"/>
      <c r="H25" s="254"/>
      <c r="K25" t="s">
        <v>292</v>
      </c>
    </row>
    <row r="26" spans="1:11" x14ac:dyDescent="0.25">
      <c r="A26" s="7" t="s">
        <v>79</v>
      </c>
      <c r="B26" s="203" t="s">
        <v>266</v>
      </c>
      <c r="C26" s="203" t="s">
        <v>61</v>
      </c>
      <c r="D26" s="203" t="s">
        <v>281</v>
      </c>
      <c r="E26" s="203" t="s">
        <v>282</v>
      </c>
      <c r="F26" s="253" t="s">
        <v>260</v>
      </c>
      <c r="G26" s="253"/>
      <c r="H26" s="254"/>
      <c r="K26" t="s">
        <v>296</v>
      </c>
    </row>
    <row r="27" spans="1:11" ht="15.75" thickBot="1" x14ac:dyDescent="0.3">
      <c r="A27" s="210" t="s">
        <v>264</v>
      </c>
      <c r="B27" s="211" t="s">
        <v>270</v>
      </c>
      <c r="C27" s="211" t="s">
        <v>225</v>
      </c>
      <c r="D27" s="211"/>
      <c r="E27" s="211"/>
      <c r="F27" s="275"/>
      <c r="G27" s="275"/>
      <c r="H27" s="276"/>
    </row>
    <row r="28" spans="1:11" x14ac:dyDescent="0.25">
      <c r="A28" s="4"/>
      <c r="B28" s="43">
        <f>B21+7</f>
        <v>25</v>
      </c>
      <c r="C28" s="43">
        <f>B28+1</f>
        <v>26</v>
      </c>
      <c r="D28" s="43">
        <f t="shared" ref="D28:E28" si="3">C28+1</f>
        <v>27</v>
      </c>
      <c r="E28" s="43">
        <f t="shared" si="3"/>
        <v>28</v>
      </c>
      <c r="F28" s="5">
        <v>29</v>
      </c>
      <c r="G28" s="5">
        <v>30</v>
      </c>
      <c r="H28" s="6">
        <v>1</v>
      </c>
    </row>
    <row r="29" spans="1:11" x14ac:dyDescent="0.25">
      <c r="A29" s="7" t="s">
        <v>22</v>
      </c>
      <c r="B29" s="198">
        <v>3</v>
      </c>
      <c r="C29" s="199">
        <v>3</v>
      </c>
      <c r="D29" s="198">
        <v>3</v>
      </c>
      <c r="E29" s="199">
        <v>3</v>
      </c>
      <c r="F29" s="253">
        <v>3</v>
      </c>
      <c r="G29" s="253"/>
      <c r="H29" s="254"/>
    </row>
    <row r="30" spans="1:11" x14ac:dyDescent="0.25">
      <c r="A30" s="7" t="s">
        <v>19</v>
      </c>
      <c r="B30" s="203" t="s">
        <v>126</v>
      </c>
      <c r="C30" s="199" t="s">
        <v>176</v>
      </c>
      <c r="D30" s="203" t="s">
        <v>162</v>
      </c>
      <c r="E30" s="204" t="s">
        <v>175</v>
      </c>
      <c r="F30" s="264" t="s">
        <v>280</v>
      </c>
      <c r="G30" s="265"/>
      <c r="H30" s="266"/>
    </row>
    <row r="31" spans="1:11" x14ac:dyDescent="0.25">
      <c r="A31" s="7" t="s">
        <v>20</v>
      </c>
      <c r="B31" s="203" t="s">
        <v>61</v>
      </c>
      <c r="C31" s="209" t="s">
        <v>92</v>
      </c>
      <c r="D31" s="201" t="s">
        <v>270</v>
      </c>
      <c r="E31" s="205" t="s">
        <v>127</v>
      </c>
      <c r="F31" s="264" t="s">
        <v>129</v>
      </c>
      <c r="G31" s="265"/>
      <c r="H31" s="266"/>
      <c r="J31" s="215" t="s">
        <v>287</v>
      </c>
      <c r="K31" s="215" t="s">
        <v>289</v>
      </c>
    </row>
    <row r="32" spans="1:11" x14ac:dyDescent="0.25">
      <c r="A32" s="7" t="s">
        <v>21</v>
      </c>
      <c r="B32" s="200" t="s">
        <v>115</v>
      </c>
      <c r="C32" s="204" t="s">
        <v>191</v>
      </c>
      <c r="D32" s="203" t="s">
        <v>60</v>
      </c>
      <c r="E32" s="203" t="s">
        <v>69</v>
      </c>
      <c r="F32" s="259" t="s">
        <v>269</v>
      </c>
      <c r="G32" s="260"/>
      <c r="H32" s="261"/>
      <c r="K32" t="s">
        <v>294</v>
      </c>
    </row>
    <row r="33" spans="1:11" x14ac:dyDescent="0.25">
      <c r="A33" s="186" t="s">
        <v>79</v>
      </c>
      <c r="B33" s="203" t="s">
        <v>130</v>
      </c>
      <c r="C33" s="202" t="s">
        <v>225</v>
      </c>
      <c r="D33" s="203" t="s">
        <v>283</v>
      </c>
      <c r="E33" s="203" t="s">
        <v>282</v>
      </c>
      <c r="F33" s="267" t="s">
        <v>261</v>
      </c>
      <c r="G33" s="267"/>
      <c r="H33" s="268"/>
      <c r="K33" t="s">
        <v>297</v>
      </c>
    </row>
    <row r="34" spans="1:11" ht="15.75" thickBot="1" x14ac:dyDescent="0.3">
      <c r="A34" s="189" t="s">
        <v>264</v>
      </c>
      <c r="B34" s="190"/>
      <c r="C34" s="190" t="s">
        <v>266</v>
      </c>
      <c r="D34" s="190" t="s">
        <v>263</v>
      </c>
      <c r="E34" s="190"/>
      <c r="F34" s="273"/>
      <c r="G34" s="273"/>
      <c r="H34" s="274"/>
    </row>
  </sheetData>
  <mergeCells count="29">
    <mergeCell ref="F33:H33"/>
    <mergeCell ref="F25:H25"/>
    <mergeCell ref="F26:H26"/>
    <mergeCell ref="F29:H29"/>
    <mergeCell ref="F30:H30"/>
    <mergeCell ref="F31:H31"/>
    <mergeCell ref="F32:H32"/>
    <mergeCell ref="F27:H27"/>
    <mergeCell ref="F19:H19"/>
    <mergeCell ref="F22:H22"/>
    <mergeCell ref="F23:H23"/>
    <mergeCell ref="F13:H13"/>
    <mergeCell ref="F20:H20"/>
    <mergeCell ref="F34:H34"/>
    <mergeCell ref="F8:H8"/>
    <mergeCell ref="F2:H2"/>
    <mergeCell ref="F3:H3"/>
    <mergeCell ref="F4:H4"/>
    <mergeCell ref="F5:H5"/>
    <mergeCell ref="F6:H6"/>
    <mergeCell ref="F24:H24"/>
    <mergeCell ref="F9:H9"/>
    <mergeCell ref="F10:H10"/>
    <mergeCell ref="F11:H11"/>
    <mergeCell ref="F12:H12"/>
    <mergeCell ref="F15:H15"/>
    <mergeCell ref="F16:H16"/>
    <mergeCell ref="F17:H17"/>
    <mergeCell ref="F18:H18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K64"/>
  <sheetViews>
    <sheetView rightToLeft="1" topLeftCell="A16" zoomScale="160" zoomScaleNormal="160" workbookViewId="0">
      <selection activeCell="F20" sqref="F20:H20"/>
    </sheetView>
  </sheetViews>
  <sheetFormatPr defaultRowHeight="15" x14ac:dyDescent="0.25"/>
  <cols>
    <col min="2" max="2" width="10.140625" bestFit="1" customWidth="1"/>
    <col min="3" max="3" width="11.5703125" bestFit="1" customWidth="1"/>
    <col min="4" max="4" width="11.85546875" bestFit="1" customWidth="1"/>
    <col min="5" max="5" width="10.85546875" bestFit="1" customWidth="1"/>
  </cols>
  <sheetData>
    <row r="1" spans="1:10" x14ac:dyDescent="0.25">
      <c r="A1" s="4"/>
      <c r="B1" s="43"/>
      <c r="C1" s="43"/>
      <c r="D1" s="43"/>
      <c r="E1" s="43"/>
      <c r="F1" s="43">
        <v>4</v>
      </c>
      <c r="G1" s="43">
        <v>5</v>
      </c>
      <c r="H1" s="44">
        <v>6</v>
      </c>
    </row>
    <row r="2" spans="1:10" x14ac:dyDescent="0.25">
      <c r="A2" s="7" t="s">
        <v>22</v>
      </c>
      <c r="B2" s="98"/>
      <c r="C2" s="97"/>
      <c r="D2" s="98"/>
      <c r="E2" s="97"/>
      <c r="F2" s="253">
        <v>2</v>
      </c>
      <c r="G2" s="253"/>
      <c r="H2" s="254"/>
    </row>
    <row r="3" spans="1:10" x14ac:dyDescent="0.25">
      <c r="A3" s="7" t="s">
        <v>19</v>
      </c>
      <c r="B3" s="55"/>
      <c r="C3" s="55"/>
      <c r="D3" s="56"/>
      <c r="E3" s="56"/>
      <c r="F3" s="253" t="s">
        <v>141</v>
      </c>
      <c r="G3" s="253"/>
      <c r="H3" s="254"/>
    </row>
    <row r="4" spans="1:10" x14ac:dyDescent="0.25">
      <c r="A4" s="7" t="s">
        <v>20</v>
      </c>
      <c r="B4" s="55"/>
      <c r="C4" s="56"/>
      <c r="D4" s="56"/>
      <c r="E4" s="55"/>
      <c r="F4" s="269" t="s">
        <v>162</v>
      </c>
      <c r="G4" s="269"/>
      <c r="H4" s="270"/>
    </row>
    <row r="5" spans="1:10" x14ac:dyDescent="0.25">
      <c r="A5" s="7" t="s">
        <v>21</v>
      </c>
      <c r="B5" s="56"/>
      <c r="C5" s="55"/>
      <c r="D5" s="55"/>
      <c r="E5" s="56"/>
      <c r="F5" s="269" t="s">
        <v>80</v>
      </c>
      <c r="G5" s="269"/>
      <c r="H5" s="270"/>
    </row>
    <row r="6" spans="1:10" ht="15.75" thickBot="1" x14ac:dyDescent="0.3">
      <c r="A6" s="186" t="s">
        <v>79</v>
      </c>
      <c r="B6" s="193"/>
      <c r="C6" s="193"/>
      <c r="D6" s="193"/>
      <c r="E6" s="194"/>
      <c r="F6" s="267" t="s">
        <v>225</v>
      </c>
      <c r="G6" s="267"/>
      <c r="H6" s="268"/>
    </row>
    <row r="7" spans="1:10" x14ac:dyDescent="0.25">
      <c r="A7" s="4"/>
      <c r="B7" s="43">
        <v>7</v>
      </c>
      <c r="C7" s="43">
        <f>B7+1</f>
        <v>8</v>
      </c>
      <c r="D7" s="43">
        <f t="shared" ref="D7:H7" si="0">C7+1</f>
        <v>9</v>
      </c>
      <c r="E7" s="43">
        <f t="shared" si="0"/>
        <v>10</v>
      </c>
      <c r="F7" s="43">
        <f t="shared" si="0"/>
        <v>11</v>
      </c>
      <c r="G7" s="43">
        <f t="shared" si="0"/>
        <v>12</v>
      </c>
      <c r="H7" s="44">
        <f t="shared" si="0"/>
        <v>13</v>
      </c>
    </row>
    <row r="8" spans="1:10" x14ac:dyDescent="0.25">
      <c r="A8" s="7" t="s">
        <v>22</v>
      </c>
      <c r="B8" s="182">
        <v>3</v>
      </c>
      <c r="C8" s="182">
        <v>3</v>
      </c>
      <c r="D8" s="182">
        <v>3</v>
      </c>
      <c r="E8" s="182">
        <v>3</v>
      </c>
      <c r="F8" s="253">
        <v>3</v>
      </c>
      <c r="G8" s="253"/>
      <c r="H8" s="254"/>
    </row>
    <row r="9" spans="1:10" x14ac:dyDescent="0.25">
      <c r="A9" s="7" t="s">
        <v>19</v>
      </c>
      <c r="B9" s="182" t="s">
        <v>130</v>
      </c>
      <c r="C9" s="182" t="s">
        <v>142</v>
      </c>
      <c r="D9" s="183" t="s">
        <v>113</v>
      </c>
      <c r="E9" s="196" t="s">
        <v>129</v>
      </c>
      <c r="F9" s="253" t="s">
        <v>126</v>
      </c>
      <c r="G9" s="253"/>
      <c r="H9" s="254"/>
      <c r="J9" s="176"/>
    </row>
    <row r="10" spans="1:10" x14ac:dyDescent="0.25">
      <c r="A10" s="7" t="s">
        <v>20</v>
      </c>
      <c r="B10" s="183" t="s">
        <v>175</v>
      </c>
      <c r="C10" s="183" t="s">
        <v>59</v>
      </c>
      <c r="D10" s="184" t="s">
        <v>268</v>
      </c>
      <c r="E10" s="196" t="s">
        <v>175</v>
      </c>
      <c r="F10" s="269" t="s">
        <v>127</v>
      </c>
      <c r="G10" s="269"/>
      <c r="H10" s="270"/>
    </row>
    <row r="11" spans="1:10" x14ac:dyDescent="0.25">
      <c r="A11" s="7" t="s">
        <v>21</v>
      </c>
      <c r="B11" s="182" t="s">
        <v>64</v>
      </c>
      <c r="C11" s="182" t="s">
        <v>269</v>
      </c>
      <c r="D11" s="182" t="s">
        <v>91</v>
      </c>
      <c r="E11" s="185" t="s">
        <v>60</v>
      </c>
      <c r="F11" s="253" t="s">
        <v>194</v>
      </c>
      <c r="G11" s="253"/>
      <c r="H11" s="254"/>
    </row>
    <row r="12" spans="1:10" x14ac:dyDescent="0.25">
      <c r="A12" s="7" t="s">
        <v>79</v>
      </c>
      <c r="B12" s="182" t="s">
        <v>222</v>
      </c>
      <c r="C12" s="182" t="s">
        <v>267</v>
      </c>
      <c r="D12" s="182" t="s">
        <v>227</v>
      </c>
      <c r="E12" s="182" t="s">
        <v>266</v>
      </c>
      <c r="F12" s="253" t="s">
        <v>69</v>
      </c>
      <c r="G12" s="253"/>
      <c r="H12" s="254"/>
    </row>
    <row r="13" spans="1:10" x14ac:dyDescent="0.25">
      <c r="A13" s="192" t="s">
        <v>264</v>
      </c>
      <c r="B13" s="191" t="s">
        <v>263</v>
      </c>
      <c r="C13" s="191" t="s">
        <v>114</v>
      </c>
      <c r="D13" s="191" t="s">
        <v>271</v>
      </c>
      <c r="E13" s="191" t="s">
        <v>270</v>
      </c>
      <c r="F13" s="253"/>
      <c r="G13" s="253"/>
      <c r="H13" s="254"/>
    </row>
    <row r="14" spans="1:10" ht="15.75" thickBot="1" x14ac:dyDescent="0.3">
      <c r="A14" s="189" t="s">
        <v>265</v>
      </c>
      <c r="B14" s="190"/>
      <c r="C14" s="190"/>
      <c r="D14" s="190" t="s">
        <v>176</v>
      </c>
      <c r="E14" s="190"/>
      <c r="F14" s="271"/>
      <c r="G14" s="271"/>
      <c r="H14" s="272"/>
    </row>
    <row r="15" spans="1:10" x14ac:dyDescent="0.25">
      <c r="A15" s="181"/>
      <c r="B15" s="178">
        <f>B7+7</f>
        <v>14</v>
      </c>
      <c r="C15" s="178">
        <f>B15+1</f>
        <v>15</v>
      </c>
      <c r="D15" s="178">
        <f t="shared" ref="D15:H15" si="1">C15+1</f>
        <v>16</v>
      </c>
      <c r="E15" s="178">
        <f t="shared" si="1"/>
        <v>17</v>
      </c>
      <c r="F15" s="178">
        <f t="shared" si="1"/>
        <v>18</v>
      </c>
      <c r="G15" s="178">
        <f>F15+1</f>
        <v>19</v>
      </c>
      <c r="H15" s="195">
        <f t="shared" si="1"/>
        <v>20</v>
      </c>
    </row>
    <row r="16" spans="1:10" x14ac:dyDescent="0.25">
      <c r="A16" s="7" t="s">
        <v>22</v>
      </c>
      <c r="B16" s="180">
        <v>3</v>
      </c>
      <c r="C16" s="180">
        <v>3</v>
      </c>
      <c r="D16" s="180">
        <v>3</v>
      </c>
      <c r="E16" s="180">
        <v>3</v>
      </c>
      <c r="F16" s="253">
        <v>3</v>
      </c>
      <c r="G16" s="253"/>
      <c r="H16" s="254"/>
    </row>
    <row r="17" spans="1:10" x14ac:dyDescent="0.25">
      <c r="A17" s="7" t="s">
        <v>19</v>
      </c>
      <c r="B17" s="183" t="s">
        <v>162</v>
      </c>
      <c r="C17" s="183" t="s">
        <v>130</v>
      </c>
      <c r="D17" s="179" t="s">
        <v>91</v>
      </c>
      <c r="E17" s="182" t="s">
        <v>64</v>
      </c>
      <c r="F17" s="253" t="s">
        <v>112</v>
      </c>
      <c r="G17" s="253"/>
      <c r="H17" s="254"/>
      <c r="I17" s="176"/>
    </row>
    <row r="18" spans="1:10" x14ac:dyDescent="0.25">
      <c r="A18" s="7" t="s">
        <v>20</v>
      </c>
      <c r="B18" s="184" t="s">
        <v>141</v>
      </c>
      <c r="C18" s="184" t="s">
        <v>57</v>
      </c>
      <c r="D18" s="196" t="s">
        <v>175</v>
      </c>
      <c r="E18" s="183" t="s">
        <v>61</v>
      </c>
      <c r="F18" s="253" t="s">
        <v>58</v>
      </c>
      <c r="G18" s="253"/>
      <c r="H18" s="254"/>
      <c r="I18" s="176"/>
    </row>
    <row r="19" spans="1:10" x14ac:dyDescent="0.25">
      <c r="A19" s="7" t="s">
        <v>21</v>
      </c>
      <c r="B19" s="182" t="s">
        <v>113</v>
      </c>
      <c r="C19" s="182" t="s">
        <v>191</v>
      </c>
      <c r="D19" s="180" t="s">
        <v>174</v>
      </c>
      <c r="E19" s="196" t="s">
        <v>195</v>
      </c>
      <c r="F19" s="269" t="s">
        <v>71</v>
      </c>
      <c r="G19" s="269"/>
      <c r="H19" s="270"/>
      <c r="J19" s="176"/>
    </row>
    <row r="20" spans="1:10" x14ac:dyDescent="0.25">
      <c r="A20" s="7" t="s">
        <v>79</v>
      </c>
      <c r="B20" s="180" t="s">
        <v>225</v>
      </c>
      <c r="C20" s="196" t="s">
        <v>129</v>
      </c>
      <c r="D20" s="182" t="s">
        <v>222</v>
      </c>
      <c r="E20" s="182" t="s">
        <v>260</v>
      </c>
      <c r="F20" s="253" t="s">
        <v>176</v>
      </c>
      <c r="G20" s="253"/>
      <c r="H20" s="254"/>
      <c r="J20" s="176"/>
    </row>
    <row r="21" spans="1:10" x14ac:dyDescent="0.25">
      <c r="A21" s="187" t="s">
        <v>264</v>
      </c>
      <c r="B21" s="188" t="s">
        <v>266</v>
      </c>
      <c r="C21" s="188" t="s">
        <v>271</v>
      </c>
      <c r="D21" s="188" t="s">
        <v>268</v>
      </c>
      <c r="E21" s="188" t="s">
        <v>267</v>
      </c>
      <c r="F21" s="264"/>
      <c r="G21" s="265"/>
      <c r="H21" s="266"/>
    </row>
    <row r="22" spans="1:10" ht="15.75" thickBot="1" x14ac:dyDescent="0.3">
      <c r="A22" s="189" t="s">
        <v>265</v>
      </c>
      <c r="B22" s="190"/>
      <c r="C22" s="190"/>
      <c r="D22" s="190"/>
      <c r="E22" s="190"/>
      <c r="F22" s="277"/>
      <c r="G22" s="278"/>
      <c r="H22" s="279"/>
    </row>
    <row r="23" spans="1:10" x14ac:dyDescent="0.25">
      <c r="A23" s="4"/>
      <c r="B23" s="43">
        <f>B15+7</f>
        <v>21</v>
      </c>
      <c r="C23" s="43">
        <f>B23+1</f>
        <v>22</v>
      </c>
      <c r="D23" s="43">
        <f>C23+1</f>
        <v>23</v>
      </c>
      <c r="E23" s="43">
        <f t="shared" ref="E23" si="2">D23+1</f>
        <v>24</v>
      </c>
      <c r="F23" s="5">
        <f>E23+1</f>
        <v>25</v>
      </c>
      <c r="G23" s="5">
        <f>F23+1</f>
        <v>26</v>
      </c>
      <c r="H23" s="6">
        <f>G23+1</f>
        <v>27</v>
      </c>
      <c r="J23" s="176"/>
    </row>
    <row r="24" spans="1:10" x14ac:dyDescent="0.25">
      <c r="A24" s="7" t="s">
        <v>22</v>
      </c>
      <c r="B24" s="180">
        <v>3</v>
      </c>
      <c r="C24" s="180">
        <v>3</v>
      </c>
      <c r="D24" s="180">
        <v>3</v>
      </c>
      <c r="E24" s="180">
        <v>3</v>
      </c>
      <c r="F24" s="253">
        <v>3</v>
      </c>
      <c r="G24" s="253"/>
      <c r="H24" s="254"/>
    </row>
    <row r="25" spans="1:10" x14ac:dyDescent="0.25">
      <c r="A25" s="7" t="s">
        <v>19</v>
      </c>
      <c r="B25" s="180" t="s">
        <v>268</v>
      </c>
      <c r="C25" s="180" t="s">
        <v>130</v>
      </c>
      <c r="D25" s="183" t="s">
        <v>142</v>
      </c>
      <c r="E25" s="182" t="s">
        <v>67</v>
      </c>
      <c r="F25" s="253" t="s">
        <v>115</v>
      </c>
      <c r="G25" s="253"/>
      <c r="H25" s="254"/>
    </row>
    <row r="26" spans="1:10" x14ac:dyDescent="0.25">
      <c r="A26" s="7" t="s">
        <v>20</v>
      </c>
      <c r="B26" s="183" t="s">
        <v>64</v>
      </c>
      <c r="C26" s="183" t="s">
        <v>162</v>
      </c>
      <c r="D26" s="182" t="s">
        <v>114</v>
      </c>
      <c r="E26" s="180" t="s">
        <v>71</v>
      </c>
      <c r="F26" s="253" t="s">
        <v>61</v>
      </c>
      <c r="G26" s="253"/>
      <c r="H26" s="254"/>
    </row>
    <row r="27" spans="1:10" x14ac:dyDescent="0.25">
      <c r="A27" s="7" t="s">
        <v>21</v>
      </c>
      <c r="B27" s="182" t="s">
        <v>60</v>
      </c>
      <c r="C27" s="182" t="s">
        <v>174</v>
      </c>
      <c r="D27" s="182" t="s">
        <v>113</v>
      </c>
      <c r="E27" s="183" t="s">
        <v>161</v>
      </c>
      <c r="F27" s="269" t="s">
        <v>59</v>
      </c>
      <c r="G27" s="269"/>
      <c r="H27" s="270"/>
    </row>
    <row r="28" spans="1:10" x14ac:dyDescent="0.25">
      <c r="A28" s="7" t="s">
        <v>79</v>
      </c>
      <c r="B28" s="180" t="s">
        <v>261</v>
      </c>
      <c r="C28" s="180" t="s">
        <v>227</v>
      </c>
      <c r="D28" s="182" t="s">
        <v>266</v>
      </c>
      <c r="E28" s="182" t="s">
        <v>57</v>
      </c>
      <c r="F28" s="253" t="s">
        <v>260</v>
      </c>
      <c r="G28" s="253"/>
      <c r="H28" s="254"/>
    </row>
    <row r="29" spans="1:10" x14ac:dyDescent="0.25">
      <c r="A29" s="187" t="s">
        <v>264</v>
      </c>
      <c r="B29" s="188" t="s">
        <v>141</v>
      </c>
      <c r="C29" s="188" t="s">
        <v>222</v>
      </c>
      <c r="D29" s="188" t="s">
        <v>225</v>
      </c>
      <c r="E29" s="188" t="s">
        <v>270</v>
      </c>
      <c r="F29" s="280"/>
      <c r="G29" s="281"/>
      <c r="H29" s="282"/>
    </row>
    <row r="30" spans="1:10" ht="15.75" thickBot="1" x14ac:dyDescent="0.3">
      <c r="A30" s="187" t="s">
        <v>265</v>
      </c>
      <c r="B30" s="188"/>
      <c r="C30" s="188"/>
      <c r="D30" s="188"/>
      <c r="E30" s="188"/>
      <c r="F30" s="280"/>
      <c r="G30" s="281"/>
      <c r="H30" s="282"/>
    </row>
    <row r="31" spans="1:10" x14ac:dyDescent="0.25">
      <c r="A31" s="4"/>
      <c r="B31" s="43">
        <f>B23+7</f>
        <v>28</v>
      </c>
      <c r="C31" s="43">
        <f>B31+1</f>
        <v>29</v>
      </c>
      <c r="D31" s="43">
        <f t="shared" ref="D31:E31" si="3">C31+1</f>
        <v>30</v>
      </c>
      <c r="E31" s="43">
        <f t="shared" si="3"/>
        <v>31</v>
      </c>
      <c r="F31" s="5">
        <v>1</v>
      </c>
      <c r="G31" s="5">
        <v>2</v>
      </c>
      <c r="H31" s="6">
        <v>3</v>
      </c>
    </row>
    <row r="32" spans="1:10" x14ac:dyDescent="0.25">
      <c r="A32" s="7" t="s">
        <v>22</v>
      </c>
      <c r="B32" s="182">
        <v>3</v>
      </c>
      <c r="C32" s="182">
        <v>3</v>
      </c>
      <c r="D32" s="182">
        <v>3</v>
      </c>
      <c r="E32" s="182">
        <v>3</v>
      </c>
      <c r="F32" s="253">
        <v>2</v>
      </c>
      <c r="G32" s="253"/>
      <c r="H32" s="254"/>
    </row>
    <row r="33" spans="1:8" x14ac:dyDescent="0.25">
      <c r="A33" s="7" t="s">
        <v>19</v>
      </c>
      <c r="B33" s="184" t="s">
        <v>221</v>
      </c>
      <c r="C33" s="182" t="s">
        <v>142</v>
      </c>
      <c r="D33" s="182" t="s">
        <v>130</v>
      </c>
      <c r="E33" s="182" t="s">
        <v>161</v>
      </c>
      <c r="F33" s="269" t="s">
        <v>81</v>
      </c>
      <c r="G33" s="269"/>
      <c r="H33" s="270"/>
    </row>
    <row r="34" spans="1:8" x14ac:dyDescent="0.25">
      <c r="A34" s="7" t="s">
        <v>20</v>
      </c>
      <c r="B34" s="183" t="s">
        <v>114</v>
      </c>
      <c r="C34" s="183" t="s">
        <v>113</v>
      </c>
      <c r="D34" s="196" t="s">
        <v>129</v>
      </c>
      <c r="E34" s="183" t="s">
        <v>176</v>
      </c>
      <c r="F34" s="269" t="s">
        <v>141</v>
      </c>
      <c r="G34" s="269"/>
      <c r="H34" s="270"/>
    </row>
    <row r="35" spans="1:8" x14ac:dyDescent="0.25">
      <c r="A35" s="7" t="s">
        <v>21</v>
      </c>
      <c r="B35" s="196" t="s">
        <v>195</v>
      </c>
      <c r="C35" s="182" t="s">
        <v>269</v>
      </c>
      <c r="D35" s="183" t="s">
        <v>174</v>
      </c>
      <c r="E35" s="182" t="s">
        <v>67</v>
      </c>
      <c r="F35" s="253" t="s">
        <v>191</v>
      </c>
      <c r="G35" s="253"/>
      <c r="H35" s="254"/>
    </row>
    <row r="36" spans="1:8" x14ac:dyDescent="0.25">
      <c r="A36" s="7" t="s">
        <v>79</v>
      </c>
      <c r="B36" s="182" t="s">
        <v>225</v>
      </c>
      <c r="C36" s="182" t="s">
        <v>267</v>
      </c>
      <c r="D36" s="182" t="s">
        <v>91</v>
      </c>
      <c r="E36" s="182" t="s">
        <v>222</v>
      </c>
      <c r="F36" s="253" t="s">
        <v>261</v>
      </c>
      <c r="G36" s="253"/>
      <c r="H36" s="254"/>
    </row>
    <row r="37" spans="1:8" x14ac:dyDescent="0.25">
      <c r="A37" s="192" t="s">
        <v>264</v>
      </c>
      <c r="B37" s="191" t="s">
        <v>194</v>
      </c>
      <c r="C37" s="191" t="s">
        <v>227</v>
      </c>
      <c r="D37" s="191" t="s">
        <v>271</v>
      </c>
      <c r="E37" s="191" t="s">
        <v>69</v>
      </c>
      <c r="F37" s="253"/>
      <c r="G37" s="253"/>
      <c r="H37" s="254"/>
    </row>
    <row r="38" spans="1:8" ht="15.75" thickBot="1" x14ac:dyDescent="0.3">
      <c r="A38" s="189" t="s">
        <v>265</v>
      </c>
      <c r="B38" s="190"/>
      <c r="C38" s="190" t="s">
        <v>263</v>
      </c>
      <c r="D38" s="190"/>
      <c r="E38" s="190"/>
      <c r="F38" s="271"/>
      <c r="G38" s="271"/>
      <c r="H38" s="272"/>
    </row>
    <row r="64" spans="11:11" x14ac:dyDescent="0.25">
      <c r="K64" s="197"/>
    </row>
  </sheetData>
  <mergeCells count="33">
    <mergeCell ref="F36:H36"/>
    <mergeCell ref="F27:H27"/>
    <mergeCell ref="F28:H28"/>
    <mergeCell ref="F32:H32"/>
    <mergeCell ref="F33:H33"/>
    <mergeCell ref="F34:H34"/>
    <mergeCell ref="F35:H35"/>
    <mergeCell ref="F30:H30"/>
    <mergeCell ref="F29:H29"/>
    <mergeCell ref="F37:H37"/>
    <mergeCell ref="F38:H38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4:H14"/>
    <mergeCell ref="F22:H22"/>
    <mergeCell ref="F13:H13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5" zoomScale="115" zoomScaleNormal="115" workbookViewId="0">
      <selection activeCell="F24" sqref="F24:H24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43"/>
      <c r="C1" s="43"/>
      <c r="D1" s="43"/>
      <c r="E1" s="43"/>
      <c r="F1" s="5">
        <v>30</v>
      </c>
      <c r="G1" s="5">
        <v>31</v>
      </c>
      <c r="H1" s="6">
        <v>1</v>
      </c>
    </row>
    <row r="2" spans="1:18" x14ac:dyDescent="0.25">
      <c r="A2" s="7" t="s">
        <v>22</v>
      </c>
      <c r="B2" s="92"/>
      <c r="C2" s="94"/>
      <c r="D2" s="92"/>
      <c r="E2" s="94"/>
      <c r="F2" s="253">
        <v>3</v>
      </c>
      <c r="G2" s="253"/>
      <c r="H2" s="254"/>
    </row>
    <row r="3" spans="1:18" ht="15.75" thickBot="1" x14ac:dyDescent="0.3">
      <c r="A3" s="7" t="s">
        <v>19</v>
      </c>
      <c r="B3" s="55"/>
      <c r="C3" s="55"/>
      <c r="D3" s="56"/>
      <c r="E3" s="56"/>
      <c r="F3" s="264" t="s">
        <v>176</v>
      </c>
      <c r="G3" s="265"/>
      <c r="H3" s="266"/>
    </row>
    <row r="4" spans="1:18" ht="15.75" thickBot="1" x14ac:dyDescent="0.3">
      <c r="A4" s="7" t="s">
        <v>20</v>
      </c>
      <c r="B4" s="55"/>
      <c r="C4" s="56"/>
      <c r="D4" s="56"/>
      <c r="E4" s="55"/>
      <c r="F4" s="253" t="s">
        <v>114</v>
      </c>
      <c r="G4" s="253"/>
      <c r="H4" s="254"/>
      <c r="J4" s="137"/>
      <c r="K4" s="138" t="s">
        <v>210</v>
      </c>
      <c r="L4" s="139" t="s">
        <v>215</v>
      </c>
      <c r="M4" s="140" t="s">
        <v>214</v>
      </c>
      <c r="N4" s="141" t="s">
        <v>216</v>
      </c>
      <c r="O4" s="138" t="s">
        <v>212</v>
      </c>
      <c r="P4" s="139" t="s">
        <v>217</v>
      </c>
      <c r="Q4" s="138" t="s">
        <v>213</v>
      </c>
      <c r="R4" s="139" t="s">
        <v>218</v>
      </c>
    </row>
    <row r="5" spans="1:18" x14ac:dyDescent="0.25">
      <c r="A5" s="7" t="s">
        <v>21</v>
      </c>
      <c r="B5" s="56"/>
      <c r="C5" s="55"/>
      <c r="D5" s="55"/>
      <c r="E5" s="56"/>
      <c r="F5" s="259" t="s">
        <v>58</v>
      </c>
      <c r="G5" s="260"/>
      <c r="H5" s="261"/>
      <c r="J5" s="132" t="s">
        <v>19</v>
      </c>
      <c r="K5" s="133" t="s">
        <v>113</v>
      </c>
      <c r="L5" s="134" t="s">
        <v>130</v>
      </c>
      <c r="M5" s="135" t="s">
        <v>195</v>
      </c>
      <c r="N5" s="136" t="s">
        <v>221</v>
      </c>
      <c r="O5" s="143" t="s">
        <v>126</v>
      </c>
      <c r="P5" s="144" t="s">
        <v>176</v>
      </c>
      <c r="Q5" s="133" t="s">
        <v>221</v>
      </c>
      <c r="R5" s="134" t="s">
        <v>195</v>
      </c>
    </row>
    <row r="6" spans="1:18" ht="15.75" thickBot="1" x14ac:dyDescent="0.3">
      <c r="A6" s="7" t="s">
        <v>79</v>
      </c>
      <c r="B6" s="57"/>
      <c r="C6" s="57"/>
      <c r="D6" s="57"/>
      <c r="E6" s="58"/>
      <c r="F6" s="271" t="s">
        <v>71</v>
      </c>
      <c r="G6" s="271"/>
      <c r="H6" s="272"/>
      <c r="J6" s="125" t="s">
        <v>219</v>
      </c>
      <c r="K6" s="121" t="s">
        <v>112</v>
      </c>
      <c r="L6" s="122" t="s">
        <v>225</v>
      </c>
      <c r="M6" s="117" t="s">
        <v>80</v>
      </c>
      <c r="N6" s="116" t="s">
        <v>130</v>
      </c>
      <c r="O6" s="119" t="s">
        <v>69</v>
      </c>
      <c r="P6" s="120" t="s">
        <v>161</v>
      </c>
      <c r="Q6" s="131" t="s">
        <v>64</v>
      </c>
      <c r="R6" s="126" t="s">
        <v>69</v>
      </c>
    </row>
    <row r="7" spans="1:18" x14ac:dyDescent="0.25">
      <c r="A7" s="4"/>
      <c r="B7" s="43"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  <c r="J7" s="125" t="s">
        <v>220</v>
      </c>
      <c r="K7" s="119" t="s">
        <v>114</v>
      </c>
      <c r="L7" s="120" t="s">
        <v>71</v>
      </c>
      <c r="M7" s="118" t="s">
        <v>174</v>
      </c>
      <c r="N7" s="136" t="s">
        <v>221</v>
      </c>
      <c r="O7" s="119" t="s">
        <v>81</v>
      </c>
      <c r="P7" s="120" t="s">
        <v>195</v>
      </c>
      <c r="Q7" s="119" t="s">
        <v>163</v>
      </c>
      <c r="R7" s="120" t="s">
        <v>191</v>
      </c>
    </row>
    <row r="8" spans="1:18" ht="15.75" thickBot="1" x14ac:dyDescent="0.3">
      <c r="A8" s="7" t="s">
        <v>22</v>
      </c>
      <c r="B8" s="92">
        <v>3</v>
      </c>
      <c r="C8" s="94">
        <v>3</v>
      </c>
      <c r="D8" s="92">
        <v>3</v>
      </c>
      <c r="E8" s="94">
        <v>3</v>
      </c>
      <c r="F8" s="253">
        <v>3</v>
      </c>
      <c r="G8" s="253"/>
      <c r="H8" s="254"/>
      <c r="J8" s="127" t="s">
        <v>79</v>
      </c>
      <c r="K8" s="123" t="s">
        <v>222</v>
      </c>
      <c r="L8" s="124" t="s">
        <v>194</v>
      </c>
      <c r="M8" s="128" t="s">
        <v>175</v>
      </c>
      <c r="N8" s="130" t="s">
        <v>126</v>
      </c>
      <c r="O8" s="123" t="s">
        <v>142</v>
      </c>
      <c r="P8" s="129" t="s">
        <v>128</v>
      </c>
      <c r="Q8" s="123" t="s">
        <v>194</v>
      </c>
      <c r="R8" s="129" t="s">
        <v>129</v>
      </c>
    </row>
    <row r="9" spans="1:18" x14ac:dyDescent="0.25">
      <c r="A9" s="7" t="s">
        <v>19</v>
      </c>
      <c r="B9" s="148" t="s">
        <v>92</v>
      </c>
      <c r="C9" s="147" t="s">
        <v>194</v>
      </c>
      <c r="D9" s="146" t="s">
        <v>91</v>
      </c>
      <c r="E9" s="148" t="s">
        <v>92</v>
      </c>
      <c r="F9" s="269" t="s">
        <v>57</v>
      </c>
      <c r="G9" s="269"/>
      <c r="H9" s="270"/>
    </row>
    <row r="10" spans="1:18" x14ac:dyDescent="0.25">
      <c r="A10" s="7" t="s">
        <v>20</v>
      </c>
      <c r="B10" s="147" t="s">
        <v>142</v>
      </c>
      <c r="C10" s="146" t="s">
        <v>64</v>
      </c>
      <c r="D10" s="147" t="s">
        <v>161</v>
      </c>
      <c r="E10" s="147" t="s">
        <v>142</v>
      </c>
      <c r="F10" s="253" t="s">
        <v>126</v>
      </c>
      <c r="G10" s="253"/>
      <c r="H10" s="254"/>
    </row>
    <row r="11" spans="1:18" x14ac:dyDescent="0.25">
      <c r="A11" s="7" t="s">
        <v>21</v>
      </c>
      <c r="B11" s="92" t="s">
        <v>69</v>
      </c>
      <c r="C11" s="92" t="s">
        <v>191</v>
      </c>
      <c r="D11" s="147" t="s">
        <v>60</v>
      </c>
      <c r="E11" s="145" t="s">
        <v>69</v>
      </c>
      <c r="F11" s="253" t="s">
        <v>128</v>
      </c>
      <c r="G11" s="253"/>
      <c r="H11" s="254"/>
    </row>
    <row r="12" spans="1:18" ht="15.75" thickBot="1" x14ac:dyDescent="0.3">
      <c r="A12" s="7" t="s">
        <v>79</v>
      </c>
      <c r="B12" s="92" t="s">
        <v>141</v>
      </c>
      <c r="C12" s="92" t="s">
        <v>115</v>
      </c>
      <c r="D12" s="28" t="s">
        <v>61</v>
      </c>
      <c r="E12" s="92" t="s">
        <v>163</v>
      </c>
      <c r="F12" s="253" t="s">
        <v>129</v>
      </c>
      <c r="G12" s="253"/>
      <c r="H12" s="254"/>
    </row>
    <row r="13" spans="1:18" x14ac:dyDescent="0.25">
      <c r="A13" s="4"/>
      <c r="B13" s="43">
        <f>B7+7</f>
        <v>9</v>
      </c>
      <c r="C13" s="43">
        <f>B13+1</f>
        <v>10</v>
      </c>
      <c r="D13" s="43">
        <f t="shared" ref="D13:H13" si="1">C13+1</f>
        <v>11</v>
      </c>
      <c r="E13" s="43">
        <f t="shared" si="1"/>
        <v>12</v>
      </c>
      <c r="F13" s="43">
        <f t="shared" si="1"/>
        <v>13</v>
      </c>
      <c r="G13" s="43">
        <f>F13+1</f>
        <v>14</v>
      </c>
      <c r="H13" s="44">
        <f t="shared" si="1"/>
        <v>15</v>
      </c>
    </row>
    <row r="14" spans="1:18" x14ac:dyDescent="0.25">
      <c r="A14" s="7" t="s">
        <v>22</v>
      </c>
      <c r="B14" s="264" t="s">
        <v>210</v>
      </c>
      <c r="C14" s="265"/>
      <c r="D14" s="283"/>
      <c r="E14" s="94">
        <v>3</v>
      </c>
      <c r="F14" s="253">
        <v>3</v>
      </c>
      <c r="G14" s="253"/>
      <c r="H14" s="254"/>
    </row>
    <row r="15" spans="1:18" x14ac:dyDescent="0.25">
      <c r="A15" s="7" t="s">
        <v>19</v>
      </c>
      <c r="B15" s="264" t="s">
        <v>113</v>
      </c>
      <c r="C15" s="265"/>
      <c r="D15" s="283"/>
      <c r="E15" s="148" t="s">
        <v>195</v>
      </c>
      <c r="F15" s="253" t="s">
        <v>81</v>
      </c>
      <c r="G15" s="253"/>
      <c r="H15" s="254"/>
    </row>
    <row r="16" spans="1:18" x14ac:dyDescent="0.25">
      <c r="A16" s="7" t="s">
        <v>20</v>
      </c>
      <c r="B16" s="259" t="s">
        <v>112</v>
      </c>
      <c r="C16" s="260"/>
      <c r="D16" s="284"/>
      <c r="E16" s="145" t="s">
        <v>176</v>
      </c>
      <c r="F16" s="259" t="s">
        <v>92</v>
      </c>
      <c r="G16" s="260"/>
      <c r="H16" s="261"/>
    </row>
    <row r="17" spans="1:8" x14ac:dyDescent="0.25">
      <c r="A17" s="7" t="s">
        <v>21</v>
      </c>
      <c r="B17" s="264" t="s">
        <v>114</v>
      </c>
      <c r="C17" s="265"/>
      <c r="D17" s="283"/>
      <c r="E17" s="94" t="s">
        <v>67</v>
      </c>
      <c r="F17" s="253" t="s">
        <v>191</v>
      </c>
      <c r="G17" s="253"/>
      <c r="H17" s="254"/>
    </row>
    <row r="18" spans="1:8" ht="15.75" thickBot="1" x14ac:dyDescent="0.3">
      <c r="A18" s="7" t="s">
        <v>79</v>
      </c>
      <c r="B18" s="264" t="s">
        <v>222</v>
      </c>
      <c r="C18" s="265"/>
      <c r="D18" s="283"/>
      <c r="E18" s="94" t="s">
        <v>64</v>
      </c>
      <c r="F18" s="253" t="s">
        <v>221</v>
      </c>
      <c r="G18" s="253"/>
      <c r="H18" s="254"/>
    </row>
    <row r="19" spans="1:8" x14ac:dyDescent="0.25">
      <c r="A19" s="4"/>
      <c r="B19" s="43">
        <f>B13+7</f>
        <v>16</v>
      </c>
      <c r="C19" s="43">
        <f>B19+1</f>
        <v>17</v>
      </c>
      <c r="D19" s="43">
        <f t="shared" ref="D19:E19" si="2">C19+1</f>
        <v>18</v>
      </c>
      <c r="E19" s="4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22</v>
      </c>
      <c r="B20" s="92">
        <v>3</v>
      </c>
      <c r="C20" s="94">
        <v>3</v>
      </c>
      <c r="D20" s="264" t="s">
        <v>211</v>
      </c>
      <c r="E20" s="283"/>
      <c r="F20" s="253">
        <v>2</v>
      </c>
      <c r="G20" s="253"/>
      <c r="H20" s="254"/>
    </row>
    <row r="21" spans="1:8" x14ac:dyDescent="0.25">
      <c r="A21" s="29" t="s">
        <v>19</v>
      </c>
      <c r="B21" s="145" t="s">
        <v>176</v>
      </c>
      <c r="C21" s="94" t="s">
        <v>71</v>
      </c>
      <c r="D21" s="264" t="s">
        <v>195</v>
      </c>
      <c r="E21" s="283"/>
      <c r="F21" s="253" t="s">
        <v>115</v>
      </c>
      <c r="G21" s="253"/>
      <c r="H21" s="254"/>
    </row>
    <row r="22" spans="1:8" x14ac:dyDescent="0.25">
      <c r="A22" s="7" t="s">
        <v>20</v>
      </c>
      <c r="B22" s="145" t="s">
        <v>58</v>
      </c>
      <c r="C22" s="148" t="s">
        <v>59</v>
      </c>
      <c r="D22" s="259" t="s">
        <v>80</v>
      </c>
      <c r="E22" s="284"/>
      <c r="F22" s="259" t="s">
        <v>60</v>
      </c>
      <c r="G22" s="260"/>
      <c r="H22" s="261"/>
    </row>
    <row r="23" spans="1:8" x14ac:dyDescent="0.25">
      <c r="A23" s="7" t="s">
        <v>21</v>
      </c>
      <c r="B23" s="146" t="s">
        <v>127</v>
      </c>
      <c r="C23" s="142" t="s">
        <v>67</v>
      </c>
      <c r="D23" s="264" t="s">
        <v>174</v>
      </c>
      <c r="E23" s="283"/>
      <c r="F23" s="253" t="s">
        <v>61</v>
      </c>
      <c r="G23" s="253"/>
      <c r="H23" s="254"/>
    </row>
    <row r="24" spans="1:8" ht="15.75" thickBot="1" x14ac:dyDescent="0.3">
      <c r="A24" s="8" t="s">
        <v>79</v>
      </c>
      <c r="B24" s="95" t="s">
        <v>225</v>
      </c>
      <c r="C24" s="95" t="s">
        <v>57</v>
      </c>
      <c r="D24" s="264" t="s">
        <v>175</v>
      </c>
      <c r="E24" s="283"/>
      <c r="F24" s="253" t="s">
        <v>227</v>
      </c>
      <c r="G24" s="253"/>
      <c r="H24" s="254"/>
    </row>
    <row r="25" spans="1:8" x14ac:dyDescent="0.25">
      <c r="A25" s="4"/>
      <c r="B25" s="43">
        <f>B19+7</f>
        <v>23</v>
      </c>
      <c r="C25" s="43">
        <f>B25+1</f>
        <v>24</v>
      </c>
      <c r="D25" s="43">
        <f t="shared" ref="D25:E25" si="3">C25+1</f>
        <v>25</v>
      </c>
      <c r="E25" s="4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22</v>
      </c>
      <c r="B26" s="264" t="s">
        <v>212</v>
      </c>
      <c r="C26" s="283"/>
      <c r="D26" s="92">
        <v>3</v>
      </c>
      <c r="E26" s="94">
        <v>3</v>
      </c>
      <c r="F26" s="253">
        <v>3</v>
      </c>
      <c r="G26" s="253"/>
      <c r="H26" s="254"/>
    </row>
    <row r="27" spans="1:8" x14ac:dyDescent="0.25">
      <c r="A27" s="7" t="s">
        <v>19</v>
      </c>
      <c r="B27" s="259" t="s">
        <v>126</v>
      </c>
      <c r="C27" s="284"/>
      <c r="D27" s="149" t="s">
        <v>71</v>
      </c>
      <c r="E27" s="145" t="s">
        <v>57</v>
      </c>
      <c r="F27" s="264" t="s">
        <v>67</v>
      </c>
      <c r="G27" s="265"/>
      <c r="H27" s="266"/>
    </row>
    <row r="28" spans="1:8" x14ac:dyDescent="0.25">
      <c r="A28" s="7" t="s">
        <v>20</v>
      </c>
      <c r="B28" s="264" t="s">
        <v>69</v>
      </c>
      <c r="C28" s="283"/>
      <c r="D28" s="93" t="s">
        <v>127</v>
      </c>
      <c r="E28" s="92" t="s">
        <v>175</v>
      </c>
      <c r="F28" s="259" t="s">
        <v>91</v>
      </c>
      <c r="G28" s="260"/>
      <c r="H28" s="261"/>
    </row>
    <row r="29" spans="1:8" x14ac:dyDescent="0.25">
      <c r="A29" s="7" t="s">
        <v>21</v>
      </c>
      <c r="B29" s="264" t="s">
        <v>81</v>
      </c>
      <c r="C29" s="283"/>
      <c r="D29" s="92" t="s">
        <v>163</v>
      </c>
      <c r="E29" s="146" t="s">
        <v>59</v>
      </c>
      <c r="F29" s="253" t="s">
        <v>161</v>
      </c>
      <c r="G29" s="253"/>
      <c r="H29" s="254"/>
    </row>
    <row r="30" spans="1:8" ht="15.75" thickBot="1" x14ac:dyDescent="0.3">
      <c r="A30" s="8" t="s">
        <v>79</v>
      </c>
      <c r="B30" s="264" t="s">
        <v>142</v>
      </c>
      <c r="C30" s="283"/>
      <c r="D30" s="96" t="s">
        <v>112</v>
      </c>
      <c r="E30" s="95" t="s">
        <v>195</v>
      </c>
      <c r="F30" s="271" t="s">
        <v>130</v>
      </c>
      <c r="G30" s="271"/>
      <c r="H30" s="272"/>
    </row>
    <row r="31" spans="1:8" x14ac:dyDescent="0.25">
      <c r="A31" s="4"/>
      <c r="B31" s="43">
        <f>B25+7</f>
        <v>30</v>
      </c>
      <c r="C31" s="43">
        <v>1</v>
      </c>
      <c r="D31" s="43">
        <f t="shared" ref="D31" si="5">C31+1</f>
        <v>2</v>
      </c>
      <c r="E31" s="4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22</v>
      </c>
      <c r="B32" s="264" t="s">
        <v>213</v>
      </c>
      <c r="C32" s="283"/>
      <c r="D32" s="92">
        <v>3</v>
      </c>
      <c r="E32" s="94">
        <v>3</v>
      </c>
      <c r="F32" s="253">
        <v>2</v>
      </c>
      <c r="G32" s="253"/>
      <c r="H32" s="254"/>
    </row>
    <row r="33" spans="1:8" x14ac:dyDescent="0.25">
      <c r="A33" s="7" t="s">
        <v>19</v>
      </c>
      <c r="B33" s="264" t="s">
        <v>221</v>
      </c>
      <c r="C33" s="283"/>
      <c r="D33" s="94" t="s">
        <v>61</v>
      </c>
      <c r="E33" s="145" t="s">
        <v>71</v>
      </c>
      <c r="F33" s="264" t="s">
        <v>141</v>
      </c>
      <c r="G33" s="265"/>
      <c r="H33" s="266"/>
    </row>
    <row r="34" spans="1:8" x14ac:dyDescent="0.25">
      <c r="A34" s="7" t="s">
        <v>20</v>
      </c>
      <c r="B34" s="259" t="s">
        <v>64</v>
      </c>
      <c r="C34" s="284"/>
      <c r="D34" s="147" t="s">
        <v>176</v>
      </c>
      <c r="E34" s="148" t="s">
        <v>92</v>
      </c>
      <c r="F34" s="259" t="s">
        <v>162</v>
      </c>
      <c r="G34" s="260"/>
      <c r="H34" s="261"/>
    </row>
    <row r="35" spans="1:8" x14ac:dyDescent="0.25">
      <c r="A35" s="7" t="s">
        <v>21</v>
      </c>
      <c r="B35" s="264" t="s">
        <v>163</v>
      </c>
      <c r="C35" s="283"/>
      <c r="D35" s="148" t="s">
        <v>127</v>
      </c>
      <c r="E35" s="94" t="s">
        <v>69</v>
      </c>
      <c r="F35" s="269" t="s">
        <v>80</v>
      </c>
      <c r="G35" s="269"/>
      <c r="H35" s="270"/>
    </row>
    <row r="36" spans="1:8" ht="15.75" thickBot="1" x14ac:dyDescent="0.3">
      <c r="A36" s="8" t="s">
        <v>79</v>
      </c>
      <c r="B36" s="277" t="s">
        <v>194</v>
      </c>
      <c r="C36" s="285"/>
      <c r="D36" s="96" t="s">
        <v>227</v>
      </c>
      <c r="E36" s="95" t="s">
        <v>222</v>
      </c>
      <c r="F36" s="271" t="s">
        <v>225</v>
      </c>
      <c r="G36" s="271"/>
      <c r="H36" s="272"/>
    </row>
  </sheetData>
  <mergeCells count="50">
    <mergeCell ref="B35:C35"/>
    <mergeCell ref="B36:C36"/>
    <mergeCell ref="B27:C27"/>
    <mergeCell ref="B28:C28"/>
    <mergeCell ref="B29:C29"/>
    <mergeCell ref="B30:C30"/>
    <mergeCell ref="B34:C34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zoomScale="130" zoomScaleNormal="130" workbookViewId="0">
      <selection activeCell="D22" sqref="D22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43"/>
      <c r="C1" s="43"/>
      <c r="D1" s="43"/>
      <c r="E1" s="43"/>
      <c r="F1" s="43">
        <v>2</v>
      </c>
      <c r="G1" s="43">
        <v>3</v>
      </c>
      <c r="H1" s="44">
        <f>G1+1</f>
        <v>4</v>
      </c>
    </row>
    <row r="2" spans="1:8" x14ac:dyDescent="0.25">
      <c r="A2" s="7" t="s">
        <v>22</v>
      </c>
      <c r="B2" s="70"/>
      <c r="C2" s="71"/>
      <c r="D2" s="70"/>
      <c r="E2" s="71"/>
      <c r="F2" s="253">
        <v>3</v>
      </c>
      <c r="G2" s="253"/>
      <c r="H2" s="254"/>
    </row>
    <row r="3" spans="1:8" x14ac:dyDescent="0.25">
      <c r="A3" s="7" t="s">
        <v>19</v>
      </c>
      <c r="B3" s="55"/>
      <c r="C3" s="55"/>
      <c r="D3" s="56"/>
      <c r="E3" s="56"/>
      <c r="F3" s="253" t="s">
        <v>92</v>
      </c>
      <c r="G3" s="253"/>
      <c r="H3" s="254"/>
    </row>
    <row r="4" spans="1:8" x14ac:dyDescent="0.25">
      <c r="A4" s="7" t="s">
        <v>20</v>
      </c>
      <c r="B4" s="55"/>
      <c r="C4" s="56"/>
      <c r="D4" s="56"/>
      <c r="E4" s="55"/>
      <c r="F4" s="269" t="s">
        <v>129</v>
      </c>
      <c r="G4" s="269"/>
      <c r="H4" s="270"/>
    </row>
    <row r="5" spans="1:8" x14ac:dyDescent="0.25">
      <c r="A5" s="7" t="s">
        <v>21</v>
      </c>
      <c r="B5" s="56"/>
      <c r="C5" s="55"/>
      <c r="D5" s="55"/>
      <c r="E5" s="56"/>
      <c r="F5" s="253" t="s">
        <v>128</v>
      </c>
      <c r="G5" s="253"/>
      <c r="H5" s="254"/>
    </row>
    <row r="6" spans="1:8" ht="15.75" thickBot="1" x14ac:dyDescent="0.3">
      <c r="A6" s="7" t="s">
        <v>79</v>
      </c>
      <c r="B6" s="57"/>
      <c r="C6" s="57"/>
      <c r="D6" s="57"/>
      <c r="E6" s="58"/>
      <c r="F6" s="253" t="s">
        <v>141</v>
      </c>
      <c r="G6" s="253"/>
      <c r="H6" s="254"/>
    </row>
    <row r="7" spans="1:8" x14ac:dyDescent="0.25">
      <c r="A7" s="4"/>
      <c r="B7" s="43">
        <v>5</v>
      </c>
      <c r="C7" s="43">
        <f>B7+1</f>
        <v>6</v>
      </c>
      <c r="D7" s="43">
        <f t="shared" ref="D7:H7" si="0">C7+1</f>
        <v>7</v>
      </c>
      <c r="E7" s="43">
        <f t="shared" si="0"/>
        <v>8</v>
      </c>
      <c r="F7" s="43">
        <f t="shared" si="0"/>
        <v>9</v>
      </c>
      <c r="G7" s="43">
        <f t="shared" si="0"/>
        <v>10</v>
      </c>
      <c r="H7" s="44">
        <f t="shared" si="0"/>
        <v>11</v>
      </c>
    </row>
    <row r="8" spans="1:8" x14ac:dyDescent="0.25">
      <c r="A8" s="7" t="s">
        <v>22</v>
      </c>
      <c r="B8" s="70">
        <v>3</v>
      </c>
      <c r="C8" s="71">
        <v>3</v>
      </c>
      <c r="D8" s="70">
        <v>3</v>
      </c>
      <c r="E8" s="71">
        <v>3</v>
      </c>
      <c r="F8" s="253">
        <v>3</v>
      </c>
      <c r="G8" s="253"/>
      <c r="H8" s="254"/>
    </row>
    <row r="9" spans="1:8" x14ac:dyDescent="0.25">
      <c r="A9" s="7" t="s">
        <v>19</v>
      </c>
      <c r="B9" s="105" t="s">
        <v>91</v>
      </c>
      <c r="C9" s="106" t="s">
        <v>66</v>
      </c>
      <c r="D9" s="71" t="s">
        <v>65</v>
      </c>
      <c r="E9" s="107" t="s">
        <v>131</v>
      </c>
      <c r="F9" s="264" t="s">
        <v>130</v>
      </c>
      <c r="G9" s="265"/>
      <c r="H9" s="266"/>
    </row>
    <row r="10" spans="1:8" x14ac:dyDescent="0.25">
      <c r="A10" s="7" t="s">
        <v>20</v>
      </c>
      <c r="B10" s="111" t="s">
        <v>115</v>
      </c>
      <c r="C10" s="104" t="s">
        <v>142</v>
      </c>
      <c r="D10" s="105" t="s">
        <v>127</v>
      </c>
      <c r="E10" s="105" t="s">
        <v>162</v>
      </c>
      <c r="F10" s="269" t="s">
        <v>57</v>
      </c>
      <c r="G10" s="269"/>
      <c r="H10" s="270"/>
    </row>
    <row r="11" spans="1:8" x14ac:dyDescent="0.25">
      <c r="A11" s="7" t="s">
        <v>21</v>
      </c>
      <c r="B11" s="70" t="s">
        <v>57</v>
      </c>
      <c r="C11" s="104" t="s">
        <v>69</v>
      </c>
      <c r="D11" s="104" t="s">
        <v>163</v>
      </c>
      <c r="E11" s="71" t="s">
        <v>113</v>
      </c>
      <c r="F11" s="253" t="s">
        <v>60</v>
      </c>
      <c r="G11" s="253"/>
      <c r="H11" s="254"/>
    </row>
    <row r="12" spans="1:8" ht="15.75" thickBot="1" x14ac:dyDescent="0.3">
      <c r="A12" s="7" t="s">
        <v>79</v>
      </c>
      <c r="B12" s="70" t="s">
        <v>191</v>
      </c>
      <c r="C12" s="70" t="s">
        <v>221</v>
      </c>
      <c r="D12" s="28" t="s">
        <v>160</v>
      </c>
      <c r="E12" s="70" t="s">
        <v>194</v>
      </c>
      <c r="F12" s="253" t="s">
        <v>222</v>
      </c>
      <c r="G12" s="253"/>
      <c r="H12" s="254"/>
    </row>
    <row r="13" spans="1:8" x14ac:dyDescent="0.25">
      <c r="A13" s="4"/>
      <c r="B13" s="43">
        <f>B7+7</f>
        <v>12</v>
      </c>
      <c r="C13" s="43">
        <f>B13+1</f>
        <v>13</v>
      </c>
      <c r="D13" s="43">
        <f t="shared" ref="D13:H13" si="1">C13+1</f>
        <v>14</v>
      </c>
      <c r="E13" s="43">
        <f t="shared" si="1"/>
        <v>15</v>
      </c>
      <c r="F13" s="43">
        <f t="shared" si="1"/>
        <v>16</v>
      </c>
      <c r="G13" s="43">
        <f>F13+1</f>
        <v>17</v>
      </c>
      <c r="H13" s="44">
        <f t="shared" si="1"/>
        <v>18</v>
      </c>
    </row>
    <row r="14" spans="1:8" x14ac:dyDescent="0.25">
      <c r="A14" s="7" t="s">
        <v>22</v>
      </c>
      <c r="B14" s="70">
        <v>3</v>
      </c>
      <c r="C14" s="71">
        <v>3</v>
      </c>
      <c r="D14" s="70">
        <v>3</v>
      </c>
      <c r="E14" s="71">
        <v>3</v>
      </c>
      <c r="F14" s="253">
        <v>3</v>
      </c>
      <c r="G14" s="253"/>
      <c r="H14" s="254"/>
    </row>
    <row r="15" spans="1:8" x14ac:dyDescent="0.25">
      <c r="A15" s="7" t="s">
        <v>19</v>
      </c>
      <c r="B15" s="101" t="s">
        <v>67</v>
      </c>
      <c r="C15" s="103" t="s">
        <v>66</v>
      </c>
      <c r="D15" s="107" t="s">
        <v>65</v>
      </c>
      <c r="E15" s="104" t="s">
        <v>141</v>
      </c>
      <c r="F15" s="253" t="s">
        <v>112</v>
      </c>
      <c r="G15" s="253"/>
      <c r="H15" s="254"/>
    </row>
    <row r="16" spans="1:8" x14ac:dyDescent="0.25">
      <c r="A16" s="7" t="s">
        <v>20</v>
      </c>
      <c r="B16" s="105" t="s">
        <v>114</v>
      </c>
      <c r="C16" s="102" t="s">
        <v>115</v>
      </c>
      <c r="D16" s="70" t="s">
        <v>142</v>
      </c>
      <c r="E16" s="105" t="s">
        <v>91</v>
      </c>
      <c r="F16" s="269" t="s">
        <v>59</v>
      </c>
      <c r="G16" s="269"/>
      <c r="H16" s="270"/>
    </row>
    <row r="17" spans="1:8" x14ac:dyDescent="0.25">
      <c r="A17" s="7" t="s">
        <v>21</v>
      </c>
      <c r="B17" s="104" t="s">
        <v>58</v>
      </c>
      <c r="C17" s="103" t="s">
        <v>81</v>
      </c>
      <c r="D17" s="105" t="s">
        <v>64</v>
      </c>
      <c r="E17" s="104" t="s">
        <v>69</v>
      </c>
      <c r="F17" s="253" t="s">
        <v>174</v>
      </c>
      <c r="G17" s="253"/>
      <c r="H17" s="254"/>
    </row>
    <row r="18" spans="1:8" x14ac:dyDescent="0.25">
      <c r="A18" s="7" t="s">
        <v>79</v>
      </c>
      <c r="B18" s="100" t="s">
        <v>221</v>
      </c>
      <c r="C18" s="100" t="s">
        <v>129</v>
      </c>
      <c r="D18" s="107" t="s">
        <v>191</v>
      </c>
      <c r="E18" s="99" t="s">
        <v>92</v>
      </c>
      <c r="F18" s="253" t="s">
        <v>195</v>
      </c>
      <c r="G18" s="253"/>
      <c r="H18" s="254"/>
    </row>
    <row r="19" spans="1:8" ht="15.75" thickBot="1" x14ac:dyDescent="0.3">
      <c r="A19" s="7" t="s">
        <v>79</v>
      </c>
      <c r="B19" s="99" t="s">
        <v>160</v>
      </c>
      <c r="C19" s="99" t="s">
        <v>194</v>
      </c>
      <c r="D19" s="99" t="str">
        <f>"-"</f>
        <v>-</v>
      </c>
      <c r="E19" s="71" t="str">
        <f>"-"</f>
        <v>-</v>
      </c>
      <c r="F19" s="253" t="str">
        <f>"-"</f>
        <v>-</v>
      </c>
      <c r="G19" s="253"/>
      <c r="H19" s="254"/>
    </row>
    <row r="20" spans="1:8" x14ac:dyDescent="0.25">
      <c r="A20" s="4"/>
      <c r="B20" s="43">
        <f>B13+7</f>
        <v>19</v>
      </c>
      <c r="C20" s="43">
        <f>B20+1</f>
        <v>20</v>
      </c>
      <c r="D20" s="43">
        <f t="shared" ref="D20:E20" si="2">C20+1</f>
        <v>21</v>
      </c>
      <c r="E20" s="4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22</v>
      </c>
      <c r="B21" s="70">
        <v>3</v>
      </c>
      <c r="C21" s="71">
        <v>3</v>
      </c>
      <c r="D21" s="70">
        <v>3</v>
      </c>
      <c r="E21" s="71">
        <v>3</v>
      </c>
      <c r="F21" s="253">
        <v>3</v>
      </c>
      <c r="G21" s="253"/>
      <c r="H21" s="254"/>
    </row>
    <row r="22" spans="1:8" x14ac:dyDescent="0.25">
      <c r="A22" s="7" t="s">
        <v>19</v>
      </c>
      <c r="B22" s="111" t="s">
        <v>126</v>
      </c>
      <c r="C22" s="112" t="s">
        <v>130</v>
      </c>
      <c r="D22" s="107" t="s">
        <v>113</v>
      </c>
      <c r="E22" s="104" t="s">
        <v>141</v>
      </c>
      <c r="F22" s="264" t="s">
        <v>175</v>
      </c>
      <c r="G22" s="265"/>
      <c r="H22" s="266"/>
    </row>
    <row r="23" spans="1:8" x14ac:dyDescent="0.25">
      <c r="A23" s="7" t="s">
        <v>20</v>
      </c>
      <c r="B23" s="113" t="s">
        <v>91</v>
      </c>
      <c r="C23" s="105" t="s">
        <v>80</v>
      </c>
      <c r="D23" s="72" t="s">
        <v>66</v>
      </c>
      <c r="E23" s="105" t="s">
        <v>162</v>
      </c>
      <c r="F23" s="259" t="s">
        <v>127</v>
      </c>
      <c r="G23" s="260"/>
      <c r="H23" s="261"/>
    </row>
    <row r="24" spans="1:8" x14ac:dyDescent="0.25">
      <c r="A24" s="7" t="s">
        <v>21</v>
      </c>
      <c r="B24" s="104" t="s">
        <v>142</v>
      </c>
      <c r="C24" s="107" t="s">
        <v>65</v>
      </c>
      <c r="D24" s="70" t="s">
        <v>163</v>
      </c>
      <c r="E24" s="107" t="s">
        <v>92</v>
      </c>
      <c r="F24" s="253" t="s">
        <v>81</v>
      </c>
      <c r="G24" s="253"/>
      <c r="H24" s="254"/>
    </row>
    <row r="25" spans="1:8" ht="15.75" thickBot="1" x14ac:dyDescent="0.3">
      <c r="A25" s="8" t="s">
        <v>79</v>
      </c>
      <c r="B25" s="69" t="s">
        <v>222</v>
      </c>
      <c r="C25" s="69" t="s">
        <v>160</v>
      </c>
      <c r="D25" s="34" t="s">
        <v>194</v>
      </c>
      <c r="E25" s="69" t="s">
        <v>191</v>
      </c>
      <c r="F25" s="271" t="s">
        <v>221</v>
      </c>
      <c r="G25" s="271"/>
      <c r="H25" s="272"/>
    </row>
    <row r="26" spans="1:8" x14ac:dyDescent="0.25">
      <c r="A26" s="4"/>
      <c r="B26" s="43">
        <f>B20+7</f>
        <v>26</v>
      </c>
      <c r="C26" s="43">
        <f>B26+1</f>
        <v>27</v>
      </c>
      <c r="D26" s="43">
        <f t="shared" ref="D26:E26" si="3">C26+1</f>
        <v>28</v>
      </c>
      <c r="E26" s="4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22</v>
      </c>
      <c r="B27" s="70">
        <v>3</v>
      </c>
      <c r="C27" s="71">
        <v>3</v>
      </c>
      <c r="D27" s="70">
        <v>3</v>
      </c>
      <c r="E27" s="71">
        <v>3</v>
      </c>
      <c r="F27" s="253">
        <v>3</v>
      </c>
      <c r="G27" s="253"/>
      <c r="H27" s="254"/>
    </row>
    <row r="28" spans="1:8" x14ac:dyDescent="0.25">
      <c r="A28" s="7" t="s">
        <v>19</v>
      </c>
      <c r="B28" s="111" t="s">
        <v>67</v>
      </c>
      <c r="C28" s="104" t="s">
        <v>141</v>
      </c>
      <c r="D28" s="106" t="s">
        <v>80</v>
      </c>
      <c r="E28" s="72" t="s">
        <v>126</v>
      </c>
      <c r="F28" s="264" t="s">
        <v>176</v>
      </c>
      <c r="G28" s="265"/>
      <c r="H28" s="266"/>
    </row>
    <row r="29" spans="1:8" x14ac:dyDescent="0.25">
      <c r="A29" s="7" t="s">
        <v>20</v>
      </c>
      <c r="B29" s="113" t="s">
        <v>64</v>
      </c>
      <c r="C29" s="105" t="s">
        <v>162</v>
      </c>
      <c r="D29" s="107" t="s">
        <v>174</v>
      </c>
      <c r="E29" s="104" t="s">
        <v>67</v>
      </c>
      <c r="F29" s="253" t="s">
        <v>114</v>
      </c>
      <c r="G29" s="253"/>
      <c r="H29" s="254"/>
    </row>
    <row r="30" spans="1:8" x14ac:dyDescent="0.25">
      <c r="A30" s="7" t="s">
        <v>21</v>
      </c>
      <c r="B30" s="104" t="s">
        <v>128</v>
      </c>
      <c r="C30" s="104" t="s">
        <v>112</v>
      </c>
      <c r="D30" s="104" t="s">
        <v>128</v>
      </c>
      <c r="E30" s="71" t="s">
        <v>92</v>
      </c>
      <c r="F30" s="259" t="s">
        <v>58</v>
      </c>
      <c r="G30" s="260"/>
      <c r="H30" s="261"/>
    </row>
    <row r="31" spans="1:8" ht="15.75" thickBot="1" x14ac:dyDescent="0.3">
      <c r="A31" s="8" t="s">
        <v>79</v>
      </c>
      <c r="B31" s="69" t="s">
        <v>126</v>
      </c>
      <c r="C31" s="69" t="s">
        <v>222</v>
      </c>
      <c r="D31" s="34" t="s">
        <v>195</v>
      </c>
      <c r="E31" s="69" t="s">
        <v>160</v>
      </c>
      <c r="F31" s="271" t="s">
        <v>131</v>
      </c>
      <c r="G31" s="271"/>
      <c r="H31" s="272"/>
    </row>
  </sheetData>
  <mergeCells count="26">
    <mergeCell ref="F8:H8"/>
    <mergeCell ref="F2:H2"/>
    <mergeCell ref="F3:H3"/>
    <mergeCell ref="F4:H4"/>
    <mergeCell ref="F5:H5"/>
    <mergeCell ref="F6:H6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31:H31"/>
    <mergeCell ref="F24:H24"/>
    <mergeCell ref="F25:H25"/>
    <mergeCell ref="F27:H27"/>
    <mergeCell ref="F28:H28"/>
    <mergeCell ref="F29:H29"/>
    <mergeCell ref="F30:H3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לוח ינואר</vt:lpstr>
      <vt:lpstr>חיילים</vt:lpstr>
      <vt:lpstr>סטטיסטיקה</vt:lpstr>
      <vt:lpstr>הזנת לוח</vt:lpstr>
      <vt:lpstr>תקנים עתידיים מושלם</vt:lpstr>
      <vt:lpstr>נושאים לטיפול</vt:lpstr>
      <vt:lpstr>חיילים שלא עברו מבחן</vt:lpstr>
      <vt:lpstr>לוח דצמבר</vt:lpstr>
      <vt:lpstr>לוח נובמבר</vt:lpstr>
      <vt:lpstr>לוח אוקטובר</vt:lpstr>
      <vt:lpstr>לוח ספטמבר</vt:lpstr>
      <vt:lpstr>לוח אוגוסט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2018-12-24T15:17:20Z</dcterms:modified>
</cp:coreProperties>
</file>