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Programming\CSharp\MonthlyDutyTable\"/>
    </mc:Choice>
  </mc:AlternateContent>
  <bookViews>
    <workbookView xWindow="0" yWindow="0" windowWidth="28800" windowHeight="13635" tabRatio="1000" activeTab="3" xr2:uid="{00000000-000D-0000-FFFF-FFFF00000000}"/>
  </bookViews>
  <sheets>
    <sheet name="חיילים" sheetId="1" r:id="rId1"/>
    <sheet name="לוח פברואר" sheetId="12" r:id="rId2"/>
    <sheet name="סטטיסטיקה" sheetId="3" r:id="rId3"/>
    <sheet name="סתם" sheetId="9" r:id="rId4"/>
    <sheet name="לוח ינואר" sheetId="11" r:id="rId5"/>
    <sheet name="לוח דצמבר" sheetId="10" r:id="rId6"/>
    <sheet name="לוח נובמבר" sheetId="8" r:id="rId7"/>
  </sheets>
  <definedNames>
    <definedName name="_xlnm._FilterDatabase" localSheetId="0" hidden="1">חיילים!$A$1:$BU$33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3" l="1"/>
  <c r="G3" i="3"/>
  <c r="G6" i="3"/>
  <c r="G5" i="3"/>
  <c r="C2" i="1"/>
  <c r="C20" i="1"/>
  <c r="C11" i="1"/>
  <c r="C12" i="1"/>
  <c r="C19" i="1"/>
  <c r="C15" i="1"/>
  <c r="C5" i="1"/>
  <c r="C22" i="1"/>
  <c r="C3" i="1"/>
  <c r="C13" i="1"/>
  <c r="C30" i="1"/>
  <c r="C25" i="1"/>
  <c r="C17" i="1"/>
  <c r="C4" i="1"/>
  <c r="BS2" i="1" l="1"/>
  <c r="BK21" i="1"/>
  <c r="BJ21" i="1"/>
  <c r="BC15" i="1"/>
  <c r="BD21" i="1"/>
  <c r="N21" i="1"/>
  <c r="BT2" i="1"/>
  <c r="BS20" i="1"/>
  <c r="BT20" i="1"/>
  <c r="BS11" i="1"/>
  <c r="BT11" i="1"/>
  <c r="BS12" i="1"/>
  <c r="BT12" i="1"/>
  <c r="BS19" i="1"/>
  <c r="BT19" i="1"/>
  <c r="BS15" i="1"/>
  <c r="BT15" i="1"/>
  <c r="BS5" i="1"/>
  <c r="BT5" i="1"/>
  <c r="BS22" i="1"/>
  <c r="BT22" i="1"/>
  <c r="BS3" i="1"/>
  <c r="BT3" i="1"/>
  <c r="BS13" i="1"/>
  <c r="BT13" i="1"/>
  <c r="BS30" i="1"/>
  <c r="BT30" i="1"/>
  <c r="BS25" i="1"/>
  <c r="BT25" i="1"/>
  <c r="BS17" i="1"/>
  <c r="BT17" i="1"/>
  <c r="BS4" i="1"/>
  <c r="BT4" i="1"/>
  <c r="BS10" i="1"/>
  <c r="BT10" i="1"/>
  <c r="BS18" i="1"/>
  <c r="BT18" i="1"/>
  <c r="BS24" i="1"/>
  <c r="BT24" i="1"/>
  <c r="BS16" i="1"/>
  <c r="BT16" i="1"/>
  <c r="BS7" i="1"/>
  <c r="BT7" i="1"/>
  <c r="BS6" i="1"/>
  <c r="BT6" i="1"/>
  <c r="BS14" i="1"/>
  <c r="BT14" i="1"/>
  <c r="BS28" i="1"/>
  <c r="BT28" i="1"/>
  <c r="BS23" i="1"/>
  <c r="BT23" i="1"/>
  <c r="BS26" i="1"/>
  <c r="BT26" i="1"/>
  <c r="BS29" i="1"/>
  <c r="BT29" i="1"/>
  <c r="BS27" i="1"/>
  <c r="BT27" i="1"/>
  <c r="BS31" i="1"/>
  <c r="BT31" i="1"/>
  <c r="BS8" i="1"/>
  <c r="BT8" i="1"/>
  <c r="BS33" i="1"/>
  <c r="BT33" i="1"/>
  <c r="BS32" i="1"/>
  <c r="BT32" i="1"/>
  <c r="BS9" i="1"/>
  <c r="BT9" i="1"/>
  <c r="BT21" i="1"/>
  <c r="BS21" i="1"/>
  <c r="BC2" i="1"/>
  <c r="BD2" i="1"/>
  <c r="BC20" i="1"/>
  <c r="BD20" i="1"/>
  <c r="BC11" i="1"/>
  <c r="BD11" i="1"/>
  <c r="BC12" i="1"/>
  <c r="BD12" i="1"/>
  <c r="BC19" i="1"/>
  <c r="BD19" i="1"/>
  <c r="BD15" i="1"/>
  <c r="BC5" i="1"/>
  <c r="BD5" i="1"/>
  <c r="BC22" i="1"/>
  <c r="BD22" i="1"/>
  <c r="BC3" i="1"/>
  <c r="BD3" i="1"/>
  <c r="BC13" i="1"/>
  <c r="BD13" i="1"/>
  <c r="BC30" i="1"/>
  <c r="BD30" i="1"/>
  <c r="BC25" i="1"/>
  <c r="BD25" i="1"/>
  <c r="BC17" i="1"/>
  <c r="BD17" i="1"/>
  <c r="BC4" i="1"/>
  <c r="BD4" i="1"/>
  <c r="AV2" i="1"/>
  <c r="AW2" i="1"/>
  <c r="AV20" i="1"/>
  <c r="AW20" i="1"/>
  <c r="AV11" i="1"/>
  <c r="AW11" i="1"/>
  <c r="AV12" i="1"/>
  <c r="AW12" i="1"/>
  <c r="AV19" i="1"/>
  <c r="AW19" i="1"/>
  <c r="AV15" i="1"/>
  <c r="AW15" i="1"/>
  <c r="AV5" i="1"/>
  <c r="AW5" i="1"/>
  <c r="AV22" i="1"/>
  <c r="AW22" i="1"/>
  <c r="AV3" i="1"/>
  <c r="AW3" i="1"/>
  <c r="AO2" i="1"/>
  <c r="AP2" i="1"/>
  <c r="AO20" i="1"/>
  <c r="AP20" i="1"/>
  <c r="AO11" i="1"/>
  <c r="AP11" i="1"/>
  <c r="AO12" i="1"/>
  <c r="AP12" i="1"/>
  <c r="AO19" i="1"/>
  <c r="AP19" i="1"/>
  <c r="AO15" i="1"/>
  <c r="AP15" i="1"/>
  <c r="AO5" i="1"/>
  <c r="AP5" i="1"/>
  <c r="AO22" i="1"/>
  <c r="AP22" i="1"/>
  <c r="AO3" i="1"/>
  <c r="AP3" i="1"/>
  <c r="AO13" i="1"/>
  <c r="AP13" i="1"/>
  <c r="AO30" i="1"/>
  <c r="AP30" i="1"/>
  <c r="AO25" i="1"/>
  <c r="AP25" i="1"/>
  <c r="AO17" i="1"/>
  <c r="AP17" i="1"/>
  <c r="AH2" i="1"/>
  <c r="AI2" i="1"/>
  <c r="AH20" i="1"/>
  <c r="AI20" i="1"/>
  <c r="AH11" i="1"/>
  <c r="AI11" i="1"/>
  <c r="AH12" i="1"/>
  <c r="AI12" i="1"/>
  <c r="AH19" i="1"/>
  <c r="AI19" i="1"/>
  <c r="AH15" i="1"/>
  <c r="AI15" i="1"/>
  <c r="AH5" i="1"/>
  <c r="AI5" i="1"/>
  <c r="AH22" i="1"/>
  <c r="AI22" i="1"/>
  <c r="AH3" i="1"/>
  <c r="AI3" i="1"/>
  <c r="AH13" i="1"/>
  <c r="AI13" i="1"/>
  <c r="AH30" i="1"/>
  <c r="AI30" i="1"/>
  <c r="AH25" i="1"/>
  <c r="AI25" i="1"/>
  <c r="AH17" i="1"/>
  <c r="AI17" i="1"/>
  <c r="AH4" i="1"/>
  <c r="AI4" i="1"/>
  <c r="AH10" i="1"/>
  <c r="AI10" i="1"/>
  <c r="AH18" i="1"/>
  <c r="AI18" i="1"/>
  <c r="AA2" i="1"/>
  <c r="AB2" i="1"/>
  <c r="AA20" i="1"/>
  <c r="AB20" i="1"/>
  <c r="AA11" i="1"/>
  <c r="AB11" i="1"/>
  <c r="AA12" i="1"/>
  <c r="AB12" i="1"/>
  <c r="AA19" i="1"/>
  <c r="AB19" i="1"/>
  <c r="AA15" i="1"/>
  <c r="AB15" i="1"/>
  <c r="AA5" i="1"/>
  <c r="AB5" i="1"/>
  <c r="AA22" i="1"/>
  <c r="AB22" i="1"/>
  <c r="AA3" i="1"/>
  <c r="AB3" i="1"/>
  <c r="AA13" i="1"/>
  <c r="AB13" i="1"/>
  <c r="AA30" i="1"/>
  <c r="AB30" i="1"/>
  <c r="AA25" i="1"/>
  <c r="AB25" i="1"/>
  <c r="AA17" i="1"/>
  <c r="AB17" i="1"/>
  <c r="T2" i="1"/>
  <c r="U2" i="1"/>
  <c r="T20" i="1"/>
  <c r="U20" i="1"/>
  <c r="T11" i="1"/>
  <c r="U11" i="1"/>
  <c r="T12" i="1"/>
  <c r="U12" i="1"/>
  <c r="T19" i="1"/>
  <c r="U19" i="1"/>
  <c r="T15" i="1"/>
  <c r="U15" i="1"/>
  <c r="T5" i="1"/>
  <c r="U5" i="1"/>
  <c r="T22" i="1"/>
  <c r="U22" i="1"/>
  <c r="T3" i="1"/>
  <c r="U3" i="1"/>
  <c r="T13" i="1"/>
  <c r="U13" i="1"/>
  <c r="T30" i="1"/>
  <c r="U30" i="1"/>
  <c r="T25" i="1"/>
  <c r="U25" i="1"/>
  <c r="T17" i="1"/>
  <c r="U17" i="1"/>
  <c r="M2" i="1"/>
  <c r="N2" i="1"/>
  <c r="M20" i="1"/>
  <c r="N20" i="1"/>
  <c r="M11" i="1"/>
  <c r="N11" i="1"/>
  <c r="M12" i="1"/>
  <c r="N12" i="1"/>
  <c r="M19" i="1"/>
  <c r="N19" i="1"/>
  <c r="M15" i="1"/>
  <c r="N15" i="1"/>
  <c r="M5" i="1"/>
  <c r="N5" i="1"/>
  <c r="M22" i="1"/>
  <c r="N22" i="1"/>
  <c r="M3" i="1"/>
  <c r="N3" i="1"/>
  <c r="M13" i="1"/>
  <c r="N13" i="1"/>
  <c r="M30" i="1"/>
  <c r="N30" i="1"/>
  <c r="M25" i="1"/>
  <c r="N25" i="1"/>
  <c r="M17" i="1"/>
  <c r="N17" i="1"/>
  <c r="M4" i="1"/>
  <c r="N4" i="1"/>
  <c r="BJ3" i="1"/>
  <c r="BK3" i="1"/>
  <c r="BK9" i="1"/>
  <c r="BJ9" i="1"/>
  <c r="BK32" i="1"/>
  <c r="BJ32" i="1"/>
  <c r="BK33" i="1"/>
  <c r="BJ33" i="1"/>
  <c r="BK8" i="1"/>
  <c r="BJ8" i="1"/>
  <c r="BK31" i="1"/>
  <c r="BJ31" i="1"/>
  <c r="BK27" i="1"/>
  <c r="BJ27" i="1"/>
  <c r="BK29" i="1"/>
  <c r="BJ29" i="1"/>
  <c r="BK26" i="1"/>
  <c r="BJ26" i="1"/>
  <c r="BK23" i="1"/>
  <c r="BJ23" i="1"/>
  <c r="BK28" i="1"/>
  <c r="BJ28" i="1"/>
  <c r="BK14" i="1"/>
  <c r="BJ14" i="1"/>
  <c r="BK6" i="1"/>
  <c r="BJ6" i="1"/>
  <c r="BK7" i="1"/>
  <c r="BJ7" i="1"/>
  <c r="BK16" i="1"/>
  <c r="BJ16" i="1"/>
  <c r="BK24" i="1"/>
  <c r="BJ24" i="1"/>
  <c r="BK18" i="1"/>
  <c r="BJ18" i="1"/>
  <c r="BK10" i="1"/>
  <c r="BJ10" i="1"/>
  <c r="BK4" i="1"/>
  <c r="BJ4" i="1"/>
  <c r="BK17" i="1"/>
  <c r="BJ17" i="1"/>
  <c r="BK25" i="1"/>
  <c r="BJ25" i="1"/>
  <c r="BK30" i="1"/>
  <c r="BJ30" i="1"/>
  <c r="BK13" i="1"/>
  <c r="BJ13" i="1"/>
  <c r="BK22" i="1"/>
  <c r="BJ22" i="1"/>
  <c r="BK5" i="1"/>
  <c r="BJ5" i="1"/>
  <c r="BK15" i="1"/>
  <c r="BJ15" i="1"/>
  <c r="BK19" i="1"/>
  <c r="BJ19" i="1"/>
  <c r="BK12" i="1"/>
  <c r="BJ12" i="1"/>
  <c r="BK11" i="1"/>
  <c r="BJ11" i="1"/>
  <c r="BK20" i="1"/>
  <c r="BJ20" i="1"/>
  <c r="BK2" i="1"/>
  <c r="BJ2" i="1"/>
  <c r="V19" i="1" l="1"/>
  <c r="AQ3" i="1"/>
  <c r="AQ2" i="1"/>
  <c r="AX3" i="1"/>
  <c r="AX19" i="1"/>
  <c r="O5" i="1"/>
  <c r="BE19" i="1"/>
  <c r="BM2" i="1"/>
  <c r="BN2" i="1" s="1"/>
  <c r="BL21" i="1"/>
  <c r="BL3" i="1"/>
  <c r="O17" i="1"/>
  <c r="O3" i="1"/>
  <c r="V25" i="1"/>
  <c r="V13" i="1"/>
  <c r="V22" i="1"/>
  <c r="V15" i="1"/>
  <c r="V2" i="1"/>
  <c r="AJ25" i="1"/>
  <c r="AJ22" i="1"/>
  <c r="AJ15" i="1"/>
  <c r="BO2" i="1"/>
  <c r="BP2" i="1" s="1"/>
  <c r="V17" i="1"/>
  <c r="V30" i="1"/>
  <c r="V5" i="1"/>
  <c r="BE12" i="1"/>
  <c r="AC11" i="1"/>
  <c r="AC2" i="1"/>
  <c r="AQ13" i="1"/>
  <c r="AQ19" i="1"/>
  <c r="AX12" i="1"/>
  <c r="BE25" i="1"/>
  <c r="O22" i="1"/>
  <c r="O12" i="1"/>
  <c r="AC22" i="1"/>
  <c r="AC12" i="1"/>
  <c r="AC20" i="1"/>
  <c r="AJ12" i="1"/>
  <c r="AQ30" i="1"/>
  <c r="BM15" i="1"/>
  <c r="BM12" i="1"/>
  <c r="BL2" i="1"/>
  <c r="BL11" i="1"/>
  <c r="BL19" i="1"/>
  <c r="BL5" i="1"/>
  <c r="BL13" i="1"/>
  <c r="BL25" i="1"/>
  <c r="BL4" i="1"/>
  <c r="BL18" i="1"/>
  <c r="BL16" i="1"/>
  <c r="BL6" i="1"/>
  <c r="BL28" i="1"/>
  <c r="BL26" i="1"/>
  <c r="BL27" i="1"/>
  <c r="BL8" i="1"/>
  <c r="BL32" i="1"/>
  <c r="O19" i="1"/>
  <c r="O2" i="1"/>
  <c r="V3" i="1"/>
  <c r="V11" i="1"/>
  <c r="AC25" i="1"/>
  <c r="BO3" i="1"/>
  <c r="BP3" i="1" s="1"/>
  <c r="AJ19" i="1"/>
  <c r="AQ17" i="1"/>
  <c r="AQ5" i="1"/>
  <c r="AQ11" i="1"/>
  <c r="AX2" i="1"/>
  <c r="BE17" i="1"/>
  <c r="BE5" i="1"/>
  <c r="BM3" i="1"/>
  <c r="BN3" i="1" s="1"/>
  <c r="BM5" i="1"/>
  <c r="BL20" i="1"/>
  <c r="BL12" i="1"/>
  <c r="BL15" i="1"/>
  <c r="BL22" i="1"/>
  <c r="BL17" i="1"/>
  <c r="BL24" i="1"/>
  <c r="BL14" i="1"/>
  <c r="BL29" i="1"/>
  <c r="BL33" i="1"/>
  <c r="O25" i="1"/>
  <c r="V12" i="1"/>
  <c r="V20" i="1"/>
  <c r="AC30" i="1"/>
  <c r="AC3" i="1"/>
  <c r="AJ18" i="1"/>
  <c r="BM11" i="1"/>
  <c r="AQ22" i="1"/>
  <c r="AQ15" i="1"/>
  <c r="BO12" i="1"/>
  <c r="AQ20" i="1"/>
  <c r="AX22" i="1"/>
  <c r="AX15" i="1"/>
  <c r="BE4" i="1"/>
  <c r="BE22" i="1"/>
  <c r="BE15" i="1"/>
  <c r="BM22" i="1"/>
  <c r="BM20" i="1"/>
  <c r="BM19" i="1"/>
  <c r="BO19" i="1"/>
  <c r="O4" i="1"/>
  <c r="O30" i="1"/>
  <c r="O15" i="1"/>
  <c r="O11" i="1"/>
  <c r="AC17" i="1"/>
  <c r="AC13" i="1"/>
  <c r="AC15" i="1"/>
  <c r="AJ10" i="1"/>
  <c r="AJ17" i="1"/>
  <c r="AJ13" i="1"/>
  <c r="AJ5" i="1"/>
  <c r="AJ20" i="1"/>
  <c r="AQ25" i="1"/>
  <c r="AQ12" i="1"/>
  <c r="AX5" i="1"/>
  <c r="AX20" i="1"/>
  <c r="BE30" i="1"/>
  <c r="BE3" i="1"/>
  <c r="BE20" i="1"/>
  <c r="BO22" i="1"/>
  <c r="BO5" i="1"/>
  <c r="BO11" i="1"/>
  <c r="BL30" i="1"/>
  <c r="BL10" i="1"/>
  <c r="BL7" i="1"/>
  <c r="BL23" i="1"/>
  <c r="BL31" i="1"/>
  <c r="BL9" i="1"/>
  <c r="O13" i="1"/>
  <c r="O20" i="1"/>
  <c r="AC5" i="1"/>
  <c r="AC19" i="1"/>
  <c r="AJ4" i="1"/>
  <c r="AJ30" i="1"/>
  <c r="AJ3" i="1"/>
  <c r="AJ11" i="1"/>
  <c r="AJ2" i="1"/>
  <c r="AX11" i="1"/>
  <c r="BE13" i="1"/>
  <c r="BE11" i="1"/>
  <c r="BE2" i="1"/>
  <c r="BO15" i="1"/>
  <c r="BO20" i="1"/>
  <c r="BU3" i="1"/>
  <c r="BU2" i="1"/>
  <c r="BQ5" i="1" l="1"/>
  <c r="BQ2" i="1"/>
  <c r="BQ20" i="1"/>
  <c r="BQ11" i="1"/>
  <c r="BQ12" i="1"/>
  <c r="BR2" i="1"/>
  <c r="BQ15" i="1"/>
  <c r="BR3" i="1"/>
  <c r="BQ3" i="1"/>
  <c r="BQ22" i="1"/>
  <c r="BQ19" i="1"/>
  <c r="BU20" i="1" l="1"/>
  <c r="BU32" i="1"/>
  <c r="BU6" i="1"/>
  <c r="BU22" i="1"/>
  <c r="BU14" i="1"/>
  <c r="BU16" i="1"/>
  <c r="BU13" i="1"/>
  <c r="BU31" i="1"/>
  <c r="BU30" i="1"/>
  <c r="BU23" i="1"/>
  <c r="BU15" i="1"/>
  <c r="BU27" i="1"/>
  <c r="BU7" i="1"/>
  <c r="BU33" i="1"/>
  <c r="BU19" i="1"/>
  <c r="BU24" i="1"/>
  <c r="BU18" i="1"/>
  <c r="BU12" i="1"/>
  <c r="BU10" i="1"/>
  <c r="BU28" i="1"/>
  <c r="BU9" i="1"/>
  <c r="BU5" i="1"/>
  <c r="BU21" i="1"/>
  <c r="BU29" i="1"/>
  <c r="BU11" i="1"/>
  <c r="BU17" i="1"/>
  <c r="BU25" i="1"/>
  <c r="BU26" i="1"/>
  <c r="BU8" i="1"/>
  <c r="BU4" i="1"/>
  <c r="BD9" i="1"/>
  <c r="BC9" i="1"/>
  <c r="BD32" i="1"/>
  <c r="BC32" i="1"/>
  <c r="BD33" i="1"/>
  <c r="BC33" i="1"/>
  <c r="BD8" i="1"/>
  <c r="BC8" i="1"/>
  <c r="BD31" i="1"/>
  <c r="BC31" i="1"/>
  <c r="BD27" i="1"/>
  <c r="BC27" i="1"/>
  <c r="BD29" i="1"/>
  <c r="BC29" i="1"/>
  <c r="BD26" i="1"/>
  <c r="BC26" i="1"/>
  <c r="BD23" i="1"/>
  <c r="BC23" i="1"/>
  <c r="BD28" i="1"/>
  <c r="BC28" i="1"/>
  <c r="BD14" i="1"/>
  <c r="BC14" i="1"/>
  <c r="BD6" i="1"/>
  <c r="BC6" i="1"/>
  <c r="BD7" i="1"/>
  <c r="BC7" i="1"/>
  <c r="BD16" i="1"/>
  <c r="BC16" i="1"/>
  <c r="BD24" i="1"/>
  <c r="BC24" i="1"/>
  <c r="BD18" i="1"/>
  <c r="BC18" i="1"/>
  <c r="BD10" i="1"/>
  <c r="BC10" i="1"/>
  <c r="BC21" i="1"/>
  <c r="I4" i="3"/>
  <c r="I3" i="3"/>
  <c r="I6" i="3"/>
  <c r="I5" i="3"/>
  <c r="AV30" i="1"/>
  <c r="BM30" i="1" s="1"/>
  <c r="AW30" i="1"/>
  <c r="BO30" i="1" s="1"/>
  <c r="AV31" i="1"/>
  <c r="AW31" i="1"/>
  <c r="AO31" i="1"/>
  <c r="AP31" i="1"/>
  <c r="AH31" i="1"/>
  <c r="AI31" i="1"/>
  <c r="T31" i="1"/>
  <c r="U31" i="1"/>
  <c r="AA31" i="1"/>
  <c r="AB31" i="1"/>
  <c r="M31" i="1"/>
  <c r="N31" i="1"/>
  <c r="M32" i="1"/>
  <c r="N32" i="1"/>
  <c r="M33" i="1"/>
  <c r="N33" i="1"/>
  <c r="C31" i="1"/>
  <c r="BQ30" i="1" l="1"/>
  <c r="BO31" i="1"/>
  <c r="BP31" i="1" s="1"/>
  <c r="BM31" i="1"/>
  <c r="BN30" i="1"/>
  <c r="BP20" i="1"/>
  <c r="BN20" i="1"/>
  <c r="BP30" i="1"/>
  <c r="BE21" i="1"/>
  <c r="BE10" i="1"/>
  <c r="BE18" i="1"/>
  <c r="BE16" i="1"/>
  <c r="BE6" i="1"/>
  <c r="BE28" i="1"/>
  <c r="BE26" i="1"/>
  <c r="BE29" i="1"/>
  <c r="BE31" i="1"/>
  <c r="BE32" i="1"/>
  <c r="BE24" i="1"/>
  <c r="BE7" i="1"/>
  <c r="BE14" i="1"/>
  <c r="BE23" i="1"/>
  <c r="BE27" i="1"/>
  <c r="BE8" i="1"/>
  <c r="BE33" i="1"/>
  <c r="BE9" i="1"/>
  <c r="O33" i="1"/>
  <c r="O32" i="1"/>
  <c r="AC31" i="1"/>
  <c r="V31" i="1"/>
  <c r="AJ31" i="1"/>
  <c r="AX31" i="1"/>
  <c r="O31" i="1"/>
  <c r="AQ31" i="1"/>
  <c r="AX30" i="1"/>
  <c r="BQ31" i="1" l="1"/>
  <c r="BN31" i="1"/>
  <c r="BR31" i="1" s="1"/>
  <c r="BR30" i="1"/>
  <c r="BR20" i="1"/>
  <c r="AV33" i="1"/>
  <c r="AW33" i="1"/>
  <c r="AO33" i="1"/>
  <c r="AP33" i="1"/>
  <c r="AH33" i="1"/>
  <c r="AI33" i="1"/>
  <c r="AA33" i="1"/>
  <c r="AB33" i="1"/>
  <c r="T33" i="1"/>
  <c r="U33" i="1"/>
  <c r="C33" i="1"/>
  <c r="BO33" i="1" l="1"/>
  <c r="BP33" i="1" s="1"/>
  <c r="BM33" i="1"/>
  <c r="BN33" i="1" s="1"/>
  <c r="AX33" i="1"/>
  <c r="AQ33" i="1"/>
  <c r="V33" i="1"/>
  <c r="AJ33" i="1"/>
  <c r="AC33" i="1"/>
  <c r="BQ33" i="1" l="1"/>
  <c r="BR33" i="1"/>
  <c r="AW13" i="1"/>
  <c r="BO13" i="1" s="1"/>
  <c r="AV13" i="1"/>
  <c r="BM13" i="1" s="1"/>
  <c r="AW23" i="1"/>
  <c r="AV23" i="1"/>
  <c r="AW18" i="1"/>
  <c r="AV18" i="1"/>
  <c r="AW24" i="1"/>
  <c r="AV24" i="1"/>
  <c r="AW26" i="1"/>
  <c r="AV26" i="1"/>
  <c r="AW10" i="1"/>
  <c r="AV10" i="1"/>
  <c r="AW29" i="1"/>
  <c r="AV29" i="1"/>
  <c r="AW32" i="1"/>
  <c r="AV32" i="1"/>
  <c r="AW17" i="1"/>
  <c r="BO17" i="1" s="1"/>
  <c r="AV17" i="1"/>
  <c r="BM17" i="1" s="1"/>
  <c r="AW28" i="1"/>
  <c r="AV28" i="1"/>
  <c r="AW4" i="1"/>
  <c r="AV4" i="1"/>
  <c r="AW8" i="1"/>
  <c r="AV8" i="1"/>
  <c r="AW25" i="1"/>
  <c r="BO25" i="1" s="1"/>
  <c r="AV25" i="1"/>
  <c r="BM25" i="1" s="1"/>
  <c r="AW14" i="1"/>
  <c r="AV14" i="1"/>
  <c r="AW21" i="1"/>
  <c r="AV21" i="1"/>
  <c r="AW16" i="1"/>
  <c r="AV16" i="1"/>
  <c r="AW27" i="1"/>
  <c r="AV27" i="1"/>
  <c r="AW9" i="1"/>
  <c r="AV9" i="1"/>
  <c r="AW7" i="1"/>
  <c r="AV7" i="1"/>
  <c r="AW6" i="1"/>
  <c r="AV6" i="1"/>
  <c r="BQ25" i="1" l="1"/>
  <c r="BQ17" i="1"/>
  <c r="BQ13" i="1"/>
  <c r="AX9" i="1"/>
  <c r="AX27" i="1"/>
  <c r="AX16" i="1"/>
  <c r="AX21" i="1"/>
  <c r="AX14" i="1"/>
  <c r="AX8" i="1"/>
  <c r="AX4" i="1"/>
  <c r="AX28" i="1"/>
  <c r="AX29" i="1"/>
  <c r="AX10" i="1"/>
  <c r="AX26" i="1"/>
  <c r="AX18" i="1"/>
  <c r="AX23" i="1"/>
  <c r="AX6" i="1"/>
  <c r="AX7" i="1"/>
  <c r="AX25" i="1"/>
  <c r="AX17" i="1"/>
  <c r="AX32" i="1"/>
  <c r="AX24" i="1"/>
  <c r="AX13" i="1"/>
  <c r="G1" i="12"/>
  <c r="H1" i="12" s="1"/>
  <c r="G25" i="12"/>
  <c r="H25" i="12" s="1"/>
  <c r="B13" i="12"/>
  <c r="B19" i="12" s="1"/>
  <c r="C7" i="12"/>
  <c r="D7" i="12" s="1"/>
  <c r="E7" i="12" s="1"/>
  <c r="F7" i="12" s="1"/>
  <c r="G7" i="12" s="1"/>
  <c r="H7" i="12" s="1"/>
  <c r="B13" i="11"/>
  <c r="D1" i="11"/>
  <c r="E1" i="11" s="1"/>
  <c r="F1" i="11" s="1"/>
  <c r="G1" i="11" s="1"/>
  <c r="H1" i="11" s="1"/>
  <c r="B25" i="12" l="1"/>
  <c r="C25" i="12" s="1"/>
  <c r="D25" i="12" s="1"/>
  <c r="E25" i="12" s="1"/>
  <c r="C19" i="12"/>
  <c r="D19" i="12" s="1"/>
  <c r="E19" i="12" s="1"/>
  <c r="F19" i="12" s="1"/>
  <c r="G19" i="12" s="1"/>
  <c r="H19" i="12" s="1"/>
  <c r="C13" i="12"/>
  <c r="D13" i="12" s="1"/>
  <c r="E13" i="12" s="1"/>
  <c r="F13" i="12" s="1"/>
  <c r="G13" i="12" s="1"/>
  <c r="H13" i="12" s="1"/>
  <c r="C13" i="11"/>
  <c r="D13" i="11" s="1"/>
  <c r="E13" i="11" s="1"/>
  <c r="F13" i="11" s="1"/>
  <c r="G13" i="11" s="1"/>
  <c r="H13" i="11" s="1"/>
  <c r="B19" i="11"/>
  <c r="C7" i="11"/>
  <c r="D7" i="11" s="1"/>
  <c r="E7" i="11" s="1"/>
  <c r="F7" i="11" s="1"/>
  <c r="G7" i="11" s="1"/>
  <c r="H7" i="11" s="1"/>
  <c r="C19" i="11" l="1"/>
  <c r="D19" i="11" s="1"/>
  <c r="E19" i="11" s="1"/>
  <c r="F19" i="11" s="1"/>
  <c r="G19" i="11" s="1"/>
  <c r="H19" i="11" s="1"/>
  <c r="B25" i="11"/>
  <c r="C25" i="11" s="1"/>
  <c r="D25" i="11" s="1"/>
  <c r="E25" i="11" s="1"/>
  <c r="G25" i="11" s="1"/>
  <c r="H25" i="11" s="1"/>
  <c r="AO23" i="1" l="1"/>
  <c r="AP23" i="1"/>
  <c r="AH23" i="1"/>
  <c r="AI23" i="1"/>
  <c r="AA23" i="1"/>
  <c r="AB23" i="1"/>
  <c r="T23" i="1"/>
  <c r="U23" i="1"/>
  <c r="M23" i="1"/>
  <c r="N23" i="1"/>
  <c r="C23" i="1"/>
  <c r="BO23" i="1" l="1"/>
  <c r="BP23" i="1" s="1"/>
  <c r="BM23" i="1"/>
  <c r="BN23" i="1" s="1"/>
  <c r="V23" i="1"/>
  <c r="AJ23" i="1"/>
  <c r="O23" i="1"/>
  <c r="AC23" i="1"/>
  <c r="AQ23" i="1"/>
  <c r="C32" i="10"/>
  <c r="E32" i="10" s="1"/>
  <c r="F32" i="10" s="1"/>
  <c r="G32" i="10" s="1"/>
  <c r="H32" i="10" s="1"/>
  <c r="I32" i="10" s="1"/>
  <c r="H26" i="10"/>
  <c r="I26" i="10" s="1"/>
  <c r="I2" i="10"/>
  <c r="G2" i="10"/>
  <c r="C14" i="10"/>
  <c r="D14" i="10" s="1"/>
  <c r="E14" i="10" s="1"/>
  <c r="F14" i="10" s="1"/>
  <c r="G14" i="10" s="1"/>
  <c r="H14" i="10" s="1"/>
  <c r="I14" i="10" s="1"/>
  <c r="D8" i="10"/>
  <c r="E8" i="10" s="1"/>
  <c r="F8" i="10" s="1"/>
  <c r="G8" i="10" s="1"/>
  <c r="H8" i="10" s="1"/>
  <c r="I8" i="10" s="1"/>
  <c r="BQ23" i="1" l="1"/>
  <c r="BR23" i="1"/>
  <c r="C20" i="10"/>
  <c r="C26" i="10" s="1"/>
  <c r="D26" i="10" s="1"/>
  <c r="E26" i="10" s="1"/>
  <c r="F26" i="10" s="1"/>
  <c r="G26" i="10" s="1"/>
  <c r="D20" i="10" l="1"/>
  <c r="E20" i="10" s="1"/>
  <c r="F20" i="10" s="1"/>
  <c r="G20" i="10" s="1"/>
  <c r="H20" i="10" s="1"/>
  <c r="I20" i="10" s="1"/>
  <c r="AO21" i="1"/>
  <c r="AP21" i="1"/>
  <c r="AO10" i="1"/>
  <c r="AP10" i="1"/>
  <c r="AO4" i="1"/>
  <c r="AP4" i="1"/>
  <c r="AO14" i="1"/>
  <c r="AP14" i="1"/>
  <c r="AO16" i="1"/>
  <c r="AP16" i="1"/>
  <c r="AO7" i="1"/>
  <c r="AP7" i="1"/>
  <c r="AO6" i="1"/>
  <c r="AP6" i="1"/>
  <c r="AO28" i="1"/>
  <c r="AP28" i="1"/>
  <c r="AO24" i="1"/>
  <c r="AP24" i="1"/>
  <c r="AO18" i="1"/>
  <c r="AP18" i="1"/>
  <c r="AO29" i="1"/>
  <c r="AP29" i="1"/>
  <c r="AO26" i="1"/>
  <c r="AP26" i="1"/>
  <c r="AO8" i="1"/>
  <c r="AP8" i="1"/>
  <c r="AO27" i="1"/>
  <c r="AP27" i="1"/>
  <c r="AO32" i="1"/>
  <c r="AP32" i="1"/>
  <c r="AO9" i="1"/>
  <c r="AP9" i="1"/>
  <c r="BP13" i="1" l="1"/>
  <c r="BN13" i="1"/>
  <c r="AQ9" i="1"/>
  <c r="AQ26" i="1"/>
  <c r="AQ6" i="1"/>
  <c r="AQ8" i="1"/>
  <c r="AQ24" i="1"/>
  <c r="AQ16" i="1"/>
  <c r="AQ4" i="1"/>
  <c r="AQ32" i="1"/>
  <c r="AQ27" i="1"/>
  <c r="AQ29" i="1"/>
  <c r="AQ18" i="1"/>
  <c r="AQ28" i="1"/>
  <c r="AQ7" i="1"/>
  <c r="AQ14" i="1"/>
  <c r="AQ10" i="1"/>
  <c r="AQ21" i="1"/>
  <c r="C7" i="8"/>
  <c r="D7" i="8" s="1"/>
  <c r="E7" i="8" s="1"/>
  <c r="F7" i="8" s="1"/>
  <c r="G7" i="8" s="1"/>
  <c r="H7" i="8" s="1"/>
  <c r="B13" i="8"/>
  <c r="B19" i="8" s="1"/>
  <c r="B26" i="8" s="1"/>
  <c r="C26" i="8" s="1"/>
  <c r="D26" i="8" s="1"/>
  <c r="E26" i="8" s="1"/>
  <c r="F26" i="8" s="1"/>
  <c r="H26" i="8" s="1"/>
  <c r="BR13" i="1" l="1"/>
  <c r="C13" i="8"/>
  <c r="D13" i="8" s="1"/>
  <c r="E13" i="8" s="1"/>
  <c r="F13" i="8" s="1"/>
  <c r="G13" i="8" s="1"/>
  <c r="H13" i="8" s="1"/>
  <c r="C19" i="8"/>
  <c r="D19" i="8" s="1"/>
  <c r="E19" i="8" s="1"/>
  <c r="F19" i="8" s="1"/>
  <c r="G19" i="8" s="1"/>
  <c r="H19" i="8" s="1"/>
  <c r="M10" i="1"/>
  <c r="N10" i="1"/>
  <c r="M18" i="1"/>
  <c r="N18" i="1"/>
  <c r="M24" i="1"/>
  <c r="N24" i="1"/>
  <c r="M16" i="1"/>
  <c r="N16" i="1"/>
  <c r="M7" i="1"/>
  <c r="N7" i="1"/>
  <c r="M6" i="1"/>
  <c r="N6" i="1"/>
  <c r="M14" i="1"/>
  <c r="N14" i="1"/>
  <c r="M28" i="1"/>
  <c r="N28" i="1"/>
  <c r="M26" i="1"/>
  <c r="N26" i="1"/>
  <c r="M29" i="1"/>
  <c r="N29" i="1"/>
  <c r="M27" i="1"/>
  <c r="N27" i="1"/>
  <c r="M8" i="1"/>
  <c r="N8" i="1"/>
  <c r="M9" i="1"/>
  <c r="N9" i="1"/>
  <c r="T4" i="1"/>
  <c r="U4" i="1"/>
  <c r="T10" i="1"/>
  <c r="U10" i="1"/>
  <c r="T18" i="1"/>
  <c r="U18" i="1"/>
  <c r="T24" i="1"/>
  <c r="U24" i="1"/>
  <c r="T16" i="1"/>
  <c r="U16" i="1"/>
  <c r="T7" i="1"/>
  <c r="U7" i="1"/>
  <c r="T6" i="1"/>
  <c r="U6" i="1"/>
  <c r="T14" i="1"/>
  <c r="U14" i="1"/>
  <c r="T28" i="1"/>
  <c r="U28" i="1"/>
  <c r="T26" i="1"/>
  <c r="U26" i="1"/>
  <c r="T29" i="1"/>
  <c r="U29" i="1"/>
  <c r="T27" i="1"/>
  <c r="U27" i="1"/>
  <c r="T8" i="1"/>
  <c r="U8" i="1"/>
  <c r="T32" i="1"/>
  <c r="U32" i="1"/>
  <c r="T9" i="1"/>
  <c r="U9" i="1"/>
  <c r="AA4" i="1"/>
  <c r="BM4" i="1" s="1"/>
  <c r="AB4" i="1"/>
  <c r="AA10" i="1"/>
  <c r="AB10" i="1"/>
  <c r="AA18" i="1"/>
  <c r="BM18" i="1" s="1"/>
  <c r="AB18" i="1"/>
  <c r="AA24" i="1"/>
  <c r="AB24" i="1"/>
  <c r="AA16" i="1"/>
  <c r="AB16" i="1"/>
  <c r="AA7" i="1"/>
  <c r="AB7" i="1"/>
  <c r="AA6" i="1"/>
  <c r="AB6" i="1"/>
  <c r="AA14" i="1"/>
  <c r="AB14" i="1"/>
  <c r="AA28" i="1"/>
  <c r="AB28" i="1"/>
  <c r="AA26" i="1"/>
  <c r="AB26" i="1"/>
  <c r="AA29" i="1"/>
  <c r="AB29" i="1"/>
  <c r="AA27" i="1"/>
  <c r="AB27" i="1"/>
  <c r="AA8" i="1"/>
  <c r="AB8" i="1"/>
  <c r="AA32" i="1"/>
  <c r="AB32" i="1"/>
  <c r="AA9" i="1"/>
  <c r="AB9" i="1"/>
  <c r="AH24" i="1"/>
  <c r="AI24" i="1"/>
  <c r="AH16" i="1"/>
  <c r="BM16" i="1" s="1"/>
  <c r="AI16" i="1"/>
  <c r="AH7" i="1"/>
  <c r="AI7" i="1"/>
  <c r="AH6" i="1"/>
  <c r="BM6" i="1" s="1"/>
  <c r="AI6" i="1"/>
  <c r="AH14" i="1"/>
  <c r="AI14" i="1"/>
  <c r="AH28" i="1"/>
  <c r="BM28" i="1" s="1"/>
  <c r="AI28" i="1"/>
  <c r="AH26" i="1"/>
  <c r="AI26" i="1"/>
  <c r="AH29" i="1"/>
  <c r="BM29" i="1" s="1"/>
  <c r="AI29" i="1"/>
  <c r="AH27" i="1"/>
  <c r="AI27" i="1"/>
  <c r="AH8" i="1"/>
  <c r="BM8" i="1" s="1"/>
  <c r="AI8" i="1"/>
  <c r="AH32" i="1"/>
  <c r="AI32" i="1"/>
  <c r="AH9" i="1"/>
  <c r="BM9" i="1" s="1"/>
  <c r="AI9" i="1"/>
  <c r="BO32" i="1" l="1"/>
  <c r="BO26" i="1"/>
  <c r="BO24" i="1"/>
  <c r="BP24" i="1" s="1"/>
  <c r="BO27" i="1"/>
  <c r="BP27" i="1" s="1"/>
  <c r="BO7" i="1"/>
  <c r="BO10" i="1"/>
  <c r="BP10" i="1" s="1"/>
  <c r="BO9" i="1"/>
  <c r="BP9" i="1" s="1"/>
  <c r="BO8" i="1"/>
  <c r="BO29" i="1"/>
  <c r="BP29" i="1" s="1"/>
  <c r="BO28" i="1"/>
  <c r="BP28" i="1" s="1"/>
  <c r="BO6" i="1"/>
  <c r="BP6" i="1" s="1"/>
  <c r="BO16" i="1"/>
  <c r="BP16" i="1" s="1"/>
  <c r="BO18" i="1"/>
  <c r="BP18" i="1" s="1"/>
  <c r="BO4" i="1"/>
  <c r="BP4" i="1" s="1"/>
  <c r="BO14" i="1"/>
  <c r="BM32" i="1"/>
  <c r="BQ32" i="1" s="1"/>
  <c r="BM27" i="1"/>
  <c r="BM26" i="1"/>
  <c r="BQ26" i="1" s="1"/>
  <c r="BM14" i="1"/>
  <c r="BN14" i="1" s="1"/>
  <c r="BM7" i="1"/>
  <c r="BN7" i="1" s="1"/>
  <c r="BM24" i="1"/>
  <c r="BN24" i="1" s="1"/>
  <c r="BM10" i="1"/>
  <c r="BQ10" i="1" s="1"/>
  <c r="BQ9" i="1"/>
  <c r="BQ8" i="1"/>
  <c r="BQ29" i="1"/>
  <c r="BQ28" i="1"/>
  <c r="BQ6" i="1"/>
  <c r="BQ16" i="1"/>
  <c r="BQ18" i="1"/>
  <c r="BQ4" i="1"/>
  <c r="BP32" i="1"/>
  <c r="BP8" i="1"/>
  <c r="BP17" i="1"/>
  <c r="BP25" i="1"/>
  <c r="BP22" i="1"/>
  <c r="BP19" i="1"/>
  <c r="BP12" i="1"/>
  <c r="BN8" i="1"/>
  <c r="BN28" i="1"/>
  <c r="BN6" i="1"/>
  <c r="BN16" i="1"/>
  <c r="BN18" i="1"/>
  <c r="BN17" i="1"/>
  <c r="BN25" i="1"/>
  <c r="BN22" i="1"/>
  <c r="BN19" i="1"/>
  <c r="BN12" i="1"/>
  <c r="BN9" i="1"/>
  <c r="BN29" i="1"/>
  <c r="BN4" i="1"/>
  <c r="BN5" i="1"/>
  <c r="BN15" i="1"/>
  <c r="BN11" i="1"/>
  <c r="BP26" i="1"/>
  <c r="BP14" i="1"/>
  <c r="BP7" i="1"/>
  <c r="BP5" i="1"/>
  <c r="BP15" i="1"/>
  <c r="BP11" i="1"/>
  <c r="O8" i="1"/>
  <c r="O7" i="1"/>
  <c r="O24" i="1"/>
  <c r="V29" i="1"/>
  <c r="AC14" i="1"/>
  <c r="AC7" i="1"/>
  <c r="AC24" i="1"/>
  <c r="O29" i="1"/>
  <c r="AJ16" i="1"/>
  <c r="AJ8" i="1"/>
  <c r="AJ9" i="1"/>
  <c r="AJ27" i="1"/>
  <c r="O26" i="1"/>
  <c r="V8" i="1"/>
  <c r="AC26" i="1"/>
  <c r="AJ6" i="1"/>
  <c r="V6" i="1"/>
  <c r="O18" i="1"/>
  <c r="AJ32" i="1"/>
  <c r="AC4" i="1"/>
  <c r="AJ29" i="1"/>
  <c r="AC29" i="1"/>
  <c r="V27" i="1"/>
  <c r="AC9" i="1"/>
  <c r="AC10" i="1"/>
  <c r="V9" i="1"/>
  <c r="V26" i="1"/>
  <c r="V18" i="1"/>
  <c r="AJ28" i="1"/>
  <c r="AC18" i="1"/>
  <c r="V28" i="1"/>
  <c r="V14" i="1"/>
  <c r="V10" i="1"/>
  <c r="O6" i="1"/>
  <c r="O16" i="1"/>
  <c r="AJ26" i="1"/>
  <c r="AJ7" i="1"/>
  <c r="AC27" i="1"/>
  <c r="V7" i="1"/>
  <c r="V24" i="1"/>
  <c r="O10" i="1"/>
  <c r="V4" i="1"/>
  <c r="O9" i="1"/>
  <c r="AJ14" i="1"/>
  <c r="AJ24" i="1"/>
  <c r="AC32" i="1"/>
  <c r="AC8" i="1"/>
  <c r="AC28" i="1"/>
  <c r="AC16" i="1"/>
  <c r="V32" i="1"/>
  <c r="V16" i="1"/>
  <c r="O27" i="1"/>
  <c r="O28" i="1"/>
  <c r="O14" i="1"/>
  <c r="AC6" i="1"/>
  <c r="BQ27" i="1" l="1"/>
  <c r="BN32" i="1"/>
  <c r="BR32" i="1" s="1"/>
  <c r="BQ7" i="1"/>
  <c r="BQ24" i="1"/>
  <c r="BN26" i="1"/>
  <c r="BR26" i="1" s="1"/>
  <c r="BN10" i="1"/>
  <c r="BR10" i="1" s="1"/>
  <c r="BN27" i="1"/>
  <c r="BR27" i="1" s="1"/>
  <c r="BQ14" i="1"/>
  <c r="BR18" i="1"/>
  <c r="BR8" i="1"/>
  <c r="BR22" i="1"/>
  <c r="BR19" i="1"/>
  <c r="BR17" i="1"/>
  <c r="BR6" i="1"/>
  <c r="BR28" i="1"/>
  <c r="BR12" i="1"/>
  <c r="BR25" i="1"/>
  <c r="BR16" i="1"/>
  <c r="BR15" i="1"/>
  <c r="BR4" i="1"/>
  <c r="BR14" i="1"/>
  <c r="BR24" i="1"/>
  <c r="BR9" i="1"/>
  <c r="BR11" i="1"/>
  <c r="BR5" i="1"/>
  <c r="BR7" i="1"/>
  <c r="BR29" i="1"/>
  <c r="C7" i="3"/>
  <c r="C3" i="3"/>
  <c r="H5" i="3" l="1"/>
  <c r="H4" i="3"/>
  <c r="H3" i="3"/>
  <c r="C21" i="1"/>
  <c r="C10" i="1"/>
  <c r="C16" i="1"/>
  <c r="C7" i="1"/>
  <c r="C28" i="1"/>
  <c r="C29" i="1"/>
  <c r="C6" i="1"/>
  <c r="C18" i="1"/>
  <c r="C24" i="1"/>
  <c r="C26" i="1"/>
  <c r="C8" i="1"/>
  <c r="C27" i="1"/>
  <c r="C32" i="1"/>
  <c r="C14" i="1"/>
  <c r="C9" i="1"/>
  <c r="H6" i="3" l="1"/>
  <c r="AI21" i="1"/>
  <c r="AH21" i="1"/>
  <c r="AJ21" i="1" l="1"/>
  <c r="C8" i="3"/>
  <c r="C9" i="3" s="1"/>
  <c r="C2" i="3"/>
  <c r="C4" i="3" s="1"/>
  <c r="AB21" i="1" l="1"/>
  <c r="AA21" i="1"/>
  <c r="U21" i="1"/>
  <c r="T21" i="1"/>
  <c r="M21" i="1"/>
  <c r="BM21" i="1" l="1"/>
  <c r="BN21" i="1" s="1"/>
  <c r="BO21" i="1"/>
  <c r="O21" i="1"/>
  <c r="V21" i="1"/>
  <c r="AC21" i="1"/>
  <c r="BQ21" i="1" l="1"/>
  <c r="BP21" i="1"/>
  <c r="BR21" i="1" s="1"/>
</calcChain>
</file>

<file path=xl/sharedStrings.xml><?xml version="1.0" encoding="utf-8"?>
<sst xmlns="http://schemas.openxmlformats.org/spreadsheetml/2006/main" count="600" uniqueCount="178">
  <si>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</si>
  <si>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</si>
  <si>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</si>
  <si>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</si>
  <si>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</si>
  <si>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</si>
  <si>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</si>
  <si>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</si>
  <si>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יובל</t>
  </si>
  <si>
    <t>שחר</t>
  </si>
  <si>
    <t>טאי</t>
  </si>
  <si>
    <t>מירב</t>
  </si>
  <si>
    <t>שגית</t>
  </si>
  <si>
    <t>עדן</t>
  </si>
  <si>
    <t>בר</t>
  </si>
  <si>
    <t>שקד</t>
  </si>
  <si>
    <t>שיר</t>
  </si>
  <si>
    <t>מפאוג</t>
  </si>
  <si>
    <t>אופיר</t>
  </si>
  <si>
    <t>מרחבים</t>
  </si>
  <si>
    <t>הדס</t>
  </si>
  <si>
    <t>מורז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</si>
  <si>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</si>
  <si>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</si>
  <si>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</si>
  <si>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</si>
  <si>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</si>
  <si>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</si>
  <si>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</si>
  <si>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</si>
  <si>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</si>
  <si>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</si>
  <si>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</si>
  <si>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</si>
  <si>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</si>
  <si>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</si>
  <si>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</si>
  <si>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</si>
  <si>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</si>
  <si>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</si>
  <si>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</si>
  <si>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</si>
  <si>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</si>
  <si>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</si>
  <si>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</si>
  <si>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</si>
  <si>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</si>
  <si>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</si>
  <si>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</si>
  <si>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</si>
  <si>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</si>
  <si>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</si>
  <si>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</si>
  <si>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</si>
  <si>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</si>
  <si>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</si>
  <si>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תש 4</t>
  </si>
  <si>
    <t>לילות שמירה  סהכ</t>
  </si>
  <si>
    <t>לילות בלי שמירות סהכ</t>
  </si>
  <si>
    <t>שבתות שמירה סהכ</t>
  </si>
  <si>
    <t>שבתות בלי שמירה סהכ</t>
  </si>
  <si>
    <t>שי</t>
  </si>
  <si>
    <t>דקל</t>
  </si>
  <si>
    <t>סופיה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</si>
  <si>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</si>
  <si>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</si>
  <si>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</si>
  <si>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</si>
  <si>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</si>
  <si>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</si>
  <si>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</si>
  <si>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</si>
  <si>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</si>
  <si>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</si>
  <si>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</si>
  <si>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</si>
  <si>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</si>
  <si>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</si>
  <si>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</si>
  <si>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</si>
  <si>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מאי 474</t>
  </si>
  <si>
    <t>אלכס 679</t>
  </si>
  <si>
    <t>נילי 11</t>
  </si>
  <si>
    <t>כלנית 9</t>
  </si>
  <si>
    <t>שר מפאוג</t>
  </si>
  <si>
    <t>מעיין 9</t>
  </si>
  <si>
    <t>?</t>
  </si>
  <si>
    <t>שם מלא</t>
  </si>
  <si>
    <t>אחודה</t>
  </si>
  <si>
    <t>עדי 209</t>
  </si>
  <si>
    <t>אסיה 11</t>
  </si>
  <si>
    <t>סופיה אחודה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</si>
  <si>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</si>
  <si>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</si>
  <si>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</si>
  <si>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</si>
  <si>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</si>
  <si>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</si>
  <si>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</si>
  <si>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</si>
  <si>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</si>
  <si>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</si>
  <si>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</si>
  <si>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</si>
  <si>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</si>
  <si>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</si>
  <si>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</si>
  <si>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</si>
  <si>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</si>
  <si>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</si>
  <si>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אופיר 679</t>
  </si>
  <si>
    <t>ניצן אחודה</t>
  </si>
  <si>
    <t>שיר מפאוג</t>
  </si>
  <si>
    <t>יובל 209</t>
  </si>
  <si>
    <t>שיר מרחבים</t>
  </si>
  <si>
    <t>גילי</t>
  </si>
  <si>
    <t>עומר 474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</si>
  <si>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</si>
  <si>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</si>
  <si>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</si>
  <si>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</si>
  <si>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</si>
  <si>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</si>
  <si>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</si>
  <si>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</si>
  <si>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</si>
  <si>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</t>
  </si>
  <si>
    <t>דיאנה אחודה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</si>
  <si>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</si>
  <si>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</si>
  <si>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</si>
  <si>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</si>
  <si>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</si>
  <si>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</si>
  <si>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</si>
  <si>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</si>
  <si>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</si>
  <si>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</si>
  <si>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מעין 9</t>
  </si>
  <si>
    <t>מעין</t>
  </si>
  <si>
    <t>אופק</t>
  </si>
  <si>
    <t>רותם</t>
  </si>
  <si>
    <t>אופק מרחבים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</si>
  <si>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</si>
  <si>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</si>
  <si>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</si>
  <si>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</si>
  <si>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</si>
  <si>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</si>
  <si>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</si>
  <si>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</si>
  <si>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</si>
  <si>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</si>
  <si>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</si>
  <si>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</si>
  <si>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</si>
  <si>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</si>
  <si>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</si>
  <si>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</si>
  <si>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</si>
  <si>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</si>
  <si>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</si>
  <si>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</si>
  <si>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</si>
  <si>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</si>
  <si>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</si>
  <si>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</si>
  <si>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</si>
  <si>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יעל</t>
  </si>
  <si>
    <t>קקצ יוני</t>
  </si>
  <si>
    <t>אלינה</t>
  </si>
  <si>
    <t>פברואר שבת שמירה</t>
  </si>
  <si>
    <t>פברואר שבת בלי שמירה</t>
  </si>
  <si>
    <t>פברואר לילות שמירה</t>
  </si>
  <si>
    <t>פברואר לילות בלי שמירה</t>
  </si>
  <si>
    <t>סה"כ פברואר</t>
  </si>
  <si>
    <t>פברואר סה"כ בלי שמירה</t>
  </si>
  <si>
    <t>פברואר סה"כ שמירה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</si>
</sst>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59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0" borderId="0" xfId="0" applyFont="1"/>
    <xf numFmtId="0" fontId="3" fillId="5" borderId="19" xfId="0" applyFont="1" applyFill="1" applyBorder="1"/>
    <xf numFmtId="0" fontId="4" fillId="0" borderId="16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5" fillId="5" borderId="19" xfId="0" applyFont="1" applyFill="1" applyBorder="1"/>
    <xf numFmtId="0" fontId="6" fillId="0" borderId="16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5" fillId="0" borderId="0" xfId="0" applyFont="1"/>
    <xf numFmtId="0" fontId="5" fillId="0" borderId="5" xfId="0" applyFont="1" applyFill="1" applyBorder="1"/>
    <xf numFmtId="0" fontId="6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5" fillId="0" borderId="6" xfId="0" applyFont="1" applyFill="1" applyBorder="1"/>
    <xf numFmtId="0" fontId="6" fillId="0" borderId="9" xfId="0" applyFont="1" applyFill="1" applyBorder="1" applyAlignment="1">
      <alignment horizontal="center" vertical="center"/>
    </xf>
    <xf numFmtId="0" fontId="6" fillId="0" borderId="24" xfId="0" applyFont="1" applyFill="1" applyBorder="1" applyAlignment="1">
      <alignment horizontal="center" vertical="center"/>
    </xf>
    <xf numFmtId="0" fontId="7" fillId="0" borderId="11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7" fillId="4" borderId="12" xfId="0" applyFont="1" applyFill="1" applyBorder="1" applyAlignment="1">
      <alignment horizontal="center" vertical="center" wrapText="1"/>
    </xf>
    <xf numFmtId="0" fontId="7" fillId="3" borderId="14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 vertical="center" wrapText="1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2" xfId="0" applyFont="1" applyBorder="1"/>
    <xf numFmtId="0" fontId="8" fillId="0" borderId="5" xfId="0" applyFont="1" applyBorder="1"/>
    <xf numFmtId="0" fontId="8" fillId="0" borderId="1" xfId="0" applyFont="1" applyBorder="1"/>
    <xf numFmtId="0" fontId="8" fillId="4" borderId="9" xfId="0" applyFont="1" applyFill="1" applyBorder="1"/>
    <xf numFmtId="0" fontId="8" fillId="3" borderId="17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vertical="center"/>
    </xf>
    <xf numFmtId="0" fontId="8" fillId="4" borderId="1" xfId="0" applyFont="1" applyFill="1" applyBorder="1"/>
    <xf numFmtId="0" fontId="8" fillId="3" borderId="17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/>
    </xf>
    <xf numFmtId="164" fontId="8" fillId="0" borderId="2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9" fillId="0" borderId="8" xfId="0" applyFont="1" applyBorder="1"/>
    <xf numFmtId="0" fontId="8" fillId="0" borderId="6" xfId="0" applyFont="1" applyBorder="1"/>
    <xf numFmtId="0" fontId="8" fillId="0" borderId="7" xfId="0" applyFont="1" applyBorder="1"/>
    <xf numFmtId="0" fontId="8" fillId="3" borderId="22" xfId="0" applyFont="1" applyFill="1" applyBorder="1" applyAlignment="1">
      <alignment horizontal="center"/>
    </xf>
    <xf numFmtId="0" fontId="8" fillId="4" borderId="7" xfId="0" applyFont="1" applyFill="1" applyBorder="1"/>
    <xf numFmtId="0" fontId="8" fillId="3" borderId="22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/>
    <xf numFmtId="0" fontId="6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9" fillId="0" borderId="26" xfId="0" applyFont="1" applyBorder="1"/>
    <xf numFmtId="0" fontId="8" fillId="0" borderId="25" xfId="0" applyFont="1" applyBorder="1"/>
    <xf numFmtId="0" fontId="8" fillId="0" borderId="21" xfId="0" applyFont="1" applyBorder="1"/>
    <xf numFmtId="0" fontId="0" fillId="0" borderId="25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0" fillId="0" borderId="0" xfId="0" applyFont="1"/>
    <xf numFmtId="0" fontId="0" fillId="0" borderId="21" xfId="0" applyFont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14" fontId="0" fillId="0" borderId="8" xfId="0" applyNumberFormat="1" applyFont="1" applyBorder="1" applyAlignment="1">
      <alignment horizontal="center" vertical="center"/>
    </xf>
    <xf numFmtId="0" fontId="8" fillId="2" borderId="22" xfId="0" applyFont="1" applyFill="1" applyBorder="1" applyAlignment="1">
      <alignment horizontal="center"/>
    </xf>
    <xf numFmtId="10" fontId="8" fillId="2" borderId="10" xfId="0" applyNumberFormat="1" applyFont="1" applyFill="1" applyBorder="1" applyAlignment="1">
      <alignment horizontal="center"/>
    </xf>
    <xf numFmtId="10" fontId="8" fillId="2" borderId="22" xfId="0" applyNumberFormat="1" applyFont="1" applyFill="1" applyBorder="1" applyAlignment="1">
      <alignment horizontal="center"/>
    </xf>
    <xf numFmtId="164" fontId="8" fillId="0" borderId="26" xfId="0" applyNumberFormat="1" applyFont="1" applyBorder="1" applyAlignment="1">
      <alignment horizontal="center" vertical="center"/>
    </xf>
    <xf numFmtId="0" fontId="8" fillId="6" borderId="5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164" fontId="0" fillId="0" borderId="26" xfId="0" applyNumberFormat="1" applyFont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0" xfId="0" applyFont="1"/>
    <xf numFmtId="0" fontId="2" fillId="0" borderId="24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2" fillId="6" borderId="21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164" fontId="0" fillId="0" borderId="8" xfId="0" applyNumberFormat="1" applyFont="1" applyBorder="1" applyAlignment="1">
      <alignment horizontal="center" vertical="center"/>
    </xf>
    <xf numFmtId="0" fontId="8" fillId="6" borderId="25" xfId="0" applyFont="1" applyFill="1" applyBorder="1" applyAlignment="1">
      <alignment horizontal="center" vertical="center"/>
    </xf>
    <xf numFmtId="0" fontId="0" fillId="6" borderId="6" xfId="0" applyFont="1" applyFill="1" applyBorder="1" applyAlignment="1">
      <alignment horizontal="center" vertical="center"/>
    </xf>
    <xf numFmtId="0" fontId="0" fillId="0" borderId="26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8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22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U68"/>
  <sheetViews>
    <sheetView rightToLeft="1" zoomScaleNormal="100" zoomScaleSheetLayoutView="100" workbookViewId="0">
      <pane ySplit="1" topLeftCell="A2" activePane="bottomLeft" state="frozen"/>
      <selection pane="bottomLeft" activeCell="BH2" sqref="BH2:BI33"/>
    </sheetView>
  </sheetViews>
  <sheetFormatPr defaultRowHeight="15" x14ac:dyDescent="0.25"/>
  <cols>
    <col min="1" max="1" width="7.140625" style="69" customWidth="1"/>
    <col min="2" max="2" width="8" style="44" bestFit="1" customWidth="1"/>
    <col min="3" max="3" width="12.140625" style="44" customWidth="1"/>
    <col min="4" max="4" width="8" style="44" customWidth="1"/>
    <col min="5" max="5" width="9.5703125" style="44" customWidth="1"/>
    <col min="6" max="7" width="11.28515625" style="44" hidden="1" customWidth="1"/>
    <col min="8" max="8" width="6.85546875" style="70" hidden="1" customWidth="1"/>
    <col min="9" max="10" width="8.5703125" style="70" hidden="1" customWidth="1"/>
    <col min="11" max="12" width="9.28515625" style="70" hidden="1" customWidth="1"/>
    <col min="13" max="14" width="12.140625" style="70" hidden="1" customWidth="1"/>
    <col min="15" max="15" width="6.7109375" style="70" customWidth="1"/>
    <col min="16" max="16" width="13" style="68" hidden="1" customWidth="1"/>
    <col min="17" max="17" width="15.85546875" style="68" hidden="1" customWidth="1"/>
    <col min="18" max="18" width="13" style="68" hidden="1" customWidth="1"/>
    <col min="19" max="19" width="16.28515625" style="68" hidden="1" customWidth="1"/>
    <col min="20" max="21" width="9.28515625" style="68" hidden="1" customWidth="1"/>
    <col min="22" max="22" width="6.42578125" style="68" customWidth="1"/>
    <col min="23" max="23" width="13" style="68" hidden="1" customWidth="1"/>
    <col min="24" max="24" width="13.7109375" style="68" hidden="1" customWidth="1"/>
    <col min="25" max="25" width="13" style="68" hidden="1" customWidth="1"/>
    <col min="26" max="26" width="8.85546875" style="68" hidden="1" customWidth="1"/>
    <col min="27" max="27" width="7.5703125" style="68" hidden="1" customWidth="1"/>
    <col min="28" max="28" width="8.85546875" style="68" hidden="1" customWidth="1"/>
    <col min="29" max="29" width="8.42578125" style="68" customWidth="1"/>
    <col min="30" max="32" width="8.42578125" style="68" hidden="1" customWidth="1"/>
    <col min="33" max="33" width="13" style="68" hidden="1" customWidth="1"/>
    <col min="34" max="35" width="8.42578125" style="68" hidden="1" customWidth="1"/>
    <col min="36" max="36" width="8.42578125" style="68" customWidth="1"/>
    <col min="37" max="42" width="8.42578125" style="68" hidden="1" customWidth="1"/>
    <col min="43" max="43" width="8.42578125" style="68" customWidth="1"/>
    <col min="44" max="49" width="8.42578125" style="68" hidden="1" customWidth="1"/>
    <col min="50" max="50" width="8.42578125" style="68" customWidth="1"/>
    <col min="51" max="53" width="8.42578125" style="68" hidden="1" customWidth="1"/>
    <col min="54" max="54" width="13" style="68" hidden="1" customWidth="1"/>
    <col min="55" max="56" width="8.42578125" style="68" hidden="1" customWidth="1"/>
    <col min="57" max="60" width="8.42578125" style="68" customWidth="1"/>
    <col min="61" max="61" width="13" style="68" customWidth="1"/>
    <col min="62" max="64" width="8.42578125" style="68" customWidth="1"/>
    <col min="65" max="65" width="9.140625" style="44"/>
    <col min="66" max="66" width="11" style="44" bestFit="1" customWidth="1"/>
    <col min="67" max="16384" width="9.140625" style="44"/>
  </cols>
  <sheetData>
    <row r="1" spans="1:73" ht="60.75" thickBot="1" x14ac:dyDescent="0.3">
      <c r="A1" s="38" t="s">
        <v>0</v>
      </c>
      <c r="B1" s="39" t="s">
        <v>1</v>
      </c>
      <c r="C1" s="39" t="s">
        <v>87</v>
      </c>
      <c r="D1" s="79" t="s">
        <v>3</v>
      </c>
      <c r="E1" s="39" t="s">
        <v>4</v>
      </c>
      <c r="F1" s="103" t="s">
        <v>158</v>
      </c>
      <c r="G1" s="40" t="s">
        <v>55</v>
      </c>
      <c r="H1" s="40" t="s">
        <v>2</v>
      </c>
      <c r="I1" s="38" t="s">
        <v>40</v>
      </c>
      <c r="J1" s="39" t="s">
        <v>41</v>
      </c>
      <c r="K1" s="39" t="s">
        <v>42</v>
      </c>
      <c r="L1" s="39" t="s">
        <v>43</v>
      </c>
      <c r="M1" s="41" t="s">
        <v>53</v>
      </c>
      <c r="N1" s="41" t="s">
        <v>54</v>
      </c>
      <c r="O1" s="42" t="s">
        <v>52</v>
      </c>
      <c r="P1" s="38" t="s">
        <v>31</v>
      </c>
      <c r="Q1" s="39" t="s">
        <v>32</v>
      </c>
      <c r="R1" s="39" t="s">
        <v>33</v>
      </c>
      <c r="S1" s="39" t="s">
        <v>34</v>
      </c>
      <c r="T1" s="41" t="s">
        <v>35</v>
      </c>
      <c r="U1" s="41" t="s">
        <v>36</v>
      </c>
      <c r="V1" s="42" t="s">
        <v>51</v>
      </c>
      <c r="W1" s="38" t="s">
        <v>47</v>
      </c>
      <c r="X1" s="39" t="s">
        <v>48</v>
      </c>
      <c r="Y1" s="39" t="s">
        <v>49</v>
      </c>
      <c r="Z1" s="39" t="s">
        <v>50</v>
      </c>
      <c r="AA1" s="41" t="s">
        <v>44</v>
      </c>
      <c r="AB1" s="41" t="s">
        <v>45</v>
      </c>
      <c r="AC1" s="42" t="s">
        <v>46</v>
      </c>
      <c r="AD1" s="38" t="s">
        <v>66</v>
      </c>
      <c r="AE1" s="39" t="s">
        <v>67</v>
      </c>
      <c r="AF1" s="39" t="s">
        <v>68</v>
      </c>
      <c r="AG1" s="39" t="s">
        <v>69</v>
      </c>
      <c r="AH1" s="41" t="s">
        <v>70</v>
      </c>
      <c r="AI1" s="41" t="s">
        <v>71</v>
      </c>
      <c r="AJ1" s="42" t="s">
        <v>72</v>
      </c>
      <c r="AK1" s="38" t="s">
        <v>118</v>
      </c>
      <c r="AL1" s="39" t="s">
        <v>119</v>
      </c>
      <c r="AM1" s="39" t="s">
        <v>120</v>
      </c>
      <c r="AN1" s="39" t="s">
        <v>121</v>
      </c>
      <c r="AO1" s="41" t="s">
        <v>122</v>
      </c>
      <c r="AP1" s="41" t="s">
        <v>123</v>
      </c>
      <c r="AQ1" s="42" t="s">
        <v>124</v>
      </c>
      <c r="AR1" s="78" t="s">
        <v>131</v>
      </c>
      <c r="AS1" s="79" t="s">
        <v>132</v>
      </c>
      <c r="AT1" s="79" t="s">
        <v>133</v>
      </c>
      <c r="AU1" s="79" t="s">
        <v>134</v>
      </c>
      <c r="AV1" s="80" t="s">
        <v>135</v>
      </c>
      <c r="AW1" s="80" t="s">
        <v>136</v>
      </c>
      <c r="AX1" s="81" t="s">
        <v>137</v>
      </c>
      <c r="AY1" s="78" t="s">
        <v>151</v>
      </c>
      <c r="AZ1" s="79" t="s">
        <v>152</v>
      </c>
      <c r="BA1" s="79" t="s">
        <v>153</v>
      </c>
      <c r="BB1" s="79" t="s">
        <v>154</v>
      </c>
      <c r="BC1" s="80" t="s">
        <v>155</v>
      </c>
      <c r="BD1" s="80" t="s">
        <v>156</v>
      </c>
      <c r="BE1" s="81" t="s">
        <v>157</v>
      </c>
      <c r="BF1" s="78" t="s">
        <v>171</v>
      </c>
      <c r="BG1" s="79" t="s">
        <v>172</v>
      </c>
      <c r="BH1" s="79" t="s">
        <v>173</v>
      </c>
      <c r="BI1" s="79" t="s">
        <v>174</v>
      </c>
      <c r="BJ1" s="80" t="s">
        <v>177</v>
      </c>
      <c r="BK1" s="80" t="s">
        <v>176</v>
      </c>
      <c r="BL1" s="81" t="s">
        <v>175</v>
      </c>
      <c r="BM1" s="102" t="s">
        <v>160</v>
      </c>
      <c r="BN1" s="102" t="s">
        <v>162</v>
      </c>
      <c r="BO1" s="102" t="s">
        <v>161</v>
      </c>
      <c r="BP1" s="102" t="s">
        <v>163</v>
      </c>
      <c r="BQ1" s="43" t="s">
        <v>130</v>
      </c>
      <c r="BR1" s="102" t="s">
        <v>159</v>
      </c>
      <c r="BS1" s="43" t="s">
        <v>145</v>
      </c>
      <c r="BT1" s="43" t="s">
        <v>146</v>
      </c>
      <c r="BU1" s="102" t="s">
        <v>147</v>
      </c>
    </row>
    <row r="2" spans="1:73" x14ac:dyDescent="0.25">
      <c r="A2" s="45">
        <v>9</v>
      </c>
      <c r="B2" s="85" t="s">
        <v>168</v>
      </c>
      <c r="C2" s="46" t="str">
        <f t="shared" ref="C2:C33" si="0">B2&amp;" "&amp;A2</f>
        <v>יעל 9</v>
      </c>
      <c r="D2" s="74" t="s">
        <v>6</v>
      </c>
      <c r="E2" s="74" t="s">
        <v>6</v>
      </c>
      <c r="F2" s="101">
        <v>43114</v>
      </c>
      <c r="G2" s="111" t="s">
        <v>86</v>
      </c>
      <c r="H2" s="124" t="s">
        <v>169</v>
      </c>
      <c r="I2" s="49"/>
      <c r="J2" s="50"/>
      <c r="K2" s="50"/>
      <c r="L2" s="50"/>
      <c r="M2" s="51">
        <f t="shared" ref="M2:M33" si="1">I2*3+K2</f>
        <v>0</v>
      </c>
      <c r="N2" s="51">
        <f t="shared" ref="N2:N33" si="2">J2*3+L2</f>
        <v>0</v>
      </c>
      <c r="O2" s="52">
        <f t="shared" ref="O2:O33" si="3">N2+M2</f>
        <v>0</v>
      </c>
      <c r="P2" s="45"/>
      <c r="Q2" s="47"/>
      <c r="R2" s="47"/>
      <c r="S2" s="47"/>
      <c r="T2" s="51">
        <f t="shared" ref="T2:T33" si="4">P2*3+R2</f>
        <v>0</v>
      </c>
      <c r="U2" s="51">
        <f t="shared" ref="U2:U33" si="5">Q2*3+S2</f>
        <v>0</v>
      </c>
      <c r="V2" s="53">
        <f t="shared" ref="V2:V33" si="6">U2+T2</f>
        <v>0</v>
      </c>
      <c r="W2" s="45"/>
      <c r="X2" s="47"/>
      <c r="Y2" s="47"/>
      <c r="Z2" s="47"/>
      <c r="AA2" s="54">
        <f t="shared" ref="AA2:AA33" si="7">W2*3+Y2</f>
        <v>0</v>
      </c>
      <c r="AB2" s="54">
        <f t="shared" ref="AB2:AB33" si="8">X2*3+Z2</f>
        <v>0</v>
      </c>
      <c r="AC2" s="55">
        <f t="shared" ref="AC2:AC33" si="9">AB2+AA2</f>
        <v>0</v>
      </c>
      <c r="AD2" s="45"/>
      <c r="AE2" s="47"/>
      <c r="AF2" s="47"/>
      <c r="AG2" s="47"/>
      <c r="AH2" s="51">
        <f t="shared" ref="AH2:AH33" si="10">AD2*3+AF2</f>
        <v>0</v>
      </c>
      <c r="AI2" s="51">
        <f t="shared" ref="AI2:AI33" si="11">AE2*3+AG2</f>
        <v>0</v>
      </c>
      <c r="AJ2" s="53">
        <f t="shared" ref="AJ2:AJ33" si="12">AI2+AH2</f>
        <v>0</v>
      </c>
      <c r="AK2" s="45"/>
      <c r="AL2" s="47"/>
      <c r="AM2" s="47"/>
      <c r="AN2" s="47"/>
      <c r="AO2" s="51">
        <f t="shared" ref="AO2:AO33" si="13">AK2*3+AM2</f>
        <v>0</v>
      </c>
      <c r="AP2" s="51">
        <f t="shared" ref="AP2:AP33" si="14">AL2*3+AN2</f>
        <v>0</v>
      </c>
      <c r="AQ2" s="53">
        <f t="shared" ref="AQ2:AQ33" si="15">AP2+AO2</f>
        <v>0</v>
      </c>
      <c r="AR2" s="45"/>
      <c r="AS2" s="47"/>
      <c r="AT2" s="47"/>
      <c r="AU2" s="47"/>
      <c r="AV2" s="51">
        <f t="shared" ref="AV2:AV33" si="16">AR2*3+AT2</f>
        <v>0</v>
      </c>
      <c r="AW2" s="51">
        <f t="shared" ref="AW2:AW33" si="17">AS2*3+AU2</f>
        <v>0</v>
      </c>
      <c r="AX2" s="53">
        <f t="shared" ref="AX2:AX33" si="18">AW2+AV2</f>
        <v>0</v>
      </c>
      <c r="AY2" s="45"/>
      <c r="AZ2" s="47"/>
      <c r="BA2" s="47"/>
      <c r="BB2" s="47"/>
      <c r="BC2" s="51">
        <f t="shared" ref="BC2:BC33" si="19">AY2*3+BA2</f>
        <v>0</v>
      </c>
      <c r="BD2" s="51">
        <f t="shared" ref="BD2:BD33" si="20">AZ2*3+BB2</f>
        <v>0</v>
      </c>
      <c r="BE2" s="53">
        <f t="shared" ref="BE2:BE33" si="21">BD2+BC2</f>
        <v>0</v>
      </c>
      <c r="BF2" s="45">
        <v>1</v>
      </c>
      <c r="BG2" s="47"/>
      <c r="BH2" s="47"/>
      <c r="BI2" s="47"/>
      <c r="BJ2" s="51">
        <f t="shared" ref="BJ2:BJ33" si="22">BF2*3+BH2</f>
        <v>3</v>
      </c>
      <c r="BK2" s="51">
        <f t="shared" ref="BK2:BK33" si="23">BG2*3+BI2</f>
        <v>0</v>
      </c>
      <c r="BL2" s="53">
        <f t="shared" ref="BL2:BL33" si="24">BK2+BJ2</f>
        <v>3</v>
      </c>
      <c r="BM2" s="56">
        <f t="shared" ref="BM2:BM33" si="25">SUM(AO2,AH2,AA2,T2,M2,AV2,BC2,BJ2)</f>
        <v>3</v>
      </c>
      <c r="BN2" s="106">
        <f t="shared" ref="BN2:BN33" ca="1" si="26">BM2/(TODAY()-F2)</f>
        <v>0.5</v>
      </c>
      <c r="BO2" s="56">
        <f t="shared" ref="BO2:BO33" si="27">SUM(AP2,AI2,AB2,U2,N2,AW2,BD2,BK2)</f>
        <v>0</v>
      </c>
      <c r="BP2" s="106">
        <f t="shared" ref="BP2:BP33" ca="1" si="28">BO2/(TODAY()-F2)</f>
        <v>0</v>
      </c>
      <c r="BQ2" s="56">
        <f t="shared" ref="BQ2:BQ33" si="29">BM2+BO2</f>
        <v>3</v>
      </c>
      <c r="BR2" s="106">
        <f t="shared" ref="BR2:BR33" ca="1" si="30">BP2+BN2</f>
        <v>0.5</v>
      </c>
      <c r="BS2" s="56">
        <f t="shared" ref="BS2:BS33" si="31">SUM(AR2,AK2,AD2,W2,P2,P2,I2,AY2,BF2)</f>
        <v>1</v>
      </c>
      <c r="BT2" s="56">
        <f t="shared" ref="BT2:BT33" si="32">SUM(AS2,AL2,AE2,X2,Q2,Q2,J2,AZ2,BG2)</f>
        <v>0</v>
      </c>
      <c r="BU2" s="56">
        <f t="shared" ref="BU2:BU33" si="33">BT2+BS2</f>
        <v>1</v>
      </c>
    </row>
    <row r="3" spans="1:73" x14ac:dyDescent="0.25">
      <c r="A3" s="45">
        <v>209</v>
      </c>
      <c r="B3" s="85" t="s">
        <v>170</v>
      </c>
      <c r="C3" s="46" t="str">
        <f t="shared" si="0"/>
        <v>אלינה 209</v>
      </c>
      <c r="D3" s="74" t="s">
        <v>6</v>
      </c>
      <c r="E3" s="74" t="s">
        <v>7</v>
      </c>
      <c r="F3" s="101">
        <v>43101</v>
      </c>
      <c r="G3" s="111" t="s">
        <v>86</v>
      </c>
      <c r="H3" s="48"/>
      <c r="I3" s="49"/>
      <c r="J3" s="50"/>
      <c r="K3" s="50"/>
      <c r="L3" s="50"/>
      <c r="M3" s="51">
        <f t="shared" si="1"/>
        <v>0</v>
      </c>
      <c r="N3" s="51">
        <f t="shared" si="2"/>
        <v>0</v>
      </c>
      <c r="O3" s="52">
        <f t="shared" si="3"/>
        <v>0</v>
      </c>
      <c r="P3" s="45"/>
      <c r="Q3" s="47"/>
      <c r="R3" s="47"/>
      <c r="S3" s="47"/>
      <c r="T3" s="51">
        <f t="shared" si="4"/>
        <v>0</v>
      </c>
      <c r="U3" s="51">
        <f t="shared" si="5"/>
        <v>0</v>
      </c>
      <c r="V3" s="53">
        <f t="shared" si="6"/>
        <v>0</v>
      </c>
      <c r="W3" s="45"/>
      <c r="X3" s="47"/>
      <c r="Y3" s="47"/>
      <c r="Z3" s="47"/>
      <c r="AA3" s="54">
        <f t="shared" si="7"/>
        <v>0</v>
      </c>
      <c r="AB3" s="54">
        <f t="shared" si="8"/>
        <v>0</v>
      </c>
      <c r="AC3" s="55">
        <f t="shared" si="9"/>
        <v>0</v>
      </c>
      <c r="AD3" s="45"/>
      <c r="AE3" s="47"/>
      <c r="AF3" s="47"/>
      <c r="AG3" s="47"/>
      <c r="AH3" s="51">
        <f t="shared" si="10"/>
        <v>0</v>
      </c>
      <c r="AI3" s="51">
        <f t="shared" si="11"/>
        <v>0</v>
      </c>
      <c r="AJ3" s="53">
        <f t="shared" si="12"/>
        <v>0</v>
      </c>
      <c r="AK3" s="45"/>
      <c r="AL3" s="47"/>
      <c r="AM3" s="47"/>
      <c r="AN3" s="47"/>
      <c r="AO3" s="51">
        <f t="shared" si="13"/>
        <v>0</v>
      </c>
      <c r="AP3" s="51">
        <f t="shared" si="14"/>
        <v>0</v>
      </c>
      <c r="AQ3" s="53">
        <f t="shared" si="15"/>
        <v>0</v>
      </c>
      <c r="AR3" s="45"/>
      <c r="AS3" s="47"/>
      <c r="AT3" s="47"/>
      <c r="AU3" s="47"/>
      <c r="AV3" s="51">
        <f t="shared" si="16"/>
        <v>0</v>
      </c>
      <c r="AW3" s="51">
        <f t="shared" si="17"/>
        <v>0</v>
      </c>
      <c r="AX3" s="53">
        <f t="shared" si="18"/>
        <v>0</v>
      </c>
      <c r="AY3" s="45">
        <v>1</v>
      </c>
      <c r="AZ3" s="47"/>
      <c r="BA3" s="47"/>
      <c r="BB3" s="47"/>
      <c r="BC3" s="51">
        <f t="shared" si="19"/>
        <v>3</v>
      </c>
      <c r="BD3" s="51">
        <f t="shared" si="20"/>
        <v>0</v>
      </c>
      <c r="BE3" s="53">
        <f t="shared" si="21"/>
        <v>3</v>
      </c>
      <c r="BF3" s="45"/>
      <c r="BG3" s="47">
        <v>1</v>
      </c>
      <c r="BH3" s="47"/>
      <c r="BI3" s="47"/>
      <c r="BJ3" s="51">
        <f t="shared" si="22"/>
        <v>0</v>
      </c>
      <c r="BK3" s="51">
        <f t="shared" si="23"/>
        <v>3</v>
      </c>
      <c r="BL3" s="53">
        <f t="shared" si="24"/>
        <v>3</v>
      </c>
      <c r="BM3" s="56">
        <f t="shared" si="25"/>
        <v>3</v>
      </c>
      <c r="BN3" s="106">
        <f t="shared" ca="1" si="26"/>
        <v>0.15789473684210525</v>
      </c>
      <c r="BO3" s="56">
        <f t="shared" si="27"/>
        <v>3</v>
      </c>
      <c r="BP3" s="106">
        <f t="shared" ca="1" si="28"/>
        <v>0.15789473684210525</v>
      </c>
      <c r="BQ3" s="56">
        <f t="shared" si="29"/>
        <v>6</v>
      </c>
      <c r="BR3" s="106">
        <f t="shared" ca="1" si="30"/>
        <v>0.31578947368421051</v>
      </c>
      <c r="BS3" s="56">
        <f t="shared" si="31"/>
        <v>1</v>
      </c>
      <c r="BT3" s="56">
        <f t="shared" si="32"/>
        <v>1</v>
      </c>
      <c r="BU3" s="56">
        <f t="shared" si="33"/>
        <v>2</v>
      </c>
    </row>
    <row r="4" spans="1:73" x14ac:dyDescent="0.25">
      <c r="A4" s="45">
        <v>474</v>
      </c>
      <c r="B4" s="46" t="s">
        <v>108</v>
      </c>
      <c r="C4" s="46" t="str">
        <f t="shared" si="0"/>
        <v>יהל אור 474</v>
      </c>
      <c r="D4" s="47" t="s">
        <v>6</v>
      </c>
      <c r="E4" s="47" t="s">
        <v>7</v>
      </c>
      <c r="F4" s="101">
        <v>42948</v>
      </c>
      <c r="G4" s="58">
        <v>43748</v>
      </c>
      <c r="H4" s="48"/>
      <c r="I4" s="49"/>
      <c r="J4" s="50"/>
      <c r="K4" s="50"/>
      <c r="L4" s="50"/>
      <c r="M4" s="51">
        <f t="shared" si="1"/>
        <v>0</v>
      </c>
      <c r="N4" s="51">
        <f t="shared" si="2"/>
        <v>0</v>
      </c>
      <c r="O4" s="52">
        <f t="shared" si="3"/>
        <v>0</v>
      </c>
      <c r="P4" s="45"/>
      <c r="Q4" s="47"/>
      <c r="R4" s="47">
        <v>4</v>
      </c>
      <c r="S4" s="47"/>
      <c r="T4" s="51">
        <f t="shared" si="4"/>
        <v>4</v>
      </c>
      <c r="U4" s="51">
        <f t="shared" si="5"/>
        <v>0</v>
      </c>
      <c r="V4" s="53">
        <f t="shared" si="6"/>
        <v>4</v>
      </c>
      <c r="W4" s="45">
        <v>1</v>
      </c>
      <c r="X4" s="47"/>
      <c r="Y4" s="47">
        <v>1</v>
      </c>
      <c r="Z4" s="47"/>
      <c r="AA4" s="54">
        <f t="shared" si="7"/>
        <v>4</v>
      </c>
      <c r="AB4" s="54">
        <f t="shared" si="8"/>
        <v>0</v>
      </c>
      <c r="AC4" s="55">
        <f t="shared" si="9"/>
        <v>4</v>
      </c>
      <c r="AD4" s="45"/>
      <c r="AE4" s="47"/>
      <c r="AF4" s="47">
        <v>2</v>
      </c>
      <c r="AG4" s="47">
        <v>2</v>
      </c>
      <c r="AH4" s="51">
        <f t="shared" si="10"/>
        <v>2</v>
      </c>
      <c r="AI4" s="51">
        <f t="shared" si="11"/>
        <v>2</v>
      </c>
      <c r="AJ4" s="53">
        <f t="shared" si="12"/>
        <v>4</v>
      </c>
      <c r="AK4" s="45"/>
      <c r="AL4" s="47"/>
      <c r="AM4" s="47">
        <v>2</v>
      </c>
      <c r="AN4" s="47">
        <v>1</v>
      </c>
      <c r="AO4" s="51">
        <f t="shared" si="13"/>
        <v>2</v>
      </c>
      <c r="AP4" s="51">
        <f t="shared" si="14"/>
        <v>1</v>
      </c>
      <c r="AQ4" s="53">
        <f t="shared" si="15"/>
        <v>3</v>
      </c>
      <c r="AR4" s="45">
        <v>1</v>
      </c>
      <c r="AS4" s="47"/>
      <c r="AT4" s="47"/>
      <c r="AU4" s="47"/>
      <c r="AV4" s="51">
        <f t="shared" si="16"/>
        <v>3</v>
      </c>
      <c r="AW4" s="51">
        <f t="shared" si="17"/>
        <v>0</v>
      </c>
      <c r="AX4" s="53">
        <f t="shared" si="18"/>
        <v>3</v>
      </c>
      <c r="AY4" s="45"/>
      <c r="AZ4" s="47"/>
      <c r="BA4" s="47">
        <v>3</v>
      </c>
      <c r="BB4" s="47"/>
      <c r="BC4" s="51">
        <f t="shared" si="19"/>
        <v>3</v>
      </c>
      <c r="BD4" s="51">
        <f t="shared" si="20"/>
        <v>0</v>
      </c>
      <c r="BE4" s="53">
        <f t="shared" si="21"/>
        <v>3</v>
      </c>
      <c r="BF4" s="45">
        <v>1</v>
      </c>
      <c r="BG4" s="47"/>
      <c r="BH4" s="47"/>
      <c r="BI4" s="47"/>
      <c r="BJ4" s="51">
        <f t="shared" si="22"/>
        <v>3</v>
      </c>
      <c r="BK4" s="51">
        <f t="shared" si="23"/>
        <v>0</v>
      </c>
      <c r="BL4" s="53">
        <f t="shared" si="24"/>
        <v>3</v>
      </c>
      <c r="BM4" s="56">
        <f t="shared" si="25"/>
        <v>21</v>
      </c>
      <c r="BN4" s="106">
        <f t="shared" ca="1" si="26"/>
        <v>0.12209302325581395</v>
      </c>
      <c r="BO4" s="56">
        <f t="shared" si="27"/>
        <v>3</v>
      </c>
      <c r="BP4" s="106">
        <f t="shared" ca="1" si="28"/>
        <v>1.7441860465116279E-2</v>
      </c>
      <c r="BQ4" s="56">
        <f t="shared" si="29"/>
        <v>24</v>
      </c>
      <c r="BR4" s="106">
        <f t="shared" ca="1" si="30"/>
        <v>0.13953488372093023</v>
      </c>
      <c r="BS4" s="56">
        <f t="shared" si="31"/>
        <v>3</v>
      </c>
      <c r="BT4" s="56">
        <f t="shared" si="32"/>
        <v>0</v>
      </c>
      <c r="BU4" s="56">
        <f t="shared" si="33"/>
        <v>3</v>
      </c>
    </row>
    <row r="5" spans="1:73" x14ac:dyDescent="0.25">
      <c r="A5" s="45">
        <v>11</v>
      </c>
      <c r="B5" s="46" t="s">
        <v>13</v>
      </c>
      <c r="C5" s="46" t="str">
        <f t="shared" si="0"/>
        <v>עדן 11</v>
      </c>
      <c r="D5" s="47" t="s">
        <v>6</v>
      </c>
      <c r="E5" s="47" t="s">
        <v>7</v>
      </c>
      <c r="F5" s="101">
        <v>42917</v>
      </c>
      <c r="G5" s="58">
        <v>43490</v>
      </c>
      <c r="H5" s="124" t="s">
        <v>169</v>
      </c>
      <c r="I5" s="49">
        <v>1</v>
      </c>
      <c r="J5" s="50"/>
      <c r="K5" s="50">
        <v>4</v>
      </c>
      <c r="L5" s="50"/>
      <c r="M5" s="51">
        <f t="shared" si="1"/>
        <v>7</v>
      </c>
      <c r="N5" s="51">
        <f t="shared" si="2"/>
        <v>0</v>
      </c>
      <c r="O5" s="52">
        <f t="shared" si="3"/>
        <v>7</v>
      </c>
      <c r="P5" s="45"/>
      <c r="Q5" s="47"/>
      <c r="R5" s="47">
        <v>3</v>
      </c>
      <c r="S5" s="47"/>
      <c r="T5" s="51">
        <f t="shared" si="4"/>
        <v>3</v>
      </c>
      <c r="U5" s="51">
        <f t="shared" si="5"/>
        <v>0</v>
      </c>
      <c r="V5" s="53">
        <f t="shared" si="6"/>
        <v>3</v>
      </c>
      <c r="W5" s="45">
        <v>1</v>
      </c>
      <c r="X5" s="47">
        <v>1</v>
      </c>
      <c r="Y5" s="47"/>
      <c r="Z5" s="47">
        <v>1</v>
      </c>
      <c r="AA5" s="54">
        <f t="shared" si="7"/>
        <v>3</v>
      </c>
      <c r="AB5" s="54">
        <f t="shared" si="8"/>
        <v>4</v>
      </c>
      <c r="AC5" s="55">
        <f t="shared" si="9"/>
        <v>7</v>
      </c>
      <c r="AD5" s="45"/>
      <c r="AE5" s="47"/>
      <c r="AF5" s="47">
        <v>1</v>
      </c>
      <c r="AG5" s="47"/>
      <c r="AH5" s="51">
        <f t="shared" si="10"/>
        <v>1</v>
      </c>
      <c r="AI5" s="51">
        <f t="shared" si="11"/>
        <v>0</v>
      </c>
      <c r="AJ5" s="53">
        <f t="shared" si="12"/>
        <v>1</v>
      </c>
      <c r="AK5" s="45"/>
      <c r="AL5" s="47"/>
      <c r="AM5" s="47">
        <v>2</v>
      </c>
      <c r="AN5" s="47"/>
      <c r="AO5" s="51">
        <f t="shared" si="13"/>
        <v>2</v>
      </c>
      <c r="AP5" s="51">
        <f t="shared" si="14"/>
        <v>0</v>
      </c>
      <c r="AQ5" s="53">
        <f t="shared" si="15"/>
        <v>2</v>
      </c>
      <c r="AR5" s="45">
        <v>1</v>
      </c>
      <c r="AS5" s="47"/>
      <c r="AT5" s="47"/>
      <c r="AU5" s="47"/>
      <c r="AV5" s="51">
        <f t="shared" si="16"/>
        <v>3</v>
      </c>
      <c r="AW5" s="51">
        <f t="shared" si="17"/>
        <v>0</v>
      </c>
      <c r="AX5" s="53">
        <f t="shared" si="18"/>
        <v>3</v>
      </c>
      <c r="AY5" s="45"/>
      <c r="AZ5" s="47"/>
      <c r="BA5" s="47">
        <v>2</v>
      </c>
      <c r="BB5" s="47"/>
      <c r="BC5" s="51">
        <f t="shared" si="19"/>
        <v>2</v>
      </c>
      <c r="BD5" s="51">
        <f t="shared" si="20"/>
        <v>0</v>
      </c>
      <c r="BE5" s="53">
        <f t="shared" si="21"/>
        <v>2</v>
      </c>
      <c r="BF5" s="45">
        <v>1</v>
      </c>
      <c r="BG5" s="47"/>
      <c r="BH5" s="47"/>
      <c r="BI5" s="47"/>
      <c r="BJ5" s="51">
        <f t="shared" si="22"/>
        <v>3</v>
      </c>
      <c r="BK5" s="51">
        <f t="shared" si="23"/>
        <v>0</v>
      </c>
      <c r="BL5" s="53">
        <f t="shared" si="24"/>
        <v>3</v>
      </c>
      <c r="BM5" s="56">
        <f t="shared" si="25"/>
        <v>24</v>
      </c>
      <c r="BN5" s="106">
        <f t="shared" ca="1" si="26"/>
        <v>0.11822660098522167</v>
      </c>
      <c r="BO5" s="56">
        <f t="shared" si="27"/>
        <v>4</v>
      </c>
      <c r="BP5" s="106">
        <f t="shared" ca="1" si="28"/>
        <v>1.9704433497536946E-2</v>
      </c>
      <c r="BQ5" s="56">
        <f t="shared" si="29"/>
        <v>28</v>
      </c>
      <c r="BR5" s="106">
        <f t="shared" ca="1" si="30"/>
        <v>0.13793103448275862</v>
      </c>
      <c r="BS5" s="56">
        <f t="shared" si="31"/>
        <v>4</v>
      </c>
      <c r="BT5" s="56">
        <f t="shared" si="32"/>
        <v>1</v>
      </c>
      <c r="BU5" s="56">
        <f t="shared" si="33"/>
        <v>5</v>
      </c>
    </row>
    <row r="6" spans="1:73" x14ac:dyDescent="0.25">
      <c r="A6" s="45">
        <v>679</v>
      </c>
      <c r="B6" s="46" t="s">
        <v>11</v>
      </c>
      <c r="C6" s="46" t="str">
        <f t="shared" si="0"/>
        <v>מירב 679</v>
      </c>
      <c r="D6" s="47" t="s">
        <v>6</v>
      </c>
      <c r="E6" s="47" t="s">
        <v>7</v>
      </c>
      <c r="F6" s="101">
        <v>42917</v>
      </c>
      <c r="G6" s="57">
        <v>43421</v>
      </c>
      <c r="H6" s="48"/>
      <c r="I6" s="49">
        <v>1</v>
      </c>
      <c r="J6" s="50"/>
      <c r="K6" s="50">
        <v>3</v>
      </c>
      <c r="L6" s="50">
        <v>1</v>
      </c>
      <c r="M6" s="51">
        <f t="shared" si="1"/>
        <v>6</v>
      </c>
      <c r="N6" s="51">
        <f t="shared" si="2"/>
        <v>1</v>
      </c>
      <c r="O6" s="52">
        <f t="shared" si="3"/>
        <v>7</v>
      </c>
      <c r="P6" s="45"/>
      <c r="Q6" s="47"/>
      <c r="R6" s="47">
        <v>1</v>
      </c>
      <c r="S6" s="47">
        <v>1</v>
      </c>
      <c r="T6" s="51">
        <f t="shared" si="4"/>
        <v>1</v>
      </c>
      <c r="U6" s="51">
        <f t="shared" si="5"/>
        <v>1</v>
      </c>
      <c r="V6" s="53">
        <f t="shared" si="6"/>
        <v>2</v>
      </c>
      <c r="W6" s="45"/>
      <c r="X6" s="47"/>
      <c r="Y6" s="47">
        <v>3</v>
      </c>
      <c r="Z6" s="47"/>
      <c r="AA6" s="54">
        <f t="shared" si="7"/>
        <v>3</v>
      </c>
      <c r="AB6" s="54">
        <f t="shared" si="8"/>
        <v>0</v>
      </c>
      <c r="AC6" s="55">
        <f t="shared" si="9"/>
        <v>3</v>
      </c>
      <c r="AD6" s="45">
        <v>1</v>
      </c>
      <c r="AE6" s="47">
        <v>1</v>
      </c>
      <c r="AF6" s="47">
        <v>1</v>
      </c>
      <c r="AG6" s="47">
        <v>1</v>
      </c>
      <c r="AH6" s="51">
        <f t="shared" si="10"/>
        <v>4</v>
      </c>
      <c r="AI6" s="51">
        <f t="shared" si="11"/>
        <v>4</v>
      </c>
      <c r="AJ6" s="53">
        <f t="shared" si="12"/>
        <v>8</v>
      </c>
      <c r="AK6" s="45"/>
      <c r="AL6" s="47"/>
      <c r="AM6" s="47">
        <v>1</v>
      </c>
      <c r="AN6" s="47">
        <v>1</v>
      </c>
      <c r="AO6" s="51">
        <f t="shared" si="13"/>
        <v>1</v>
      </c>
      <c r="AP6" s="51">
        <f t="shared" si="14"/>
        <v>1</v>
      </c>
      <c r="AQ6" s="53">
        <f t="shared" si="15"/>
        <v>2</v>
      </c>
      <c r="AR6" s="45"/>
      <c r="AS6" s="47"/>
      <c r="AT6" s="47">
        <v>1</v>
      </c>
      <c r="AU6" s="47">
        <v>2</v>
      </c>
      <c r="AV6" s="51">
        <f t="shared" si="16"/>
        <v>1</v>
      </c>
      <c r="AW6" s="51">
        <f t="shared" si="17"/>
        <v>2</v>
      </c>
      <c r="AX6" s="53">
        <f t="shared" si="18"/>
        <v>3</v>
      </c>
      <c r="AY6" s="45"/>
      <c r="AZ6" s="47"/>
      <c r="BA6" s="47">
        <v>2</v>
      </c>
      <c r="BB6" s="47">
        <v>1</v>
      </c>
      <c r="BC6" s="51">
        <f t="shared" si="19"/>
        <v>2</v>
      </c>
      <c r="BD6" s="51">
        <f t="shared" si="20"/>
        <v>1</v>
      </c>
      <c r="BE6" s="53">
        <f t="shared" si="21"/>
        <v>3</v>
      </c>
      <c r="BF6" s="45"/>
      <c r="BG6" s="47"/>
      <c r="BH6" s="47"/>
      <c r="BI6" s="47"/>
      <c r="BJ6" s="51">
        <f t="shared" si="22"/>
        <v>0</v>
      </c>
      <c r="BK6" s="51">
        <f t="shared" si="23"/>
        <v>0</v>
      </c>
      <c r="BL6" s="53">
        <f t="shared" si="24"/>
        <v>0</v>
      </c>
      <c r="BM6" s="56">
        <f t="shared" si="25"/>
        <v>18</v>
      </c>
      <c r="BN6" s="106">
        <f t="shared" ca="1" si="26"/>
        <v>8.8669950738916259E-2</v>
      </c>
      <c r="BO6" s="56">
        <f t="shared" si="27"/>
        <v>10</v>
      </c>
      <c r="BP6" s="106">
        <f t="shared" ca="1" si="28"/>
        <v>4.9261083743842367E-2</v>
      </c>
      <c r="BQ6" s="56">
        <f t="shared" si="29"/>
        <v>28</v>
      </c>
      <c r="BR6" s="106">
        <f t="shared" ca="1" si="30"/>
        <v>0.13793103448275862</v>
      </c>
      <c r="BS6" s="56">
        <f t="shared" si="31"/>
        <v>2</v>
      </c>
      <c r="BT6" s="56">
        <f t="shared" si="32"/>
        <v>1</v>
      </c>
      <c r="BU6" s="56">
        <f t="shared" si="33"/>
        <v>3</v>
      </c>
    </row>
    <row r="7" spans="1:73" x14ac:dyDescent="0.25">
      <c r="A7" s="109">
        <v>679</v>
      </c>
      <c r="B7" s="110" t="s">
        <v>5</v>
      </c>
      <c r="C7" s="46" t="str">
        <f t="shared" si="0"/>
        <v>מאי 679</v>
      </c>
      <c r="D7" s="47" t="s">
        <v>6</v>
      </c>
      <c r="E7" s="47" t="s">
        <v>7</v>
      </c>
      <c r="F7" s="101">
        <v>42917</v>
      </c>
      <c r="G7" s="57">
        <v>43360</v>
      </c>
      <c r="H7" s="48"/>
      <c r="I7" s="49"/>
      <c r="J7" s="50">
        <v>1</v>
      </c>
      <c r="K7" s="50">
        <v>2</v>
      </c>
      <c r="L7" s="50"/>
      <c r="M7" s="51">
        <f t="shared" si="1"/>
        <v>2</v>
      </c>
      <c r="N7" s="51">
        <f t="shared" si="2"/>
        <v>3</v>
      </c>
      <c r="O7" s="52">
        <f t="shared" si="3"/>
        <v>5</v>
      </c>
      <c r="P7" s="45">
        <v>1</v>
      </c>
      <c r="Q7" s="47"/>
      <c r="R7" s="47">
        <v>1</v>
      </c>
      <c r="S7" s="47">
        <v>1</v>
      </c>
      <c r="T7" s="51">
        <f t="shared" si="4"/>
        <v>4</v>
      </c>
      <c r="U7" s="51">
        <f t="shared" si="5"/>
        <v>1</v>
      </c>
      <c r="V7" s="53">
        <f t="shared" si="6"/>
        <v>5</v>
      </c>
      <c r="W7" s="45"/>
      <c r="X7" s="47">
        <v>1</v>
      </c>
      <c r="Y7" s="47">
        <v>2</v>
      </c>
      <c r="Z7" s="47"/>
      <c r="AA7" s="54">
        <f t="shared" si="7"/>
        <v>2</v>
      </c>
      <c r="AB7" s="54">
        <f t="shared" si="8"/>
        <v>3</v>
      </c>
      <c r="AC7" s="55">
        <f t="shared" si="9"/>
        <v>5</v>
      </c>
      <c r="AD7" s="45"/>
      <c r="AE7" s="47"/>
      <c r="AF7" s="47">
        <v>2</v>
      </c>
      <c r="AG7" s="47"/>
      <c r="AH7" s="51">
        <f t="shared" si="10"/>
        <v>2</v>
      </c>
      <c r="AI7" s="51">
        <f t="shared" si="11"/>
        <v>0</v>
      </c>
      <c r="AJ7" s="53">
        <f t="shared" si="12"/>
        <v>2</v>
      </c>
      <c r="AK7" s="45">
        <v>1</v>
      </c>
      <c r="AL7" s="47"/>
      <c r="AM7" s="47"/>
      <c r="AN7" s="47">
        <v>2</v>
      </c>
      <c r="AO7" s="51">
        <f t="shared" si="13"/>
        <v>3</v>
      </c>
      <c r="AP7" s="51">
        <f t="shared" si="14"/>
        <v>2</v>
      </c>
      <c r="AQ7" s="53">
        <f t="shared" si="15"/>
        <v>5</v>
      </c>
      <c r="AR7" s="45"/>
      <c r="AS7" s="47">
        <v>1</v>
      </c>
      <c r="AT7" s="47"/>
      <c r="AU7" s="47">
        <v>3</v>
      </c>
      <c r="AV7" s="51">
        <f t="shared" si="16"/>
        <v>0</v>
      </c>
      <c r="AW7" s="51">
        <f t="shared" si="17"/>
        <v>6</v>
      </c>
      <c r="AX7" s="53">
        <f t="shared" si="18"/>
        <v>6</v>
      </c>
      <c r="AY7" s="45"/>
      <c r="AZ7" s="47"/>
      <c r="BA7" s="47"/>
      <c r="BB7" s="47"/>
      <c r="BC7" s="51">
        <f t="shared" si="19"/>
        <v>0</v>
      </c>
      <c r="BD7" s="51">
        <f t="shared" si="20"/>
        <v>0</v>
      </c>
      <c r="BE7" s="53">
        <f t="shared" si="21"/>
        <v>0</v>
      </c>
      <c r="BF7" s="45"/>
      <c r="BG7" s="47"/>
      <c r="BH7" s="47"/>
      <c r="BI7" s="47"/>
      <c r="BJ7" s="51">
        <f t="shared" si="22"/>
        <v>0</v>
      </c>
      <c r="BK7" s="51">
        <f t="shared" si="23"/>
        <v>0</v>
      </c>
      <c r="BL7" s="53">
        <f t="shared" si="24"/>
        <v>0</v>
      </c>
      <c r="BM7" s="56">
        <f t="shared" si="25"/>
        <v>13</v>
      </c>
      <c r="BN7" s="106">
        <f t="shared" ca="1" si="26"/>
        <v>6.4039408866995079E-2</v>
      </c>
      <c r="BO7" s="56">
        <f t="shared" si="27"/>
        <v>15</v>
      </c>
      <c r="BP7" s="106">
        <f t="shared" ca="1" si="28"/>
        <v>7.3891625615763554E-2</v>
      </c>
      <c r="BQ7" s="56">
        <f t="shared" si="29"/>
        <v>28</v>
      </c>
      <c r="BR7" s="106">
        <f t="shared" ca="1" si="30"/>
        <v>0.13793103448275862</v>
      </c>
      <c r="BS7" s="56">
        <f t="shared" si="31"/>
        <v>3</v>
      </c>
      <c r="BT7" s="56">
        <f t="shared" si="32"/>
        <v>3</v>
      </c>
      <c r="BU7" s="56">
        <f t="shared" si="33"/>
        <v>6</v>
      </c>
    </row>
    <row r="8" spans="1:73" x14ac:dyDescent="0.25">
      <c r="A8" s="45" t="s">
        <v>17</v>
      </c>
      <c r="B8" s="46" t="s">
        <v>16</v>
      </c>
      <c r="C8" s="46" t="str">
        <f t="shared" si="0"/>
        <v>שיר מפאוג</v>
      </c>
      <c r="D8" s="47" t="s">
        <v>6</v>
      </c>
      <c r="E8" s="47" t="s">
        <v>7</v>
      </c>
      <c r="F8" s="101">
        <v>42917</v>
      </c>
      <c r="G8" s="57">
        <v>43360</v>
      </c>
      <c r="H8" s="48"/>
      <c r="I8" s="49"/>
      <c r="J8" s="50"/>
      <c r="K8" s="50">
        <v>2</v>
      </c>
      <c r="L8" s="50"/>
      <c r="M8" s="51">
        <f t="shared" si="1"/>
        <v>2</v>
      </c>
      <c r="N8" s="51">
        <f t="shared" si="2"/>
        <v>0</v>
      </c>
      <c r="O8" s="52">
        <f t="shared" si="3"/>
        <v>2</v>
      </c>
      <c r="P8" s="45">
        <v>1</v>
      </c>
      <c r="Q8" s="47"/>
      <c r="R8" s="47"/>
      <c r="S8" s="47"/>
      <c r="T8" s="51">
        <f t="shared" si="4"/>
        <v>3</v>
      </c>
      <c r="U8" s="51">
        <f t="shared" si="5"/>
        <v>0</v>
      </c>
      <c r="V8" s="53">
        <f t="shared" si="6"/>
        <v>3</v>
      </c>
      <c r="W8" s="45"/>
      <c r="X8" s="47">
        <v>1</v>
      </c>
      <c r="Y8" s="47">
        <v>2</v>
      </c>
      <c r="Z8" s="47"/>
      <c r="AA8" s="54">
        <f t="shared" si="7"/>
        <v>2</v>
      </c>
      <c r="AB8" s="54">
        <f t="shared" si="8"/>
        <v>3</v>
      </c>
      <c r="AC8" s="55">
        <f t="shared" si="9"/>
        <v>5</v>
      </c>
      <c r="AD8" s="45"/>
      <c r="AE8" s="47"/>
      <c r="AF8" s="47">
        <v>3</v>
      </c>
      <c r="AG8" s="47"/>
      <c r="AH8" s="51">
        <f t="shared" si="10"/>
        <v>3</v>
      </c>
      <c r="AI8" s="51">
        <f t="shared" si="11"/>
        <v>0</v>
      </c>
      <c r="AJ8" s="53">
        <f t="shared" si="12"/>
        <v>3</v>
      </c>
      <c r="AK8" s="45"/>
      <c r="AL8" s="47"/>
      <c r="AM8" s="47">
        <v>2</v>
      </c>
      <c r="AN8" s="47">
        <v>1</v>
      </c>
      <c r="AO8" s="51">
        <f t="shared" si="13"/>
        <v>2</v>
      </c>
      <c r="AP8" s="51">
        <f t="shared" si="14"/>
        <v>1</v>
      </c>
      <c r="AQ8" s="53">
        <f t="shared" si="15"/>
        <v>3</v>
      </c>
      <c r="AR8" s="45">
        <v>1</v>
      </c>
      <c r="AS8" s="47"/>
      <c r="AT8" s="47">
        <v>2</v>
      </c>
      <c r="AU8" s="47"/>
      <c r="AV8" s="51">
        <f t="shared" si="16"/>
        <v>5</v>
      </c>
      <c r="AW8" s="51">
        <f t="shared" si="17"/>
        <v>0</v>
      </c>
      <c r="AX8" s="53">
        <f t="shared" si="18"/>
        <v>5</v>
      </c>
      <c r="AY8" s="45"/>
      <c r="AZ8" s="47"/>
      <c r="BA8" s="47">
        <v>2</v>
      </c>
      <c r="BB8" s="47"/>
      <c r="BC8" s="51">
        <f t="shared" si="19"/>
        <v>2</v>
      </c>
      <c r="BD8" s="51">
        <f t="shared" si="20"/>
        <v>0</v>
      </c>
      <c r="BE8" s="53">
        <f t="shared" si="21"/>
        <v>2</v>
      </c>
      <c r="BF8" s="45"/>
      <c r="BG8" s="47">
        <v>1</v>
      </c>
      <c r="BH8" s="47"/>
      <c r="BI8" s="47"/>
      <c r="BJ8" s="51">
        <f t="shared" si="22"/>
        <v>0</v>
      </c>
      <c r="BK8" s="51">
        <f t="shared" si="23"/>
        <v>3</v>
      </c>
      <c r="BL8" s="53">
        <f t="shared" si="24"/>
        <v>3</v>
      </c>
      <c r="BM8" s="56">
        <f t="shared" si="25"/>
        <v>19</v>
      </c>
      <c r="BN8" s="106">
        <f t="shared" ca="1" si="26"/>
        <v>9.3596059113300489E-2</v>
      </c>
      <c r="BO8" s="56">
        <f t="shared" si="27"/>
        <v>7</v>
      </c>
      <c r="BP8" s="106">
        <f t="shared" ca="1" si="28"/>
        <v>3.4482758620689655E-2</v>
      </c>
      <c r="BQ8" s="56">
        <f t="shared" si="29"/>
        <v>26</v>
      </c>
      <c r="BR8" s="106">
        <f t="shared" ca="1" si="30"/>
        <v>0.12807881773399016</v>
      </c>
      <c r="BS8" s="56">
        <f t="shared" si="31"/>
        <v>3</v>
      </c>
      <c r="BT8" s="56">
        <f t="shared" si="32"/>
        <v>2</v>
      </c>
      <c r="BU8" s="56">
        <f t="shared" si="33"/>
        <v>5</v>
      </c>
    </row>
    <row r="9" spans="1:73" x14ac:dyDescent="0.25">
      <c r="A9" s="45" t="s">
        <v>19</v>
      </c>
      <c r="B9" s="46" t="s">
        <v>16</v>
      </c>
      <c r="C9" s="46" t="str">
        <f t="shared" si="0"/>
        <v>שיר מרחבים</v>
      </c>
      <c r="D9" s="47" t="s">
        <v>6</v>
      </c>
      <c r="E9" s="47" t="s">
        <v>7</v>
      </c>
      <c r="F9" s="101">
        <v>42917</v>
      </c>
      <c r="G9" s="57">
        <v>43524</v>
      </c>
      <c r="H9" s="48"/>
      <c r="I9" s="49">
        <v>1</v>
      </c>
      <c r="J9" s="50"/>
      <c r="K9" s="50">
        <v>2</v>
      </c>
      <c r="L9" s="50">
        <v>1</v>
      </c>
      <c r="M9" s="51">
        <f t="shared" si="1"/>
        <v>5</v>
      </c>
      <c r="N9" s="51">
        <f t="shared" si="2"/>
        <v>1</v>
      </c>
      <c r="O9" s="52">
        <f t="shared" si="3"/>
        <v>6</v>
      </c>
      <c r="P9" s="45"/>
      <c r="Q9" s="47"/>
      <c r="R9" s="47"/>
      <c r="S9" s="47">
        <v>1</v>
      </c>
      <c r="T9" s="51">
        <f t="shared" si="4"/>
        <v>0</v>
      </c>
      <c r="U9" s="51">
        <f t="shared" si="5"/>
        <v>1</v>
      </c>
      <c r="V9" s="53">
        <f t="shared" si="6"/>
        <v>1</v>
      </c>
      <c r="W9" s="45">
        <v>1</v>
      </c>
      <c r="X9" s="47"/>
      <c r="Y9" s="47">
        <v>1</v>
      </c>
      <c r="Z9" s="47"/>
      <c r="AA9" s="54">
        <f t="shared" si="7"/>
        <v>4</v>
      </c>
      <c r="AB9" s="54">
        <f t="shared" si="8"/>
        <v>0</v>
      </c>
      <c r="AC9" s="55">
        <f t="shared" si="9"/>
        <v>4</v>
      </c>
      <c r="AD9" s="45"/>
      <c r="AE9" s="47"/>
      <c r="AF9" s="47">
        <v>3</v>
      </c>
      <c r="AG9" s="47">
        <v>1</v>
      </c>
      <c r="AH9" s="51">
        <f t="shared" si="10"/>
        <v>3</v>
      </c>
      <c r="AI9" s="51">
        <f t="shared" si="11"/>
        <v>1</v>
      </c>
      <c r="AJ9" s="53">
        <f t="shared" si="12"/>
        <v>4</v>
      </c>
      <c r="AK9" s="45"/>
      <c r="AL9" s="47"/>
      <c r="AM9" s="47">
        <v>2</v>
      </c>
      <c r="AN9" s="47">
        <v>1</v>
      </c>
      <c r="AO9" s="51">
        <f t="shared" si="13"/>
        <v>2</v>
      </c>
      <c r="AP9" s="51">
        <f t="shared" si="14"/>
        <v>1</v>
      </c>
      <c r="AQ9" s="53">
        <f t="shared" si="15"/>
        <v>3</v>
      </c>
      <c r="AR9" s="45">
        <v>1</v>
      </c>
      <c r="AS9" s="47"/>
      <c r="AT9" s="47"/>
      <c r="AU9" s="47"/>
      <c r="AV9" s="51">
        <f t="shared" si="16"/>
        <v>3</v>
      </c>
      <c r="AW9" s="51">
        <f t="shared" si="17"/>
        <v>0</v>
      </c>
      <c r="AX9" s="53">
        <f t="shared" si="18"/>
        <v>3</v>
      </c>
      <c r="AY9" s="45"/>
      <c r="AZ9" s="47"/>
      <c r="BA9" s="47">
        <v>2</v>
      </c>
      <c r="BB9" s="47"/>
      <c r="BC9" s="51">
        <f t="shared" si="19"/>
        <v>2</v>
      </c>
      <c r="BD9" s="51">
        <f t="shared" si="20"/>
        <v>0</v>
      </c>
      <c r="BE9" s="53">
        <f t="shared" si="21"/>
        <v>2</v>
      </c>
      <c r="BF9" s="45"/>
      <c r="BG9" s="47">
        <v>1</v>
      </c>
      <c r="BH9" s="47"/>
      <c r="BI9" s="47"/>
      <c r="BJ9" s="51">
        <f t="shared" si="22"/>
        <v>0</v>
      </c>
      <c r="BK9" s="51">
        <f t="shared" si="23"/>
        <v>3</v>
      </c>
      <c r="BL9" s="53">
        <f t="shared" si="24"/>
        <v>3</v>
      </c>
      <c r="BM9" s="56">
        <f t="shared" si="25"/>
        <v>19</v>
      </c>
      <c r="BN9" s="106">
        <f t="shared" ca="1" si="26"/>
        <v>9.3596059113300489E-2</v>
      </c>
      <c r="BO9" s="56">
        <f t="shared" si="27"/>
        <v>7</v>
      </c>
      <c r="BP9" s="106">
        <f t="shared" ca="1" si="28"/>
        <v>3.4482758620689655E-2</v>
      </c>
      <c r="BQ9" s="56">
        <f t="shared" si="29"/>
        <v>26</v>
      </c>
      <c r="BR9" s="106">
        <f t="shared" ca="1" si="30"/>
        <v>0.12807881773399016</v>
      </c>
      <c r="BS9" s="56">
        <f t="shared" si="31"/>
        <v>3</v>
      </c>
      <c r="BT9" s="56">
        <f t="shared" si="32"/>
        <v>1</v>
      </c>
      <c r="BU9" s="56">
        <f t="shared" si="33"/>
        <v>4</v>
      </c>
    </row>
    <row r="10" spans="1:73" x14ac:dyDescent="0.25">
      <c r="A10" s="45">
        <v>474</v>
      </c>
      <c r="B10" s="46" t="s">
        <v>5</v>
      </c>
      <c r="C10" s="46" t="str">
        <f t="shared" si="0"/>
        <v>מאי 474</v>
      </c>
      <c r="D10" s="74" t="s">
        <v>7</v>
      </c>
      <c r="E10" s="74" t="s">
        <v>7</v>
      </c>
      <c r="F10" s="101">
        <v>42979</v>
      </c>
      <c r="G10" s="57">
        <v>43661</v>
      </c>
      <c r="H10" s="48"/>
      <c r="I10" s="49"/>
      <c r="J10" s="50"/>
      <c r="K10" s="50"/>
      <c r="L10" s="50"/>
      <c r="M10" s="51">
        <f t="shared" si="1"/>
        <v>0</v>
      </c>
      <c r="N10" s="51">
        <f t="shared" si="2"/>
        <v>0</v>
      </c>
      <c r="O10" s="52">
        <f t="shared" si="3"/>
        <v>0</v>
      </c>
      <c r="P10" s="45"/>
      <c r="Q10" s="47"/>
      <c r="R10" s="47"/>
      <c r="S10" s="47"/>
      <c r="T10" s="51">
        <f t="shared" si="4"/>
        <v>0</v>
      </c>
      <c r="U10" s="51">
        <f t="shared" si="5"/>
        <v>0</v>
      </c>
      <c r="V10" s="53">
        <f t="shared" si="6"/>
        <v>0</v>
      </c>
      <c r="W10" s="45"/>
      <c r="X10" s="47"/>
      <c r="Y10" s="47"/>
      <c r="Z10" s="47"/>
      <c r="AA10" s="54">
        <f t="shared" si="7"/>
        <v>0</v>
      </c>
      <c r="AB10" s="54">
        <f t="shared" si="8"/>
        <v>0</v>
      </c>
      <c r="AC10" s="55">
        <f t="shared" si="9"/>
        <v>0</v>
      </c>
      <c r="AD10" s="45">
        <v>1</v>
      </c>
      <c r="AE10" s="47"/>
      <c r="AF10" s="47">
        <v>2</v>
      </c>
      <c r="AG10" s="47"/>
      <c r="AH10" s="51">
        <f t="shared" si="10"/>
        <v>5</v>
      </c>
      <c r="AI10" s="51">
        <f t="shared" si="11"/>
        <v>0</v>
      </c>
      <c r="AJ10" s="53">
        <f t="shared" si="12"/>
        <v>5</v>
      </c>
      <c r="AK10" s="45">
        <v>1</v>
      </c>
      <c r="AL10" s="47"/>
      <c r="AM10" s="47"/>
      <c r="AN10" s="47"/>
      <c r="AO10" s="51">
        <f t="shared" si="13"/>
        <v>3</v>
      </c>
      <c r="AP10" s="51">
        <f t="shared" si="14"/>
        <v>0</v>
      </c>
      <c r="AQ10" s="53">
        <f t="shared" si="15"/>
        <v>3</v>
      </c>
      <c r="AR10" s="45"/>
      <c r="AS10" s="47"/>
      <c r="AT10" s="47"/>
      <c r="AU10" s="47">
        <v>2</v>
      </c>
      <c r="AV10" s="51">
        <f t="shared" si="16"/>
        <v>0</v>
      </c>
      <c r="AW10" s="51">
        <f t="shared" si="17"/>
        <v>2</v>
      </c>
      <c r="AX10" s="53">
        <f t="shared" si="18"/>
        <v>2</v>
      </c>
      <c r="AY10" s="45"/>
      <c r="AZ10" s="47">
        <v>1</v>
      </c>
      <c r="BA10" s="47"/>
      <c r="BB10" s="47">
        <v>2</v>
      </c>
      <c r="BC10" s="51">
        <f t="shared" si="19"/>
        <v>0</v>
      </c>
      <c r="BD10" s="51">
        <f t="shared" si="20"/>
        <v>5</v>
      </c>
      <c r="BE10" s="53">
        <f t="shared" si="21"/>
        <v>5</v>
      </c>
      <c r="BF10" s="45"/>
      <c r="BG10" s="47">
        <v>1</v>
      </c>
      <c r="BH10" s="47"/>
      <c r="BI10" s="47"/>
      <c r="BJ10" s="51">
        <f t="shared" si="22"/>
        <v>0</v>
      </c>
      <c r="BK10" s="51">
        <f t="shared" si="23"/>
        <v>3</v>
      </c>
      <c r="BL10" s="53">
        <f t="shared" si="24"/>
        <v>3</v>
      </c>
      <c r="BM10" s="56">
        <f t="shared" si="25"/>
        <v>8</v>
      </c>
      <c r="BN10" s="106">
        <f t="shared" ca="1" si="26"/>
        <v>5.6737588652482268E-2</v>
      </c>
      <c r="BO10" s="56">
        <f t="shared" si="27"/>
        <v>10</v>
      </c>
      <c r="BP10" s="106">
        <f t="shared" ca="1" si="28"/>
        <v>7.0921985815602842E-2</v>
      </c>
      <c r="BQ10" s="56">
        <f t="shared" si="29"/>
        <v>18</v>
      </c>
      <c r="BR10" s="106">
        <f t="shared" ca="1" si="30"/>
        <v>0.12765957446808512</v>
      </c>
      <c r="BS10" s="56">
        <f t="shared" si="31"/>
        <v>2</v>
      </c>
      <c r="BT10" s="56">
        <f t="shared" si="32"/>
        <v>2</v>
      </c>
      <c r="BU10" s="56">
        <f t="shared" si="33"/>
        <v>4</v>
      </c>
    </row>
    <row r="11" spans="1:73" x14ac:dyDescent="0.25">
      <c r="A11" s="45">
        <v>9</v>
      </c>
      <c r="B11" s="46" t="s">
        <v>64</v>
      </c>
      <c r="C11" s="46" t="str">
        <f t="shared" si="0"/>
        <v>כלנית 9</v>
      </c>
      <c r="D11" s="47" t="s">
        <v>6</v>
      </c>
      <c r="E11" s="74" t="s">
        <v>7</v>
      </c>
      <c r="F11" s="101">
        <v>42979</v>
      </c>
      <c r="G11" s="57">
        <v>43661</v>
      </c>
      <c r="H11" s="48"/>
      <c r="I11" s="49"/>
      <c r="J11" s="50"/>
      <c r="K11" s="50"/>
      <c r="L11" s="50"/>
      <c r="M11" s="51">
        <f t="shared" si="1"/>
        <v>0</v>
      </c>
      <c r="N11" s="51">
        <f t="shared" si="2"/>
        <v>0</v>
      </c>
      <c r="O11" s="52">
        <f t="shared" si="3"/>
        <v>0</v>
      </c>
      <c r="P11" s="45"/>
      <c r="Q11" s="47"/>
      <c r="R11" s="47"/>
      <c r="S11" s="47"/>
      <c r="T11" s="51">
        <f t="shared" si="4"/>
        <v>0</v>
      </c>
      <c r="U11" s="51">
        <f t="shared" si="5"/>
        <v>0</v>
      </c>
      <c r="V11" s="53">
        <f t="shared" si="6"/>
        <v>0</v>
      </c>
      <c r="W11" s="45"/>
      <c r="X11" s="47"/>
      <c r="Y11" s="47"/>
      <c r="Z11" s="47"/>
      <c r="AA11" s="54">
        <f t="shared" si="7"/>
        <v>0</v>
      </c>
      <c r="AB11" s="54">
        <f t="shared" si="8"/>
        <v>0</v>
      </c>
      <c r="AC11" s="55">
        <f t="shared" si="9"/>
        <v>0</v>
      </c>
      <c r="AD11" s="45">
        <v>1</v>
      </c>
      <c r="AE11" s="47"/>
      <c r="AF11" s="47">
        <v>2</v>
      </c>
      <c r="AG11" s="47"/>
      <c r="AH11" s="51">
        <f t="shared" si="10"/>
        <v>5</v>
      </c>
      <c r="AI11" s="51">
        <f t="shared" si="11"/>
        <v>0</v>
      </c>
      <c r="AJ11" s="53">
        <f t="shared" si="12"/>
        <v>5</v>
      </c>
      <c r="AK11" s="45">
        <v>1</v>
      </c>
      <c r="AL11" s="47"/>
      <c r="AM11" s="47"/>
      <c r="AN11" s="47"/>
      <c r="AO11" s="51">
        <f t="shared" si="13"/>
        <v>3</v>
      </c>
      <c r="AP11" s="51">
        <f t="shared" si="14"/>
        <v>0</v>
      </c>
      <c r="AQ11" s="53">
        <f t="shared" si="15"/>
        <v>3</v>
      </c>
      <c r="AR11" s="45"/>
      <c r="AS11" s="47"/>
      <c r="AT11" s="47">
        <v>4</v>
      </c>
      <c r="AU11" s="47"/>
      <c r="AV11" s="51">
        <f t="shared" si="16"/>
        <v>4</v>
      </c>
      <c r="AW11" s="51">
        <f t="shared" si="17"/>
        <v>0</v>
      </c>
      <c r="AX11" s="53">
        <f t="shared" si="18"/>
        <v>4</v>
      </c>
      <c r="AY11" s="45"/>
      <c r="AZ11" s="47"/>
      <c r="BA11" s="47">
        <v>2</v>
      </c>
      <c r="BB11" s="47">
        <v>1</v>
      </c>
      <c r="BC11" s="51">
        <f t="shared" si="19"/>
        <v>2</v>
      </c>
      <c r="BD11" s="51">
        <f t="shared" si="20"/>
        <v>1</v>
      </c>
      <c r="BE11" s="53">
        <f t="shared" si="21"/>
        <v>3</v>
      </c>
      <c r="BF11" s="45">
        <v>1</v>
      </c>
      <c r="BG11" s="47"/>
      <c r="BH11" s="47"/>
      <c r="BI11" s="47"/>
      <c r="BJ11" s="51">
        <f t="shared" si="22"/>
        <v>3</v>
      </c>
      <c r="BK11" s="51">
        <f t="shared" si="23"/>
        <v>0</v>
      </c>
      <c r="BL11" s="53">
        <f t="shared" si="24"/>
        <v>3</v>
      </c>
      <c r="BM11" s="56">
        <f t="shared" si="25"/>
        <v>17</v>
      </c>
      <c r="BN11" s="106">
        <f t="shared" ca="1" si="26"/>
        <v>0.12056737588652482</v>
      </c>
      <c r="BO11" s="56">
        <f t="shared" si="27"/>
        <v>1</v>
      </c>
      <c r="BP11" s="106">
        <f t="shared" ca="1" si="28"/>
        <v>7.0921985815602835E-3</v>
      </c>
      <c r="BQ11" s="56">
        <f t="shared" si="29"/>
        <v>18</v>
      </c>
      <c r="BR11" s="106">
        <f t="shared" ca="1" si="30"/>
        <v>0.1276595744680851</v>
      </c>
      <c r="BS11" s="56">
        <f t="shared" si="31"/>
        <v>3</v>
      </c>
      <c r="BT11" s="56">
        <f t="shared" si="32"/>
        <v>0</v>
      </c>
      <c r="BU11" s="56">
        <f t="shared" si="33"/>
        <v>3</v>
      </c>
    </row>
    <row r="12" spans="1:73" x14ac:dyDescent="0.25">
      <c r="A12" s="45">
        <v>9</v>
      </c>
      <c r="B12" s="85" t="s">
        <v>139</v>
      </c>
      <c r="C12" s="46" t="str">
        <f t="shared" si="0"/>
        <v>מעין 9</v>
      </c>
      <c r="D12" s="47" t="s">
        <v>6</v>
      </c>
      <c r="E12" s="74" t="s">
        <v>7</v>
      </c>
      <c r="F12" s="101">
        <v>42979</v>
      </c>
      <c r="G12" s="57">
        <v>43661</v>
      </c>
      <c r="H12" s="48"/>
      <c r="I12" s="49"/>
      <c r="J12" s="50"/>
      <c r="K12" s="50"/>
      <c r="L12" s="50"/>
      <c r="M12" s="51">
        <f t="shared" si="1"/>
        <v>0</v>
      </c>
      <c r="N12" s="51">
        <f t="shared" si="2"/>
        <v>0</v>
      </c>
      <c r="O12" s="52">
        <f t="shared" si="3"/>
        <v>0</v>
      </c>
      <c r="P12" s="45"/>
      <c r="Q12" s="47"/>
      <c r="R12" s="47"/>
      <c r="S12" s="47"/>
      <c r="T12" s="51">
        <f t="shared" si="4"/>
        <v>0</v>
      </c>
      <c r="U12" s="51">
        <f t="shared" si="5"/>
        <v>0</v>
      </c>
      <c r="V12" s="53">
        <f t="shared" si="6"/>
        <v>0</v>
      </c>
      <c r="W12" s="45"/>
      <c r="X12" s="47"/>
      <c r="Y12" s="47"/>
      <c r="Z12" s="47"/>
      <c r="AA12" s="54">
        <f t="shared" si="7"/>
        <v>0</v>
      </c>
      <c r="AB12" s="54">
        <f t="shared" si="8"/>
        <v>0</v>
      </c>
      <c r="AC12" s="55">
        <f t="shared" si="9"/>
        <v>0</v>
      </c>
      <c r="AD12" s="45">
        <v>1</v>
      </c>
      <c r="AE12" s="47"/>
      <c r="AF12" s="47">
        <v>3</v>
      </c>
      <c r="AG12" s="47"/>
      <c r="AH12" s="51">
        <f t="shared" si="10"/>
        <v>6</v>
      </c>
      <c r="AI12" s="51">
        <f t="shared" si="11"/>
        <v>0</v>
      </c>
      <c r="AJ12" s="53">
        <f t="shared" si="12"/>
        <v>6</v>
      </c>
      <c r="AK12" s="45"/>
      <c r="AL12" s="47"/>
      <c r="AM12" s="47">
        <v>1</v>
      </c>
      <c r="AN12" s="47"/>
      <c r="AO12" s="51">
        <f t="shared" si="13"/>
        <v>1</v>
      </c>
      <c r="AP12" s="51">
        <f t="shared" si="14"/>
        <v>0</v>
      </c>
      <c r="AQ12" s="53">
        <f t="shared" si="15"/>
        <v>1</v>
      </c>
      <c r="AR12" s="45">
        <v>1</v>
      </c>
      <c r="AS12" s="47"/>
      <c r="AT12" s="47">
        <v>1</v>
      </c>
      <c r="AU12" s="47"/>
      <c r="AV12" s="51">
        <f t="shared" si="16"/>
        <v>4</v>
      </c>
      <c r="AW12" s="51">
        <f t="shared" si="17"/>
        <v>0</v>
      </c>
      <c r="AX12" s="53">
        <f t="shared" si="18"/>
        <v>4</v>
      </c>
      <c r="AY12" s="45">
        <v>1</v>
      </c>
      <c r="AZ12" s="47"/>
      <c r="BA12" s="47">
        <v>3</v>
      </c>
      <c r="BB12" s="47">
        <v>1</v>
      </c>
      <c r="BC12" s="51">
        <f t="shared" si="19"/>
        <v>6</v>
      </c>
      <c r="BD12" s="51">
        <f t="shared" si="20"/>
        <v>1</v>
      </c>
      <c r="BE12" s="53">
        <f t="shared" si="21"/>
        <v>7</v>
      </c>
      <c r="BF12" s="45"/>
      <c r="BG12" s="47"/>
      <c r="BH12" s="47"/>
      <c r="BI12" s="47"/>
      <c r="BJ12" s="51">
        <f t="shared" si="22"/>
        <v>0</v>
      </c>
      <c r="BK12" s="51">
        <f t="shared" si="23"/>
        <v>0</v>
      </c>
      <c r="BL12" s="53">
        <f t="shared" si="24"/>
        <v>0</v>
      </c>
      <c r="BM12" s="56">
        <f t="shared" si="25"/>
        <v>17</v>
      </c>
      <c r="BN12" s="106">
        <f t="shared" ca="1" si="26"/>
        <v>0.12056737588652482</v>
      </c>
      <c r="BO12" s="56">
        <f t="shared" si="27"/>
        <v>1</v>
      </c>
      <c r="BP12" s="106">
        <f t="shared" ca="1" si="28"/>
        <v>7.0921985815602835E-3</v>
      </c>
      <c r="BQ12" s="56">
        <f t="shared" si="29"/>
        <v>18</v>
      </c>
      <c r="BR12" s="106">
        <f t="shared" ca="1" si="30"/>
        <v>0.1276595744680851</v>
      </c>
      <c r="BS12" s="56">
        <f t="shared" si="31"/>
        <v>3</v>
      </c>
      <c r="BT12" s="56">
        <f t="shared" si="32"/>
        <v>0</v>
      </c>
      <c r="BU12" s="56">
        <f t="shared" si="33"/>
        <v>3</v>
      </c>
    </row>
    <row r="13" spans="1:73" x14ac:dyDescent="0.25">
      <c r="A13" s="45">
        <v>209</v>
      </c>
      <c r="B13" s="46" t="s">
        <v>115</v>
      </c>
      <c r="C13" s="46" t="str">
        <f t="shared" si="0"/>
        <v>גילי 209</v>
      </c>
      <c r="D13" s="47" t="s">
        <v>7</v>
      </c>
      <c r="E13" s="74" t="s">
        <v>7</v>
      </c>
      <c r="F13" s="101">
        <v>43009</v>
      </c>
      <c r="G13" s="57" t="s">
        <v>86</v>
      </c>
      <c r="H13" s="48"/>
      <c r="I13" s="49"/>
      <c r="J13" s="50"/>
      <c r="K13" s="50"/>
      <c r="L13" s="50"/>
      <c r="M13" s="51">
        <f t="shared" si="1"/>
        <v>0</v>
      </c>
      <c r="N13" s="51">
        <f t="shared" si="2"/>
        <v>0</v>
      </c>
      <c r="O13" s="52">
        <f t="shared" si="3"/>
        <v>0</v>
      </c>
      <c r="P13" s="45"/>
      <c r="Q13" s="47"/>
      <c r="R13" s="47"/>
      <c r="S13" s="47"/>
      <c r="T13" s="51">
        <f t="shared" si="4"/>
        <v>0</v>
      </c>
      <c r="U13" s="51">
        <f t="shared" si="5"/>
        <v>0</v>
      </c>
      <c r="V13" s="53">
        <f t="shared" si="6"/>
        <v>0</v>
      </c>
      <c r="W13" s="45"/>
      <c r="X13" s="47"/>
      <c r="Y13" s="47"/>
      <c r="Z13" s="47"/>
      <c r="AA13" s="54">
        <f t="shared" si="7"/>
        <v>0</v>
      </c>
      <c r="AB13" s="54">
        <f t="shared" si="8"/>
        <v>0</v>
      </c>
      <c r="AC13" s="55">
        <f t="shared" si="9"/>
        <v>0</v>
      </c>
      <c r="AD13" s="45"/>
      <c r="AE13" s="47"/>
      <c r="AF13" s="47"/>
      <c r="AG13" s="47"/>
      <c r="AH13" s="51">
        <f t="shared" si="10"/>
        <v>0</v>
      </c>
      <c r="AI13" s="51">
        <f t="shared" si="11"/>
        <v>0</v>
      </c>
      <c r="AJ13" s="53">
        <f t="shared" si="12"/>
        <v>0</v>
      </c>
      <c r="AK13" s="45"/>
      <c r="AL13" s="47">
        <v>1</v>
      </c>
      <c r="AM13" s="47"/>
      <c r="AN13" s="47"/>
      <c r="AO13" s="51">
        <f t="shared" si="13"/>
        <v>0</v>
      </c>
      <c r="AP13" s="51">
        <f t="shared" si="14"/>
        <v>3</v>
      </c>
      <c r="AQ13" s="53">
        <f t="shared" si="15"/>
        <v>3</v>
      </c>
      <c r="AR13" s="45"/>
      <c r="AS13" s="47">
        <v>1</v>
      </c>
      <c r="AT13" s="47"/>
      <c r="AU13" s="47">
        <v>2</v>
      </c>
      <c r="AV13" s="51">
        <f t="shared" si="16"/>
        <v>0</v>
      </c>
      <c r="AW13" s="51">
        <f t="shared" si="17"/>
        <v>5</v>
      </c>
      <c r="AX13" s="53">
        <f t="shared" si="18"/>
        <v>5</v>
      </c>
      <c r="AY13" s="45"/>
      <c r="AZ13" s="47"/>
      <c r="BA13" s="47"/>
      <c r="BB13" s="47">
        <v>3</v>
      </c>
      <c r="BC13" s="51">
        <f t="shared" si="19"/>
        <v>0</v>
      </c>
      <c r="BD13" s="51">
        <f t="shared" si="20"/>
        <v>3</v>
      </c>
      <c r="BE13" s="53">
        <f t="shared" si="21"/>
        <v>3</v>
      </c>
      <c r="BF13" s="45"/>
      <c r="BG13" s="47">
        <v>1</v>
      </c>
      <c r="BH13" s="47"/>
      <c r="BI13" s="47"/>
      <c r="BJ13" s="51">
        <f t="shared" si="22"/>
        <v>0</v>
      </c>
      <c r="BK13" s="51">
        <f t="shared" si="23"/>
        <v>3</v>
      </c>
      <c r="BL13" s="53">
        <f t="shared" si="24"/>
        <v>3</v>
      </c>
      <c r="BM13" s="56">
        <f t="shared" si="25"/>
        <v>0</v>
      </c>
      <c r="BN13" s="106">
        <f t="shared" ca="1" si="26"/>
        <v>0</v>
      </c>
      <c r="BO13" s="56">
        <f t="shared" si="27"/>
        <v>14</v>
      </c>
      <c r="BP13" s="106">
        <f t="shared" ca="1" si="28"/>
        <v>0.12612612612612611</v>
      </c>
      <c r="BQ13" s="56">
        <f t="shared" si="29"/>
        <v>14</v>
      </c>
      <c r="BR13" s="106">
        <f t="shared" ca="1" si="30"/>
        <v>0.12612612612612611</v>
      </c>
      <c r="BS13" s="56">
        <f t="shared" si="31"/>
        <v>0</v>
      </c>
      <c r="BT13" s="56">
        <f t="shared" si="32"/>
        <v>3</v>
      </c>
      <c r="BU13" s="56">
        <f t="shared" si="33"/>
        <v>3</v>
      </c>
    </row>
    <row r="14" spans="1:73" x14ac:dyDescent="0.25">
      <c r="A14" s="45">
        <v>679</v>
      </c>
      <c r="B14" s="46" t="s">
        <v>12</v>
      </c>
      <c r="C14" s="46" t="str">
        <f t="shared" si="0"/>
        <v>שגית 679</v>
      </c>
      <c r="D14" s="47" t="s">
        <v>7</v>
      </c>
      <c r="E14" s="47" t="s">
        <v>7</v>
      </c>
      <c r="F14" s="101">
        <v>42917</v>
      </c>
      <c r="G14" s="57">
        <v>43297</v>
      </c>
      <c r="H14" s="48"/>
      <c r="I14" s="49"/>
      <c r="J14" s="50">
        <v>1</v>
      </c>
      <c r="K14" s="50"/>
      <c r="L14" s="50">
        <v>1</v>
      </c>
      <c r="M14" s="51">
        <f t="shared" si="1"/>
        <v>0</v>
      </c>
      <c r="N14" s="51">
        <f t="shared" si="2"/>
        <v>4</v>
      </c>
      <c r="O14" s="52">
        <f t="shared" si="3"/>
        <v>4</v>
      </c>
      <c r="P14" s="45"/>
      <c r="Q14" s="47">
        <v>1</v>
      </c>
      <c r="R14" s="47"/>
      <c r="S14" s="47">
        <v>1</v>
      </c>
      <c r="T14" s="51">
        <f t="shared" si="4"/>
        <v>0</v>
      </c>
      <c r="U14" s="51">
        <f t="shared" si="5"/>
        <v>4</v>
      </c>
      <c r="V14" s="53">
        <f t="shared" si="6"/>
        <v>4</v>
      </c>
      <c r="W14" s="45"/>
      <c r="X14" s="47"/>
      <c r="Y14" s="47"/>
      <c r="Z14" s="47">
        <v>2</v>
      </c>
      <c r="AA14" s="54">
        <f t="shared" si="7"/>
        <v>0</v>
      </c>
      <c r="AB14" s="54">
        <f t="shared" si="8"/>
        <v>2</v>
      </c>
      <c r="AC14" s="55">
        <f t="shared" si="9"/>
        <v>2</v>
      </c>
      <c r="AD14" s="45"/>
      <c r="AE14" s="47"/>
      <c r="AF14" s="47"/>
      <c r="AG14" s="47">
        <v>3</v>
      </c>
      <c r="AH14" s="51">
        <f t="shared" si="10"/>
        <v>0</v>
      </c>
      <c r="AI14" s="51">
        <f t="shared" si="11"/>
        <v>3</v>
      </c>
      <c r="AJ14" s="53">
        <f t="shared" si="12"/>
        <v>3</v>
      </c>
      <c r="AK14" s="45"/>
      <c r="AL14" s="47">
        <v>1</v>
      </c>
      <c r="AM14" s="47"/>
      <c r="AN14" s="47">
        <v>1</v>
      </c>
      <c r="AO14" s="51">
        <f t="shared" si="13"/>
        <v>0</v>
      </c>
      <c r="AP14" s="51">
        <f t="shared" si="14"/>
        <v>4</v>
      </c>
      <c r="AQ14" s="53">
        <f t="shared" si="15"/>
        <v>4</v>
      </c>
      <c r="AR14" s="45"/>
      <c r="AS14" s="47">
        <v>1</v>
      </c>
      <c r="AT14" s="47"/>
      <c r="AU14" s="47">
        <v>4</v>
      </c>
      <c r="AV14" s="51">
        <f t="shared" si="16"/>
        <v>0</v>
      </c>
      <c r="AW14" s="51">
        <f t="shared" si="17"/>
        <v>7</v>
      </c>
      <c r="AX14" s="53">
        <f t="shared" si="18"/>
        <v>7</v>
      </c>
      <c r="AY14" s="45"/>
      <c r="AZ14" s="47"/>
      <c r="BA14" s="47"/>
      <c r="BB14" s="47">
        <v>1</v>
      </c>
      <c r="BC14" s="51">
        <f t="shared" si="19"/>
        <v>0</v>
      </c>
      <c r="BD14" s="51">
        <f t="shared" si="20"/>
        <v>1</v>
      </c>
      <c r="BE14" s="53">
        <f t="shared" si="21"/>
        <v>1</v>
      </c>
      <c r="BF14" s="45"/>
      <c r="BG14" s="47"/>
      <c r="BH14" s="47"/>
      <c r="BI14" s="47"/>
      <c r="BJ14" s="51">
        <f t="shared" si="22"/>
        <v>0</v>
      </c>
      <c r="BK14" s="51">
        <f t="shared" si="23"/>
        <v>0</v>
      </c>
      <c r="BL14" s="53">
        <f t="shared" si="24"/>
        <v>0</v>
      </c>
      <c r="BM14" s="56">
        <f t="shared" si="25"/>
        <v>0</v>
      </c>
      <c r="BN14" s="106">
        <f t="shared" ca="1" si="26"/>
        <v>0</v>
      </c>
      <c r="BO14" s="56">
        <f t="shared" si="27"/>
        <v>25</v>
      </c>
      <c r="BP14" s="106">
        <f t="shared" ca="1" si="28"/>
        <v>0.12315270935960591</v>
      </c>
      <c r="BQ14" s="56">
        <f t="shared" si="29"/>
        <v>25</v>
      </c>
      <c r="BR14" s="106">
        <f t="shared" ca="1" si="30"/>
        <v>0.12315270935960591</v>
      </c>
      <c r="BS14" s="56">
        <f t="shared" si="31"/>
        <v>0</v>
      </c>
      <c r="BT14" s="56">
        <f t="shared" si="32"/>
        <v>5</v>
      </c>
      <c r="BU14" s="56">
        <f t="shared" si="33"/>
        <v>5</v>
      </c>
    </row>
    <row r="15" spans="1:73" x14ac:dyDescent="0.25">
      <c r="A15" s="45">
        <v>11</v>
      </c>
      <c r="B15" s="46" t="s">
        <v>10</v>
      </c>
      <c r="C15" s="46" t="str">
        <f t="shared" si="0"/>
        <v>טאי 11</v>
      </c>
      <c r="D15" s="47" t="s">
        <v>6</v>
      </c>
      <c r="E15" s="47" t="s">
        <v>7</v>
      </c>
      <c r="F15" s="101">
        <v>42917</v>
      </c>
      <c r="G15" s="57">
        <v>43360</v>
      </c>
      <c r="H15" s="48"/>
      <c r="I15" s="49">
        <v>1</v>
      </c>
      <c r="J15" s="50"/>
      <c r="K15" s="50">
        <v>1</v>
      </c>
      <c r="L15" s="50">
        <v>1</v>
      </c>
      <c r="M15" s="51">
        <f t="shared" si="1"/>
        <v>4</v>
      </c>
      <c r="N15" s="51">
        <f t="shared" si="2"/>
        <v>1</v>
      </c>
      <c r="O15" s="52">
        <f t="shared" si="3"/>
        <v>5</v>
      </c>
      <c r="P15" s="45">
        <v>1</v>
      </c>
      <c r="Q15" s="47"/>
      <c r="R15" s="47"/>
      <c r="S15" s="47">
        <v>1</v>
      </c>
      <c r="T15" s="51">
        <f t="shared" si="4"/>
        <v>3</v>
      </c>
      <c r="U15" s="51">
        <f t="shared" si="5"/>
        <v>1</v>
      </c>
      <c r="V15" s="53">
        <f t="shared" si="6"/>
        <v>4</v>
      </c>
      <c r="W15" s="45"/>
      <c r="X15" s="47"/>
      <c r="Y15" s="47">
        <v>2</v>
      </c>
      <c r="Z15" s="47"/>
      <c r="AA15" s="54">
        <f t="shared" si="7"/>
        <v>2</v>
      </c>
      <c r="AB15" s="54">
        <f t="shared" si="8"/>
        <v>0</v>
      </c>
      <c r="AC15" s="55">
        <f t="shared" si="9"/>
        <v>2</v>
      </c>
      <c r="AD15" s="45">
        <v>1</v>
      </c>
      <c r="AE15" s="47"/>
      <c r="AF15" s="47">
        <v>1</v>
      </c>
      <c r="AG15" s="47"/>
      <c r="AH15" s="51">
        <f t="shared" si="10"/>
        <v>4</v>
      </c>
      <c r="AI15" s="51">
        <f t="shared" si="11"/>
        <v>0</v>
      </c>
      <c r="AJ15" s="53">
        <f t="shared" si="12"/>
        <v>4</v>
      </c>
      <c r="AK15" s="45"/>
      <c r="AL15" s="47"/>
      <c r="AM15" s="47">
        <v>2</v>
      </c>
      <c r="AN15" s="47"/>
      <c r="AO15" s="51">
        <f t="shared" si="13"/>
        <v>2</v>
      </c>
      <c r="AP15" s="51">
        <f t="shared" si="14"/>
        <v>0</v>
      </c>
      <c r="AQ15" s="53">
        <f t="shared" si="15"/>
        <v>2</v>
      </c>
      <c r="AR15" s="45"/>
      <c r="AS15" s="47"/>
      <c r="AT15" s="47">
        <v>2</v>
      </c>
      <c r="AU15" s="47">
        <v>1</v>
      </c>
      <c r="AV15" s="51">
        <f t="shared" si="16"/>
        <v>2</v>
      </c>
      <c r="AW15" s="51">
        <f t="shared" si="17"/>
        <v>1</v>
      </c>
      <c r="AX15" s="53">
        <f t="shared" si="18"/>
        <v>3</v>
      </c>
      <c r="AY15" s="45">
        <v>1</v>
      </c>
      <c r="AZ15" s="47"/>
      <c r="BA15" s="47">
        <v>1</v>
      </c>
      <c r="BB15" s="47"/>
      <c r="BC15" s="51">
        <f t="shared" si="19"/>
        <v>4</v>
      </c>
      <c r="BD15" s="51">
        <f t="shared" si="20"/>
        <v>0</v>
      </c>
      <c r="BE15" s="53">
        <f t="shared" si="21"/>
        <v>4</v>
      </c>
      <c r="BF15" s="45"/>
      <c r="BG15" s="47"/>
      <c r="BH15" s="47"/>
      <c r="BI15" s="47"/>
      <c r="BJ15" s="51">
        <f t="shared" si="22"/>
        <v>0</v>
      </c>
      <c r="BK15" s="51">
        <f t="shared" si="23"/>
        <v>0</v>
      </c>
      <c r="BL15" s="53">
        <f t="shared" si="24"/>
        <v>0</v>
      </c>
      <c r="BM15" s="56">
        <f t="shared" si="25"/>
        <v>21</v>
      </c>
      <c r="BN15" s="106">
        <f t="shared" ca="1" si="26"/>
        <v>0.10344827586206896</v>
      </c>
      <c r="BO15" s="56">
        <f t="shared" si="27"/>
        <v>3</v>
      </c>
      <c r="BP15" s="106">
        <f t="shared" ca="1" si="28"/>
        <v>1.4778325123152709E-2</v>
      </c>
      <c r="BQ15" s="56">
        <f t="shared" si="29"/>
        <v>24</v>
      </c>
      <c r="BR15" s="106">
        <f t="shared" ca="1" si="30"/>
        <v>0.11822660098522167</v>
      </c>
      <c r="BS15" s="56">
        <f t="shared" si="31"/>
        <v>5</v>
      </c>
      <c r="BT15" s="56">
        <f t="shared" si="32"/>
        <v>0</v>
      </c>
      <c r="BU15" s="56">
        <f t="shared" si="33"/>
        <v>5</v>
      </c>
    </row>
    <row r="16" spans="1:73" x14ac:dyDescent="0.25">
      <c r="A16" s="45">
        <v>679</v>
      </c>
      <c r="B16" s="46" t="s">
        <v>20</v>
      </c>
      <c r="C16" s="46" t="str">
        <f t="shared" si="0"/>
        <v>הדס 679</v>
      </c>
      <c r="D16" s="47" t="s">
        <v>7</v>
      </c>
      <c r="E16" s="47" t="s">
        <v>7</v>
      </c>
      <c r="F16" s="101">
        <v>42917</v>
      </c>
      <c r="G16" s="57">
        <v>43360</v>
      </c>
      <c r="H16" s="48"/>
      <c r="I16" s="49"/>
      <c r="J16" s="50"/>
      <c r="K16" s="50"/>
      <c r="L16" s="50">
        <v>1</v>
      </c>
      <c r="M16" s="51">
        <f t="shared" si="1"/>
        <v>0</v>
      </c>
      <c r="N16" s="51">
        <f t="shared" si="2"/>
        <v>1</v>
      </c>
      <c r="O16" s="52">
        <f t="shared" si="3"/>
        <v>1</v>
      </c>
      <c r="P16" s="45"/>
      <c r="Q16" s="47">
        <v>1</v>
      </c>
      <c r="R16" s="47"/>
      <c r="S16" s="47">
        <v>1</v>
      </c>
      <c r="T16" s="51">
        <f t="shared" si="4"/>
        <v>0</v>
      </c>
      <c r="U16" s="51">
        <f t="shared" si="5"/>
        <v>4</v>
      </c>
      <c r="V16" s="53">
        <f t="shared" si="6"/>
        <v>4</v>
      </c>
      <c r="W16" s="45"/>
      <c r="X16" s="47">
        <v>1</v>
      </c>
      <c r="Y16" s="47"/>
      <c r="Z16" s="47">
        <v>4</v>
      </c>
      <c r="AA16" s="54">
        <f t="shared" si="7"/>
        <v>0</v>
      </c>
      <c r="AB16" s="54">
        <f t="shared" si="8"/>
        <v>7</v>
      </c>
      <c r="AC16" s="55">
        <f t="shared" si="9"/>
        <v>7</v>
      </c>
      <c r="AD16" s="45"/>
      <c r="AE16" s="47">
        <v>1</v>
      </c>
      <c r="AF16" s="47"/>
      <c r="AG16" s="47">
        <v>1</v>
      </c>
      <c r="AH16" s="51">
        <f t="shared" si="10"/>
        <v>0</v>
      </c>
      <c r="AI16" s="51">
        <f t="shared" si="11"/>
        <v>4</v>
      </c>
      <c r="AJ16" s="53">
        <f t="shared" si="12"/>
        <v>4</v>
      </c>
      <c r="AK16" s="45"/>
      <c r="AL16" s="47"/>
      <c r="AM16" s="47"/>
      <c r="AN16" s="47">
        <v>1</v>
      </c>
      <c r="AO16" s="51">
        <f t="shared" si="13"/>
        <v>0</v>
      </c>
      <c r="AP16" s="51">
        <f t="shared" si="14"/>
        <v>1</v>
      </c>
      <c r="AQ16" s="53">
        <f t="shared" si="15"/>
        <v>1</v>
      </c>
      <c r="AR16" s="45"/>
      <c r="AS16" s="47">
        <v>1</v>
      </c>
      <c r="AT16" s="47"/>
      <c r="AU16" s="47">
        <v>1</v>
      </c>
      <c r="AV16" s="51">
        <f t="shared" si="16"/>
        <v>0</v>
      </c>
      <c r="AW16" s="51">
        <f t="shared" si="17"/>
        <v>4</v>
      </c>
      <c r="AX16" s="53">
        <f t="shared" si="18"/>
        <v>4</v>
      </c>
      <c r="AY16" s="45"/>
      <c r="AZ16" s="47">
        <v>1</v>
      </c>
      <c r="BA16" s="47"/>
      <c r="BB16" s="47"/>
      <c r="BC16" s="51">
        <f t="shared" si="19"/>
        <v>0</v>
      </c>
      <c r="BD16" s="51">
        <f t="shared" si="20"/>
        <v>3</v>
      </c>
      <c r="BE16" s="53">
        <f t="shared" si="21"/>
        <v>3</v>
      </c>
      <c r="BF16" s="45"/>
      <c r="BG16" s="47"/>
      <c r="BH16" s="47"/>
      <c r="BI16" s="47"/>
      <c r="BJ16" s="51">
        <f t="shared" si="22"/>
        <v>0</v>
      </c>
      <c r="BK16" s="51">
        <f t="shared" si="23"/>
        <v>0</v>
      </c>
      <c r="BL16" s="53">
        <f t="shared" si="24"/>
        <v>0</v>
      </c>
      <c r="BM16" s="56">
        <f t="shared" si="25"/>
        <v>0</v>
      </c>
      <c r="BN16" s="106">
        <f t="shared" ca="1" si="26"/>
        <v>0</v>
      </c>
      <c r="BO16" s="56">
        <f t="shared" si="27"/>
        <v>24</v>
      </c>
      <c r="BP16" s="106">
        <f t="shared" ca="1" si="28"/>
        <v>0.11822660098522167</v>
      </c>
      <c r="BQ16" s="56">
        <f t="shared" si="29"/>
        <v>24</v>
      </c>
      <c r="BR16" s="106">
        <f t="shared" ca="1" si="30"/>
        <v>0.11822660098522167</v>
      </c>
      <c r="BS16" s="56">
        <f t="shared" si="31"/>
        <v>0</v>
      </c>
      <c r="BT16" s="56">
        <f t="shared" si="32"/>
        <v>6</v>
      </c>
      <c r="BU16" s="56">
        <f t="shared" si="33"/>
        <v>6</v>
      </c>
    </row>
    <row r="17" spans="1:73" x14ac:dyDescent="0.25">
      <c r="A17" s="45">
        <v>209</v>
      </c>
      <c r="B17" s="46" t="s">
        <v>61</v>
      </c>
      <c r="C17" s="46" t="str">
        <f t="shared" si="0"/>
        <v>שי 209</v>
      </c>
      <c r="D17" s="47" t="s">
        <v>6</v>
      </c>
      <c r="E17" s="47" t="s">
        <v>7</v>
      </c>
      <c r="F17" s="101">
        <v>42948</v>
      </c>
      <c r="G17" s="57">
        <v>43659</v>
      </c>
      <c r="H17" s="48"/>
      <c r="I17" s="49"/>
      <c r="J17" s="50"/>
      <c r="K17" s="50"/>
      <c r="L17" s="50"/>
      <c r="M17" s="51">
        <f t="shared" si="1"/>
        <v>0</v>
      </c>
      <c r="N17" s="51">
        <f t="shared" si="2"/>
        <v>0</v>
      </c>
      <c r="O17" s="52">
        <f t="shared" si="3"/>
        <v>0</v>
      </c>
      <c r="P17" s="45"/>
      <c r="Q17" s="47"/>
      <c r="R17" s="47"/>
      <c r="S17" s="47"/>
      <c r="T17" s="51">
        <f t="shared" si="4"/>
        <v>0</v>
      </c>
      <c r="U17" s="51">
        <f t="shared" si="5"/>
        <v>0</v>
      </c>
      <c r="V17" s="53">
        <f t="shared" si="6"/>
        <v>0</v>
      </c>
      <c r="W17" s="45">
        <v>1</v>
      </c>
      <c r="X17" s="47"/>
      <c r="Y17" s="47">
        <v>1</v>
      </c>
      <c r="Z17" s="47"/>
      <c r="AA17" s="54">
        <f t="shared" si="7"/>
        <v>4</v>
      </c>
      <c r="AB17" s="54">
        <f t="shared" si="8"/>
        <v>0</v>
      </c>
      <c r="AC17" s="55">
        <f t="shared" si="9"/>
        <v>4</v>
      </c>
      <c r="AD17" s="45"/>
      <c r="AE17" s="47"/>
      <c r="AF17" s="47">
        <v>3</v>
      </c>
      <c r="AG17" s="47">
        <v>1</v>
      </c>
      <c r="AH17" s="51">
        <f t="shared" si="10"/>
        <v>3</v>
      </c>
      <c r="AI17" s="51">
        <f t="shared" si="11"/>
        <v>1</v>
      </c>
      <c r="AJ17" s="53">
        <f t="shared" si="12"/>
        <v>4</v>
      </c>
      <c r="AK17" s="45"/>
      <c r="AL17" s="47"/>
      <c r="AM17" s="47">
        <v>1</v>
      </c>
      <c r="AN17" s="47">
        <v>1</v>
      </c>
      <c r="AO17" s="51">
        <f t="shared" si="13"/>
        <v>1</v>
      </c>
      <c r="AP17" s="51">
        <f t="shared" si="14"/>
        <v>1</v>
      </c>
      <c r="AQ17" s="53">
        <f t="shared" si="15"/>
        <v>2</v>
      </c>
      <c r="AR17" s="45">
        <v>1</v>
      </c>
      <c r="AS17" s="47"/>
      <c r="AT17" s="47">
        <v>1</v>
      </c>
      <c r="AU17" s="47">
        <v>1</v>
      </c>
      <c r="AV17" s="51">
        <f t="shared" si="16"/>
        <v>4</v>
      </c>
      <c r="AW17" s="51">
        <f t="shared" si="17"/>
        <v>1</v>
      </c>
      <c r="AX17" s="53">
        <f t="shared" si="18"/>
        <v>5</v>
      </c>
      <c r="AY17" s="45"/>
      <c r="AZ17" s="47"/>
      <c r="BA17" s="47">
        <v>2</v>
      </c>
      <c r="BB17" s="47"/>
      <c r="BC17" s="51">
        <f t="shared" si="19"/>
        <v>2</v>
      </c>
      <c r="BD17" s="51">
        <f t="shared" si="20"/>
        <v>0</v>
      </c>
      <c r="BE17" s="53">
        <f t="shared" si="21"/>
        <v>2</v>
      </c>
      <c r="BF17" s="45">
        <v>1</v>
      </c>
      <c r="BG17" s="47"/>
      <c r="BH17" s="47"/>
      <c r="BI17" s="47"/>
      <c r="BJ17" s="51">
        <f t="shared" si="22"/>
        <v>3</v>
      </c>
      <c r="BK17" s="51">
        <f t="shared" si="23"/>
        <v>0</v>
      </c>
      <c r="BL17" s="53">
        <f t="shared" si="24"/>
        <v>3</v>
      </c>
      <c r="BM17" s="56">
        <f t="shared" si="25"/>
        <v>17</v>
      </c>
      <c r="BN17" s="106">
        <f t="shared" ca="1" si="26"/>
        <v>9.8837209302325577E-2</v>
      </c>
      <c r="BO17" s="56">
        <f t="shared" si="27"/>
        <v>3</v>
      </c>
      <c r="BP17" s="106">
        <f t="shared" ca="1" si="28"/>
        <v>1.7441860465116279E-2</v>
      </c>
      <c r="BQ17" s="56">
        <f t="shared" si="29"/>
        <v>20</v>
      </c>
      <c r="BR17" s="106">
        <f t="shared" ca="1" si="30"/>
        <v>0.11627906976744186</v>
      </c>
      <c r="BS17" s="56">
        <f t="shared" si="31"/>
        <v>3</v>
      </c>
      <c r="BT17" s="56">
        <f t="shared" si="32"/>
        <v>0</v>
      </c>
      <c r="BU17" s="56">
        <f t="shared" si="33"/>
        <v>3</v>
      </c>
    </row>
    <row r="18" spans="1:73" x14ac:dyDescent="0.25">
      <c r="A18" s="115">
        <v>679</v>
      </c>
      <c r="B18" s="116" t="s">
        <v>18</v>
      </c>
      <c r="C18" s="46" t="str">
        <f t="shared" si="0"/>
        <v>אופיר 679</v>
      </c>
      <c r="D18" s="47" t="s">
        <v>6</v>
      </c>
      <c r="E18" s="74" t="s">
        <v>7</v>
      </c>
      <c r="F18" s="101">
        <v>42979</v>
      </c>
      <c r="G18" s="57">
        <v>43692</v>
      </c>
      <c r="H18" s="48"/>
      <c r="I18" s="49"/>
      <c r="J18" s="50"/>
      <c r="K18" s="50"/>
      <c r="L18" s="50"/>
      <c r="M18" s="51">
        <f t="shared" si="1"/>
        <v>0</v>
      </c>
      <c r="N18" s="51">
        <f t="shared" si="2"/>
        <v>0</v>
      </c>
      <c r="O18" s="52">
        <f t="shared" si="3"/>
        <v>0</v>
      </c>
      <c r="P18" s="45"/>
      <c r="Q18" s="47"/>
      <c r="R18" s="47"/>
      <c r="S18" s="47"/>
      <c r="T18" s="51">
        <f t="shared" si="4"/>
        <v>0</v>
      </c>
      <c r="U18" s="51">
        <f t="shared" si="5"/>
        <v>0</v>
      </c>
      <c r="V18" s="53">
        <f t="shared" si="6"/>
        <v>0</v>
      </c>
      <c r="W18" s="45"/>
      <c r="X18" s="47"/>
      <c r="Y18" s="47"/>
      <c r="Z18" s="47"/>
      <c r="AA18" s="54">
        <f t="shared" si="7"/>
        <v>0</v>
      </c>
      <c r="AB18" s="54">
        <f t="shared" si="8"/>
        <v>0</v>
      </c>
      <c r="AC18" s="55">
        <f t="shared" si="9"/>
        <v>0</v>
      </c>
      <c r="AD18" s="45"/>
      <c r="AE18" s="47"/>
      <c r="AF18" s="47">
        <v>2</v>
      </c>
      <c r="AG18" s="47"/>
      <c r="AH18" s="51">
        <f t="shared" si="10"/>
        <v>2</v>
      </c>
      <c r="AI18" s="51">
        <f t="shared" si="11"/>
        <v>0</v>
      </c>
      <c r="AJ18" s="53">
        <f t="shared" si="12"/>
        <v>2</v>
      </c>
      <c r="AK18" s="45"/>
      <c r="AL18" s="47"/>
      <c r="AM18" s="47">
        <v>5</v>
      </c>
      <c r="AN18" s="47"/>
      <c r="AO18" s="51">
        <f t="shared" si="13"/>
        <v>5</v>
      </c>
      <c r="AP18" s="51">
        <f t="shared" si="14"/>
        <v>0</v>
      </c>
      <c r="AQ18" s="53">
        <f t="shared" si="15"/>
        <v>5</v>
      </c>
      <c r="AR18" s="45">
        <v>1</v>
      </c>
      <c r="AS18" s="47"/>
      <c r="AT18" s="47">
        <v>3</v>
      </c>
      <c r="AU18" s="47"/>
      <c r="AV18" s="51">
        <f t="shared" si="16"/>
        <v>6</v>
      </c>
      <c r="AW18" s="51">
        <f t="shared" si="17"/>
        <v>0</v>
      </c>
      <c r="AX18" s="53">
        <f t="shared" si="18"/>
        <v>6</v>
      </c>
      <c r="AY18" s="45"/>
      <c r="AZ18" s="47"/>
      <c r="BA18" s="47"/>
      <c r="BB18" s="47"/>
      <c r="BC18" s="51">
        <f t="shared" si="19"/>
        <v>0</v>
      </c>
      <c r="BD18" s="51">
        <f t="shared" si="20"/>
        <v>0</v>
      </c>
      <c r="BE18" s="53">
        <f t="shared" si="21"/>
        <v>0</v>
      </c>
      <c r="BF18" s="45">
        <v>1</v>
      </c>
      <c r="BG18" s="47"/>
      <c r="BH18" s="47"/>
      <c r="BI18" s="47"/>
      <c r="BJ18" s="51">
        <f t="shared" si="22"/>
        <v>3</v>
      </c>
      <c r="BK18" s="51">
        <f t="shared" si="23"/>
        <v>0</v>
      </c>
      <c r="BL18" s="53">
        <f t="shared" si="24"/>
        <v>3</v>
      </c>
      <c r="BM18" s="56">
        <f t="shared" si="25"/>
        <v>16</v>
      </c>
      <c r="BN18" s="106">
        <f t="shared" ca="1" si="26"/>
        <v>0.11347517730496454</v>
      </c>
      <c r="BO18" s="56">
        <f t="shared" si="27"/>
        <v>0</v>
      </c>
      <c r="BP18" s="106">
        <f t="shared" ca="1" si="28"/>
        <v>0</v>
      </c>
      <c r="BQ18" s="56">
        <f t="shared" si="29"/>
        <v>16</v>
      </c>
      <c r="BR18" s="106">
        <f t="shared" ca="1" si="30"/>
        <v>0.11347517730496454</v>
      </c>
      <c r="BS18" s="56">
        <f t="shared" si="31"/>
        <v>2</v>
      </c>
      <c r="BT18" s="56">
        <f t="shared" si="32"/>
        <v>0</v>
      </c>
      <c r="BU18" s="56">
        <f t="shared" si="33"/>
        <v>2</v>
      </c>
    </row>
    <row r="19" spans="1:73" x14ac:dyDescent="0.25">
      <c r="A19" s="45">
        <v>9</v>
      </c>
      <c r="B19" s="46" t="s">
        <v>15</v>
      </c>
      <c r="C19" s="46" t="str">
        <f t="shared" si="0"/>
        <v>שקד 9</v>
      </c>
      <c r="D19" s="47" t="s">
        <v>6</v>
      </c>
      <c r="E19" s="74" t="s">
        <v>7</v>
      </c>
      <c r="F19" s="101">
        <v>42979</v>
      </c>
      <c r="G19" s="113" t="s">
        <v>86</v>
      </c>
      <c r="H19" s="124" t="s">
        <v>169</v>
      </c>
      <c r="I19" s="49"/>
      <c r="J19" s="50"/>
      <c r="K19" s="50"/>
      <c r="L19" s="50"/>
      <c r="M19" s="51">
        <f t="shared" si="1"/>
        <v>0</v>
      </c>
      <c r="N19" s="51">
        <f t="shared" si="2"/>
        <v>0</v>
      </c>
      <c r="O19" s="52">
        <f t="shared" si="3"/>
        <v>0</v>
      </c>
      <c r="P19" s="45"/>
      <c r="Q19" s="47"/>
      <c r="R19" s="47"/>
      <c r="S19" s="47"/>
      <c r="T19" s="51">
        <f t="shared" si="4"/>
        <v>0</v>
      </c>
      <c r="U19" s="51">
        <f t="shared" si="5"/>
        <v>0</v>
      </c>
      <c r="V19" s="53">
        <f t="shared" si="6"/>
        <v>0</v>
      </c>
      <c r="W19" s="45"/>
      <c r="X19" s="47"/>
      <c r="Y19" s="47"/>
      <c r="Z19" s="47"/>
      <c r="AA19" s="54">
        <f t="shared" si="7"/>
        <v>0</v>
      </c>
      <c r="AB19" s="54">
        <f t="shared" si="8"/>
        <v>0</v>
      </c>
      <c r="AC19" s="55">
        <f t="shared" si="9"/>
        <v>0</v>
      </c>
      <c r="AD19" s="45"/>
      <c r="AE19" s="47"/>
      <c r="AF19" s="47">
        <v>1</v>
      </c>
      <c r="AG19" s="47"/>
      <c r="AH19" s="51">
        <f t="shared" si="10"/>
        <v>1</v>
      </c>
      <c r="AI19" s="51">
        <f t="shared" si="11"/>
        <v>0</v>
      </c>
      <c r="AJ19" s="53">
        <f t="shared" si="12"/>
        <v>1</v>
      </c>
      <c r="AK19" s="45">
        <v>1</v>
      </c>
      <c r="AL19" s="47"/>
      <c r="AM19" s="47">
        <v>2</v>
      </c>
      <c r="AN19" s="47"/>
      <c r="AO19" s="51">
        <f t="shared" si="13"/>
        <v>5</v>
      </c>
      <c r="AP19" s="51">
        <f t="shared" si="14"/>
        <v>0</v>
      </c>
      <c r="AQ19" s="53">
        <f t="shared" si="15"/>
        <v>5</v>
      </c>
      <c r="AR19" s="45"/>
      <c r="AS19" s="47"/>
      <c r="AT19" s="47">
        <v>4</v>
      </c>
      <c r="AU19" s="47"/>
      <c r="AV19" s="51">
        <f t="shared" si="16"/>
        <v>4</v>
      </c>
      <c r="AW19" s="51">
        <f t="shared" si="17"/>
        <v>0</v>
      </c>
      <c r="AX19" s="53">
        <f t="shared" si="18"/>
        <v>4</v>
      </c>
      <c r="AY19" s="45"/>
      <c r="AZ19" s="47"/>
      <c r="BA19" s="47">
        <v>2</v>
      </c>
      <c r="BB19" s="47">
        <v>1</v>
      </c>
      <c r="BC19" s="51">
        <f t="shared" si="19"/>
        <v>2</v>
      </c>
      <c r="BD19" s="51">
        <f t="shared" si="20"/>
        <v>1</v>
      </c>
      <c r="BE19" s="53">
        <f t="shared" si="21"/>
        <v>3</v>
      </c>
      <c r="BF19" s="45">
        <v>1</v>
      </c>
      <c r="BG19" s="47"/>
      <c r="BH19" s="47"/>
      <c r="BI19" s="47"/>
      <c r="BJ19" s="51">
        <f t="shared" si="22"/>
        <v>3</v>
      </c>
      <c r="BK19" s="51">
        <f t="shared" si="23"/>
        <v>0</v>
      </c>
      <c r="BL19" s="53">
        <f t="shared" si="24"/>
        <v>3</v>
      </c>
      <c r="BM19" s="56">
        <f t="shared" si="25"/>
        <v>15</v>
      </c>
      <c r="BN19" s="106">
        <f t="shared" ca="1" si="26"/>
        <v>0.10638297872340426</v>
      </c>
      <c r="BO19" s="56">
        <f t="shared" si="27"/>
        <v>1</v>
      </c>
      <c r="BP19" s="106">
        <f t="shared" ca="1" si="28"/>
        <v>7.0921985815602835E-3</v>
      </c>
      <c r="BQ19" s="56">
        <f t="shared" si="29"/>
        <v>16</v>
      </c>
      <c r="BR19" s="106">
        <f t="shared" ca="1" si="30"/>
        <v>0.11347517730496454</v>
      </c>
      <c r="BS19" s="56">
        <f t="shared" si="31"/>
        <v>2</v>
      </c>
      <c r="BT19" s="56">
        <f t="shared" si="32"/>
        <v>0</v>
      </c>
      <c r="BU19" s="56">
        <f t="shared" si="33"/>
        <v>2</v>
      </c>
    </row>
    <row r="20" spans="1:73" x14ac:dyDescent="0.25">
      <c r="A20" s="45">
        <v>9</v>
      </c>
      <c r="B20" s="85" t="s">
        <v>148</v>
      </c>
      <c r="C20" s="46" t="str">
        <f t="shared" si="0"/>
        <v>ירדן 9</v>
      </c>
      <c r="D20" s="74" t="s">
        <v>6</v>
      </c>
      <c r="E20" s="74" t="s">
        <v>7</v>
      </c>
      <c r="F20" s="101">
        <v>43040</v>
      </c>
      <c r="G20" s="113" t="s">
        <v>86</v>
      </c>
      <c r="H20" s="48"/>
      <c r="I20" s="49"/>
      <c r="J20" s="50"/>
      <c r="K20" s="50"/>
      <c r="L20" s="50"/>
      <c r="M20" s="51">
        <f t="shared" si="1"/>
        <v>0</v>
      </c>
      <c r="N20" s="51">
        <f t="shared" si="2"/>
        <v>0</v>
      </c>
      <c r="O20" s="52">
        <f t="shared" si="3"/>
        <v>0</v>
      </c>
      <c r="P20" s="45"/>
      <c r="Q20" s="47"/>
      <c r="R20" s="47"/>
      <c r="S20" s="47"/>
      <c r="T20" s="51">
        <f t="shared" si="4"/>
        <v>0</v>
      </c>
      <c r="U20" s="51">
        <f t="shared" si="5"/>
        <v>0</v>
      </c>
      <c r="V20" s="53">
        <f t="shared" si="6"/>
        <v>0</v>
      </c>
      <c r="W20" s="45"/>
      <c r="X20" s="47"/>
      <c r="Y20" s="47"/>
      <c r="Z20" s="47"/>
      <c r="AA20" s="54">
        <f t="shared" si="7"/>
        <v>0</v>
      </c>
      <c r="AB20" s="54">
        <f t="shared" si="8"/>
        <v>0</v>
      </c>
      <c r="AC20" s="55">
        <f t="shared" si="9"/>
        <v>0</v>
      </c>
      <c r="AD20" s="45"/>
      <c r="AE20" s="47"/>
      <c r="AF20" s="47"/>
      <c r="AG20" s="47"/>
      <c r="AH20" s="51">
        <f t="shared" si="10"/>
        <v>0</v>
      </c>
      <c r="AI20" s="51">
        <f t="shared" si="11"/>
        <v>0</v>
      </c>
      <c r="AJ20" s="53">
        <f t="shared" si="12"/>
        <v>0</v>
      </c>
      <c r="AK20" s="45"/>
      <c r="AL20" s="47"/>
      <c r="AM20" s="47"/>
      <c r="AN20" s="47"/>
      <c r="AO20" s="51">
        <f t="shared" si="13"/>
        <v>0</v>
      </c>
      <c r="AP20" s="51">
        <f t="shared" si="14"/>
        <v>0</v>
      </c>
      <c r="AQ20" s="53">
        <f t="shared" si="15"/>
        <v>0</v>
      </c>
      <c r="AR20" s="45">
        <v>1</v>
      </c>
      <c r="AS20" s="47"/>
      <c r="AT20" s="47"/>
      <c r="AU20" s="47"/>
      <c r="AV20" s="51">
        <f t="shared" si="16"/>
        <v>3</v>
      </c>
      <c r="AW20" s="51">
        <f t="shared" si="17"/>
        <v>0</v>
      </c>
      <c r="AX20" s="53">
        <f t="shared" si="18"/>
        <v>3</v>
      </c>
      <c r="AY20" s="45"/>
      <c r="AZ20" s="47"/>
      <c r="BA20" s="47">
        <v>3</v>
      </c>
      <c r="BB20" s="47"/>
      <c r="BC20" s="51">
        <f t="shared" si="19"/>
        <v>3</v>
      </c>
      <c r="BD20" s="51">
        <f t="shared" si="20"/>
        <v>0</v>
      </c>
      <c r="BE20" s="53">
        <f t="shared" si="21"/>
        <v>3</v>
      </c>
      <c r="BF20" s="45">
        <v>1</v>
      </c>
      <c r="BG20" s="47"/>
      <c r="BH20" s="47"/>
      <c r="BI20" s="47"/>
      <c r="BJ20" s="51">
        <f t="shared" si="22"/>
        <v>3</v>
      </c>
      <c r="BK20" s="51">
        <f t="shared" si="23"/>
        <v>0</v>
      </c>
      <c r="BL20" s="53">
        <f t="shared" si="24"/>
        <v>3</v>
      </c>
      <c r="BM20" s="56">
        <f t="shared" si="25"/>
        <v>9</v>
      </c>
      <c r="BN20" s="106">
        <f t="shared" ca="1" si="26"/>
        <v>0.1125</v>
      </c>
      <c r="BO20" s="56">
        <f t="shared" si="27"/>
        <v>0</v>
      </c>
      <c r="BP20" s="106">
        <f t="shared" ca="1" si="28"/>
        <v>0</v>
      </c>
      <c r="BQ20" s="56">
        <f t="shared" si="29"/>
        <v>9</v>
      </c>
      <c r="BR20" s="106">
        <f t="shared" ca="1" si="30"/>
        <v>0.1125</v>
      </c>
      <c r="BS20" s="56">
        <f t="shared" si="31"/>
        <v>2</v>
      </c>
      <c r="BT20" s="56">
        <f t="shared" si="32"/>
        <v>0</v>
      </c>
      <c r="BU20" s="56">
        <f t="shared" si="33"/>
        <v>2</v>
      </c>
    </row>
    <row r="21" spans="1:73" x14ac:dyDescent="0.25">
      <c r="A21" s="45">
        <v>9</v>
      </c>
      <c r="B21" s="46" t="s">
        <v>14</v>
      </c>
      <c r="C21" s="46" t="str">
        <f t="shared" si="0"/>
        <v>בר 9</v>
      </c>
      <c r="D21" s="47" t="s">
        <v>6</v>
      </c>
      <c r="E21" s="47" t="s">
        <v>7</v>
      </c>
      <c r="F21" s="101">
        <v>42917</v>
      </c>
      <c r="G21" s="57">
        <v>43560</v>
      </c>
      <c r="H21" s="124" t="s">
        <v>169</v>
      </c>
      <c r="I21" s="49"/>
      <c r="J21" s="50"/>
      <c r="K21" s="50"/>
      <c r="L21" s="50"/>
      <c r="M21" s="51">
        <f t="shared" si="1"/>
        <v>0</v>
      </c>
      <c r="N21" s="51">
        <f t="shared" si="2"/>
        <v>0</v>
      </c>
      <c r="O21" s="52">
        <f t="shared" si="3"/>
        <v>0</v>
      </c>
      <c r="P21" s="45">
        <v>1</v>
      </c>
      <c r="Q21" s="47"/>
      <c r="R21" s="47">
        <v>2</v>
      </c>
      <c r="S21" s="47"/>
      <c r="T21" s="51">
        <f t="shared" si="4"/>
        <v>5</v>
      </c>
      <c r="U21" s="51">
        <f t="shared" si="5"/>
        <v>0</v>
      </c>
      <c r="V21" s="53">
        <f t="shared" si="6"/>
        <v>5</v>
      </c>
      <c r="W21" s="45"/>
      <c r="X21" s="47"/>
      <c r="Y21" s="47">
        <v>2</v>
      </c>
      <c r="Z21" s="47"/>
      <c r="AA21" s="54">
        <f t="shared" si="7"/>
        <v>2</v>
      </c>
      <c r="AB21" s="54">
        <f t="shared" si="8"/>
        <v>0</v>
      </c>
      <c r="AC21" s="55">
        <f t="shared" si="9"/>
        <v>2</v>
      </c>
      <c r="AD21" s="45"/>
      <c r="AE21" s="47">
        <v>1</v>
      </c>
      <c r="AF21" s="47">
        <v>2</v>
      </c>
      <c r="AG21" s="47">
        <v>1</v>
      </c>
      <c r="AH21" s="51">
        <f t="shared" si="10"/>
        <v>2</v>
      </c>
      <c r="AI21" s="51">
        <f t="shared" si="11"/>
        <v>4</v>
      </c>
      <c r="AJ21" s="53">
        <f t="shared" si="12"/>
        <v>6</v>
      </c>
      <c r="AK21" s="45">
        <v>1</v>
      </c>
      <c r="AL21" s="47"/>
      <c r="AM21" s="47"/>
      <c r="AN21" s="47"/>
      <c r="AO21" s="51">
        <f t="shared" si="13"/>
        <v>3</v>
      </c>
      <c r="AP21" s="51">
        <f t="shared" si="14"/>
        <v>0</v>
      </c>
      <c r="AQ21" s="53">
        <f t="shared" si="15"/>
        <v>3</v>
      </c>
      <c r="AR21" s="45"/>
      <c r="AS21" s="47"/>
      <c r="AT21" s="47">
        <v>2</v>
      </c>
      <c r="AU21" s="47"/>
      <c r="AV21" s="51">
        <f t="shared" si="16"/>
        <v>2</v>
      </c>
      <c r="AW21" s="51">
        <f t="shared" si="17"/>
        <v>0</v>
      </c>
      <c r="AX21" s="53">
        <f t="shared" si="18"/>
        <v>2</v>
      </c>
      <c r="AY21" s="45"/>
      <c r="AZ21" s="47"/>
      <c r="BA21" s="47">
        <v>1</v>
      </c>
      <c r="BB21" s="47"/>
      <c r="BC21" s="51">
        <f t="shared" si="19"/>
        <v>1</v>
      </c>
      <c r="BD21" s="51">
        <f t="shared" si="20"/>
        <v>0</v>
      </c>
      <c r="BE21" s="53">
        <f t="shared" si="21"/>
        <v>1</v>
      </c>
      <c r="BF21" s="45">
        <v>1</v>
      </c>
      <c r="BG21" s="47"/>
      <c r="BH21" s="47"/>
      <c r="BI21" s="47"/>
      <c r="BJ21" s="51">
        <f t="shared" si="22"/>
        <v>3</v>
      </c>
      <c r="BK21" s="51">
        <f t="shared" si="23"/>
        <v>0</v>
      </c>
      <c r="BL21" s="53">
        <f t="shared" si="24"/>
        <v>3</v>
      </c>
      <c r="BM21" s="56">
        <f t="shared" si="25"/>
        <v>18</v>
      </c>
      <c r="BN21" s="106">
        <f t="shared" ca="1" si="26"/>
        <v>8.8669950738916259E-2</v>
      </c>
      <c r="BO21" s="56">
        <f t="shared" si="27"/>
        <v>4</v>
      </c>
      <c r="BP21" s="106">
        <f t="shared" ca="1" si="28"/>
        <v>1.9704433497536946E-2</v>
      </c>
      <c r="BQ21" s="56">
        <f t="shared" si="29"/>
        <v>22</v>
      </c>
      <c r="BR21" s="106">
        <f t="shared" ca="1" si="30"/>
        <v>0.10837438423645321</v>
      </c>
      <c r="BS21" s="56">
        <f t="shared" si="31"/>
        <v>4</v>
      </c>
      <c r="BT21" s="56">
        <f t="shared" si="32"/>
        <v>1</v>
      </c>
      <c r="BU21" s="56">
        <f t="shared" si="33"/>
        <v>5</v>
      </c>
    </row>
    <row r="22" spans="1:73" x14ac:dyDescent="0.25">
      <c r="A22" s="45">
        <v>11</v>
      </c>
      <c r="B22" s="46" t="s">
        <v>9</v>
      </c>
      <c r="C22" s="46" t="str">
        <f t="shared" si="0"/>
        <v>שחר 11</v>
      </c>
      <c r="D22" s="47" t="s">
        <v>6</v>
      </c>
      <c r="E22" s="47" t="s">
        <v>7</v>
      </c>
      <c r="F22" s="101">
        <v>42917</v>
      </c>
      <c r="G22" s="57">
        <v>43560</v>
      </c>
      <c r="H22" s="124" t="s">
        <v>169</v>
      </c>
      <c r="I22" s="49"/>
      <c r="J22" s="50"/>
      <c r="K22" s="50">
        <v>1</v>
      </c>
      <c r="L22" s="50"/>
      <c r="M22" s="51">
        <f t="shared" si="1"/>
        <v>1</v>
      </c>
      <c r="N22" s="51">
        <f t="shared" si="2"/>
        <v>0</v>
      </c>
      <c r="O22" s="52">
        <f t="shared" si="3"/>
        <v>1</v>
      </c>
      <c r="P22" s="45">
        <v>1</v>
      </c>
      <c r="Q22" s="47"/>
      <c r="R22" s="47">
        <v>2</v>
      </c>
      <c r="S22" s="47"/>
      <c r="T22" s="51">
        <f t="shared" si="4"/>
        <v>5</v>
      </c>
      <c r="U22" s="51">
        <f t="shared" si="5"/>
        <v>0</v>
      </c>
      <c r="V22" s="53">
        <f t="shared" si="6"/>
        <v>5</v>
      </c>
      <c r="W22" s="45">
        <v>1</v>
      </c>
      <c r="X22" s="47"/>
      <c r="Y22" s="47">
        <v>1</v>
      </c>
      <c r="Z22" s="47"/>
      <c r="AA22" s="54">
        <f t="shared" si="7"/>
        <v>4</v>
      </c>
      <c r="AB22" s="54">
        <f t="shared" si="8"/>
        <v>0</v>
      </c>
      <c r="AC22" s="55">
        <f t="shared" si="9"/>
        <v>4</v>
      </c>
      <c r="AD22" s="45"/>
      <c r="AE22" s="47"/>
      <c r="AF22" s="47">
        <v>2</v>
      </c>
      <c r="AG22" s="47"/>
      <c r="AH22" s="51">
        <f t="shared" si="10"/>
        <v>2</v>
      </c>
      <c r="AI22" s="51">
        <f t="shared" si="11"/>
        <v>0</v>
      </c>
      <c r="AJ22" s="53">
        <f t="shared" si="12"/>
        <v>2</v>
      </c>
      <c r="AK22" s="45"/>
      <c r="AL22" s="47"/>
      <c r="AM22" s="47">
        <v>2</v>
      </c>
      <c r="AN22" s="47">
        <v>1</v>
      </c>
      <c r="AO22" s="51">
        <f t="shared" si="13"/>
        <v>2</v>
      </c>
      <c r="AP22" s="51">
        <f t="shared" si="14"/>
        <v>1</v>
      </c>
      <c r="AQ22" s="53">
        <f t="shared" si="15"/>
        <v>3</v>
      </c>
      <c r="AR22" s="45">
        <v>1</v>
      </c>
      <c r="AS22" s="47"/>
      <c r="AT22" s="47">
        <v>1</v>
      </c>
      <c r="AU22" s="47"/>
      <c r="AV22" s="51">
        <f t="shared" si="16"/>
        <v>4</v>
      </c>
      <c r="AW22" s="51">
        <f t="shared" si="17"/>
        <v>0</v>
      </c>
      <c r="AX22" s="53">
        <f t="shared" si="18"/>
        <v>4</v>
      </c>
      <c r="AY22" s="45">
        <v>1</v>
      </c>
      <c r="AZ22" s="47"/>
      <c r="BA22" s="47"/>
      <c r="BB22" s="47"/>
      <c r="BC22" s="51">
        <f t="shared" si="19"/>
        <v>3</v>
      </c>
      <c r="BD22" s="51">
        <f t="shared" si="20"/>
        <v>0</v>
      </c>
      <c r="BE22" s="53">
        <f t="shared" si="21"/>
        <v>3</v>
      </c>
      <c r="BF22" s="45"/>
      <c r="BG22" s="47"/>
      <c r="BH22" s="47"/>
      <c r="BI22" s="47"/>
      <c r="BJ22" s="51">
        <f t="shared" si="22"/>
        <v>0</v>
      </c>
      <c r="BK22" s="51">
        <f t="shared" si="23"/>
        <v>0</v>
      </c>
      <c r="BL22" s="53">
        <f t="shared" si="24"/>
        <v>0</v>
      </c>
      <c r="BM22" s="56">
        <f t="shared" si="25"/>
        <v>21</v>
      </c>
      <c r="BN22" s="106">
        <f t="shared" ca="1" si="26"/>
        <v>0.10344827586206896</v>
      </c>
      <c r="BO22" s="56">
        <f t="shared" si="27"/>
        <v>1</v>
      </c>
      <c r="BP22" s="106">
        <f t="shared" ca="1" si="28"/>
        <v>4.9261083743842365E-3</v>
      </c>
      <c r="BQ22" s="56">
        <f t="shared" si="29"/>
        <v>22</v>
      </c>
      <c r="BR22" s="106">
        <f t="shared" ca="1" si="30"/>
        <v>0.10837438423645319</v>
      </c>
      <c r="BS22" s="56">
        <f t="shared" si="31"/>
        <v>5</v>
      </c>
      <c r="BT22" s="56">
        <f t="shared" si="32"/>
        <v>0</v>
      </c>
      <c r="BU22" s="56">
        <f t="shared" si="33"/>
        <v>5</v>
      </c>
    </row>
    <row r="23" spans="1:73" x14ac:dyDescent="0.25">
      <c r="A23" s="115" t="s">
        <v>88</v>
      </c>
      <c r="B23" s="116" t="s">
        <v>126</v>
      </c>
      <c r="C23" s="46" t="str">
        <f t="shared" si="0"/>
        <v>דיאנה אחודה</v>
      </c>
      <c r="D23" s="47" t="s">
        <v>6</v>
      </c>
      <c r="E23" s="47" t="s">
        <v>6</v>
      </c>
      <c r="F23" s="101">
        <v>43009</v>
      </c>
      <c r="G23" s="57">
        <v>43291</v>
      </c>
      <c r="H23" s="48"/>
      <c r="I23" s="49"/>
      <c r="J23" s="50"/>
      <c r="K23" s="50"/>
      <c r="L23" s="50"/>
      <c r="M23" s="51">
        <f t="shared" si="1"/>
        <v>0</v>
      </c>
      <c r="N23" s="51">
        <f t="shared" si="2"/>
        <v>0</v>
      </c>
      <c r="O23" s="52">
        <f t="shared" si="3"/>
        <v>0</v>
      </c>
      <c r="P23" s="45"/>
      <c r="Q23" s="47"/>
      <c r="R23" s="47"/>
      <c r="S23" s="47"/>
      <c r="T23" s="51">
        <f t="shared" si="4"/>
        <v>0</v>
      </c>
      <c r="U23" s="51">
        <f t="shared" si="5"/>
        <v>0</v>
      </c>
      <c r="V23" s="53">
        <f t="shared" si="6"/>
        <v>0</v>
      </c>
      <c r="W23" s="45"/>
      <c r="X23" s="47"/>
      <c r="Y23" s="47"/>
      <c r="Z23" s="47"/>
      <c r="AA23" s="54">
        <f t="shared" si="7"/>
        <v>0</v>
      </c>
      <c r="AB23" s="54">
        <f t="shared" si="8"/>
        <v>0</v>
      </c>
      <c r="AC23" s="55">
        <f t="shared" si="9"/>
        <v>0</v>
      </c>
      <c r="AD23" s="45"/>
      <c r="AE23" s="47"/>
      <c r="AF23" s="47"/>
      <c r="AG23" s="47"/>
      <c r="AH23" s="51">
        <f t="shared" si="10"/>
        <v>0</v>
      </c>
      <c r="AI23" s="51">
        <f t="shared" si="11"/>
        <v>0</v>
      </c>
      <c r="AJ23" s="53">
        <f t="shared" si="12"/>
        <v>0</v>
      </c>
      <c r="AK23" s="45">
        <v>1</v>
      </c>
      <c r="AL23" s="47"/>
      <c r="AM23" s="47">
        <v>1</v>
      </c>
      <c r="AN23" s="47"/>
      <c r="AO23" s="51">
        <f t="shared" si="13"/>
        <v>4</v>
      </c>
      <c r="AP23" s="51">
        <f t="shared" si="14"/>
        <v>0</v>
      </c>
      <c r="AQ23" s="53">
        <f t="shared" si="15"/>
        <v>4</v>
      </c>
      <c r="AR23" s="45"/>
      <c r="AS23" s="47"/>
      <c r="AT23" s="47">
        <v>4</v>
      </c>
      <c r="AU23" s="47"/>
      <c r="AV23" s="51">
        <f t="shared" si="16"/>
        <v>4</v>
      </c>
      <c r="AW23" s="51">
        <f t="shared" si="17"/>
        <v>0</v>
      </c>
      <c r="AX23" s="53">
        <f t="shared" si="18"/>
        <v>4</v>
      </c>
      <c r="AY23" s="45">
        <v>1</v>
      </c>
      <c r="AZ23" s="47"/>
      <c r="BA23" s="47">
        <v>1</v>
      </c>
      <c r="BB23" s="47"/>
      <c r="BC23" s="51">
        <f t="shared" si="19"/>
        <v>4</v>
      </c>
      <c r="BD23" s="51">
        <f t="shared" si="20"/>
        <v>0</v>
      </c>
      <c r="BE23" s="53">
        <f t="shared" si="21"/>
        <v>4</v>
      </c>
      <c r="BF23" s="45"/>
      <c r="BG23" s="47"/>
      <c r="BH23" s="47"/>
      <c r="BI23" s="47"/>
      <c r="BJ23" s="51">
        <f t="shared" si="22"/>
        <v>0</v>
      </c>
      <c r="BK23" s="51">
        <f t="shared" si="23"/>
        <v>0</v>
      </c>
      <c r="BL23" s="53">
        <f t="shared" si="24"/>
        <v>0</v>
      </c>
      <c r="BM23" s="56">
        <f t="shared" si="25"/>
        <v>12</v>
      </c>
      <c r="BN23" s="106">
        <f t="shared" ca="1" si="26"/>
        <v>0.10810810810810811</v>
      </c>
      <c r="BO23" s="56">
        <f t="shared" si="27"/>
        <v>0</v>
      </c>
      <c r="BP23" s="106">
        <f t="shared" ca="1" si="28"/>
        <v>0</v>
      </c>
      <c r="BQ23" s="56">
        <f t="shared" si="29"/>
        <v>12</v>
      </c>
      <c r="BR23" s="106">
        <f t="shared" ca="1" si="30"/>
        <v>0.10810810810810811</v>
      </c>
      <c r="BS23" s="56">
        <f t="shared" si="31"/>
        <v>2</v>
      </c>
      <c r="BT23" s="56">
        <f t="shared" si="32"/>
        <v>0</v>
      </c>
      <c r="BU23" s="56">
        <f t="shared" si="33"/>
        <v>2</v>
      </c>
    </row>
    <row r="24" spans="1:73" x14ac:dyDescent="0.25">
      <c r="A24" s="115">
        <v>679</v>
      </c>
      <c r="B24" s="116" t="s">
        <v>65</v>
      </c>
      <c r="C24" s="46" t="str">
        <f t="shared" si="0"/>
        <v>אלכס 679</v>
      </c>
      <c r="D24" s="47" t="s">
        <v>6</v>
      </c>
      <c r="E24" s="74" t="s">
        <v>7</v>
      </c>
      <c r="F24" s="101">
        <v>42979</v>
      </c>
      <c r="G24" s="58">
        <v>43661</v>
      </c>
      <c r="H24" s="48"/>
      <c r="I24" s="49"/>
      <c r="J24" s="50"/>
      <c r="K24" s="50"/>
      <c r="L24" s="50"/>
      <c r="M24" s="51">
        <f t="shared" si="1"/>
        <v>0</v>
      </c>
      <c r="N24" s="51">
        <f t="shared" si="2"/>
        <v>0</v>
      </c>
      <c r="O24" s="52">
        <f t="shared" si="3"/>
        <v>0</v>
      </c>
      <c r="P24" s="45"/>
      <c r="Q24" s="47"/>
      <c r="R24" s="47"/>
      <c r="S24" s="47"/>
      <c r="T24" s="51">
        <f t="shared" si="4"/>
        <v>0</v>
      </c>
      <c r="U24" s="51">
        <f t="shared" si="5"/>
        <v>0</v>
      </c>
      <c r="V24" s="53">
        <f t="shared" si="6"/>
        <v>0</v>
      </c>
      <c r="W24" s="45"/>
      <c r="X24" s="47"/>
      <c r="Y24" s="47"/>
      <c r="Z24" s="47"/>
      <c r="AA24" s="54">
        <f t="shared" si="7"/>
        <v>0</v>
      </c>
      <c r="AB24" s="54">
        <f t="shared" si="8"/>
        <v>0</v>
      </c>
      <c r="AC24" s="55">
        <f t="shared" si="9"/>
        <v>0</v>
      </c>
      <c r="AD24" s="45">
        <v>1</v>
      </c>
      <c r="AE24" s="47"/>
      <c r="AF24" s="47"/>
      <c r="AG24" s="47"/>
      <c r="AH24" s="51">
        <f t="shared" si="10"/>
        <v>3</v>
      </c>
      <c r="AI24" s="51">
        <f t="shared" si="11"/>
        <v>0</v>
      </c>
      <c r="AJ24" s="53">
        <f t="shared" si="12"/>
        <v>3</v>
      </c>
      <c r="AK24" s="45"/>
      <c r="AL24" s="47"/>
      <c r="AM24" s="47">
        <v>4</v>
      </c>
      <c r="AN24" s="47"/>
      <c r="AO24" s="51">
        <f t="shared" si="13"/>
        <v>4</v>
      </c>
      <c r="AP24" s="51">
        <f t="shared" si="14"/>
        <v>0</v>
      </c>
      <c r="AQ24" s="53">
        <f t="shared" si="15"/>
        <v>4</v>
      </c>
      <c r="AR24" s="45"/>
      <c r="AS24" s="47"/>
      <c r="AT24" s="47">
        <v>4</v>
      </c>
      <c r="AU24" s="47"/>
      <c r="AV24" s="51">
        <f t="shared" si="16"/>
        <v>4</v>
      </c>
      <c r="AW24" s="51">
        <f t="shared" si="17"/>
        <v>0</v>
      </c>
      <c r="AX24" s="53">
        <f t="shared" si="18"/>
        <v>4</v>
      </c>
      <c r="AY24" s="45">
        <v>1</v>
      </c>
      <c r="AZ24" s="47"/>
      <c r="BA24" s="47"/>
      <c r="BB24" s="47">
        <v>1</v>
      </c>
      <c r="BC24" s="51">
        <f t="shared" si="19"/>
        <v>3</v>
      </c>
      <c r="BD24" s="51">
        <f t="shared" si="20"/>
        <v>1</v>
      </c>
      <c r="BE24" s="53">
        <f t="shared" si="21"/>
        <v>4</v>
      </c>
      <c r="BF24" s="45"/>
      <c r="BG24" s="47"/>
      <c r="BH24" s="47"/>
      <c r="BI24" s="47"/>
      <c r="BJ24" s="51">
        <f t="shared" si="22"/>
        <v>0</v>
      </c>
      <c r="BK24" s="51">
        <f t="shared" si="23"/>
        <v>0</v>
      </c>
      <c r="BL24" s="53">
        <f t="shared" si="24"/>
        <v>0</v>
      </c>
      <c r="BM24" s="56">
        <f t="shared" si="25"/>
        <v>14</v>
      </c>
      <c r="BN24" s="106">
        <f t="shared" ca="1" si="26"/>
        <v>9.9290780141843976E-2</v>
      </c>
      <c r="BO24" s="56">
        <f t="shared" si="27"/>
        <v>1</v>
      </c>
      <c r="BP24" s="106">
        <f t="shared" ca="1" si="28"/>
        <v>7.0921985815602835E-3</v>
      </c>
      <c r="BQ24" s="56">
        <f t="shared" si="29"/>
        <v>15</v>
      </c>
      <c r="BR24" s="106">
        <f t="shared" ca="1" si="30"/>
        <v>0.10638297872340426</v>
      </c>
      <c r="BS24" s="56">
        <f t="shared" si="31"/>
        <v>2</v>
      </c>
      <c r="BT24" s="56">
        <f t="shared" si="32"/>
        <v>0</v>
      </c>
      <c r="BU24" s="56">
        <f t="shared" si="33"/>
        <v>2</v>
      </c>
    </row>
    <row r="25" spans="1:73" x14ac:dyDescent="0.25">
      <c r="A25" s="45">
        <v>209</v>
      </c>
      <c r="B25" s="46" t="s">
        <v>8</v>
      </c>
      <c r="C25" s="46" t="str">
        <f t="shared" si="0"/>
        <v>יובל 209</v>
      </c>
      <c r="D25" s="47" t="s">
        <v>6</v>
      </c>
      <c r="E25" s="47" t="s">
        <v>7</v>
      </c>
      <c r="F25" s="101">
        <v>42917</v>
      </c>
      <c r="G25" s="58">
        <v>43437</v>
      </c>
      <c r="H25" s="48"/>
      <c r="I25" s="49"/>
      <c r="J25" s="50"/>
      <c r="K25" s="50">
        <v>2</v>
      </c>
      <c r="L25" s="50">
        <v>1</v>
      </c>
      <c r="M25" s="51">
        <f t="shared" si="1"/>
        <v>2</v>
      </c>
      <c r="N25" s="51">
        <f t="shared" si="2"/>
        <v>1</v>
      </c>
      <c r="O25" s="52">
        <f t="shared" si="3"/>
        <v>3</v>
      </c>
      <c r="P25" s="45"/>
      <c r="Q25" s="47">
        <v>1</v>
      </c>
      <c r="R25" s="47">
        <v>2</v>
      </c>
      <c r="S25" s="47"/>
      <c r="T25" s="51">
        <f t="shared" si="4"/>
        <v>2</v>
      </c>
      <c r="U25" s="51">
        <f t="shared" si="5"/>
        <v>3</v>
      </c>
      <c r="V25" s="53">
        <f t="shared" si="6"/>
        <v>5</v>
      </c>
      <c r="W25" s="45">
        <v>1</v>
      </c>
      <c r="X25" s="47"/>
      <c r="Y25" s="47"/>
      <c r="Z25" s="47"/>
      <c r="AA25" s="54">
        <f t="shared" si="7"/>
        <v>3</v>
      </c>
      <c r="AB25" s="54">
        <f t="shared" si="8"/>
        <v>0</v>
      </c>
      <c r="AC25" s="55">
        <f t="shared" si="9"/>
        <v>3</v>
      </c>
      <c r="AD25" s="45"/>
      <c r="AE25" s="47"/>
      <c r="AF25" s="47">
        <v>3</v>
      </c>
      <c r="AG25" s="47"/>
      <c r="AH25" s="51">
        <f t="shared" si="10"/>
        <v>3</v>
      </c>
      <c r="AI25" s="51">
        <f t="shared" si="11"/>
        <v>0</v>
      </c>
      <c r="AJ25" s="53">
        <f t="shared" si="12"/>
        <v>3</v>
      </c>
      <c r="AK25" s="45"/>
      <c r="AL25" s="47"/>
      <c r="AM25" s="47"/>
      <c r="AN25" s="47">
        <v>1</v>
      </c>
      <c r="AO25" s="51">
        <f t="shared" si="13"/>
        <v>0</v>
      </c>
      <c r="AP25" s="51">
        <f t="shared" si="14"/>
        <v>1</v>
      </c>
      <c r="AQ25" s="53">
        <f t="shared" si="15"/>
        <v>1</v>
      </c>
      <c r="AR25" s="45"/>
      <c r="AS25" s="47"/>
      <c r="AT25" s="47">
        <v>1</v>
      </c>
      <c r="AU25" s="47"/>
      <c r="AV25" s="51">
        <f t="shared" si="16"/>
        <v>1</v>
      </c>
      <c r="AW25" s="51">
        <f t="shared" si="17"/>
        <v>0</v>
      </c>
      <c r="AX25" s="53">
        <f t="shared" si="18"/>
        <v>1</v>
      </c>
      <c r="AY25" s="45"/>
      <c r="AZ25" s="47"/>
      <c r="BA25" s="47">
        <v>2</v>
      </c>
      <c r="BB25" s="47"/>
      <c r="BC25" s="51">
        <f t="shared" si="19"/>
        <v>2</v>
      </c>
      <c r="BD25" s="51">
        <f t="shared" si="20"/>
        <v>0</v>
      </c>
      <c r="BE25" s="53">
        <f t="shared" si="21"/>
        <v>2</v>
      </c>
      <c r="BF25" s="45">
        <v>1</v>
      </c>
      <c r="BG25" s="47"/>
      <c r="BH25" s="47"/>
      <c r="BI25" s="47"/>
      <c r="BJ25" s="51">
        <f t="shared" si="22"/>
        <v>3</v>
      </c>
      <c r="BK25" s="51">
        <f t="shared" si="23"/>
        <v>0</v>
      </c>
      <c r="BL25" s="53">
        <f t="shared" si="24"/>
        <v>3</v>
      </c>
      <c r="BM25" s="56">
        <f t="shared" si="25"/>
        <v>16</v>
      </c>
      <c r="BN25" s="106">
        <f t="shared" ca="1" si="26"/>
        <v>7.8817733990147784E-2</v>
      </c>
      <c r="BO25" s="56">
        <f t="shared" si="27"/>
        <v>5</v>
      </c>
      <c r="BP25" s="106">
        <f t="shared" ca="1" si="28"/>
        <v>2.4630541871921183E-2</v>
      </c>
      <c r="BQ25" s="56">
        <f t="shared" si="29"/>
        <v>21</v>
      </c>
      <c r="BR25" s="106">
        <f t="shared" ca="1" si="30"/>
        <v>0.10344827586206896</v>
      </c>
      <c r="BS25" s="56">
        <f t="shared" si="31"/>
        <v>2</v>
      </c>
      <c r="BT25" s="56">
        <f t="shared" si="32"/>
        <v>2</v>
      </c>
      <c r="BU25" s="56">
        <f t="shared" si="33"/>
        <v>4</v>
      </c>
    </row>
    <row r="26" spans="1:73" x14ac:dyDescent="0.25">
      <c r="A26" s="45" t="s">
        <v>88</v>
      </c>
      <c r="B26" s="46" t="s">
        <v>62</v>
      </c>
      <c r="C26" s="46" t="str">
        <f t="shared" si="0"/>
        <v>דקל אחודה</v>
      </c>
      <c r="D26" s="74" t="s">
        <v>86</v>
      </c>
      <c r="E26" s="47" t="s">
        <v>7</v>
      </c>
      <c r="F26" s="101">
        <v>42948</v>
      </c>
      <c r="G26" s="58">
        <v>43692</v>
      </c>
      <c r="H26" s="48"/>
      <c r="I26" s="49"/>
      <c r="J26" s="50"/>
      <c r="K26" s="50"/>
      <c r="L26" s="50"/>
      <c r="M26" s="51">
        <f t="shared" si="1"/>
        <v>0</v>
      </c>
      <c r="N26" s="51">
        <f t="shared" si="2"/>
        <v>0</v>
      </c>
      <c r="O26" s="52">
        <f t="shared" si="3"/>
        <v>0</v>
      </c>
      <c r="P26" s="45"/>
      <c r="Q26" s="47"/>
      <c r="R26" s="47"/>
      <c r="S26" s="47"/>
      <c r="T26" s="51">
        <f t="shared" si="4"/>
        <v>0</v>
      </c>
      <c r="U26" s="51">
        <f t="shared" si="5"/>
        <v>0</v>
      </c>
      <c r="V26" s="53">
        <f t="shared" si="6"/>
        <v>0</v>
      </c>
      <c r="W26" s="45">
        <v>1</v>
      </c>
      <c r="X26" s="47"/>
      <c r="Y26" s="47"/>
      <c r="Z26" s="47"/>
      <c r="AA26" s="54">
        <f t="shared" si="7"/>
        <v>3</v>
      </c>
      <c r="AB26" s="54">
        <f t="shared" si="8"/>
        <v>0</v>
      </c>
      <c r="AC26" s="55">
        <f t="shared" si="9"/>
        <v>3</v>
      </c>
      <c r="AD26" s="45">
        <v>1</v>
      </c>
      <c r="AE26" s="47"/>
      <c r="AF26" s="47">
        <v>1</v>
      </c>
      <c r="AG26" s="47"/>
      <c r="AH26" s="51">
        <f t="shared" si="10"/>
        <v>4</v>
      </c>
      <c r="AI26" s="51">
        <f t="shared" si="11"/>
        <v>0</v>
      </c>
      <c r="AJ26" s="53">
        <f t="shared" si="12"/>
        <v>4</v>
      </c>
      <c r="AK26" s="45"/>
      <c r="AL26" s="47"/>
      <c r="AM26" s="47"/>
      <c r="AN26" s="47">
        <v>1</v>
      </c>
      <c r="AO26" s="51">
        <f t="shared" si="13"/>
        <v>0</v>
      </c>
      <c r="AP26" s="51">
        <f t="shared" si="14"/>
        <v>1</v>
      </c>
      <c r="AQ26" s="53">
        <f t="shared" si="15"/>
        <v>1</v>
      </c>
      <c r="AR26" s="45"/>
      <c r="AS26" s="47"/>
      <c r="AT26" s="47">
        <v>4</v>
      </c>
      <c r="AU26" s="47"/>
      <c r="AV26" s="51">
        <f t="shared" si="16"/>
        <v>4</v>
      </c>
      <c r="AW26" s="51">
        <f t="shared" si="17"/>
        <v>0</v>
      </c>
      <c r="AX26" s="53">
        <f t="shared" si="18"/>
        <v>4</v>
      </c>
      <c r="AY26" s="45"/>
      <c r="AZ26" s="47">
        <v>1</v>
      </c>
      <c r="BA26" s="47"/>
      <c r="BB26" s="47">
        <v>2</v>
      </c>
      <c r="BC26" s="51">
        <f t="shared" si="19"/>
        <v>0</v>
      </c>
      <c r="BD26" s="51">
        <f t="shared" si="20"/>
        <v>5</v>
      </c>
      <c r="BE26" s="53">
        <f t="shared" si="21"/>
        <v>5</v>
      </c>
      <c r="BF26" s="45"/>
      <c r="BG26" s="47"/>
      <c r="BH26" s="47"/>
      <c r="BI26" s="47"/>
      <c r="BJ26" s="51">
        <f t="shared" si="22"/>
        <v>0</v>
      </c>
      <c r="BK26" s="51">
        <f t="shared" si="23"/>
        <v>0</v>
      </c>
      <c r="BL26" s="53">
        <f t="shared" si="24"/>
        <v>0</v>
      </c>
      <c r="BM26" s="56">
        <f t="shared" si="25"/>
        <v>11</v>
      </c>
      <c r="BN26" s="106">
        <f t="shared" ca="1" si="26"/>
        <v>6.3953488372093026E-2</v>
      </c>
      <c r="BO26" s="56">
        <f t="shared" si="27"/>
        <v>6</v>
      </c>
      <c r="BP26" s="106">
        <f t="shared" ca="1" si="28"/>
        <v>3.4883720930232558E-2</v>
      </c>
      <c r="BQ26" s="56">
        <f t="shared" si="29"/>
        <v>17</v>
      </c>
      <c r="BR26" s="106">
        <f t="shared" ca="1" si="30"/>
        <v>9.883720930232559E-2</v>
      </c>
      <c r="BS26" s="56">
        <f t="shared" si="31"/>
        <v>2</v>
      </c>
      <c r="BT26" s="56">
        <f t="shared" si="32"/>
        <v>1</v>
      </c>
      <c r="BU26" s="56">
        <f t="shared" si="33"/>
        <v>3</v>
      </c>
    </row>
    <row r="27" spans="1:73" x14ac:dyDescent="0.25">
      <c r="A27" s="45" t="s">
        <v>17</v>
      </c>
      <c r="B27" s="46" t="s">
        <v>21</v>
      </c>
      <c r="C27" s="46" t="str">
        <f t="shared" si="0"/>
        <v>מורז מפאוג</v>
      </c>
      <c r="D27" s="47" t="s">
        <v>6</v>
      </c>
      <c r="E27" s="47" t="s">
        <v>7</v>
      </c>
      <c r="F27" s="101">
        <v>42917</v>
      </c>
      <c r="G27" s="58">
        <v>43416</v>
      </c>
      <c r="H27" s="48"/>
      <c r="I27" s="49">
        <v>1</v>
      </c>
      <c r="J27" s="50"/>
      <c r="K27" s="50">
        <v>1</v>
      </c>
      <c r="L27" s="50"/>
      <c r="M27" s="51">
        <f t="shared" si="1"/>
        <v>4</v>
      </c>
      <c r="N27" s="51">
        <f t="shared" si="2"/>
        <v>0</v>
      </c>
      <c r="O27" s="52">
        <f t="shared" si="3"/>
        <v>4</v>
      </c>
      <c r="P27" s="45">
        <v>1</v>
      </c>
      <c r="Q27" s="47"/>
      <c r="R27" s="47">
        <v>2</v>
      </c>
      <c r="S27" s="47"/>
      <c r="T27" s="51">
        <f t="shared" si="4"/>
        <v>5</v>
      </c>
      <c r="U27" s="51">
        <f t="shared" si="5"/>
        <v>0</v>
      </c>
      <c r="V27" s="53">
        <f t="shared" si="6"/>
        <v>5</v>
      </c>
      <c r="W27" s="45"/>
      <c r="X27" s="47"/>
      <c r="Y27" s="47">
        <v>1</v>
      </c>
      <c r="Z27" s="47">
        <v>2</v>
      </c>
      <c r="AA27" s="54">
        <f t="shared" si="7"/>
        <v>1</v>
      </c>
      <c r="AB27" s="54">
        <f t="shared" si="8"/>
        <v>2</v>
      </c>
      <c r="AC27" s="55">
        <f t="shared" si="9"/>
        <v>3</v>
      </c>
      <c r="AD27" s="45">
        <v>1</v>
      </c>
      <c r="AE27" s="47"/>
      <c r="AF27" s="47"/>
      <c r="AG27" s="47"/>
      <c r="AH27" s="51">
        <f t="shared" si="10"/>
        <v>3</v>
      </c>
      <c r="AI27" s="51">
        <f t="shared" si="11"/>
        <v>0</v>
      </c>
      <c r="AJ27" s="53">
        <f t="shared" si="12"/>
        <v>3</v>
      </c>
      <c r="AK27" s="45"/>
      <c r="AL27" s="47"/>
      <c r="AM27" s="47"/>
      <c r="AN27" s="47"/>
      <c r="AO27" s="51">
        <f t="shared" si="13"/>
        <v>0</v>
      </c>
      <c r="AP27" s="51">
        <f t="shared" si="14"/>
        <v>0</v>
      </c>
      <c r="AQ27" s="53">
        <f t="shared" si="15"/>
        <v>0</v>
      </c>
      <c r="AR27" s="45"/>
      <c r="AS27" s="47"/>
      <c r="AT27" s="47">
        <v>1</v>
      </c>
      <c r="AU27" s="47"/>
      <c r="AV27" s="51">
        <f t="shared" si="16"/>
        <v>1</v>
      </c>
      <c r="AW27" s="51">
        <f t="shared" si="17"/>
        <v>0</v>
      </c>
      <c r="AX27" s="53">
        <f t="shared" si="18"/>
        <v>1</v>
      </c>
      <c r="AY27" s="45">
        <v>1</v>
      </c>
      <c r="AZ27" s="47"/>
      <c r="BA27" s="47"/>
      <c r="BB27" s="47">
        <v>1</v>
      </c>
      <c r="BC27" s="51">
        <f t="shared" si="19"/>
        <v>3</v>
      </c>
      <c r="BD27" s="51">
        <f t="shared" si="20"/>
        <v>1</v>
      </c>
      <c r="BE27" s="53">
        <f t="shared" si="21"/>
        <v>4</v>
      </c>
      <c r="BF27" s="45"/>
      <c r="BG27" s="47"/>
      <c r="BH27" s="47"/>
      <c r="BI27" s="47"/>
      <c r="BJ27" s="51">
        <f t="shared" si="22"/>
        <v>0</v>
      </c>
      <c r="BK27" s="51">
        <f t="shared" si="23"/>
        <v>0</v>
      </c>
      <c r="BL27" s="53">
        <f t="shared" si="24"/>
        <v>0</v>
      </c>
      <c r="BM27" s="56">
        <f t="shared" si="25"/>
        <v>17</v>
      </c>
      <c r="BN27" s="106">
        <f t="shared" ca="1" si="26"/>
        <v>8.3743842364532015E-2</v>
      </c>
      <c r="BO27" s="56">
        <f t="shared" si="27"/>
        <v>3</v>
      </c>
      <c r="BP27" s="106">
        <f t="shared" ca="1" si="28"/>
        <v>1.4778325123152709E-2</v>
      </c>
      <c r="BQ27" s="56">
        <f t="shared" si="29"/>
        <v>20</v>
      </c>
      <c r="BR27" s="106">
        <f t="shared" ca="1" si="30"/>
        <v>9.852216748768472E-2</v>
      </c>
      <c r="BS27" s="56">
        <f t="shared" si="31"/>
        <v>5</v>
      </c>
      <c r="BT27" s="56">
        <f t="shared" si="32"/>
        <v>0</v>
      </c>
      <c r="BU27" s="56">
        <f t="shared" si="33"/>
        <v>5</v>
      </c>
    </row>
    <row r="28" spans="1:73" x14ac:dyDescent="0.25">
      <c r="A28" s="45">
        <v>679</v>
      </c>
      <c r="B28" s="46" t="s">
        <v>16</v>
      </c>
      <c r="C28" s="46" t="str">
        <f t="shared" si="0"/>
        <v>שיר 679</v>
      </c>
      <c r="D28" s="47" t="s">
        <v>6</v>
      </c>
      <c r="E28" s="47" t="s">
        <v>7</v>
      </c>
      <c r="F28" s="101">
        <v>42917</v>
      </c>
      <c r="G28" s="57">
        <v>43558</v>
      </c>
      <c r="H28" s="48" t="s">
        <v>56</v>
      </c>
      <c r="I28" s="49"/>
      <c r="J28" s="50"/>
      <c r="K28" s="50"/>
      <c r="L28" s="50"/>
      <c r="M28" s="51">
        <f t="shared" si="1"/>
        <v>0</v>
      </c>
      <c r="N28" s="51">
        <f t="shared" si="2"/>
        <v>0</v>
      </c>
      <c r="O28" s="52">
        <f t="shared" si="3"/>
        <v>0</v>
      </c>
      <c r="P28" s="45">
        <v>1</v>
      </c>
      <c r="Q28" s="47"/>
      <c r="R28" s="47"/>
      <c r="S28" s="47"/>
      <c r="T28" s="51">
        <f t="shared" si="4"/>
        <v>3</v>
      </c>
      <c r="U28" s="51">
        <f t="shared" si="5"/>
        <v>0</v>
      </c>
      <c r="V28" s="53">
        <f t="shared" si="6"/>
        <v>3</v>
      </c>
      <c r="W28" s="45">
        <v>1</v>
      </c>
      <c r="X28" s="47"/>
      <c r="Y28" s="47">
        <v>1</v>
      </c>
      <c r="Z28" s="47"/>
      <c r="AA28" s="54">
        <f t="shared" si="7"/>
        <v>4</v>
      </c>
      <c r="AB28" s="54">
        <f t="shared" si="8"/>
        <v>0</v>
      </c>
      <c r="AC28" s="55">
        <f t="shared" si="9"/>
        <v>4</v>
      </c>
      <c r="AD28" s="45"/>
      <c r="AE28" s="47"/>
      <c r="AF28" s="47">
        <v>1</v>
      </c>
      <c r="AG28" s="47">
        <v>2</v>
      </c>
      <c r="AH28" s="51">
        <f t="shared" si="10"/>
        <v>1</v>
      </c>
      <c r="AI28" s="51">
        <f t="shared" si="11"/>
        <v>2</v>
      </c>
      <c r="AJ28" s="53">
        <f t="shared" si="12"/>
        <v>3</v>
      </c>
      <c r="AK28" s="45"/>
      <c r="AL28" s="47"/>
      <c r="AM28" s="47">
        <v>2</v>
      </c>
      <c r="AN28" s="47"/>
      <c r="AO28" s="51">
        <f t="shared" si="13"/>
        <v>2</v>
      </c>
      <c r="AP28" s="51">
        <f t="shared" si="14"/>
        <v>0</v>
      </c>
      <c r="AQ28" s="53">
        <f t="shared" si="15"/>
        <v>2</v>
      </c>
      <c r="AR28" s="45"/>
      <c r="AS28" s="47"/>
      <c r="AT28" s="47">
        <v>3</v>
      </c>
      <c r="AU28" s="47"/>
      <c r="AV28" s="51">
        <f t="shared" si="16"/>
        <v>3</v>
      </c>
      <c r="AW28" s="51">
        <f t="shared" si="17"/>
        <v>0</v>
      </c>
      <c r="AX28" s="53">
        <f t="shared" si="18"/>
        <v>3</v>
      </c>
      <c r="AY28" s="45">
        <v>1</v>
      </c>
      <c r="AZ28" s="47"/>
      <c r="BA28" s="47">
        <v>1</v>
      </c>
      <c r="BB28" s="47"/>
      <c r="BC28" s="51">
        <f t="shared" si="19"/>
        <v>4</v>
      </c>
      <c r="BD28" s="51">
        <f t="shared" si="20"/>
        <v>0</v>
      </c>
      <c r="BE28" s="53">
        <f t="shared" si="21"/>
        <v>4</v>
      </c>
      <c r="BF28" s="45"/>
      <c r="BG28" s="47">
        <v>1</v>
      </c>
      <c r="BH28" s="47"/>
      <c r="BI28" s="47"/>
      <c r="BJ28" s="51">
        <f t="shared" si="22"/>
        <v>0</v>
      </c>
      <c r="BK28" s="51">
        <f t="shared" si="23"/>
        <v>3</v>
      </c>
      <c r="BL28" s="53">
        <f t="shared" si="24"/>
        <v>3</v>
      </c>
      <c r="BM28" s="56">
        <f t="shared" si="25"/>
        <v>17</v>
      </c>
      <c r="BN28" s="106">
        <f t="shared" ca="1" si="26"/>
        <v>8.3743842364532015E-2</v>
      </c>
      <c r="BO28" s="56">
        <f t="shared" si="27"/>
        <v>5</v>
      </c>
      <c r="BP28" s="106">
        <f t="shared" ca="1" si="28"/>
        <v>2.4630541871921183E-2</v>
      </c>
      <c r="BQ28" s="56">
        <f t="shared" si="29"/>
        <v>22</v>
      </c>
      <c r="BR28" s="106">
        <f t="shared" ca="1" si="30"/>
        <v>0.10837438423645319</v>
      </c>
      <c r="BS28" s="56">
        <f t="shared" si="31"/>
        <v>4</v>
      </c>
      <c r="BT28" s="56">
        <f t="shared" si="32"/>
        <v>1</v>
      </c>
      <c r="BU28" s="56">
        <f t="shared" si="33"/>
        <v>5</v>
      </c>
    </row>
    <row r="29" spans="1:73" x14ac:dyDescent="0.25">
      <c r="A29" s="89" t="s">
        <v>88</v>
      </c>
      <c r="B29" s="90" t="s">
        <v>63</v>
      </c>
      <c r="C29" s="90" t="str">
        <f t="shared" si="0"/>
        <v>סופיה אחודה</v>
      </c>
      <c r="D29" s="91" t="s">
        <v>7</v>
      </c>
      <c r="E29" s="91" t="s">
        <v>7</v>
      </c>
      <c r="F29" s="101">
        <v>42948</v>
      </c>
      <c r="G29" s="108">
        <v>43659</v>
      </c>
      <c r="H29" s="92"/>
      <c r="I29" s="93"/>
      <c r="J29" s="94"/>
      <c r="K29" s="94"/>
      <c r="L29" s="94"/>
      <c r="M29" s="51">
        <f t="shared" si="1"/>
        <v>0</v>
      </c>
      <c r="N29" s="51">
        <f t="shared" si="2"/>
        <v>0</v>
      </c>
      <c r="O29" s="52">
        <f t="shared" si="3"/>
        <v>0</v>
      </c>
      <c r="P29" s="89"/>
      <c r="Q29" s="91"/>
      <c r="R29" s="91"/>
      <c r="S29" s="91"/>
      <c r="T29" s="51">
        <f t="shared" si="4"/>
        <v>0</v>
      </c>
      <c r="U29" s="51">
        <f t="shared" si="5"/>
        <v>0</v>
      </c>
      <c r="V29" s="53">
        <f t="shared" si="6"/>
        <v>0</v>
      </c>
      <c r="W29" s="45"/>
      <c r="X29" s="47"/>
      <c r="Y29" s="47"/>
      <c r="Z29" s="47"/>
      <c r="AA29" s="54">
        <f t="shared" si="7"/>
        <v>0</v>
      </c>
      <c r="AB29" s="54">
        <f t="shared" si="8"/>
        <v>0</v>
      </c>
      <c r="AC29" s="55">
        <f t="shared" si="9"/>
        <v>0</v>
      </c>
      <c r="AD29" s="89"/>
      <c r="AE29" s="91">
        <v>1</v>
      </c>
      <c r="AF29" s="91"/>
      <c r="AG29" s="91">
        <v>1</v>
      </c>
      <c r="AH29" s="51">
        <f t="shared" si="10"/>
        <v>0</v>
      </c>
      <c r="AI29" s="51">
        <f t="shared" si="11"/>
        <v>4</v>
      </c>
      <c r="AJ29" s="53">
        <f t="shared" si="12"/>
        <v>4</v>
      </c>
      <c r="AK29" s="89"/>
      <c r="AL29" s="91">
        <v>1</v>
      </c>
      <c r="AM29" s="91"/>
      <c r="AN29" s="91">
        <v>1</v>
      </c>
      <c r="AO29" s="51">
        <f t="shared" si="13"/>
        <v>0</v>
      </c>
      <c r="AP29" s="51">
        <f t="shared" si="14"/>
        <v>4</v>
      </c>
      <c r="AQ29" s="53">
        <f t="shared" si="15"/>
        <v>4</v>
      </c>
      <c r="AR29" s="89"/>
      <c r="AS29" s="91"/>
      <c r="AT29" s="91"/>
      <c r="AU29" s="91">
        <v>3</v>
      </c>
      <c r="AV29" s="51">
        <f t="shared" si="16"/>
        <v>0</v>
      </c>
      <c r="AW29" s="51">
        <f t="shared" si="17"/>
        <v>3</v>
      </c>
      <c r="AX29" s="53">
        <f t="shared" si="18"/>
        <v>3</v>
      </c>
      <c r="AY29" s="89"/>
      <c r="AZ29" s="91">
        <v>1</v>
      </c>
      <c r="BA29" s="91"/>
      <c r="BB29" s="91">
        <v>2</v>
      </c>
      <c r="BC29" s="51">
        <f t="shared" si="19"/>
        <v>0</v>
      </c>
      <c r="BD29" s="51">
        <f t="shared" si="20"/>
        <v>5</v>
      </c>
      <c r="BE29" s="53">
        <f t="shared" si="21"/>
        <v>5</v>
      </c>
      <c r="BF29" s="89"/>
      <c r="BG29" s="91"/>
      <c r="BH29" s="91"/>
      <c r="BI29" s="91"/>
      <c r="BJ29" s="51">
        <f t="shared" si="22"/>
        <v>0</v>
      </c>
      <c r="BK29" s="51">
        <f t="shared" si="23"/>
        <v>0</v>
      </c>
      <c r="BL29" s="53">
        <f t="shared" si="24"/>
        <v>0</v>
      </c>
      <c r="BM29" s="56">
        <f t="shared" si="25"/>
        <v>0</v>
      </c>
      <c r="BN29" s="106">
        <f t="shared" ca="1" si="26"/>
        <v>0</v>
      </c>
      <c r="BO29" s="56">
        <f t="shared" si="27"/>
        <v>16</v>
      </c>
      <c r="BP29" s="106">
        <f t="shared" ca="1" si="28"/>
        <v>9.3023255813953487E-2</v>
      </c>
      <c r="BQ29" s="56">
        <f t="shared" si="29"/>
        <v>16</v>
      </c>
      <c r="BR29" s="106">
        <f t="shared" ca="1" si="30"/>
        <v>9.3023255813953487E-2</v>
      </c>
      <c r="BS29" s="56">
        <f t="shared" si="31"/>
        <v>0</v>
      </c>
      <c r="BT29" s="56">
        <f t="shared" si="32"/>
        <v>3</v>
      </c>
      <c r="BU29" s="56">
        <f t="shared" si="33"/>
        <v>3</v>
      </c>
    </row>
    <row r="30" spans="1:73" x14ac:dyDescent="0.25">
      <c r="A30" s="89">
        <v>209</v>
      </c>
      <c r="B30" s="96" t="s">
        <v>149</v>
      </c>
      <c r="C30" s="90" t="str">
        <f t="shared" si="0"/>
        <v>ולריה 209</v>
      </c>
      <c r="D30" s="98" t="s">
        <v>6</v>
      </c>
      <c r="E30" s="98" t="s">
        <v>7</v>
      </c>
      <c r="F30" s="101">
        <v>43040</v>
      </c>
      <c r="G30" s="131" t="s">
        <v>86</v>
      </c>
      <c r="H30" s="92"/>
      <c r="I30" s="93"/>
      <c r="J30" s="94"/>
      <c r="K30" s="94"/>
      <c r="L30" s="94"/>
      <c r="M30" s="51">
        <f t="shared" si="1"/>
        <v>0</v>
      </c>
      <c r="N30" s="51">
        <f t="shared" si="2"/>
        <v>0</v>
      </c>
      <c r="O30" s="52">
        <f t="shared" si="3"/>
        <v>0</v>
      </c>
      <c r="P30" s="89"/>
      <c r="Q30" s="91"/>
      <c r="R30" s="91"/>
      <c r="S30" s="91"/>
      <c r="T30" s="51">
        <f t="shared" si="4"/>
        <v>0</v>
      </c>
      <c r="U30" s="51">
        <f t="shared" si="5"/>
        <v>0</v>
      </c>
      <c r="V30" s="53">
        <f t="shared" si="6"/>
        <v>0</v>
      </c>
      <c r="W30" s="45"/>
      <c r="X30" s="47"/>
      <c r="Y30" s="47"/>
      <c r="Z30" s="47"/>
      <c r="AA30" s="54">
        <f t="shared" si="7"/>
        <v>0</v>
      </c>
      <c r="AB30" s="54">
        <f t="shared" si="8"/>
        <v>0</v>
      </c>
      <c r="AC30" s="55">
        <f t="shared" si="9"/>
        <v>0</v>
      </c>
      <c r="AD30" s="89"/>
      <c r="AE30" s="91"/>
      <c r="AF30" s="91"/>
      <c r="AG30" s="91"/>
      <c r="AH30" s="51">
        <f t="shared" si="10"/>
        <v>0</v>
      </c>
      <c r="AI30" s="51">
        <f t="shared" si="11"/>
        <v>0</v>
      </c>
      <c r="AJ30" s="53">
        <f t="shared" si="12"/>
        <v>0</v>
      </c>
      <c r="AK30" s="89"/>
      <c r="AL30" s="91"/>
      <c r="AM30" s="91"/>
      <c r="AN30" s="91"/>
      <c r="AO30" s="51">
        <f t="shared" si="13"/>
        <v>0</v>
      </c>
      <c r="AP30" s="51">
        <f t="shared" si="14"/>
        <v>0</v>
      </c>
      <c r="AQ30" s="53">
        <f t="shared" si="15"/>
        <v>0</v>
      </c>
      <c r="AR30" s="89"/>
      <c r="AS30" s="91"/>
      <c r="AT30" s="91">
        <v>1</v>
      </c>
      <c r="AU30" s="91"/>
      <c r="AV30" s="51">
        <f t="shared" si="16"/>
        <v>1</v>
      </c>
      <c r="AW30" s="51">
        <f t="shared" si="17"/>
        <v>0</v>
      </c>
      <c r="AX30" s="53">
        <f t="shared" si="18"/>
        <v>1</v>
      </c>
      <c r="AY30" s="89">
        <v>1</v>
      </c>
      <c r="AZ30" s="91"/>
      <c r="BA30" s="91">
        <v>2</v>
      </c>
      <c r="BB30" s="91"/>
      <c r="BC30" s="51">
        <f t="shared" si="19"/>
        <v>5</v>
      </c>
      <c r="BD30" s="51">
        <f t="shared" si="20"/>
        <v>0</v>
      </c>
      <c r="BE30" s="53">
        <f t="shared" si="21"/>
        <v>5</v>
      </c>
      <c r="BF30" s="89"/>
      <c r="BG30" s="91"/>
      <c r="BH30" s="91"/>
      <c r="BI30" s="91"/>
      <c r="BJ30" s="51">
        <f t="shared" si="22"/>
        <v>0</v>
      </c>
      <c r="BK30" s="51">
        <f t="shared" si="23"/>
        <v>0</v>
      </c>
      <c r="BL30" s="53">
        <f t="shared" si="24"/>
        <v>0</v>
      </c>
      <c r="BM30" s="56">
        <f t="shared" si="25"/>
        <v>6</v>
      </c>
      <c r="BN30" s="106">
        <f t="shared" ca="1" si="26"/>
        <v>7.4999999999999997E-2</v>
      </c>
      <c r="BO30" s="56">
        <f t="shared" si="27"/>
        <v>0</v>
      </c>
      <c r="BP30" s="106">
        <f t="shared" ca="1" si="28"/>
        <v>0</v>
      </c>
      <c r="BQ30" s="56">
        <f t="shared" si="29"/>
        <v>6</v>
      </c>
      <c r="BR30" s="106">
        <f t="shared" ca="1" si="30"/>
        <v>7.4999999999999997E-2</v>
      </c>
      <c r="BS30" s="56">
        <f t="shared" si="31"/>
        <v>1</v>
      </c>
      <c r="BT30" s="56">
        <f t="shared" si="32"/>
        <v>0</v>
      </c>
      <c r="BU30" s="56">
        <f t="shared" si="33"/>
        <v>1</v>
      </c>
    </row>
    <row r="31" spans="1:73" x14ac:dyDescent="0.25">
      <c r="A31" s="95" t="s">
        <v>17</v>
      </c>
      <c r="B31" s="96" t="s">
        <v>150</v>
      </c>
      <c r="C31" s="90" t="str">
        <f t="shared" si="0"/>
        <v>רבקה מפאוג</v>
      </c>
      <c r="D31" s="98" t="s">
        <v>6</v>
      </c>
      <c r="E31" s="98" t="s">
        <v>6</v>
      </c>
      <c r="F31" s="101">
        <v>43040</v>
      </c>
      <c r="G31" s="131" t="s">
        <v>86</v>
      </c>
      <c r="H31" s="92"/>
      <c r="I31" s="93"/>
      <c r="J31" s="94"/>
      <c r="K31" s="94"/>
      <c r="L31" s="94"/>
      <c r="M31" s="51">
        <f t="shared" si="1"/>
        <v>0</v>
      </c>
      <c r="N31" s="51">
        <f t="shared" si="2"/>
        <v>0</v>
      </c>
      <c r="O31" s="52">
        <f t="shared" si="3"/>
        <v>0</v>
      </c>
      <c r="P31" s="89"/>
      <c r="Q31" s="91"/>
      <c r="R31" s="91"/>
      <c r="S31" s="91"/>
      <c r="T31" s="51">
        <f t="shared" si="4"/>
        <v>0</v>
      </c>
      <c r="U31" s="51">
        <f t="shared" si="5"/>
        <v>0</v>
      </c>
      <c r="V31" s="53">
        <f t="shared" si="6"/>
        <v>0</v>
      </c>
      <c r="W31" s="45"/>
      <c r="X31" s="47"/>
      <c r="Y31" s="47"/>
      <c r="Z31" s="47"/>
      <c r="AA31" s="54">
        <f t="shared" si="7"/>
        <v>0</v>
      </c>
      <c r="AB31" s="54">
        <f t="shared" si="8"/>
        <v>0</v>
      </c>
      <c r="AC31" s="55">
        <f t="shared" si="9"/>
        <v>0</v>
      </c>
      <c r="AD31" s="89"/>
      <c r="AE31" s="91"/>
      <c r="AF31" s="91"/>
      <c r="AG31" s="91"/>
      <c r="AH31" s="51">
        <f t="shared" si="10"/>
        <v>0</v>
      </c>
      <c r="AI31" s="51">
        <f t="shared" si="11"/>
        <v>0</v>
      </c>
      <c r="AJ31" s="53">
        <f t="shared" si="12"/>
        <v>0</v>
      </c>
      <c r="AK31" s="89"/>
      <c r="AL31" s="91"/>
      <c r="AM31" s="91"/>
      <c r="AN31" s="91"/>
      <c r="AO31" s="51">
        <f t="shared" si="13"/>
        <v>0</v>
      </c>
      <c r="AP31" s="51">
        <f t="shared" si="14"/>
        <v>0</v>
      </c>
      <c r="AQ31" s="53">
        <f t="shared" si="15"/>
        <v>0</v>
      </c>
      <c r="AR31" s="89"/>
      <c r="AS31" s="91"/>
      <c r="AT31" s="91">
        <v>1</v>
      </c>
      <c r="AU31" s="91"/>
      <c r="AV31" s="51">
        <f t="shared" si="16"/>
        <v>1</v>
      </c>
      <c r="AW31" s="51">
        <f t="shared" si="17"/>
        <v>0</v>
      </c>
      <c r="AX31" s="53">
        <f t="shared" si="18"/>
        <v>1</v>
      </c>
      <c r="AY31" s="89">
        <v>1</v>
      </c>
      <c r="AZ31" s="91"/>
      <c r="BA31" s="91">
        <v>2</v>
      </c>
      <c r="BB31" s="91"/>
      <c r="BC31" s="51">
        <f t="shared" si="19"/>
        <v>5</v>
      </c>
      <c r="BD31" s="51">
        <f t="shared" si="20"/>
        <v>0</v>
      </c>
      <c r="BE31" s="53">
        <f t="shared" si="21"/>
        <v>5</v>
      </c>
      <c r="BF31" s="89"/>
      <c r="BG31" s="91"/>
      <c r="BH31" s="91"/>
      <c r="BI31" s="91"/>
      <c r="BJ31" s="51">
        <f t="shared" si="22"/>
        <v>0</v>
      </c>
      <c r="BK31" s="51">
        <f t="shared" si="23"/>
        <v>0</v>
      </c>
      <c r="BL31" s="53">
        <f t="shared" si="24"/>
        <v>0</v>
      </c>
      <c r="BM31" s="56">
        <f t="shared" si="25"/>
        <v>6</v>
      </c>
      <c r="BN31" s="106">
        <f t="shared" ca="1" si="26"/>
        <v>7.4999999999999997E-2</v>
      </c>
      <c r="BO31" s="56">
        <f t="shared" si="27"/>
        <v>0</v>
      </c>
      <c r="BP31" s="106">
        <f t="shared" ca="1" si="28"/>
        <v>0</v>
      </c>
      <c r="BQ31" s="56">
        <f t="shared" si="29"/>
        <v>6</v>
      </c>
      <c r="BR31" s="106">
        <f t="shared" ca="1" si="30"/>
        <v>7.4999999999999997E-2</v>
      </c>
      <c r="BS31" s="56">
        <f t="shared" si="31"/>
        <v>1</v>
      </c>
      <c r="BT31" s="56">
        <f t="shared" si="32"/>
        <v>0</v>
      </c>
      <c r="BU31" s="56">
        <f t="shared" si="33"/>
        <v>1</v>
      </c>
    </row>
    <row r="32" spans="1:73" x14ac:dyDescent="0.25">
      <c r="A32" s="129" t="s">
        <v>19</v>
      </c>
      <c r="B32" s="125" t="s">
        <v>141</v>
      </c>
      <c r="C32" s="90" t="str">
        <f t="shared" si="0"/>
        <v>רותם מרחבים</v>
      </c>
      <c r="D32" s="91" t="s">
        <v>6</v>
      </c>
      <c r="E32" s="98" t="s">
        <v>6</v>
      </c>
      <c r="F32" s="101">
        <v>43040</v>
      </c>
      <c r="G32" s="114" t="s">
        <v>86</v>
      </c>
      <c r="H32" s="92"/>
      <c r="I32" s="93"/>
      <c r="J32" s="94"/>
      <c r="K32" s="94"/>
      <c r="L32" s="94"/>
      <c r="M32" s="51">
        <f t="shared" si="1"/>
        <v>0</v>
      </c>
      <c r="N32" s="51">
        <f t="shared" si="2"/>
        <v>0</v>
      </c>
      <c r="O32" s="52">
        <f t="shared" si="3"/>
        <v>0</v>
      </c>
      <c r="P32" s="89"/>
      <c r="Q32" s="91"/>
      <c r="R32" s="91"/>
      <c r="S32" s="91"/>
      <c r="T32" s="51">
        <f t="shared" si="4"/>
        <v>0</v>
      </c>
      <c r="U32" s="51">
        <f t="shared" si="5"/>
        <v>0</v>
      </c>
      <c r="V32" s="53">
        <f t="shared" si="6"/>
        <v>0</v>
      </c>
      <c r="W32" s="89"/>
      <c r="X32" s="91"/>
      <c r="Y32" s="91"/>
      <c r="Z32" s="91"/>
      <c r="AA32" s="54">
        <f t="shared" si="7"/>
        <v>0</v>
      </c>
      <c r="AB32" s="54">
        <f t="shared" si="8"/>
        <v>0</v>
      </c>
      <c r="AC32" s="55">
        <f t="shared" si="9"/>
        <v>0</v>
      </c>
      <c r="AD32" s="89"/>
      <c r="AE32" s="91"/>
      <c r="AF32" s="91"/>
      <c r="AG32" s="91"/>
      <c r="AH32" s="51">
        <f t="shared" si="10"/>
        <v>0</v>
      </c>
      <c r="AI32" s="51">
        <f t="shared" si="11"/>
        <v>0</v>
      </c>
      <c r="AJ32" s="53">
        <f t="shared" si="12"/>
        <v>0</v>
      </c>
      <c r="AK32" s="89"/>
      <c r="AL32" s="91"/>
      <c r="AM32" s="91"/>
      <c r="AN32" s="91"/>
      <c r="AO32" s="51">
        <f t="shared" si="13"/>
        <v>0</v>
      </c>
      <c r="AP32" s="51">
        <f t="shared" si="14"/>
        <v>0</v>
      </c>
      <c r="AQ32" s="53">
        <f t="shared" si="15"/>
        <v>0</v>
      </c>
      <c r="AR32" s="89"/>
      <c r="AS32" s="91"/>
      <c r="AT32" s="91">
        <v>1</v>
      </c>
      <c r="AU32" s="91"/>
      <c r="AV32" s="51">
        <f t="shared" si="16"/>
        <v>1</v>
      </c>
      <c r="AW32" s="51">
        <f t="shared" si="17"/>
        <v>0</v>
      </c>
      <c r="AX32" s="53">
        <f t="shared" si="18"/>
        <v>1</v>
      </c>
      <c r="AY32" s="89"/>
      <c r="AZ32" s="91"/>
      <c r="BA32" s="91">
        <v>4</v>
      </c>
      <c r="BB32" s="91"/>
      <c r="BC32" s="51">
        <f t="shared" si="19"/>
        <v>4</v>
      </c>
      <c r="BD32" s="51">
        <f t="shared" si="20"/>
        <v>0</v>
      </c>
      <c r="BE32" s="53">
        <f t="shared" si="21"/>
        <v>4</v>
      </c>
      <c r="BF32" s="89"/>
      <c r="BG32" s="91"/>
      <c r="BH32" s="91"/>
      <c r="BI32" s="91"/>
      <c r="BJ32" s="51">
        <f t="shared" si="22"/>
        <v>0</v>
      </c>
      <c r="BK32" s="51">
        <f t="shared" si="23"/>
        <v>0</v>
      </c>
      <c r="BL32" s="53">
        <f t="shared" si="24"/>
        <v>0</v>
      </c>
      <c r="BM32" s="56">
        <f t="shared" si="25"/>
        <v>5</v>
      </c>
      <c r="BN32" s="106">
        <f t="shared" ca="1" si="26"/>
        <v>6.25E-2</v>
      </c>
      <c r="BO32" s="56">
        <f t="shared" si="27"/>
        <v>0</v>
      </c>
      <c r="BP32" s="106">
        <f t="shared" ca="1" si="28"/>
        <v>0</v>
      </c>
      <c r="BQ32" s="56">
        <f t="shared" si="29"/>
        <v>5</v>
      </c>
      <c r="BR32" s="106">
        <f t="shared" ca="1" si="30"/>
        <v>6.25E-2</v>
      </c>
      <c r="BS32" s="56">
        <f t="shared" si="31"/>
        <v>0</v>
      </c>
      <c r="BT32" s="56">
        <f t="shared" si="32"/>
        <v>0</v>
      </c>
      <c r="BU32" s="56">
        <f t="shared" si="33"/>
        <v>0</v>
      </c>
    </row>
    <row r="33" spans="1:73" ht="15.75" thickBot="1" x14ac:dyDescent="0.3">
      <c r="A33" s="130" t="s">
        <v>19</v>
      </c>
      <c r="B33" s="126" t="s">
        <v>140</v>
      </c>
      <c r="C33" s="60" t="str">
        <f t="shared" si="0"/>
        <v>אופק מרחבים</v>
      </c>
      <c r="D33" s="127" t="s">
        <v>7</v>
      </c>
      <c r="E33" s="127" t="s">
        <v>7</v>
      </c>
      <c r="F33" s="104">
        <v>43040</v>
      </c>
      <c r="G33" s="128" t="s">
        <v>86</v>
      </c>
      <c r="H33" s="62"/>
      <c r="I33" s="63"/>
      <c r="J33" s="64"/>
      <c r="K33" s="64"/>
      <c r="L33" s="64"/>
      <c r="M33" s="66">
        <f t="shared" si="1"/>
        <v>0</v>
      </c>
      <c r="N33" s="66">
        <f t="shared" si="2"/>
        <v>0</v>
      </c>
      <c r="O33" s="65">
        <f t="shared" si="3"/>
        <v>0</v>
      </c>
      <c r="P33" s="59"/>
      <c r="Q33" s="61"/>
      <c r="R33" s="61"/>
      <c r="S33" s="61"/>
      <c r="T33" s="66">
        <f t="shared" si="4"/>
        <v>0</v>
      </c>
      <c r="U33" s="66">
        <f t="shared" si="5"/>
        <v>0</v>
      </c>
      <c r="V33" s="67">
        <f t="shared" si="6"/>
        <v>0</v>
      </c>
      <c r="W33" s="59"/>
      <c r="X33" s="61"/>
      <c r="Y33" s="61"/>
      <c r="Z33" s="61"/>
      <c r="AA33" s="66">
        <f t="shared" si="7"/>
        <v>0</v>
      </c>
      <c r="AB33" s="66">
        <f t="shared" si="8"/>
        <v>0</v>
      </c>
      <c r="AC33" s="67">
        <f t="shared" si="9"/>
        <v>0</v>
      </c>
      <c r="AD33" s="59"/>
      <c r="AE33" s="61"/>
      <c r="AF33" s="61"/>
      <c r="AG33" s="61"/>
      <c r="AH33" s="66">
        <f t="shared" si="10"/>
        <v>0</v>
      </c>
      <c r="AI33" s="66">
        <f t="shared" si="11"/>
        <v>0</v>
      </c>
      <c r="AJ33" s="67">
        <f t="shared" si="12"/>
        <v>0</v>
      </c>
      <c r="AK33" s="59"/>
      <c r="AL33" s="61"/>
      <c r="AM33" s="61"/>
      <c r="AN33" s="61"/>
      <c r="AO33" s="66">
        <f t="shared" si="13"/>
        <v>0</v>
      </c>
      <c r="AP33" s="66">
        <f t="shared" si="14"/>
        <v>0</v>
      </c>
      <c r="AQ33" s="67">
        <f t="shared" si="15"/>
        <v>0</v>
      </c>
      <c r="AR33" s="59"/>
      <c r="AS33" s="61"/>
      <c r="AT33" s="61"/>
      <c r="AU33" s="61"/>
      <c r="AV33" s="66">
        <f t="shared" si="16"/>
        <v>0</v>
      </c>
      <c r="AW33" s="66">
        <f t="shared" si="17"/>
        <v>0</v>
      </c>
      <c r="AX33" s="67">
        <f t="shared" si="18"/>
        <v>0</v>
      </c>
      <c r="AY33" s="59"/>
      <c r="AZ33" s="61">
        <v>1</v>
      </c>
      <c r="BA33" s="61"/>
      <c r="BB33" s="61"/>
      <c r="BC33" s="66">
        <f t="shared" si="19"/>
        <v>0</v>
      </c>
      <c r="BD33" s="66">
        <f t="shared" si="20"/>
        <v>3</v>
      </c>
      <c r="BE33" s="67">
        <f t="shared" si="21"/>
        <v>3</v>
      </c>
      <c r="BF33" s="59"/>
      <c r="BG33" s="61"/>
      <c r="BH33" s="61"/>
      <c r="BI33" s="61"/>
      <c r="BJ33" s="66">
        <f t="shared" si="22"/>
        <v>0</v>
      </c>
      <c r="BK33" s="66">
        <f t="shared" si="23"/>
        <v>0</v>
      </c>
      <c r="BL33" s="67">
        <f t="shared" si="24"/>
        <v>0</v>
      </c>
      <c r="BM33" s="56">
        <f t="shared" si="25"/>
        <v>0</v>
      </c>
      <c r="BN33" s="107">
        <f t="shared" ca="1" si="26"/>
        <v>0</v>
      </c>
      <c r="BO33" s="56">
        <f t="shared" si="27"/>
        <v>3</v>
      </c>
      <c r="BP33" s="107">
        <f t="shared" ca="1" si="28"/>
        <v>3.7499999999999999E-2</v>
      </c>
      <c r="BQ33" s="56">
        <f t="shared" si="29"/>
        <v>3</v>
      </c>
      <c r="BR33" s="107">
        <f t="shared" ca="1" si="30"/>
        <v>3.7499999999999999E-2</v>
      </c>
      <c r="BS33" s="56">
        <f t="shared" si="31"/>
        <v>0</v>
      </c>
      <c r="BT33" s="56">
        <f t="shared" si="32"/>
        <v>1</v>
      </c>
      <c r="BU33" s="105">
        <f t="shared" si="33"/>
        <v>1</v>
      </c>
    </row>
    <row r="34" spans="1:73" x14ac:dyDescent="0.25">
      <c r="A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  <c r="BF34" s="44"/>
      <c r="BG34" s="44"/>
      <c r="BH34" s="44"/>
      <c r="BI34" s="44"/>
      <c r="BJ34" s="44"/>
      <c r="BK34" s="44"/>
      <c r="BL34" s="44"/>
    </row>
    <row r="35" spans="1:73" x14ac:dyDescent="0.25">
      <c r="A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  <c r="BF35" s="44"/>
      <c r="BG35" s="44"/>
      <c r="BH35" s="44"/>
      <c r="BI35" s="44"/>
      <c r="BJ35" s="44"/>
      <c r="BK35" s="44"/>
      <c r="BL35" s="44"/>
    </row>
    <row r="36" spans="1:73" x14ac:dyDescent="0.25">
      <c r="A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</row>
    <row r="37" spans="1:73" x14ac:dyDescent="0.25">
      <c r="A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</row>
    <row r="38" spans="1:73" x14ac:dyDescent="0.25">
      <c r="A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</row>
    <row r="39" spans="1:73" x14ac:dyDescent="0.25">
      <c r="A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  <c r="BF39" s="44"/>
      <c r="BG39" s="44"/>
      <c r="BH39" s="44"/>
      <c r="BI39" s="44"/>
      <c r="BJ39" s="44"/>
      <c r="BK39" s="44"/>
      <c r="BL39" s="44"/>
    </row>
    <row r="40" spans="1:73" x14ac:dyDescent="0.25">
      <c r="A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44"/>
      <c r="BL40" s="44"/>
    </row>
    <row r="41" spans="1:73" x14ac:dyDescent="0.25">
      <c r="A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  <c r="BF41" s="44"/>
      <c r="BG41" s="44"/>
      <c r="BH41" s="44"/>
      <c r="BI41" s="44"/>
      <c r="BJ41" s="44"/>
      <c r="BK41" s="44"/>
      <c r="BL41" s="44"/>
    </row>
    <row r="42" spans="1:73" x14ac:dyDescent="0.25">
      <c r="A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  <c r="BF42" s="44"/>
      <c r="BG42" s="44"/>
      <c r="BH42" s="44"/>
      <c r="BI42" s="44"/>
      <c r="BJ42" s="44"/>
      <c r="BK42" s="44"/>
      <c r="BL42" s="44"/>
    </row>
    <row r="43" spans="1:73" x14ac:dyDescent="0.25">
      <c r="A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  <c r="BF43" s="44"/>
      <c r="BG43" s="44"/>
      <c r="BH43" s="44"/>
      <c r="BI43" s="44"/>
      <c r="BJ43" s="44"/>
      <c r="BK43" s="44"/>
      <c r="BL43" s="44"/>
    </row>
    <row r="44" spans="1:73" x14ac:dyDescent="0.25">
      <c r="A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  <c r="BF44" s="44"/>
      <c r="BG44" s="44"/>
      <c r="BH44" s="44"/>
      <c r="BI44" s="44"/>
      <c r="BJ44" s="44"/>
      <c r="BK44" s="44"/>
      <c r="BL44" s="44"/>
    </row>
    <row r="45" spans="1:73" x14ac:dyDescent="0.25">
      <c r="A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  <c r="BF45" s="44"/>
      <c r="BG45" s="44"/>
      <c r="BH45" s="44"/>
      <c r="BI45" s="44"/>
      <c r="BJ45" s="44"/>
      <c r="BK45" s="44"/>
      <c r="BL45" s="44"/>
    </row>
    <row r="46" spans="1:73" x14ac:dyDescent="0.25">
      <c r="A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  <c r="BF46" s="44"/>
      <c r="BG46" s="44"/>
      <c r="BH46" s="44"/>
      <c r="BI46" s="44"/>
      <c r="BJ46" s="44"/>
      <c r="BK46" s="44"/>
      <c r="BL46" s="44"/>
    </row>
    <row r="47" spans="1:73" x14ac:dyDescent="0.25">
      <c r="A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  <c r="BF47" s="44"/>
      <c r="BG47" s="44"/>
      <c r="BH47" s="44"/>
      <c r="BI47" s="44"/>
      <c r="BJ47" s="44"/>
      <c r="BK47" s="44"/>
      <c r="BL47" s="44"/>
    </row>
    <row r="48" spans="1:73" x14ac:dyDescent="0.25">
      <c r="A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  <c r="BF48" s="44"/>
      <c r="BG48" s="44"/>
      <c r="BH48" s="44"/>
      <c r="BI48" s="44"/>
      <c r="BJ48" s="44"/>
      <c r="BK48" s="44"/>
      <c r="BL48" s="44"/>
    </row>
    <row r="49" spans="1:64" x14ac:dyDescent="0.25">
      <c r="A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  <c r="BF49" s="44"/>
      <c r="BG49" s="44"/>
      <c r="BH49" s="44"/>
      <c r="BI49" s="44"/>
      <c r="BJ49" s="44"/>
      <c r="BK49" s="44"/>
      <c r="BL49" s="44"/>
    </row>
    <row r="50" spans="1:64" x14ac:dyDescent="0.25">
      <c r="A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  <c r="BF50" s="44"/>
      <c r="BG50" s="44"/>
      <c r="BH50" s="44"/>
      <c r="BI50" s="44"/>
      <c r="BJ50" s="44"/>
      <c r="BK50" s="44"/>
      <c r="BL50" s="44"/>
    </row>
    <row r="51" spans="1:64" x14ac:dyDescent="0.25">
      <c r="A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44"/>
      <c r="AJ51" s="44"/>
      <c r="AK51" s="44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  <c r="BF51" s="44"/>
      <c r="BG51" s="44"/>
      <c r="BH51" s="44"/>
      <c r="BI51" s="44"/>
      <c r="BJ51" s="44"/>
      <c r="BK51" s="44"/>
      <c r="BL51" s="44"/>
    </row>
    <row r="52" spans="1:64" x14ac:dyDescent="0.25">
      <c r="A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  <c r="BF52" s="44"/>
      <c r="BG52" s="44"/>
      <c r="BH52" s="44"/>
      <c r="BI52" s="44"/>
      <c r="BJ52" s="44"/>
      <c r="BK52" s="44"/>
      <c r="BL52" s="44"/>
    </row>
    <row r="53" spans="1:64" x14ac:dyDescent="0.25">
      <c r="A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44"/>
      <c r="AX53" s="44"/>
      <c r="AY53" s="44"/>
      <c r="AZ53" s="44"/>
      <c r="BA53" s="44"/>
      <c r="BB53" s="44"/>
      <c r="BC53" s="44"/>
      <c r="BD53" s="44"/>
      <c r="BE53" s="44"/>
      <c r="BF53" s="44"/>
      <c r="BG53" s="44"/>
      <c r="BH53" s="44"/>
      <c r="BI53" s="44"/>
      <c r="BJ53" s="44"/>
      <c r="BK53" s="44"/>
      <c r="BL53" s="44"/>
    </row>
    <row r="54" spans="1:64" x14ac:dyDescent="0.25">
      <c r="A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44"/>
      <c r="AX54" s="44"/>
      <c r="AY54" s="44"/>
      <c r="AZ54" s="44"/>
      <c r="BA54" s="44"/>
      <c r="BB54" s="44"/>
      <c r="BC54" s="44"/>
      <c r="BD54" s="44"/>
      <c r="BE54" s="44"/>
      <c r="BF54" s="44"/>
      <c r="BG54" s="44"/>
      <c r="BH54" s="44"/>
      <c r="BI54" s="44"/>
      <c r="BJ54" s="44"/>
      <c r="BK54" s="44"/>
      <c r="BL54" s="44"/>
    </row>
    <row r="55" spans="1:64" x14ac:dyDescent="0.25">
      <c r="A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44"/>
      <c r="AX55" s="44"/>
      <c r="AY55" s="44"/>
      <c r="AZ55" s="44"/>
      <c r="BA55" s="44"/>
      <c r="BB55" s="44"/>
      <c r="BC55" s="44"/>
      <c r="BD55" s="44"/>
      <c r="BE55" s="44"/>
      <c r="BF55" s="44"/>
      <c r="BG55" s="44"/>
      <c r="BH55" s="44"/>
      <c r="BI55" s="44"/>
      <c r="BJ55" s="44"/>
      <c r="BK55" s="44"/>
      <c r="BL55" s="44"/>
    </row>
    <row r="56" spans="1:64" x14ac:dyDescent="0.25">
      <c r="A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  <c r="AX56" s="44"/>
      <c r="AY56" s="44"/>
      <c r="AZ56" s="44"/>
      <c r="BA56" s="44"/>
      <c r="BB56" s="44"/>
      <c r="BC56" s="44"/>
      <c r="BD56" s="44"/>
      <c r="BE56" s="44"/>
      <c r="BF56" s="44"/>
      <c r="BG56" s="44"/>
      <c r="BH56" s="44"/>
      <c r="BI56" s="44"/>
      <c r="BJ56" s="44"/>
      <c r="BK56" s="44"/>
      <c r="BL56" s="44"/>
    </row>
    <row r="57" spans="1:64" x14ac:dyDescent="0.25">
      <c r="A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44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44"/>
      <c r="AX57" s="44"/>
      <c r="AY57" s="44"/>
      <c r="AZ57" s="44"/>
      <c r="BA57" s="44"/>
      <c r="BB57" s="44"/>
      <c r="BC57" s="44"/>
      <c r="BD57" s="44"/>
      <c r="BE57" s="44"/>
      <c r="BF57" s="44"/>
      <c r="BG57" s="44"/>
      <c r="BH57" s="44"/>
      <c r="BI57" s="44"/>
      <c r="BJ57" s="44"/>
      <c r="BK57" s="44"/>
      <c r="BL57" s="44"/>
    </row>
    <row r="58" spans="1:64" x14ac:dyDescent="0.25">
      <c r="A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44"/>
      <c r="AX58" s="44"/>
      <c r="AY58" s="44"/>
      <c r="AZ58" s="44"/>
      <c r="BA58" s="44"/>
      <c r="BB58" s="44"/>
      <c r="BC58" s="44"/>
      <c r="BD58" s="44"/>
      <c r="BE58" s="44"/>
      <c r="BF58" s="44"/>
      <c r="BG58" s="44"/>
      <c r="BH58" s="44"/>
      <c r="BI58" s="44"/>
      <c r="BJ58" s="44"/>
      <c r="BK58" s="44"/>
      <c r="BL58" s="44"/>
    </row>
    <row r="59" spans="1:64" x14ac:dyDescent="0.25">
      <c r="A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44"/>
      <c r="AX59" s="44"/>
      <c r="AY59" s="44"/>
      <c r="AZ59" s="44"/>
      <c r="BA59" s="44"/>
      <c r="BB59" s="44"/>
      <c r="BC59" s="44"/>
      <c r="BD59" s="44"/>
      <c r="BE59" s="44"/>
      <c r="BF59" s="44"/>
      <c r="BG59" s="44"/>
      <c r="BH59" s="44"/>
      <c r="BI59" s="44"/>
      <c r="BJ59" s="44"/>
      <c r="BK59" s="44"/>
      <c r="BL59" s="44"/>
    </row>
    <row r="60" spans="1:64" x14ac:dyDescent="0.25">
      <c r="A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44"/>
      <c r="AX60" s="44"/>
      <c r="AY60" s="44"/>
      <c r="AZ60" s="44"/>
      <c r="BA60" s="44"/>
      <c r="BB60" s="44"/>
      <c r="BC60" s="44"/>
      <c r="BD60" s="44"/>
      <c r="BE60" s="44"/>
      <c r="BF60" s="44"/>
      <c r="BG60" s="44"/>
      <c r="BH60" s="44"/>
      <c r="BI60" s="44"/>
      <c r="BJ60" s="44"/>
      <c r="BK60" s="44"/>
      <c r="BL60" s="44"/>
    </row>
    <row r="61" spans="1:64" x14ac:dyDescent="0.25">
      <c r="A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44"/>
      <c r="AV61" s="44"/>
      <c r="AW61" s="44"/>
      <c r="AX61" s="44"/>
      <c r="AY61" s="44"/>
      <c r="AZ61" s="44"/>
      <c r="BA61" s="44"/>
      <c r="BB61" s="44"/>
      <c r="BC61" s="44"/>
      <c r="BD61" s="44"/>
      <c r="BE61" s="44"/>
      <c r="BF61" s="44"/>
      <c r="BG61" s="44"/>
      <c r="BH61" s="44"/>
      <c r="BI61" s="44"/>
      <c r="BJ61" s="44"/>
      <c r="BK61" s="44"/>
      <c r="BL61" s="44"/>
    </row>
    <row r="62" spans="1:64" x14ac:dyDescent="0.25">
      <c r="A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  <c r="BE62" s="44"/>
      <c r="BF62" s="44"/>
      <c r="BG62" s="44"/>
      <c r="BH62" s="44"/>
      <c r="BI62" s="44"/>
      <c r="BJ62" s="44"/>
      <c r="BK62" s="44"/>
      <c r="BL62" s="44"/>
    </row>
    <row r="63" spans="1:64" x14ac:dyDescent="0.25">
      <c r="A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4"/>
      <c r="AV63" s="44"/>
      <c r="AW63" s="44"/>
      <c r="AX63" s="44"/>
      <c r="AY63" s="44"/>
      <c r="AZ63" s="44"/>
      <c r="BA63" s="44"/>
      <c r="BB63" s="44"/>
      <c r="BC63" s="44"/>
      <c r="BD63" s="44"/>
      <c r="BE63" s="44"/>
      <c r="BF63" s="44"/>
      <c r="BG63" s="44"/>
      <c r="BH63" s="44"/>
      <c r="BI63" s="44"/>
      <c r="BJ63" s="44"/>
      <c r="BK63" s="44"/>
      <c r="BL63" s="44"/>
    </row>
    <row r="64" spans="1:64" x14ac:dyDescent="0.25">
      <c r="A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  <c r="AS64" s="44"/>
      <c r="AT64" s="44"/>
      <c r="AU64" s="44"/>
      <c r="AV64" s="44"/>
      <c r="AW64" s="44"/>
      <c r="AX64" s="44"/>
      <c r="AY64" s="44"/>
      <c r="AZ64" s="44"/>
      <c r="BA64" s="44"/>
      <c r="BB64" s="44"/>
      <c r="BC64" s="44"/>
      <c r="BD64" s="44"/>
      <c r="BE64" s="44"/>
      <c r="BF64" s="44"/>
      <c r="BG64" s="44"/>
      <c r="BH64" s="44"/>
      <c r="BI64" s="44"/>
      <c r="BJ64" s="44"/>
      <c r="BK64" s="44"/>
      <c r="BL64" s="44"/>
    </row>
    <row r="65" spans="1:64" x14ac:dyDescent="0.25">
      <c r="A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4"/>
      <c r="AR65" s="44"/>
      <c r="AS65" s="44"/>
      <c r="AT65" s="44"/>
      <c r="AU65" s="44"/>
      <c r="AV65" s="44"/>
      <c r="AW65" s="44"/>
      <c r="AX65" s="44"/>
      <c r="AY65" s="44"/>
      <c r="AZ65" s="44"/>
      <c r="BA65" s="44"/>
      <c r="BB65" s="44"/>
      <c r="BC65" s="44"/>
      <c r="BD65" s="44"/>
      <c r="BE65" s="44"/>
      <c r="BF65" s="44"/>
      <c r="BG65" s="44"/>
      <c r="BH65" s="44"/>
      <c r="BI65" s="44"/>
      <c r="BJ65" s="44"/>
      <c r="BK65" s="44"/>
      <c r="BL65" s="44"/>
    </row>
    <row r="66" spans="1:64" x14ac:dyDescent="0.25">
      <c r="A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  <c r="AX66" s="44"/>
      <c r="AY66" s="44"/>
      <c r="AZ66" s="44"/>
      <c r="BA66" s="44"/>
      <c r="BB66" s="44"/>
      <c r="BC66" s="44"/>
      <c r="BD66" s="44"/>
      <c r="BE66" s="44"/>
      <c r="BF66" s="44"/>
      <c r="BG66" s="44"/>
      <c r="BH66" s="44"/>
      <c r="BI66" s="44"/>
      <c r="BJ66" s="44"/>
      <c r="BK66" s="44"/>
      <c r="BL66" s="44"/>
    </row>
    <row r="67" spans="1:64" x14ac:dyDescent="0.25">
      <c r="A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44"/>
      <c r="AJ67" s="44"/>
      <c r="AK67" s="44"/>
      <c r="AL67" s="44"/>
      <c r="AM67" s="44"/>
      <c r="AN67" s="44"/>
      <c r="AO67" s="44"/>
      <c r="AP67" s="44"/>
      <c r="AQ67" s="44"/>
      <c r="AR67" s="44"/>
      <c r="AS67" s="44"/>
      <c r="AT67" s="44"/>
      <c r="AU67" s="44"/>
      <c r="AV67" s="44"/>
      <c r="AW67" s="44"/>
      <c r="AX67" s="44"/>
      <c r="AY67" s="44"/>
      <c r="AZ67" s="44"/>
      <c r="BA67" s="44"/>
      <c r="BB67" s="44"/>
      <c r="BC67" s="44"/>
      <c r="BD67" s="44"/>
      <c r="BE67" s="44"/>
      <c r="BF67" s="44"/>
      <c r="BG67" s="44"/>
      <c r="BH67" s="44"/>
      <c r="BI67" s="44"/>
      <c r="BJ67" s="44"/>
      <c r="BK67" s="44"/>
      <c r="BL67" s="44"/>
    </row>
    <row r="68" spans="1:64" x14ac:dyDescent="0.25">
      <c r="A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44"/>
      <c r="AJ68" s="44"/>
      <c r="AK68" s="44"/>
      <c r="AL68" s="44"/>
      <c r="AM68" s="44"/>
      <c r="AN68" s="44"/>
      <c r="AO68" s="44"/>
      <c r="AP68" s="44"/>
      <c r="AQ68" s="44"/>
      <c r="AR68" s="44"/>
      <c r="AS68" s="44"/>
      <c r="AT68" s="44"/>
      <c r="AU68" s="44"/>
      <c r="AV68" s="44"/>
      <c r="AW68" s="44"/>
      <c r="AX68" s="44"/>
      <c r="AY68" s="44"/>
      <c r="AZ68" s="44"/>
      <c r="BA68" s="44"/>
      <c r="BB68" s="44"/>
      <c r="BC68" s="44"/>
      <c r="BD68" s="44"/>
      <c r="BE68" s="44"/>
      <c r="BF68" s="44"/>
      <c r="BG68" s="44"/>
      <c r="BH68" s="44"/>
      <c r="BI68" s="44"/>
      <c r="BJ68" s="44"/>
      <c r="BK68" s="44"/>
      <c r="BL68" s="44"/>
    </row>
  </sheetData>
  <conditionalFormatting sqref="E97:G1048576 G20:G21 F9:F10 F16:F17 F19 F21 F23:F27 E24:G33 E9:E23 G8:G17 E2:G7 F12:F14">
    <cfRule type="cellIs" dxfId="7" priority="33" operator="equal">
      <formula>"לא"</formula>
    </cfRule>
  </conditionalFormatting>
  <conditionalFormatting sqref="D97:D1048576 D2:D7 D9:D33">
    <cfRule type="cellIs" dxfId="6" priority="32" operator="equal">
      <formula>"כן"</formula>
    </cfRule>
  </conditionalFormatting>
  <conditionalFormatting sqref="P34:V54">
    <cfRule type="cellIs" dxfId="5" priority="26" operator="notEqual">
      <formula>0</formula>
    </cfRule>
  </conditionalFormatting>
  <conditionalFormatting sqref="E8">
    <cfRule type="cellIs" dxfId="4" priority="18" operator="equal">
      <formula>"לא"</formula>
    </cfRule>
  </conditionalFormatting>
  <conditionalFormatting sqref="D8">
    <cfRule type="cellIs" dxfId="3" priority="17" operator="equal">
      <formula>"כן"</formula>
    </cfRule>
  </conditionalFormatting>
  <conditionalFormatting sqref="G18 G23">
    <cfRule type="cellIs" dxfId="2" priority="14" operator="equal">
      <formula>"לא"</formula>
    </cfRule>
  </conditionalFormatting>
  <conditionalFormatting sqref="G19 G22">
    <cfRule type="cellIs" dxfId="1" priority="12" operator="equal">
      <formula>"לא"</formula>
    </cfRule>
  </conditionalFormatting>
  <conditionalFormatting sqref="F8 F11 F15 F18 F20 F22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5B1F-3720-4C66-BEEC-A65D553090A2}">
  <dimension ref="A1:H30"/>
  <sheetViews>
    <sheetView rightToLeft="1" zoomScale="130" zoomScaleNormal="130" workbookViewId="0">
      <selection activeCell="F26" sqref="F26:H26"/>
    </sheetView>
  </sheetViews>
  <sheetFormatPr defaultRowHeight="15" x14ac:dyDescent="0.25"/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30</v>
      </c>
      <c r="B2" s="75"/>
      <c r="C2" s="75"/>
      <c r="D2" s="75"/>
      <c r="E2" s="10"/>
      <c r="F2" s="132">
        <v>2</v>
      </c>
      <c r="G2" s="132"/>
      <c r="H2" s="133"/>
    </row>
    <row r="3" spans="1:8" x14ac:dyDescent="0.25">
      <c r="A3" s="8" t="s">
        <v>27</v>
      </c>
      <c r="B3" s="76"/>
      <c r="C3" s="76"/>
      <c r="D3" s="12"/>
      <c r="E3" s="12"/>
      <c r="F3" s="132"/>
      <c r="G3" s="132"/>
      <c r="H3" s="133"/>
    </row>
    <row r="4" spans="1:8" x14ac:dyDescent="0.25">
      <c r="A4" s="8" t="s">
        <v>28</v>
      </c>
      <c r="B4" s="76"/>
      <c r="C4" s="10"/>
      <c r="D4" s="10"/>
      <c r="E4" s="75"/>
      <c r="F4" s="132"/>
      <c r="G4" s="132"/>
      <c r="H4" s="133"/>
    </row>
    <row r="5" spans="1:8" x14ac:dyDescent="0.25">
      <c r="A5" s="8" t="s">
        <v>29</v>
      </c>
      <c r="B5" s="10"/>
      <c r="C5" s="76"/>
      <c r="D5" s="75"/>
      <c r="E5" s="10"/>
      <c r="F5" s="134"/>
      <c r="G5" s="134"/>
      <c r="H5" s="135"/>
    </row>
    <row r="6" spans="1:8" ht="15.75" thickBot="1" x14ac:dyDescent="0.3">
      <c r="A6" s="15" t="s">
        <v>125</v>
      </c>
      <c r="B6" s="77"/>
      <c r="C6" s="77"/>
      <c r="D6" s="77"/>
      <c r="E6" s="14"/>
      <c r="F6" s="136"/>
      <c r="G6" s="136"/>
      <c r="H6" s="137"/>
    </row>
    <row r="7" spans="1:8" x14ac:dyDescent="0.25">
      <c r="A7" s="5"/>
      <c r="B7" s="6">
        <v>4</v>
      </c>
      <c r="C7" s="6">
        <f>B7+1</f>
        <v>5</v>
      </c>
      <c r="D7" s="6">
        <f t="shared" ref="D7:G7" si="1">C7+1</f>
        <v>6</v>
      </c>
      <c r="E7" s="6">
        <f t="shared" si="1"/>
        <v>7</v>
      </c>
      <c r="F7" s="6">
        <f t="shared" si="1"/>
        <v>8</v>
      </c>
      <c r="G7" s="6">
        <f t="shared" si="1"/>
        <v>9</v>
      </c>
      <c r="H7" s="7">
        <f>G7+1</f>
        <v>10</v>
      </c>
    </row>
    <row r="8" spans="1:8" x14ac:dyDescent="0.25">
      <c r="A8" s="8" t="s">
        <v>30</v>
      </c>
      <c r="B8" s="75">
        <v>2</v>
      </c>
      <c r="C8" s="75">
        <v>2</v>
      </c>
      <c r="D8" s="75">
        <v>3</v>
      </c>
      <c r="E8" s="10">
        <v>3</v>
      </c>
      <c r="F8" s="132">
        <v>3</v>
      </c>
      <c r="G8" s="132"/>
      <c r="H8" s="133"/>
    </row>
    <row r="9" spans="1:8" x14ac:dyDescent="0.25">
      <c r="A9" s="8" t="s">
        <v>27</v>
      </c>
      <c r="B9" s="76"/>
      <c r="C9" s="76"/>
      <c r="D9" s="12"/>
      <c r="E9" s="12"/>
      <c r="F9" s="132"/>
      <c r="G9" s="132"/>
      <c r="H9" s="133"/>
    </row>
    <row r="10" spans="1:8" x14ac:dyDescent="0.25">
      <c r="A10" s="8" t="s">
        <v>28</v>
      </c>
      <c r="B10" s="76"/>
      <c r="C10" s="10"/>
      <c r="D10" s="10"/>
      <c r="E10" s="75"/>
      <c r="F10" s="132"/>
      <c r="G10" s="132"/>
      <c r="H10" s="133"/>
    </row>
    <row r="11" spans="1:8" x14ac:dyDescent="0.25">
      <c r="A11" s="8" t="s">
        <v>29</v>
      </c>
      <c r="B11" s="10"/>
      <c r="C11" s="76"/>
      <c r="D11" s="75"/>
      <c r="E11" s="10"/>
      <c r="F11" s="134"/>
      <c r="G11" s="134"/>
      <c r="H11" s="135"/>
    </row>
    <row r="12" spans="1:8" ht="15.75" thickBot="1" x14ac:dyDescent="0.3">
      <c r="A12" s="8" t="s">
        <v>125</v>
      </c>
      <c r="B12" s="75"/>
      <c r="C12" s="75"/>
      <c r="D12" s="13"/>
      <c r="E12" s="10"/>
      <c r="F12" s="132"/>
      <c r="G12" s="132"/>
      <c r="H12" s="133"/>
    </row>
    <row r="13" spans="1:8" x14ac:dyDescent="0.25">
      <c r="A13" s="5"/>
      <c r="B13" s="6">
        <f>B7+7</f>
        <v>11</v>
      </c>
      <c r="C13" s="6">
        <f>B13+1</f>
        <v>12</v>
      </c>
      <c r="D13" s="6">
        <f t="shared" ref="D13:H13" si="2">C13+1</f>
        <v>13</v>
      </c>
      <c r="E13" s="6">
        <f t="shared" si="2"/>
        <v>14</v>
      </c>
      <c r="F13" s="6">
        <f t="shared" si="2"/>
        <v>15</v>
      </c>
      <c r="G13" s="6">
        <f t="shared" si="2"/>
        <v>16</v>
      </c>
      <c r="H13" s="7">
        <f t="shared" si="2"/>
        <v>17</v>
      </c>
    </row>
    <row r="14" spans="1:8" x14ac:dyDescent="0.25">
      <c r="A14" s="8" t="s">
        <v>30</v>
      </c>
      <c r="B14" s="75">
        <v>2</v>
      </c>
      <c r="C14" s="75">
        <v>2</v>
      </c>
      <c r="D14" s="75">
        <v>3</v>
      </c>
      <c r="E14" s="10">
        <v>3</v>
      </c>
      <c r="F14" s="132">
        <v>2</v>
      </c>
      <c r="G14" s="132"/>
      <c r="H14" s="133"/>
    </row>
    <row r="15" spans="1:8" x14ac:dyDescent="0.25">
      <c r="A15" s="8" t="s">
        <v>27</v>
      </c>
      <c r="B15" s="76"/>
      <c r="C15" s="76"/>
      <c r="D15" s="12"/>
      <c r="E15" s="12"/>
      <c r="F15" s="134"/>
      <c r="G15" s="134"/>
      <c r="H15" s="135"/>
    </row>
    <row r="16" spans="1:8" x14ac:dyDescent="0.25">
      <c r="A16" s="8" t="s">
        <v>28</v>
      </c>
      <c r="B16" s="76"/>
      <c r="C16" s="10"/>
      <c r="D16" s="10"/>
      <c r="E16" s="75"/>
      <c r="F16" s="134"/>
      <c r="G16" s="134"/>
      <c r="H16" s="135"/>
    </row>
    <row r="17" spans="1:8" x14ac:dyDescent="0.25">
      <c r="A17" s="8" t="s">
        <v>29</v>
      </c>
      <c r="B17" s="10"/>
      <c r="C17" s="76"/>
      <c r="D17" s="75"/>
      <c r="E17" s="10"/>
      <c r="F17" s="132"/>
      <c r="G17" s="132"/>
      <c r="H17" s="133"/>
    </row>
    <row r="18" spans="1:8" ht="15.75" thickBot="1" x14ac:dyDescent="0.3">
      <c r="A18" s="8" t="s">
        <v>125</v>
      </c>
      <c r="B18" s="75"/>
      <c r="C18" s="75"/>
      <c r="D18" s="13"/>
      <c r="E18" s="10"/>
      <c r="F18" s="132"/>
      <c r="G18" s="132"/>
      <c r="H18" s="133"/>
    </row>
    <row r="19" spans="1:8" x14ac:dyDescent="0.25">
      <c r="A19" s="5"/>
      <c r="B19" s="6">
        <f>B13+7</f>
        <v>18</v>
      </c>
      <c r="C19" s="6">
        <f>B19+1</f>
        <v>19</v>
      </c>
      <c r="D19" s="6">
        <f t="shared" ref="D19:H19" si="3">C19+1</f>
        <v>20</v>
      </c>
      <c r="E19" s="6">
        <f t="shared" si="3"/>
        <v>21</v>
      </c>
      <c r="F19" s="6">
        <f t="shared" si="3"/>
        <v>22</v>
      </c>
      <c r="G19" s="6">
        <f>F19+1</f>
        <v>23</v>
      </c>
      <c r="H19" s="7">
        <f t="shared" si="3"/>
        <v>24</v>
      </c>
    </row>
    <row r="20" spans="1:8" x14ac:dyDescent="0.25">
      <c r="A20" s="8" t="s">
        <v>30</v>
      </c>
      <c r="B20" s="75">
        <v>2</v>
      </c>
      <c r="C20" s="75">
        <v>2</v>
      </c>
      <c r="D20" s="75">
        <v>3</v>
      </c>
      <c r="E20" s="10">
        <v>3</v>
      </c>
      <c r="F20" s="132">
        <v>3</v>
      </c>
      <c r="G20" s="132"/>
      <c r="H20" s="133"/>
    </row>
    <row r="21" spans="1:8" x14ac:dyDescent="0.25">
      <c r="A21" s="8" t="s">
        <v>27</v>
      </c>
      <c r="B21" s="76"/>
      <c r="C21" s="76"/>
      <c r="D21" s="12"/>
      <c r="E21" s="12"/>
      <c r="F21" s="132"/>
      <c r="G21" s="132"/>
      <c r="H21" s="133"/>
    </row>
    <row r="22" spans="1:8" x14ac:dyDescent="0.25">
      <c r="A22" s="8" t="s">
        <v>28</v>
      </c>
      <c r="B22" s="76"/>
      <c r="C22" s="10"/>
      <c r="D22" s="10"/>
      <c r="E22" s="75"/>
      <c r="F22" s="132"/>
      <c r="G22" s="132"/>
      <c r="H22" s="133"/>
    </row>
    <row r="23" spans="1:8" x14ac:dyDescent="0.25">
      <c r="A23" s="8" t="s">
        <v>29</v>
      </c>
      <c r="B23" s="10"/>
      <c r="C23" s="76"/>
      <c r="D23" s="75"/>
      <c r="E23" s="10"/>
      <c r="F23" s="134"/>
      <c r="G23" s="134"/>
      <c r="H23" s="135"/>
    </row>
    <row r="24" spans="1:8" ht="15.75" thickBot="1" x14ac:dyDescent="0.3">
      <c r="A24" s="8" t="s">
        <v>125</v>
      </c>
      <c r="B24" s="77"/>
      <c r="C24" s="77"/>
      <c r="D24" s="77"/>
      <c r="E24" s="14"/>
      <c r="F24" s="136"/>
      <c r="G24" s="136"/>
      <c r="H24" s="137"/>
    </row>
    <row r="25" spans="1:8" x14ac:dyDescent="0.25">
      <c r="A25" s="5"/>
      <c r="B25" s="6">
        <f>B19+7</f>
        <v>25</v>
      </c>
      <c r="C25" s="6">
        <f>B25+1</f>
        <v>26</v>
      </c>
      <c r="D25" s="6">
        <f t="shared" ref="D25:E25" si="4">C25+1</f>
        <v>27</v>
      </c>
      <c r="E25" s="6">
        <f t="shared" si="4"/>
        <v>28</v>
      </c>
      <c r="F25" s="6">
        <v>1</v>
      </c>
      <c r="G25" s="6">
        <f>F25+1</f>
        <v>2</v>
      </c>
      <c r="H25" s="7">
        <f t="shared" ref="H25" si="5">G25+1</f>
        <v>3</v>
      </c>
    </row>
    <row r="26" spans="1:8" x14ac:dyDescent="0.25">
      <c r="A26" s="8" t="s">
        <v>30</v>
      </c>
      <c r="B26" s="75">
        <v>2</v>
      </c>
      <c r="C26" s="75">
        <v>2</v>
      </c>
      <c r="D26" s="75">
        <v>3</v>
      </c>
      <c r="E26" s="10">
        <v>3</v>
      </c>
      <c r="F26" s="132">
        <v>2</v>
      </c>
      <c r="G26" s="132"/>
      <c r="H26" s="133"/>
    </row>
    <row r="27" spans="1:8" x14ac:dyDescent="0.25">
      <c r="A27" s="8" t="s">
        <v>27</v>
      </c>
      <c r="B27" s="76"/>
      <c r="C27" s="76"/>
      <c r="D27" s="12"/>
      <c r="E27" s="12"/>
      <c r="F27" s="132"/>
      <c r="G27" s="132"/>
      <c r="H27" s="133"/>
    </row>
    <row r="28" spans="1:8" x14ac:dyDescent="0.25">
      <c r="A28" s="8" t="s">
        <v>28</v>
      </c>
      <c r="B28" s="76"/>
      <c r="C28" s="10"/>
      <c r="D28" s="10"/>
      <c r="E28" s="75"/>
      <c r="F28" s="132"/>
      <c r="G28" s="132"/>
      <c r="H28" s="133"/>
    </row>
    <row r="29" spans="1:8" x14ac:dyDescent="0.25">
      <c r="A29" s="8" t="s">
        <v>29</v>
      </c>
      <c r="B29" s="10"/>
      <c r="C29" s="76"/>
      <c r="D29" s="75"/>
      <c r="E29" s="10"/>
      <c r="F29" s="134"/>
      <c r="G29" s="134"/>
      <c r="H29" s="135"/>
    </row>
    <row r="30" spans="1:8" ht="15.75" thickBot="1" x14ac:dyDescent="0.3">
      <c r="A30" s="15" t="s">
        <v>125</v>
      </c>
      <c r="B30" s="77"/>
      <c r="C30" s="77"/>
      <c r="D30" s="77"/>
      <c r="E30" s="14"/>
      <c r="F30" s="136"/>
      <c r="G30" s="136"/>
      <c r="H30" s="137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I9"/>
  <sheetViews>
    <sheetView rightToLeft="1" zoomScale="118" zoomScaleNormal="118" workbookViewId="0">
      <selection activeCell="C10" sqref="C10"/>
    </sheetView>
  </sheetViews>
  <sheetFormatPr defaultRowHeight="15" x14ac:dyDescent="0.25"/>
  <cols>
    <col min="2" max="2" width="23.5703125" bestFit="1" customWidth="1"/>
    <col min="6" max="6" width="19" customWidth="1"/>
    <col min="9" max="9" width="10.28515625" bestFit="1" customWidth="1"/>
  </cols>
  <sheetData>
    <row r="2" spans="2:9" x14ac:dyDescent="0.25">
      <c r="B2" s="3" t="s">
        <v>24</v>
      </c>
      <c r="C2" s="3">
        <f>COUNTIF(חיילים!D:D,"=כן")</f>
        <v>6</v>
      </c>
      <c r="G2" t="s">
        <v>37</v>
      </c>
      <c r="H2" t="s">
        <v>38</v>
      </c>
      <c r="I2" t="s">
        <v>39</v>
      </c>
    </row>
    <row r="3" spans="2:9" x14ac:dyDescent="0.25">
      <c r="B3" s="1" t="s">
        <v>23</v>
      </c>
      <c r="C3" s="1">
        <f>COUNTIF(חיילים!$D:D,"=לא")</f>
        <v>25</v>
      </c>
      <c r="F3" t="s">
        <v>57</v>
      </c>
      <c r="G3">
        <f>SUM(חיילים!BH:BH)</f>
        <v>0</v>
      </c>
      <c r="H3">
        <f>I3-G3</f>
        <v>40</v>
      </c>
      <c r="I3">
        <f>4*(3+3+2+2)</f>
        <v>40</v>
      </c>
    </row>
    <row r="4" spans="2:9" x14ac:dyDescent="0.25">
      <c r="B4" s="1" t="s">
        <v>22</v>
      </c>
      <c r="C4" s="2">
        <f>C3+C2</f>
        <v>31</v>
      </c>
      <c r="F4" t="s">
        <v>58</v>
      </c>
      <c r="G4">
        <f>SUM(חיילים!BI:BI)</f>
        <v>0</v>
      </c>
      <c r="H4">
        <f>I4-G4</f>
        <v>24</v>
      </c>
      <c r="I4">
        <f xml:space="preserve"> 4*4*4-I3</f>
        <v>24</v>
      </c>
    </row>
    <row r="5" spans="2:9" x14ac:dyDescent="0.25">
      <c r="F5" t="s">
        <v>59</v>
      </c>
      <c r="G5">
        <f>SUM(חיילים!BF:BF)</f>
        <v>10</v>
      </c>
      <c r="H5">
        <f t="shared" ref="H5:H6" si="0">I5-G5</f>
        <v>0</v>
      </c>
      <c r="I5">
        <f>3+3+2+2</f>
        <v>10</v>
      </c>
    </row>
    <row r="6" spans="2:9" x14ac:dyDescent="0.25">
      <c r="F6" t="s">
        <v>60</v>
      </c>
      <c r="G6">
        <f>SUM(חיילים!BG:BG)</f>
        <v>6</v>
      </c>
      <c r="H6">
        <f t="shared" si="0"/>
        <v>0</v>
      </c>
      <c r="I6">
        <f>4*4-I5</f>
        <v>6</v>
      </c>
    </row>
    <row r="7" spans="2:9" x14ac:dyDescent="0.25">
      <c r="B7" s="1" t="s">
        <v>25</v>
      </c>
      <c r="C7" s="1">
        <f>COUNTIF(חיילים!E:E,"=כן")</f>
        <v>28</v>
      </c>
    </row>
    <row r="8" spans="2:9" x14ac:dyDescent="0.25">
      <c r="B8" s="3" t="s">
        <v>26</v>
      </c>
      <c r="C8" s="3">
        <f>COUNTIF(חיילים!E:E,"=לא")</f>
        <v>4</v>
      </c>
    </row>
    <row r="9" spans="2:9" x14ac:dyDescent="0.25">
      <c r="B9" s="1" t="s">
        <v>22</v>
      </c>
      <c r="C9" s="2">
        <f>C8+C7</f>
        <v>32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2917E-0FD7-4E71-A206-22D5C6663750}">
  <dimension ref="A1"/>
  <sheetViews>
    <sheetView rightToLeft="1" tabSelected="1" topLeftCell="A5" zoomScale="130" zoomScaleNormal="130" workbookViewId="0">
      <selection activeCell="C10" sqref="C10"/>
    </sheetView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6FC1-CA2A-4BA4-A79A-B6D57617074B}">
  <dimension ref="A1:I30"/>
  <sheetViews>
    <sheetView rightToLeft="1" zoomScale="115" zoomScaleNormal="115" workbookViewId="0">
      <selection activeCell="N16" sqref="N16"/>
    </sheetView>
  </sheetViews>
  <sheetFormatPr defaultRowHeight="15" x14ac:dyDescent="0.25"/>
  <cols>
    <col min="1" max="1" width="9.5703125" bestFit="1" customWidth="1"/>
    <col min="2" max="2" width="11.85546875" bestFit="1" customWidth="1"/>
    <col min="3" max="3" width="11" bestFit="1" customWidth="1"/>
    <col min="4" max="4" width="10.85546875" bestFit="1" customWidth="1"/>
    <col min="5" max="5" width="11.85546875" bestFit="1" customWidth="1"/>
  </cols>
  <sheetData>
    <row r="1" spans="1:8" x14ac:dyDescent="0.25">
      <c r="A1" s="5"/>
      <c r="B1" s="6">
        <v>31</v>
      </c>
      <c r="C1" s="6">
        <v>1</v>
      </c>
      <c r="D1" s="6">
        <f t="shared" ref="D1:H1" si="0">C1+1</f>
        <v>2</v>
      </c>
      <c r="E1" s="6">
        <f t="shared" si="0"/>
        <v>3</v>
      </c>
      <c r="F1" s="6">
        <f t="shared" si="0"/>
        <v>4</v>
      </c>
      <c r="G1" s="6">
        <f t="shared" si="0"/>
        <v>5</v>
      </c>
      <c r="H1" s="7">
        <f t="shared" si="0"/>
        <v>6</v>
      </c>
    </row>
    <row r="2" spans="1:8" x14ac:dyDescent="0.25">
      <c r="A2" s="8" t="s">
        <v>30</v>
      </c>
      <c r="B2" s="75">
        <v>2</v>
      </c>
      <c r="C2" s="75">
        <v>2</v>
      </c>
      <c r="D2" s="75">
        <v>3</v>
      </c>
      <c r="E2" s="10">
        <v>3</v>
      </c>
      <c r="F2" s="132">
        <v>2</v>
      </c>
      <c r="G2" s="132"/>
      <c r="H2" s="133"/>
    </row>
    <row r="3" spans="1:8" x14ac:dyDescent="0.25">
      <c r="A3" s="8" t="s">
        <v>27</v>
      </c>
      <c r="B3" s="76"/>
      <c r="C3" s="76"/>
      <c r="D3" s="12"/>
      <c r="E3" s="12"/>
      <c r="F3" s="138" t="s">
        <v>96</v>
      </c>
      <c r="G3" s="134"/>
      <c r="H3" s="135"/>
    </row>
    <row r="4" spans="1:8" x14ac:dyDescent="0.25">
      <c r="A4" s="8" t="s">
        <v>28</v>
      </c>
      <c r="B4" s="76"/>
      <c r="C4" s="10"/>
      <c r="D4" s="10"/>
      <c r="E4" s="75"/>
      <c r="F4" s="138" t="s">
        <v>128</v>
      </c>
      <c r="G4" s="134"/>
      <c r="H4" s="135"/>
    </row>
    <row r="5" spans="1:8" x14ac:dyDescent="0.25">
      <c r="A5" s="8" t="s">
        <v>29</v>
      </c>
      <c r="B5" s="10"/>
      <c r="C5" s="76"/>
      <c r="D5" s="75"/>
      <c r="E5" s="10"/>
      <c r="F5" s="139" t="s">
        <v>79</v>
      </c>
      <c r="G5" s="132"/>
      <c r="H5" s="133"/>
    </row>
    <row r="6" spans="1:8" ht="15.75" thickBot="1" x14ac:dyDescent="0.3">
      <c r="A6" s="8" t="s">
        <v>125</v>
      </c>
      <c r="B6" s="75"/>
      <c r="C6" s="75"/>
      <c r="D6" s="99" t="s">
        <v>165</v>
      </c>
      <c r="E6" s="10"/>
      <c r="F6" s="139" t="s">
        <v>112</v>
      </c>
      <c r="G6" s="132"/>
      <c r="H6" s="133"/>
    </row>
    <row r="7" spans="1:8" x14ac:dyDescent="0.25">
      <c r="A7" s="5"/>
      <c r="B7" s="6">
        <v>7</v>
      </c>
      <c r="C7" s="6">
        <f>B7+1</f>
        <v>8</v>
      </c>
      <c r="D7" s="6">
        <f t="shared" ref="D7:G7" si="1">C7+1</f>
        <v>9</v>
      </c>
      <c r="E7" s="6">
        <f t="shared" si="1"/>
        <v>10</v>
      </c>
      <c r="F7" s="6">
        <f t="shared" si="1"/>
        <v>11</v>
      </c>
      <c r="G7" s="6">
        <f t="shared" si="1"/>
        <v>12</v>
      </c>
      <c r="H7" s="7">
        <f>G7+1</f>
        <v>13</v>
      </c>
    </row>
    <row r="8" spans="1:8" x14ac:dyDescent="0.25">
      <c r="A8" s="8" t="s">
        <v>30</v>
      </c>
      <c r="B8" s="75">
        <v>2</v>
      </c>
      <c r="C8" s="75">
        <v>2</v>
      </c>
      <c r="D8" s="75">
        <v>3</v>
      </c>
      <c r="E8" s="10">
        <v>3</v>
      </c>
      <c r="F8" s="132">
        <v>3</v>
      </c>
      <c r="G8" s="132"/>
      <c r="H8" s="133"/>
    </row>
    <row r="9" spans="1:8" x14ac:dyDescent="0.25">
      <c r="A9" s="8" t="s">
        <v>27</v>
      </c>
      <c r="B9" s="118" t="s">
        <v>90</v>
      </c>
      <c r="C9" s="118" t="s">
        <v>144</v>
      </c>
      <c r="D9" s="72" t="s">
        <v>83</v>
      </c>
      <c r="E9" s="119" t="s">
        <v>107</v>
      </c>
      <c r="F9" s="139" t="s">
        <v>106</v>
      </c>
      <c r="G9" s="139"/>
      <c r="H9" s="140"/>
    </row>
    <row r="10" spans="1:8" x14ac:dyDescent="0.25">
      <c r="A10" s="8" t="s">
        <v>28</v>
      </c>
      <c r="B10" s="119" t="s">
        <v>107</v>
      </c>
      <c r="C10" s="118" t="s">
        <v>81</v>
      </c>
      <c r="D10" s="119" t="s">
        <v>105</v>
      </c>
      <c r="E10" s="118" t="s">
        <v>111</v>
      </c>
      <c r="F10" s="138" t="s">
        <v>90</v>
      </c>
      <c r="G10" s="138"/>
      <c r="H10" s="141"/>
    </row>
    <row r="11" spans="1:8" x14ac:dyDescent="0.25">
      <c r="A11" s="8" t="s">
        <v>29</v>
      </c>
      <c r="B11" s="73" t="s">
        <v>111</v>
      </c>
      <c r="C11" s="119" t="s">
        <v>117</v>
      </c>
      <c r="D11" s="120" t="s">
        <v>80</v>
      </c>
      <c r="E11" s="119" t="s">
        <v>117</v>
      </c>
      <c r="F11" s="139" t="s">
        <v>113</v>
      </c>
      <c r="G11" s="139"/>
      <c r="H11" s="140"/>
    </row>
    <row r="12" spans="1:8" ht="15.75" thickBot="1" x14ac:dyDescent="0.3">
      <c r="A12" s="8" t="s">
        <v>125</v>
      </c>
      <c r="B12" s="122" t="s">
        <v>143</v>
      </c>
      <c r="C12" s="112" t="s">
        <v>138</v>
      </c>
      <c r="D12" s="99" t="s">
        <v>166</v>
      </c>
      <c r="E12" s="72" t="s">
        <v>165</v>
      </c>
      <c r="F12" s="139" t="s">
        <v>102</v>
      </c>
      <c r="G12" s="132"/>
      <c r="H12" s="133"/>
    </row>
    <row r="13" spans="1:8" x14ac:dyDescent="0.25">
      <c r="A13" s="5"/>
      <c r="B13" s="6">
        <f>B7+7</f>
        <v>14</v>
      </c>
      <c r="C13" s="6">
        <f>B13+1</f>
        <v>15</v>
      </c>
      <c r="D13" s="6">
        <f t="shared" ref="D13:H13" si="2">C13+1</f>
        <v>16</v>
      </c>
      <c r="E13" s="6">
        <f t="shared" si="2"/>
        <v>17</v>
      </c>
      <c r="F13" s="6">
        <f t="shared" si="2"/>
        <v>18</v>
      </c>
      <c r="G13" s="6">
        <f t="shared" si="2"/>
        <v>19</v>
      </c>
      <c r="H13" s="7">
        <f t="shared" si="2"/>
        <v>20</v>
      </c>
    </row>
    <row r="14" spans="1:8" x14ac:dyDescent="0.25">
      <c r="A14" s="8" t="s">
        <v>30</v>
      </c>
      <c r="B14" s="75">
        <v>2</v>
      </c>
      <c r="C14" s="75">
        <v>2</v>
      </c>
      <c r="D14" s="75">
        <v>3</v>
      </c>
      <c r="E14" s="10">
        <v>3</v>
      </c>
      <c r="F14" s="132">
        <v>2</v>
      </c>
      <c r="G14" s="132"/>
      <c r="H14" s="133"/>
    </row>
    <row r="15" spans="1:8" x14ac:dyDescent="0.25">
      <c r="A15" s="8" t="s">
        <v>27</v>
      </c>
      <c r="B15" s="118" t="s">
        <v>99</v>
      </c>
      <c r="C15" s="119" t="s">
        <v>92</v>
      </c>
      <c r="D15" s="72" t="s">
        <v>112</v>
      </c>
      <c r="E15" s="118" t="s">
        <v>99</v>
      </c>
      <c r="F15" s="138" t="s">
        <v>80</v>
      </c>
      <c r="G15" s="134"/>
      <c r="H15" s="135"/>
    </row>
    <row r="16" spans="1:8" x14ac:dyDescent="0.25">
      <c r="A16" s="8" t="s">
        <v>28</v>
      </c>
      <c r="B16" s="119" t="s">
        <v>167</v>
      </c>
      <c r="C16" s="120" t="s">
        <v>91</v>
      </c>
      <c r="D16" s="118" t="s">
        <v>90</v>
      </c>
      <c r="E16" s="119" t="s">
        <v>100</v>
      </c>
      <c r="F16" s="139" t="s">
        <v>78</v>
      </c>
      <c r="G16" s="139"/>
      <c r="H16" s="140"/>
    </row>
    <row r="17" spans="1:9" x14ac:dyDescent="0.25">
      <c r="A17" s="8" t="s">
        <v>29</v>
      </c>
      <c r="B17" s="118" t="s">
        <v>105</v>
      </c>
      <c r="C17" s="73" t="s">
        <v>111</v>
      </c>
      <c r="D17" s="119" t="s">
        <v>105</v>
      </c>
      <c r="E17" s="72" t="s">
        <v>114</v>
      </c>
      <c r="F17" s="142" t="s">
        <v>142</v>
      </c>
      <c r="G17" s="143"/>
      <c r="H17" s="144"/>
    </row>
    <row r="18" spans="1:9" ht="15.75" thickBot="1" x14ac:dyDescent="0.3">
      <c r="A18" s="8" t="s">
        <v>125</v>
      </c>
      <c r="B18" s="119" t="s">
        <v>143</v>
      </c>
      <c r="C18" s="119" t="s">
        <v>138</v>
      </c>
      <c r="D18" s="99" t="s">
        <v>166</v>
      </c>
      <c r="E18" s="72" t="s">
        <v>164</v>
      </c>
      <c r="F18" s="139" t="s">
        <v>165</v>
      </c>
      <c r="G18" s="132"/>
      <c r="H18" s="133"/>
    </row>
    <row r="19" spans="1:9" x14ac:dyDescent="0.25">
      <c r="A19" s="5"/>
      <c r="B19" s="6">
        <f>B13+7</f>
        <v>21</v>
      </c>
      <c r="C19" s="6">
        <f>B19+1</f>
        <v>22</v>
      </c>
      <c r="D19" s="6">
        <f t="shared" ref="D19:H19" si="3">C19+1</f>
        <v>23</v>
      </c>
      <c r="E19" s="6">
        <f t="shared" si="3"/>
        <v>24</v>
      </c>
      <c r="F19" s="6">
        <f t="shared" si="3"/>
        <v>25</v>
      </c>
      <c r="G19" s="6">
        <f>F19+1</f>
        <v>26</v>
      </c>
      <c r="H19" s="7">
        <f t="shared" si="3"/>
        <v>27</v>
      </c>
    </row>
    <row r="20" spans="1:9" x14ac:dyDescent="0.25">
      <c r="A20" s="8" t="s">
        <v>30</v>
      </c>
      <c r="B20" s="75">
        <v>2</v>
      </c>
      <c r="C20" s="75">
        <v>2</v>
      </c>
      <c r="D20" s="75">
        <v>3</v>
      </c>
      <c r="E20" s="10">
        <v>3</v>
      </c>
      <c r="F20" s="132">
        <v>3</v>
      </c>
      <c r="G20" s="132"/>
      <c r="H20" s="133"/>
    </row>
    <row r="21" spans="1:9" x14ac:dyDescent="0.25">
      <c r="A21" s="8" t="s">
        <v>27</v>
      </c>
      <c r="B21" s="120" t="s">
        <v>128</v>
      </c>
      <c r="C21" s="119" t="s">
        <v>167</v>
      </c>
      <c r="D21" s="120" t="s">
        <v>91</v>
      </c>
      <c r="E21" s="72" t="s">
        <v>112</v>
      </c>
      <c r="F21" s="139" t="s">
        <v>95</v>
      </c>
      <c r="G21" s="132"/>
      <c r="H21" s="133"/>
    </row>
    <row r="22" spans="1:9" x14ac:dyDescent="0.25">
      <c r="A22" s="8" t="s">
        <v>28</v>
      </c>
      <c r="B22" s="119" t="s">
        <v>129</v>
      </c>
      <c r="C22" s="120" t="s">
        <v>95</v>
      </c>
      <c r="D22" s="72" t="s">
        <v>114</v>
      </c>
      <c r="E22" s="119" t="s">
        <v>113</v>
      </c>
      <c r="F22" s="138" t="s">
        <v>144</v>
      </c>
      <c r="G22" s="134"/>
      <c r="H22" s="135"/>
    </row>
    <row r="23" spans="1:9" x14ac:dyDescent="0.25">
      <c r="A23" s="8" t="s">
        <v>29</v>
      </c>
      <c r="B23" s="120" t="s">
        <v>99</v>
      </c>
      <c r="C23" s="120" t="s">
        <v>144</v>
      </c>
      <c r="D23" s="119" t="s">
        <v>78</v>
      </c>
      <c r="E23" s="120" t="s">
        <v>128</v>
      </c>
      <c r="F23" s="139" t="s">
        <v>81</v>
      </c>
      <c r="G23" s="139"/>
      <c r="H23" s="140"/>
    </row>
    <row r="24" spans="1:9" ht="15.75" thickBot="1" x14ac:dyDescent="0.3">
      <c r="A24" s="8" t="s">
        <v>125</v>
      </c>
      <c r="B24" s="117" t="s">
        <v>127</v>
      </c>
      <c r="C24" s="119" t="s">
        <v>138</v>
      </c>
      <c r="D24" s="99" t="s">
        <v>166</v>
      </c>
      <c r="E24" s="123" t="s">
        <v>143</v>
      </c>
      <c r="F24" s="145" t="s">
        <v>164</v>
      </c>
      <c r="G24" s="136"/>
      <c r="H24" s="137"/>
    </row>
    <row r="25" spans="1:9" x14ac:dyDescent="0.25">
      <c r="A25" s="5"/>
      <c r="B25" s="6">
        <f>B19+7</f>
        <v>28</v>
      </c>
      <c r="C25" s="6">
        <f>B25+1</f>
        <v>29</v>
      </c>
      <c r="D25" s="6">
        <f t="shared" ref="D25:E25" si="4">C25+1</f>
        <v>30</v>
      </c>
      <c r="E25" s="6">
        <f t="shared" si="4"/>
        <v>31</v>
      </c>
      <c r="F25" s="6">
        <v>1</v>
      </c>
      <c r="G25" s="6">
        <f>F25+1</f>
        <v>2</v>
      </c>
      <c r="H25" s="7">
        <f t="shared" ref="H25" si="5">G25+1</f>
        <v>3</v>
      </c>
    </row>
    <row r="26" spans="1:9" x14ac:dyDescent="0.25">
      <c r="A26" s="8" t="s">
        <v>30</v>
      </c>
      <c r="B26" s="75">
        <v>2</v>
      </c>
      <c r="C26" s="75">
        <v>2</v>
      </c>
      <c r="D26" s="75">
        <v>3</v>
      </c>
      <c r="E26" s="10">
        <v>3</v>
      </c>
      <c r="F26" s="132">
        <v>2</v>
      </c>
      <c r="G26" s="132"/>
      <c r="H26" s="133"/>
    </row>
    <row r="27" spans="1:9" x14ac:dyDescent="0.25">
      <c r="A27" s="8" t="s">
        <v>27</v>
      </c>
      <c r="B27" s="118" t="s">
        <v>83</v>
      </c>
      <c r="C27" s="118" t="s">
        <v>138</v>
      </c>
      <c r="D27" s="72" t="s">
        <v>102</v>
      </c>
      <c r="E27" s="119" t="s">
        <v>100</v>
      </c>
      <c r="F27" s="139" t="s">
        <v>92</v>
      </c>
      <c r="G27" s="132"/>
      <c r="H27" s="133"/>
      <c r="I27" s="121"/>
    </row>
    <row r="28" spans="1:9" x14ac:dyDescent="0.25">
      <c r="A28" s="8" t="s">
        <v>28</v>
      </c>
      <c r="B28" s="119" t="s">
        <v>107</v>
      </c>
      <c r="C28" s="119" t="s">
        <v>113</v>
      </c>
      <c r="D28" s="120" t="s">
        <v>80</v>
      </c>
      <c r="E28" s="118" t="s">
        <v>117</v>
      </c>
      <c r="F28" s="138" t="s">
        <v>91</v>
      </c>
      <c r="G28" s="138"/>
      <c r="H28" s="141"/>
    </row>
    <row r="29" spans="1:9" x14ac:dyDescent="0.25">
      <c r="A29" s="8" t="s">
        <v>29</v>
      </c>
      <c r="B29" s="120" t="s">
        <v>97</v>
      </c>
      <c r="C29" s="120" t="s">
        <v>128</v>
      </c>
      <c r="D29" s="119" t="s">
        <v>129</v>
      </c>
      <c r="E29" s="72" t="s">
        <v>83</v>
      </c>
      <c r="F29" s="138" t="s">
        <v>104</v>
      </c>
      <c r="G29" s="134"/>
      <c r="H29" s="135"/>
    </row>
    <row r="30" spans="1:9" ht="15.75" thickBot="1" x14ac:dyDescent="0.3">
      <c r="A30" s="15" t="s">
        <v>125</v>
      </c>
      <c r="B30" s="117" t="s">
        <v>143</v>
      </c>
      <c r="C30" s="77" t="s">
        <v>167</v>
      </c>
      <c r="D30" s="117" t="s">
        <v>165</v>
      </c>
      <c r="E30" s="123" t="s">
        <v>164</v>
      </c>
      <c r="F30" s="145" t="s">
        <v>127</v>
      </c>
      <c r="G30" s="136"/>
      <c r="H30" s="137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DD959-AEA6-4F4E-87E5-B7CF55E94943}">
  <dimension ref="B1:K37"/>
  <sheetViews>
    <sheetView rightToLeft="1" zoomScale="120" zoomScaleNormal="120" workbookViewId="0">
      <selection activeCell="G3" sqref="G3:I3"/>
    </sheetView>
  </sheetViews>
  <sheetFormatPr defaultRowHeight="15" x14ac:dyDescent="0.25"/>
  <cols>
    <col min="1" max="1" width="3" style="4" customWidth="1"/>
    <col min="2" max="2" width="9.140625" style="4"/>
    <col min="3" max="3" width="11.5703125" style="4" bestFit="1" customWidth="1"/>
    <col min="4" max="4" width="11.85546875" style="4" bestFit="1" customWidth="1"/>
    <col min="5" max="5" width="11.42578125" style="4" bestFit="1" customWidth="1"/>
    <col min="6" max="6" width="11.5703125" style="4" bestFit="1" customWidth="1"/>
    <col min="7" max="16384" width="9.140625" style="4"/>
  </cols>
  <sheetData>
    <row r="1" spans="2:11" ht="15.75" thickBot="1" x14ac:dyDescent="0.3"/>
    <row r="2" spans="2:11" x14ac:dyDescent="0.25">
      <c r="B2" s="5"/>
      <c r="C2" s="6"/>
      <c r="D2" s="6"/>
      <c r="E2" s="6"/>
      <c r="F2" s="6"/>
      <c r="G2" s="6">
        <f t="shared" ref="G2" si="0">F2+1</f>
        <v>1</v>
      </c>
      <c r="H2" s="6">
        <v>1</v>
      </c>
      <c r="I2" s="7">
        <f t="shared" ref="I2" si="1">H2+1</f>
        <v>2</v>
      </c>
    </row>
    <row r="3" spans="2:11" x14ac:dyDescent="0.25">
      <c r="B3" s="8" t="s">
        <v>30</v>
      </c>
      <c r="C3" s="9"/>
      <c r="D3" s="9"/>
      <c r="E3" s="9"/>
      <c r="F3" s="10"/>
      <c r="G3" s="132">
        <v>3</v>
      </c>
      <c r="H3" s="132"/>
      <c r="I3" s="133"/>
    </row>
    <row r="4" spans="2:11" x14ac:dyDescent="0.25">
      <c r="B4" s="8" t="s">
        <v>27</v>
      </c>
      <c r="C4" s="11"/>
      <c r="D4" s="11"/>
      <c r="E4" s="12"/>
      <c r="F4" s="72"/>
      <c r="G4" s="139" t="s">
        <v>96</v>
      </c>
      <c r="H4" s="146"/>
      <c r="I4" s="147"/>
    </row>
    <row r="5" spans="2:11" x14ac:dyDescent="0.25">
      <c r="B5" s="8" t="s">
        <v>28</v>
      </c>
      <c r="C5" s="11"/>
      <c r="D5" s="10"/>
      <c r="E5" s="10"/>
      <c r="F5" s="32"/>
      <c r="G5" s="139" t="s">
        <v>101</v>
      </c>
      <c r="H5" s="146"/>
      <c r="I5" s="147"/>
    </row>
    <row r="6" spans="2:11" x14ac:dyDescent="0.25">
      <c r="B6" s="8" t="s">
        <v>29</v>
      </c>
      <c r="C6" s="10"/>
      <c r="D6" s="11"/>
      <c r="E6" s="9"/>
      <c r="F6" s="73"/>
      <c r="G6" s="138" t="s">
        <v>128</v>
      </c>
      <c r="H6" s="148"/>
      <c r="I6" s="149"/>
    </row>
    <row r="7" spans="2:11" ht="15.75" thickBot="1" x14ac:dyDescent="0.3">
      <c r="B7" s="8" t="s">
        <v>125</v>
      </c>
      <c r="C7" s="9"/>
      <c r="D7" s="9"/>
      <c r="E7" s="13"/>
      <c r="F7" s="71"/>
      <c r="G7" s="139" t="s">
        <v>80</v>
      </c>
      <c r="H7" s="146"/>
      <c r="I7" s="147"/>
    </row>
    <row r="8" spans="2:11" x14ac:dyDescent="0.25">
      <c r="B8" s="5"/>
      <c r="C8" s="6">
        <v>3</v>
      </c>
      <c r="D8" s="6">
        <f>C8+1</f>
        <v>4</v>
      </c>
      <c r="E8" s="6">
        <f t="shared" ref="E8:I8" si="2">D8+1</f>
        <v>5</v>
      </c>
      <c r="F8" s="6">
        <f t="shared" si="2"/>
        <v>6</v>
      </c>
      <c r="G8" s="6">
        <f t="shared" si="2"/>
        <v>7</v>
      </c>
      <c r="H8" s="6">
        <f t="shared" si="2"/>
        <v>8</v>
      </c>
      <c r="I8" s="7">
        <f t="shared" si="2"/>
        <v>9</v>
      </c>
    </row>
    <row r="9" spans="2:11" x14ac:dyDescent="0.25">
      <c r="B9" s="8" t="s">
        <v>30</v>
      </c>
      <c r="C9" s="9">
        <v>2</v>
      </c>
      <c r="D9" s="9">
        <v>2</v>
      </c>
      <c r="E9" s="9">
        <v>3</v>
      </c>
      <c r="F9" s="10">
        <v>3</v>
      </c>
      <c r="G9" s="132">
        <v>2</v>
      </c>
      <c r="H9" s="132"/>
      <c r="I9" s="133"/>
    </row>
    <row r="10" spans="2:11" x14ac:dyDescent="0.25">
      <c r="B10" s="8" t="s">
        <v>27</v>
      </c>
      <c r="C10" s="73" t="s">
        <v>89</v>
      </c>
      <c r="D10" s="83" t="s">
        <v>99</v>
      </c>
      <c r="E10" s="72" t="s">
        <v>83</v>
      </c>
      <c r="F10" s="72" t="s">
        <v>78</v>
      </c>
      <c r="G10" s="138" t="s">
        <v>111</v>
      </c>
      <c r="H10" s="138"/>
      <c r="I10" s="141"/>
      <c r="K10" s="97"/>
    </row>
    <row r="11" spans="2:11" x14ac:dyDescent="0.25">
      <c r="B11" s="8" t="s">
        <v>28</v>
      </c>
      <c r="C11" s="73" t="s">
        <v>91</v>
      </c>
      <c r="D11" s="73" t="s">
        <v>97</v>
      </c>
      <c r="E11" s="73" t="s">
        <v>76</v>
      </c>
      <c r="F11" s="83" t="s">
        <v>100</v>
      </c>
      <c r="G11" s="139" t="s">
        <v>100</v>
      </c>
      <c r="H11" s="139"/>
      <c r="I11" s="140"/>
    </row>
    <row r="12" spans="2:11" x14ac:dyDescent="0.25">
      <c r="B12" s="100" t="s">
        <v>29</v>
      </c>
      <c r="C12" s="72" t="s">
        <v>78</v>
      </c>
      <c r="D12" s="72" t="s">
        <v>77</v>
      </c>
      <c r="E12" s="72" t="s">
        <v>92</v>
      </c>
      <c r="F12" s="72" t="s">
        <v>102</v>
      </c>
      <c r="G12" s="138" t="s">
        <v>79</v>
      </c>
      <c r="H12" s="138"/>
      <c r="I12" s="141"/>
    </row>
    <row r="13" spans="2:11" ht="15.75" thickBot="1" x14ac:dyDescent="0.3">
      <c r="B13" s="8" t="s">
        <v>125</v>
      </c>
      <c r="C13" s="82" t="s">
        <v>110</v>
      </c>
      <c r="D13" s="86" t="s">
        <v>113</v>
      </c>
      <c r="E13" s="72" t="s">
        <v>127</v>
      </c>
      <c r="F13" s="72" t="s">
        <v>110</v>
      </c>
      <c r="G13" s="139" t="s">
        <v>106</v>
      </c>
      <c r="H13" s="132"/>
      <c r="I13" s="133"/>
    </row>
    <row r="14" spans="2:11" x14ac:dyDescent="0.25">
      <c r="B14" s="5"/>
      <c r="C14" s="6">
        <f>C8+7</f>
        <v>10</v>
      </c>
      <c r="D14" s="6">
        <f>C14+1</f>
        <v>11</v>
      </c>
      <c r="E14" s="6">
        <f t="shared" ref="E14:H14" si="3">D14+1</f>
        <v>12</v>
      </c>
      <c r="F14" s="6">
        <f t="shared" si="3"/>
        <v>13</v>
      </c>
      <c r="G14" s="6">
        <f t="shared" si="3"/>
        <v>14</v>
      </c>
      <c r="H14" s="6">
        <f t="shared" si="3"/>
        <v>15</v>
      </c>
      <c r="I14" s="7">
        <f>H14+1</f>
        <v>16</v>
      </c>
    </row>
    <row r="15" spans="2:11" x14ac:dyDescent="0.25">
      <c r="B15" s="8" t="s">
        <v>30</v>
      </c>
      <c r="C15" s="9">
        <v>2</v>
      </c>
      <c r="D15" s="9">
        <v>2</v>
      </c>
      <c r="E15" s="9">
        <v>3</v>
      </c>
      <c r="F15" s="10">
        <v>3</v>
      </c>
      <c r="G15" s="132">
        <v>3</v>
      </c>
      <c r="H15" s="132"/>
      <c r="I15" s="133"/>
    </row>
    <row r="16" spans="2:11" x14ac:dyDescent="0.25">
      <c r="B16" s="8" t="s">
        <v>27</v>
      </c>
      <c r="C16" s="83" t="s">
        <v>104</v>
      </c>
      <c r="D16" s="73" t="s">
        <v>91</v>
      </c>
      <c r="E16" s="73" t="s">
        <v>80</v>
      </c>
      <c r="F16" s="73" t="s">
        <v>90</v>
      </c>
      <c r="G16" s="139" t="s">
        <v>76</v>
      </c>
      <c r="H16" s="132"/>
      <c r="I16" s="133"/>
    </row>
    <row r="17" spans="2:9" x14ac:dyDescent="0.25">
      <c r="B17" s="8" t="s">
        <v>28</v>
      </c>
      <c r="C17" s="73" t="s">
        <v>90</v>
      </c>
      <c r="D17" s="73" t="s">
        <v>128</v>
      </c>
      <c r="E17" s="72" t="s">
        <v>83</v>
      </c>
      <c r="F17" s="72" t="s">
        <v>144</v>
      </c>
      <c r="G17" s="138" t="s">
        <v>89</v>
      </c>
      <c r="H17" s="138"/>
      <c r="I17" s="141"/>
    </row>
    <row r="18" spans="2:9" x14ac:dyDescent="0.25">
      <c r="B18" s="8" t="s">
        <v>29</v>
      </c>
      <c r="C18" s="72" t="s">
        <v>112</v>
      </c>
      <c r="D18" s="72" t="s">
        <v>102</v>
      </c>
      <c r="E18" s="86" t="s">
        <v>92</v>
      </c>
      <c r="F18" s="72" t="s">
        <v>79</v>
      </c>
      <c r="G18" s="139" t="s">
        <v>107</v>
      </c>
      <c r="H18" s="139"/>
      <c r="I18" s="140"/>
    </row>
    <row r="19" spans="2:9" ht="15.75" thickBot="1" x14ac:dyDescent="0.3">
      <c r="B19" s="8" t="s">
        <v>125</v>
      </c>
      <c r="C19" s="82" t="s">
        <v>81</v>
      </c>
      <c r="D19" s="86" t="s">
        <v>138</v>
      </c>
      <c r="E19" s="99" t="s">
        <v>84</v>
      </c>
      <c r="F19" s="86" t="s">
        <v>81</v>
      </c>
      <c r="G19" s="139" t="s">
        <v>110</v>
      </c>
      <c r="H19" s="132"/>
      <c r="I19" s="133"/>
    </row>
    <row r="20" spans="2:9" x14ac:dyDescent="0.25">
      <c r="B20" s="5"/>
      <c r="C20" s="6">
        <f>C14+7</f>
        <v>17</v>
      </c>
      <c r="D20" s="6">
        <f>C20+1</f>
        <v>18</v>
      </c>
      <c r="E20" s="6">
        <f t="shared" ref="E20:I20" si="4">D20+1</f>
        <v>19</v>
      </c>
      <c r="F20" s="6">
        <f t="shared" si="4"/>
        <v>20</v>
      </c>
      <c r="G20" s="6">
        <f t="shared" si="4"/>
        <v>21</v>
      </c>
      <c r="H20" s="6">
        <f t="shared" si="4"/>
        <v>22</v>
      </c>
      <c r="I20" s="7">
        <f t="shared" si="4"/>
        <v>23</v>
      </c>
    </row>
    <row r="21" spans="2:9" x14ac:dyDescent="0.25">
      <c r="B21" s="8" t="s">
        <v>30</v>
      </c>
      <c r="C21" s="9">
        <v>2</v>
      </c>
      <c r="D21" s="9">
        <v>2</v>
      </c>
      <c r="E21" s="9">
        <v>3</v>
      </c>
      <c r="F21" s="10">
        <v>3</v>
      </c>
      <c r="G21" s="132">
        <v>2</v>
      </c>
      <c r="H21" s="132"/>
      <c r="I21" s="133"/>
    </row>
    <row r="22" spans="2:9" x14ac:dyDescent="0.25">
      <c r="B22" s="8" t="s">
        <v>27</v>
      </c>
      <c r="C22" s="83" t="s">
        <v>90</v>
      </c>
      <c r="D22" s="83" t="s">
        <v>82</v>
      </c>
      <c r="E22" s="73" t="s">
        <v>80</v>
      </c>
      <c r="F22" s="86" t="s">
        <v>103</v>
      </c>
      <c r="G22" s="138" t="s">
        <v>97</v>
      </c>
      <c r="H22" s="134"/>
      <c r="I22" s="135"/>
    </row>
    <row r="23" spans="2:9" x14ac:dyDescent="0.25">
      <c r="B23" s="8" t="s">
        <v>28</v>
      </c>
      <c r="C23" s="73" t="s">
        <v>91</v>
      </c>
      <c r="D23" s="73" t="s">
        <v>128</v>
      </c>
      <c r="E23" s="72" t="s">
        <v>83</v>
      </c>
      <c r="F23" s="83" t="s">
        <v>110</v>
      </c>
      <c r="G23" s="138" t="s">
        <v>99</v>
      </c>
      <c r="H23" s="138"/>
      <c r="I23" s="141"/>
    </row>
    <row r="24" spans="2:9" x14ac:dyDescent="0.25">
      <c r="B24" s="8" t="s">
        <v>29</v>
      </c>
      <c r="C24" s="72" t="s">
        <v>144</v>
      </c>
      <c r="D24" s="86" t="s">
        <v>101</v>
      </c>
      <c r="E24" s="86" t="s">
        <v>81</v>
      </c>
      <c r="F24" s="72" t="s">
        <v>79</v>
      </c>
      <c r="G24" s="139" t="s">
        <v>112</v>
      </c>
      <c r="H24" s="132"/>
      <c r="I24" s="133"/>
    </row>
    <row r="25" spans="2:9" ht="15.75" thickBot="1" x14ac:dyDescent="0.3">
      <c r="B25" s="8" t="s">
        <v>125</v>
      </c>
      <c r="C25" s="99" t="s">
        <v>84</v>
      </c>
      <c r="D25" s="84" t="s">
        <v>127</v>
      </c>
      <c r="E25" s="99" t="s">
        <v>117</v>
      </c>
      <c r="F25" s="72" t="s">
        <v>144</v>
      </c>
      <c r="G25" s="139" t="s">
        <v>129</v>
      </c>
      <c r="H25" s="139"/>
      <c r="I25" s="140"/>
    </row>
    <row r="26" spans="2:9" x14ac:dyDescent="0.25">
      <c r="B26" s="5"/>
      <c r="C26" s="6">
        <f>C20+7</f>
        <v>24</v>
      </c>
      <c r="D26" s="6">
        <f>C26+1</f>
        <v>25</v>
      </c>
      <c r="E26" s="6">
        <f t="shared" ref="E26:I26" si="5">D26+1</f>
        <v>26</v>
      </c>
      <c r="F26" s="6">
        <f t="shared" si="5"/>
        <v>27</v>
      </c>
      <c r="G26" s="6">
        <f t="shared" si="5"/>
        <v>28</v>
      </c>
      <c r="H26" s="6">
        <f>G26+1</f>
        <v>29</v>
      </c>
      <c r="I26" s="7">
        <f t="shared" si="5"/>
        <v>30</v>
      </c>
    </row>
    <row r="27" spans="2:9" x14ac:dyDescent="0.25">
      <c r="B27" s="8" t="s">
        <v>30</v>
      </c>
      <c r="C27" s="9">
        <v>2</v>
      </c>
      <c r="D27" s="9">
        <v>2</v>
      </c>
      <c r="E27" s="9">
        <v>3</v>
      </c>
      <c r="F27" s="10">
        <v>3</v>
      </c>
      <c r="G27" s="132">
        <v>3</v>
      </c>
      <c r="H27" s="132"/>
      <c r="I27" s="133"/>
    </row>
    <row r="28" spans="2:9" x14ac:dyDescent="0.25">
      <c r="B28" s="8" t="s">
        <v>27</v>
      </c>
      <c r="C28" s="86" t="s">
        <v>78</v>
      </c>
      <c r="D28" s="87" t="s">
        <v>110</v>
      </c>
      <c r="E28" s="72" t="s">
        <v>117</v>
      </c>
      <c r="F28" s="73" t="s">
        <v>90</v>
      </c>
      <c r="G28" s="139" t="s">
        <v>114</v>
      </c>
      <c r="H28" s="132"/>
      <c r="I28" s="133"/>
    </row>
    <row r="29" spans="2:9" x14ac:dyDescent="0.25">
      <c r="B29" s="8" t="s">
        <v>28</v>
      </c>
      <c r="C29" s="83" t="s">
        <v>111</v>
      </c>
      <c r="D29" s="73" t="s">
        <v>97</v>
      </c>
      <c r="E29" s="73" t="s">
        <v>80</v>
      </c>
      <c r="F29" s="82" t="s">
        <v>77</v>
      </c>
      <c r="G29" s="139" t="s">
        <v>94</v>
      </c>
      <c r="H29" s="139"/>
      <c r="I29" s="140"/>
    </row>
    <row r="30" spans="2:9" x14ac:dyDescent="0.25">
      <c r="B30" s="8" t="s">
        <v>29</v>
      </c>
      <c r="C30" s="73" t="s">
        <v>128</v>
      </c>
      <c r="D30" s="72" t="s">
        <v>144</v>
      </c>
      <c r="E30" s="86" t="s">
        <v>81</v>
      </c>
      <c r="F30" s="72" t="s">
        <v>79</v>
      </c>
      <c r="G30" s="138" t="s">
        <v>104</v>
      </c>
      <c r="H30" s="138"/>
      <c r="I30" s="141"/>
    </row>
    <row r="31" spans="2:9" ht="15.75" thickBot="1" x14ac:dyDescent="0.3">
      <c r="B31" s="8" t="s">
        <v>125</v>
      </c>
      <c r="C31" s="72" t="s">
        <v>95</v>
      </c>
      <c r="D31" s="82" t="s">
        <v>143</v>
      </c>
      <c r="E31" s="84" t="s">
        <v>127</v>
      </c>
      <c r="F31" s="72" t="s">
        <v>110</v>
      </c>
      <c r="G31" s="145" t="s">
        <v>138</v>
      </c>
      <c r="H31" s="136"/>
      <c r="I31" s="137"/>
    </row>
    <row r="32" spans="2:9" x14ac:dyDescent="0.25">
      <c r="B32" s="5"/>
      <c r="C32" s="6">
        <f>C26+7</f>
        <v>31</v>
      </c>
      <c r="D32" s="6">
        <v>1</v>
      </c>
      <c r="E32" s="6">
        <f t="shared" ref="E32" si="6">D32+1</f>
        <v>2</v>
      </c>
      <c r="F32" s="6">
        <f t="shared" ref="F32" si="7">E32+1</f>
        <v>3</v>
      </c>
      <c r="G32" s="6">
        <f t="shared" ref="G32" si="8">F32+1</f>
        <v>4</v>
      </c>
      <c r="H32" s="6">
        <f>G32+1</f>
        <v>5</v>
      </c>
      <c r="I32" s="7">
        <f t="shared" ref="I32" si="9">H32+1</f>
        <v>6</v>
      </c>
    </row>
    <row r="33" spans="2:9" x14ac:dyDescent="0.25">
      <c r="B33" s="8" t="s">
        <v>30</v>
      </c>
      <c r="C33" s="9">
        <v>2</v>
      </c>
      <c r="D33" s="9">
        <v>2</v>
      </c>
      <c r="E33" s="9">
        <v>3</v>
      </c>
      <c r="F33" s="10">
        <v>3</v>
      </c>
      <c r="G33" s="132">
        <v>2</v>
      </c>
      <c r="H33" s="132"/>
      <c r="I33" s="133"/>
    </row>
    <row r="34" spans="2:9" x14ac:dyDescent="0.25">
      <c r="B34" s="8" t="s">
        <v>27</v>
      </c>
      <c r="C34" s="82" t="s">
        <v>100</v>
      </c>
      <c r="D34" s="83" t="s">
        <v>102</v>
      </c>
      <c r="E34" s="72" t="s">
        <v>103</v>
      </c>
      <c r="F34" s="72" t="s">
        <v>92</v>
      </c>
      <c r="G34" s="138" t="s">
        <v>96</v>
      </c>
      <c r="H34" s="138"/>
      <c r="I34" s="141"/>
    </row>
    <row r="35" spans="2:9" x14ac:dyDescent="0.25">
      <c r="B35" s="8" t="s">
        <v>28</v>
      </c>
      <c r="C35" s="83" t="s">
        <v>99</v>
      </c>
      <c r="D35" s="83" t="s">
        <v>111</v>
      </c>
      <c r="E35" s="73" t="s">
        <v>80</v>
      </c>
      <c r="F35" s="83" t="s">
        <v>142</v>
      </c>
      <c r="G35" s="138" t="s">
        <v>128</v>
      </c>
      <c r="H35" s="138"/>
      <c r="I35" s="141"/>
    </row>
    <row r="36" spans="2:9" x14ac:dyDescent="0.25">
      <c r="B36" s="8" t="s">
        <v>29</v>
      </c>
      <c r="C36" s="73" t="s">
        <v>128</v>
      </c>
      <c r="D36" s="86" t="s">
        <v>101</v>
      </c>
      <c r="E36" s="72" t="s">
        <v>117</v>
      </c>
      <c r="F36" s="72" t="s">
        <v>106</v>
      </c>
      <c r="G36" s="139" t="s">
        <v>79</v>
      </c>
      <c r="H36" s="139"/>
      <c r="I36" s="140"/>
    </row>
    <row r="37" spans="2:9" ht="15.75" thickBot="1" x14ac:dyDescent="0.3">
      <c r="B37" s="15" t="s">
        <v>125</v>
      </c>
      <c r="C37" s="88" t="s">
        <v>84</v>
      </c>
      <c r="D37" s="84" t="s">
        <v>143</v>
      </c>
      <c r="E37" s="84" t="s">
        <v>77</v>
      </c>
      <c r="F37" s="84" t="s">
        <v>127</v>
      </c>
      <c r="G37" s="145" t="s">
        <v>113</v>
      </c>
      <c r="H37" s="136"/>
      <c r="I37" s="137"/>
    </row>
  </sheetData>
  <mergeCells count="30">
    <mergeCell ref="G15:I15"/>
    <mergeCell ref="G3:I3"/>
    <mergeCell ref="G4:I4"/>
    <mergeCell ref="G5:I5"/>
    <mergeCell ref="G6:I6"/>
    <mergeCell ref="G7:I7"/>
    <mergeCell ref="G9:I9"/>
    <mergeCell ref="G10:I10"/>
    <mergeCell ref="G11:I11"/>
    <mergeCell ref="G12:I12"/>
    <mergeCell ref="G13:I13"/>
    <mergeCell ref="G29:I29"/>
    <mergeCell ref="G16:I16"/>
    <mergeCell ref="G17:I17"/>
    <mergeCell ref="G18:I18"/>
    <mergeCell ref="G19:I19"/>
    <mergeCell ref="G21:I21"/>
    <mergeCell ref="G22:I22"/>
    <mergeCell ref="G23:I23"/>
    <mergeCell ref="G24:I24"/>
    <mergeCell ref="G25:I25"/>
    <mergeCell ref="G27:I27"/>
    <mergeCell ref="G28:I28"/>
    <mergeCell ref="G37:I37"/>
    <mergeCell ref="G30:I30"/>
    <mergeCell ref="G31:I31"/>
    <mergeCell ref="G33:I33"/>
    <mergeCell ref="G34:I34"/>
    <mergeCell ref="G35:I35"/>
    <mergeCell ref="G36:I36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2"/>
  <sheetViews>
    <sheetView rightToLeft="1" topLeftCell="A10" zoomScale="160" zoomScaleNormal="160" workbookViewId="0">
      <selection activeCell="C19" sqref="C19"/>
    </sheetView>
  </sheetViews>
  <sheetFormatPr defaultRowHeight="15" x14ac:dyDescent="0.25"/>
  <cols>
    <col min="1" max="1" width="10.140625" style="26" bestFit="1" customWidth="1"/>
    <col min="2" max="2" width="12" style="26" customWidth="1"/>
    <col min="3" max="3" width="10.85546875" style="26" bestFit="1" customWidth="1"/>
    <col min="4" max="4" width="10.140625" style="26" customWidth="1"/>
    <col min="5" max="5" width="9.28515625" style="26" bestFit="1" customWidth="1"/>
    <col min="6" max="16384" width="9.140625" style="26"/>
  </cols>
  <sheetData>
    <row r="1" spans="1:8" x14ac:dyDescent="0.25">
      <c r="A1" s="23"/>
      <c r="B1" s="24"/>
      <c r="C1" s="24"/>
      <c r="D1" s="24"/>
      <c r="E1" s="24">
        <v>1</v>
      </c>
      <c r="F1" s="24">
        <v>2</v>
      </c>
      <c r="G1" s="24">
        <v>3</v>
      </c>
      <c r="H1" s="25">
        <v>4</v>
      </c>
    </row>
    <row r="2" spans="1:8" x14ac:dyDescent="0.25">
      <c r="A2" s="27" t="s">
        <v>30</v>
      </c>
      <c r="B2" s="28"/>
      <c r="C2" s="28"/>
      <c r="D2" s="28"/>
      <c r="E2" s="29">
        <v>3</v>
      </c>
      <c r="F2" s="146">
        <v>3</v>
      </c>
      <c r="G2" s="146"/>
      <c r="H2" s="147"/>
    </row>
    <row r="3" spans="1:8" x14ac:dyDescent="0.25">
      <c r="A3" s="27" t="s">
        <v>27</v>
      </c>
      <c r="B3" s="31"/>
      <c r="C3" s="31"/>
      <c r="D3" s="32"/>
      <c r="E3" s="32" t="s">
        <v>90</v>
      </c>
      <c r="F3" s="146" t="s">
        <v>98</v>
      </c>
      <c r="G3" s="146"/>
      <c r="H3" s="147"/>
    </row>
    <row r="4" spans="1:8" x14ac:dyDescent="0.25">
      <c r="A4" s="27" t="s">
        <v>28</v>
      </c>
      <c r="B4" s="31"/>
      <c r="C4" s="29"/>
      <c r="D4" s="29"/>
      <c r="E4" s="28" t="s">
        <v>113</v>
      </c>
      <c r="F4" s="154" t="s">
        <v>77</v>
      </c>
      <c r="G4" s="155"/>
      <c r="H4" s="156"/>
    </row>
    <row r="5" spans="1:8" x14ac:dyDescent="0.25">
      <c r="A5" s="27" t="s">
        <v>29</v>
      </c>
      <c r="B5" s="29"/>
      <c r="C5" s="31"/>
      <c r="D5" s="28"/>
      <c r="E5" s="29" t="s">
        <v>106</v>
      </c>
      <c r="F5" s="157" t="s">
        <v>109</v>
      </c>
      <c r="G5" s="157"/>
      <c r="H5" s="158"/>
    </row>
    <row r="6" spans="1:8" ht="15.75" thickBot="1" x14ac:dyDescent="0.3">
      <c r="A6" s="27" t="s">
        <v>74</v>
      </c>
      <c r="B6" s="28"/>
      <c r="C6" s="28"/>
      <c r="D6" s="33"/>
      <c r="E6" s="29" t="s">
        <v>117</v>
      </c>
      <c r="F6" s="139" t="s">
        <v>116</v>
      </c>
      <c r="G6" s="146"/>
      <c r="H6" s="147"/>
    </row>
    <row r="7" spans="1:8" x14ac:dyDescent="0.25">
      <c r="A7" s="23"/>
      <c r="B7" s="24">
        <v>5</v>
      </c>
      <c r="C7" s="24">
        <f>B7+1</f>
        <v>6</v>
      </c>
      <c r="D7" s="24">
        <f t="shared" ref="D7:H7" si="0">C7+1</f>
        <v>7</v>
      </c>
      <c r="E7" s="24">
        <f t="shared" si="0"/>
        <v>8</v>
      </c>
      <c r="F7" s="24">
        <f t="shared" si="0"/>
        <v>9</v>
      </c>
      <c r="G7" s="24">
        <f t="shared" si="0"/>
        <v>10</v>
      </c>
      <c r="H7" s="25">
        <f t="shared" si="0"/>
        <v>11</v>
      </c>
    </row>
    <row r="8" spans="1:8" x14ac:dyDescent="0.25">
      <c r="A8" s="27" t="s">
        <v>30</v>
      </c>
      <c r="B8" s="28">
        <v>2</v>
      </c>
      <c r="C8" s="28">
        <v>2</v>
      </c>
      <c r="D8" s="28">
        <v>3</v>
      </c>
      <c r="E8" s="29">
        <v>3</v>
      </c>
      <c r="F8" s="146">
        <v>2</v>
      </c>
      <c r="G8" s="146"/>
      <c r="H8" s="147"/>
    </row>
    <row r="9" spans="1:8" x14ac:dyDescent="0.25">
      <c r="A9" s="27" t="s">
        <v>27</v>
      </c>
      <c r="B9" s="17" t="s">
        <v>106</v>
      </c>
      <c r="C9" s="18" t="s">
        <v>94</v>
      </c>
      <c r="D9" s="19" t="s">
        <v>112</v>
      </c>
      <c r="E9" s="18" t="s">
        <v>106</v>
      </c>
      <c r="F9" s="148" t="s">
        <v>97</v>
      </c>
      <c r="G9" s="148"/>
      <c r="H9" s="149"/>
    </row>
    <row r="10" spans="1:8" x14ac:dyDescent="0.25">
      <c r="A10" s="27" t="s">
        <v>28</v>
      </c>
      <c r="B10" s="18" t="s">
        <v>90</v>
      </c>
      <c r="C10" s="21" t="s">
        <v>82</v>
      </c>
      <c r="D10" s="31" t="s">
        <v>89</v>
      </c>
      <c r="E10" s="28" t="s">
        <v>92</v>
      </c>
      <c r="F10" s="148" t="s">
        <v>111</v>
      </c>
      <c r="G10" s="148"/>
      <c r="H10" s="149"/>
    </row>
    <row r="11" spans="1:8" x14ac:dyDescent="0.25">
      <c r="A11" s="27" t="s">
        <v>29</v>
      </c>
      <c r="B11" s="22" t="s">
        <v>112</v>
      </c>
      <c r="C11" s="18" t="s">
        <v>101</v>
      </c>
      <c r="D11" s="21" t="s">
        <v>77</v>
      </c>
      <c r="E11" s="30" t="s">
        <v>95</v>
      </c>
      <c r="F11" s="146" t="s">
        <v>93</v>
      </c>
      <c r="G11" s="146"/>
      <c r="H11" s="147"/>
    </row>
    <row r="12" spans="1:8" ht="15.75" thickBot="1" x14ac:dyDescent="0.3">
      <c r="A12" s="27" t="s">
        <v>74</v>
      </c>
      <c r="B12" s="28" t="s">
        <v>110</v>
      </c>
      <c r="C12" s="28" t="s">
        <v>81</v>
      </c>
      <c r="D12" s="33" t="s">
        <v>84</v>
      </c>
      <c r="E12" s="28" t="s">
        <v>116</v>
      </c>
      <c r="F12" s="146" t="s">
        <v>117</v>
      </c>
      <c r="G12" s="146"/>
      <c r="H12" s="147"/>
    </row>
    <row r="13" spans="1:8" x14ac:dyDescent="0.25">
      <c r="A13" s="23"/>
      <c r="B13" s="24">
        <f>B7+7</f>
        <v>12</v>
      </c>
      <c r="C13" s="24">
        <f>B13+1</f>
        <v>13</v>
      </c>
      <c r="D13" s="24">
        <f t="shared" ref="D13:G13" si="1">C13+1</f>
        <v>14</v>
      </c>
      <c r="E13" s="24">
        <f t="shared" si="1"/>
        <v>15</v>
      </c>
      <c r="F13" s="24">
        <f t="shared" si="1"/>
        <v>16</v>
      </c>
      <c r="G13" s="24">
        <f t="shared" si="1"/>
        <v>17</v>
      </c>
      <c r="H13" s="25">
        <f>G13+1</f>
        <v>18</v>
      </c>
    </row>
    <row r="14" spans="1:8" x14ac:dyDescent="0.25">
      <c r="A14" s="27" t="s">
        <v>30</v>
      </c>
      <c r="B14" s="28">
        <v>2</v>
      </c>
      <c r="C14" s="28">
        <v>2</v>
      </c>
      <c r="D14" s="28">
        <v>3</v>
      </c>
      <c r="E14" s="29">
        <v>3</v>
      </c>
      <c r="F14" s="146">
        <v>3</v>
      </c>
      <c r="G14" s="146"/>
      <c r="H14" s="147"/>
    </row>
    <row r="15" spans="1:8" x14ac:dyDescent="0.25">
      <c r="A15" s="27" t="s">
        <v>27</v>
      </c>
      <c r="B15" s="19" t="s">
        <v>106</v>
      </c>
      <c r="C15" s="31" t="s">
        <v>102</v>
      </c>
      <c r="D15" s="19" t="s">
        <v>92</v>
      </c>
      <c r="E15" s="17" t="s">
        <v>95</v>
      </c>
      <c r="F15" s="146" t="s">
        <v>103</v>
      </c>
      <c r="G15" s="146"/>
      <c r="H15" s="147"/>
    </row>
    <row r="16" spans="1:8" x14ac:dyDescent="0.25">
      <c r="A16" s="27" t="s">
        <v>28</v>
      </c>
      <c r="B16" s="31" t="s">
        <v>95</v>
      </c>
      <c r="C16" s="18" t="s">
        <v>99</v>
      </c>
      <c r="D16" s="29" t="s">
        <v>129</v>
      </c>
      <c r="E16" s="29" t="s">
        <v>129</v>
      </c>
      <c r="F16" s="146" t="s">
        <v>78</v>
      </c>
      <c r="G16" s="146"/>
      <c r="H16" s="147"/>
    </row>
    <row r="17" spans="1:8" x14ac:dyDescent="0.25">
      <c r="A17" s="27" t="s">
        <v>29</v>
      </c>
      <c r="B17" s="18" t="s">
        <v>82</v>
      </c>
      <c r="C17" s="19" t="s">
        <v>94</v>
      </c>
      <c r="D17" s="31" t="s">
        <v>79</v>
      </c>
      <c r="E17" s="18" t="s">
        <v>114</v>
      </c>
      <c r="F17" s="148" t="s">
        <v>91</v>
      </c>
      <c r="G17" s="148"/>
      <c r="H17" s="149"/>
    </row>
    <row r="18" spans="1:8" ht="15.75" thickBot="1" x14ac:dyDescent="0.3">
      <c r="A18" s="27" t="s">
        <v>74</v>
      </c>
      <c r="B18" s="28" t="s">
        <v>116</v>
      </c>
      <c r="C18" s="28" t="s">
        <v>81</v>
      </c>
      <c r="D18" s="28" t="s">
        <v>110</v>
      </c>
      <c r="E18" s="28" t="s">
        <v>84</v>
      </c>
      <c r="F18" s="146" t="s">
        <v>127</v>
      </c>
      <c r="G18" s="146"/>
      <c r="H18" s="147"/>
    </row>
    <row r="19" spans="1:8" x14ac:dyDescent="0.25">
      <c r="A19" s="23"/>
      <c r="B19" s="24">
        <f>B13+7</f>
        <v>19</v>
      </c>
      <c r="C19" s="24">
        <f>B19+1</f>
        <v>20</v>
      </c>
      <c r="D19" s="24">
        <f t="shared" ref="D19:H19" si="2">C19+1</f>
        <v>21</v>
      </c>
      <c r="E19" s="24">
        <f t="shared" si="2"/>
        <v>22</v>
      </c>
      <c r="F19" s="24">
        <f t="shared" si="2"/>
        <v>23</v>
      </c>
      <c r="G19" s="24">
        <f t="shared" si="2"/>
        <v>24</v>
      </c>
      <c r="H19" s="25">
        <f t="shared" si="2"/>
        <v>25</v>
      </c>
    </row>
    <row r="20" spans="1:8" x14ac:dyDescent="0.25">
      <c r="A20" s="27" t="s">
        <v>30</v>
      </c>
      <c r="B20" s="28">
        <v>2</v>
      </c>
      <c r="C20" s="28">
        <v>2</v>
      </c>
      <c r="D20" s="28">
        <v>3</v>
      </c>
      <c r="E20" s="29">
        <v>3</v>
      </c>
      <c r="F20" s="146">
        <v>2</v>
      </c>
      <c r="G20" s="146"/>
      <c r="H20" s="147"/>
    </row>
    <row r="21" spans="1:8" x14ac:dyDescent="0.25">
      <c r="A21" s="27" t="s">
        <v>27</v>
      </c>
      <c r="B21" s="18" t="s">
        <v>77</v>
      </c>
      <c r="C21" s="31" t="s">
        <v>113</v>
      </c>
      <c r="D21" s="28" t="s">
        <v>93</v>
      </c>
      <c r="E21" s="31" t="s">
        <v>100</v>
      </c>
      <c r="F21" s="148" t="s">
        <v>107</v>
      </c>
      <c r="G21" s="148"/>
      <c r="H21" s="149"/>
    </row>
    <row r="22" spans="1:8" x14ac:dyDescent="0.25">
      <c r="A22" s="27" t="s">
        <v>28</v>
      </c>
      <c r="B22" s="18" t="s">
        <v>111</v>
      </c>
      <c r="C22" s="73" t="s">
        <v>104</v>
      </c>
      <c r="D22" s="18" t="s">
        <v>101</v>
      </c>
      <c r="E22" s="19" t="s">
        <v>102</v>
      </c>
      <c r="F22" s="138" t="s">
        <v>90</v>
      </c>
      <c r="G22" s="148"/>
      <c r="H22" s="149"/>
    </row>
    <row r="23" spans="1:8" x14ac:dyDescent="0.25">
      <c r="A23" s="27" t="s">
        <v>29</v>
      </c>
      <c r="B23" s="29" t="s">
        <v>100</v>
      </c>
      <c r="C23" s="29" t="s">
        <v>79</v>
      </c>
      <c r="D23" s="19" t="s">
        <v>114</v>
      </c>
      <c r="E23" s="31" t="s">
        <v>82</v>
      </c>
      <c r="F23" s="146" t="s">
        <v>105</v>
      </c>
      <c r="G23" s="146"/>
      <c r="H23" s="147"/>
    </row>
    <row r="24" spans="1:8" x14ac:dyDescent="0.25">
      <c r="A24" s="27" t="s">
        <v>74</v>
      </c>
      <c r="B24" s="28" t="s">
        <v>117</v>
      </c>
      <c r="C24" s="28" t="s">
        <v>76</v>
      </c>
      <c r="D24" s="28" t="s">
        <v>81</v>
      </c>
      <c r="E24" s="36" t="s">
        <v>110</v>
      </c>
      <c r="F24" s="146" t="s">
        <v>83</v>
      </c>
      <c r="G24" s="146"/>
      <c r="H24" s="147"/>
    </row>
    <row r="25" spans="1:8" ht="15.75" thickBot="1" x14ac:dyDescent="0.3">
      <c r="A25" s="27" t="s">
        <v>73</v>
      </c>
      <c r="B25" s="20" t="s">
        <v>75</v>
      </c>
      <c r="C25" s="20" t="s">
        <v>75</v>
      </c>
      <c r="D25" s="20" t="s">
        <v>75</v>
      </c>
      <c r="E25" s="37" t="s">
        <v>117</v>
      </c>
      <c r="F25" s="152" t="s">
        <v>75</v>
      </c>
      <c r="G25" s="152"/>
      <c r="H25" s="153"/>
    </row>
    <row r="26" spans="1:8" x14ac:dyDescent="0.25">
      <c r="A26" s="23"/>
      <c r="B26" s="24">
        <f>B19+7</f>
        <v>26</v>
      </c>
      <c r="C26" s="24">
        <f>B26+1</f>
        <v>27</v>
      </c>
      <c r="D26" s="24">
        <f t="shared" ref="D26:H26" si="3">C26+1</f>
        <v>28</v>
      </c>
      <c r="E26" s="24">
        <f t="shared" si="3"/>
        <v>29</v>
      </c>
      <c r="F26" s="24">
        <f t="shared" si="3"/>
        <v>30</v>
      </c>
      <c r="G26" s="24">
        <v>1</v>
      </c>
      <c r="H26" s="25">
        <f t="shared" si="3"/>
        <v>2</v>
      </c>
    </row>
    <row r="27" spans="1:8" x14ac:dyDescent="0.25">
      <c r="A27" s="27" t="s">
        <v>30</v>
      </c>
      <c r="B27" s="28">
        <v>2</v>
      </c>
      <c r="C27" s="28">
        <v>2</v>
      </c>
      <c r="D27" s="28">
        <v>3</v>
      </c>
      <c r="E27" s="29">
        <v>3</v>
      </c>
      <c r="F27" s="146">
        <v>3</v>
      </c>
      <c r="G27" s="146"/>
      <c r="H27" s="147"/>
    </row>
    <row r="28" spans="1:8" x14ac:dyDescent="0.25">
      <c r="A28" s="27" t="s">
        <v>27</v>
      </c>
      <c r="B28" s="31" t="s">
        <v>111</v>
      </c>
      <c r="C28" s="19" t="s">
        <v>112</v>
      </c>
      <c r="D28" s="19" t="s">
        <v>102</v>
      </c>
      <c r="E28" s="19" t="s">
        <v>114</v>
      </c>
      <c r="F28" s="146" t="s">
        <v>96</v>
      </c>
      <c r="G28" s="146"/>
      <c r="H28" s="147"/>
    </row>
    <row r="29" spans="1:8" x14ac:dyDescent="0.25">
      <c r="A29" s="27" t="s">
        <v>28</v>
      </c>
      <c r="B29" s="19" t="s">
        <v>94</v>
      </c>
      <c r="C29" s="22" t="s">
        <v>99</v>
      </c>
      <c r="D29" s="31" t="s">
        <v>89</v>
      </c>
      <c r="E29" s="32" t="s">
        <v>77</v>
      </c>
      <c r="F29" s="146" t="s">
        <v>101</v>
      </c>
      <c r="G29" s="146"/>
      <c r="H29" s="147"/>
    </row>
    <row r="30" spans="1:8" x14ac:dyDescent="0.25">
      <c r="A30" s="27" t="s">
        <v>29</v>
      </c>
      <c r="B30" s="18" t="s">
        <v>91</v>
      </c>
      <c r="C30" s="22" t="s">
        <v>113</v>
      </c>
      <c r="D30" s="16" t="s">
        <v>82</v>
      </c>
      <c r="E30" s="18" t="s">
        <v>92</v>
      </c>
      <c r="F30" s="148" t="s">
        <v>128</v>
      </c>
      <c r="G30" s="148"/>
      <c r="H30" s="149"/>
    </row>
    <row r="31" spans="1:8" x14ac:dyDescent="0.25">
      <c r="A31" s="27" t="s">
        <v>74</v>
      </c>
      <c r="B31" s="28" t="s">
        <v>85</v>
      </c>
      <c r="C31" s="28" t="s">
        <v>76</v>
      </c>
      <c r="D31" s="28" t="s">
        <v>84</v>
      </c>
      <c r="E31" s="28" t="s">
        <v>81</v>
      </c>
      <c r="F31" s="146" t="s">
        <v>80</v>
      </c>
      <c r="G31" s="146"/>
      <c r="H31" s="147"/>
    </row>
    <row r="32" spans="1:8" ht="15.75" thickBot="1" x14ac:dyDescent="0.3">
      <c r="A32" s="35" t="s">
        <v>73</v>
      </c>
      <c r="B32" s="20" t="s">
        <v>75</v>
      </c>
      <c r="C32" s="20" t="s">
        <v>75</v>
      </c>
      <c r="D32" s="20" t="s">
        <v>127</v>
      </c>
      <c r="E32" s="34" t="s">
        <v>110</v>
      </c>
      <c r="F32" s="150" t="s">
        <v>75</v>
      </c>
      <c r="G32" s="150"/>
      <c r="H32" s="151"/>
    </row>
  </sheetData>
  <mergeCells count="27">
    <mergeCell ref="F14:H14"/>
    <mergeCell ref="F27:H27"/>
    <mergeCell ref="F21:H21"/>
    <mergeCell ref="F22:H22"/>
    <mergeCell ref="F23:H23"/>
    <mergeCell ref="F24:H24"/>
    <mergeCell ref="F15:H15"/>
    <mergeCell ref="F16:H16"/>
    <mergeCell ref="F17:H17"/>
    <mergeCell ref="F18:H18"/>
    <mergeCell ref="F20:H20"/>
    <mergeCell ref="F32:H32"/>
    <mergeCell ref="F25:H25"/>
    <mergeCell ref="F2:H2"/>
    <mergeCell ref="F3:H3"/>
    <mergeCell ref="F4:H4"/>
    <mergeCell ref="F5:H5"/>
    <mergeCell ref="F6:H6"/>
    <mergeCell ref="F8:H8"/>
    <mergeCell ref="F9:H9"/>
    <mergeCell ref="F10:H10"/>
    <mergeCell ref="F11:H11"/>
    <mergeCell ref="F12:H12"/>
    <mergeCell ref="F28:H28"/>
    <mergeCell ref="F29:H29"/>
    <mergeCell ref="F30:H30"/>
    <mergeCell ref="F31:H3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חיילים</vt:lpstr>
      <vt:lpstr>לוח פברואר</vt:lpstr>
      <vt:lpstr>סטטיסטיקה</vt:lpstr>
      <vt:lpstr>סתם</vt:lpstr>
      <vt:lpstr>לוח ינואר</vt:lpstr>
      <vt:lpstr>לוח דצמבר</vt:lpstr>
      <vt:lpstr>לוח נובמבר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2018-01-20T12:02:18Z</dcterms:modified>
</cp:coreProperties>
</file>