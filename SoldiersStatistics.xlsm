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467D2238-A821-4FB9-B08B-2FAC4933A46D}" xr6:coauthVersionLast="28" xr6:coauthVersionMax="28" xr10:uidLastSave="{00000000-0000-0000-0000-000000000000}"/>
  <bookViews>
    <workbookView xWindow="0" yWindow="0" windowWidth="28800" windowHeight="13635" tabRatio="1000" xr2:uid="{00000000-000D-0000-FFFF-FFFF00000000}"/>
  </bookViews>
  <sheets>
    <sheet name="חיילים" sheetId="1" r:id="rId1"/>
    <sheet name="לוח אפריל" sheetId="14" r:id="rId2"/>
    <sheet name="לוח מרץ" sheetId="13" r:id="rId3"/>
    <sheet name="סטטיסטיקה" sheetId="3" r:id="rId4"/>
    <sheet name="סתם" sheetId="9" r:id="rId5"/>
    <sheet name="לוח פברואר" sheetId="12" r:id="rId6"/>
    <sheet name="לוח ינואר" sheetId="11" r:id="rId7"/>
    <sheet name="לוח דצמבר" sheetId="10" r:id="rId8"/>
    <sheet name="לוח נובמבר" sheetId="8" r:id="rId9"/>
  </sheets>
  <definedNames>
    <definedName name="_xlnm._FilterDatabase" localSheetId="0" hidden="1">חיילים!$A$1:$CJ$44</definedName>
    <definedName name="_xlnm._FilterDatabase" localSheetId="4" hidden="1">סתם!#REF!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H8" i="1" l="1"/>
  <c r="CI8" i="1"/>
  <c r="BY8" i="1"/>
  <c r="BZ8" i="1"/>
  <c r="CA8" i="1" s="1"/>
  <c r="BR8" i="1"/>
  <c r="BS8" i="1"/>
  <c r="BK8" i="1"/>
  <c r="BL8" i="1"/>
  <c r="BD8" i="1"/>
  <c r="BE8" i="1"/>
  <c r="AW8" i="1"/>
  <c r="AX8" i="1"/>
  <c r="AP8" i="1"/>
  <c r="AQ8" i="1"/>
  <c r="AI8" i="1"/>
  <c r="AJ8" i="1"/>
  <c r="AB8" i="1"/>
  <c r="AC8" i="1"/>
  <c r="U8" i="1"/>
  <c r="V8" i="1"/>
  <c r="N8" i="1"/>
  <c r="O8" i="1"/>
  <c r="C8" i="1"/>
  <c r="CJ8" i="1" l="1"/>
  <c r="CB8" i="1"/>
  <c r="CC8" i="1" s="1"/>
  <c r="BF8" i="1"/>
  <c r="P8" i="1"/>
  <c r="AD8" i="1"/>
  <c r="AR8" i="1"/>
  <c r="BT8" i="1"/>
  <c r="CD8" i="1"/>
  <c r="CE8" i="1" s="1"/>
  <c r="W8" i="1"/>
  <c r="AK8" i="1"/>
  <c r="AY8" i="1"/>
  <c r="BM8" i="1"/>
  <c r="BY2" i="1"/>
  <c r="BZ2" i="1"/>
  <c r="CH2" i="1"/>
  <c r="CI2" i="1"/>
  <c r="BY5" i="1"/>
  <c r="BZ5" i="1"/>
  <c r="CH5" i="1"/>
  <c r="CI5" i="1"/>
  <c r="BY3" i="1"/>
  <c r="BZ3" i="1"/>
  <c r="CH3" i="1"/>
  <c r="CI3" i="1"/>
  <c r="BY6" i="1"/>
  <c r="BZ6" i="1"/>
  <c r="CH6" i="1"/>
  <c r="CI6" i="1"/>
  <c r="BY12" i="1"/>
  <c r="BZ12" i="1"/>
  <c r="CH12" i="1"/>
  <c r="CI12" i="1"/>
  <c r="BY10" i="1"/>
  <c r="BZ10" i="1"/>
  <c r="CH10" i="1"/>
  <c r="CI10" i="1"/>
  <c r="BR2" i="1"/>
  <c r="BS2" i="1"/>
  <c r="BR5" i="1"/>
  <c r="BS5" i="1"/>
  <c r="BR3" i="1"/>
  <c r="BS3" i="1"/>
  <c r="BR6" i="1"/>
  <c r="BS6" i="1"/>
  <c r="BR12" i="1"/>
  <c r="BS12" i="1"/>
  <c r="BR10" i="1"/>
  <c r="BS10" i="1"/>
  <c r="BK2" i="1"/>
  <c r="BL2" i="1"/>
  <c r="BK5" i="1"/>
  <c r="BL5" i="1"/>
  <c r="BK3" i="1"/>
  <c r="BL3" i="1"/>
  <c r="BK6" i="1"/>
  <c r="BL6" i="1"/>
  <c r="BK12" i="1"/>
  <c r="BL12" i="1"/>
  <c r="BK10" i="1"/>
  <c r="BL10" i="1"/>
  <c r="BD2" i="1"/>
  <c r="BE2" i="1"/>
  <c r="BD5" i="1"/>
  <c r="BE5" i="1"/>
  <c r="BD3" i="1"/>
  <c r="BE3" i="1"/>
  <c r="BD6" i="1"/>
  <c r="BE6" i="1"/>
  <c r="BD12" i="1"/>
  <c r="BE12" i="1"/>
  <c r="BD10" i="1"/>
  <c r="BE10" i="1"/>
  <c r="AW2" i="1"/>
  <c r="AX2" i="1"/>
  <c r="AW5" i="1"/>
  <c r="AX5" i="1"/>
  <c r="AW3" i="1"/>
  <c r="AX3" i="1"/>
  <c r="AW6" i="1"/>
  <c r="AX6" i="1"/>
  <c r="AW12" i="1"/>
  <c r="AX12" i="1"/>
  <c r="AW10" i="1"/>
  <c r="AX10" i="1"/>
  <c r="AP7" i="1"/>
  <c r="AP2" i="1"/>
  <c r="AQ2" i="1"/>
  <c r="AP5" i="1"/>
  <c r="AQ5" i="1"/>
  <c r="AP3" i="1"/>
  <c r="AQ3" i="1"/>
  <c r="AP6" i="1"/>
  <c r="AQ6" i="1"/>
  <c r="AP12" i="1"/>
  <c r="AQ12" i="1"/>
  <c r="AP10" i="1"/>
  <c r="AQ10" i="1"/>
  <c r="AI2" i="1"/>
  <c r="AJ2" i="1"/>
  <c r="AI5" i="1"/>
  <c r="AJ5" i="1"/>
  <c r="AI3" i="1"/>
  <c r="AJ3" i="1"/>
  <c r="AI6" i="1"/>
  <c r="AJ6" i="1"/>
  <c r="AI12" i="1"/>
  <c r="AJ12" i="1"/>
  <c r="AI10" i="1"/>
  <c r="AJ10" i="1"/>
  <c r="AB2" i="1"/>
  <c r="AC2" i="1"/>
  <c r="AB5" i="1"/>
  <c r="AC5" i="1"/>
  <c r="AB3" i="1"/>
  <c r="AC3" i="1"/>
  <c r="AB6" i="1"/>
  <c r="AC6" i="1"/>
  <c r="AB12" i="1"/>
  <c r="AC12" i="1"/>
  <c r="AB10" i="1"/>
  <c r="AC10" i="1"/>
  <c r="U2" i="1"/>
  <c r="V2" i="1"/>
  <c r="U5" i="1"/>
  <c r="V5" i="1"/>
  <c r="U3" i="1"/>
  <c r="V3" i="1"/>
  <c r="U6" i="1"/>
  <c r="V6" i="1"/>
  <c r="U12" i="1"/>
  <c r="V12" i="1"/>
  <c r="U10" i="1"/>
  <c r="V10" i="1"/>
  <c r="N4" i="1"/>
  <c r="O4" i="1"/>
  <c r="N7" i="1"/>
  <c r="O7" i="1"/>
  <c r="N2" i="1"/>
  <c r="O2" i="1"/>
  <c r="N5" i="1"/>
  <c r="O5" i="1"/>
  <c r="N3" i="1"/>
  <c r="O3" i="1"/>
  <c r="N6" i="1"/>
  <c r="O6" i="1"/>
  <c r="N12" i="1"/>
  <c r="O12" i="1"/>
  <c r="N10" i="1"/>
  <c r="O10" i="1"/>
  <c r="C3" i="1"/>
  <c r="C5" i="1"/>
  <c r="C6" i="1"/>
  <c r="C2" i="1"/>
  <c r="C12" i="1"/>
  <c r="C10" i="1"/>
  <c r="CF8" i="1" l="1"/>
  <c r="BF3" i="1"/>
  <c r="BF2" i="1"/>
  <c r="BM12" i="1"/>
  <c r="BM3" i="1"/>
  <c r="CJ10" i="1"/>
  <c r="CJ3" i="1"/>
  <c r="CJ5" i="1"/>
  <c r="CJ2" i="1"/>
  <c r="CG8" i="1"/>
  <c r="BM2" i="1"/>
  <c r="BT12" i="1"/>
  <c r="AK6" i="1"/>
  <c r="AK5" i="1"/>
  <c r="AR10" i="1"/>
  <c r="AR6" i="1"/>
  <c r="AK12" i="1"/>
  <c r="P10" i="1"/>
  <c r="AD5" i="1"/>
  <c r="AD2" i="1"/>
  <c r="AD10" i="1"/>
  <c r="AY5" i="1"/>
  <c r="P5" i="1"/>
  <c r="W6" i="1"/>
  <c r="W5" i="1"/>
  <c r="AK2" i="1"/>
  <c r="AY10" i="1"/>
  <c r="BF6" i="1"/>
  <c r="BM6" i="1"/>
  <c r="BT6" i="1"/>
  <c r="BT5" i="1"/>
  <c r="CJ12" i="1"/>
  <c r="CJ6" i="1"/>
  <c r="CB3" i="1"/>
  <c r="CC3" i="1" s="1"/>
  <c r="CB5" i="1"/>
  <c r="CC5" i="1" s="1"/>
  <c r="BM10" i="1"/>
  <c r="BT10" i="1"/>
  <c r="CB10" i="1"/>
  <c r="CC10" i="1" s="1"/>
  <c r="CD12" i="1"/>
  <c r="CE12" i="1" s="1"/>
  <c r="CB6" i="1"/>
  <c r="CC6" i="1" s="1"/>
  <c r="CB2" i="1"/>
  <c r="CC2" i="1" s="1"/>
  <c r="P12" i="1"/>
  <c r="P3" i="1"/>
  <c r="P2" i="1"/>
  <c r="P4" i="1"/>
  <c r="W12" i="1"/>
  <c r="CB12" i="1"/>
  <c r="CC12" i="1" s="1"/>
  <c r="AR3" i="1"/>
  <c r="AR2" i="1"/>
  <c r="CA10" i="1"/>
  <c r="CA12" i="1"/>
  <c r="CD2" i="1"/>
  <c r="CE2" i="1" s="1"/>
  <c r="CD6" i="1"/>
  <c r="CE6" i="1" s="1"/>
  <c r="P6" i="1"/>
  <c r="W3" i="1"/>
  <c r="W2" i="1"/>
  <c r="AD6" i="1"/>
  <c r="AK10" i="1"/>
  <c r="AK3" i="1"/>
  <c r="AR5" i="1"/>
  <c r="AY12" i="1"/>
  <c r="AY3" i="1"/>
  <c r="BF10" i="1"/>
  <c r="BF5" i="1"/>
  <c r="BT3" i="1"/>
  <c r="BT2" i="1"/>
  <c r="CA3" i="1"/>
  <c r="CA5" i="1"/>
  <c r="CA2" i="1"/>
  <c r="CD3" i="1"/>
  <c r="CE3" i="1" s="1"/>
  <c r="CD5" i="1"/>
  <c r="CE5" i="1" s="1"/>
  <c r="AY6" i="1"/>
  <c r="P7" i="1"/>
  <c r="W10" i="1"/>
  <c r="AD12" i="1"/>
  <c r="AD3" i="1"/>
  <c r="AR12" i="1"/>
  <c r="AY2" i="1"/>
  <c r="BF12" i="1"/>
  <c r="BM5" i="1"/>
  <c r="CD10" i="1"/>
  <c r="CE10" i="1" s="1"/>
  <c r="CA6" i="1"/>
  <c r="G6" i="3"/>
  <c r="G5" i="3"/>
  <c r="G4" i="3"/>
  <c r="G3" i="3"/>
  <c r="CI32" i="1"/>
  <c r="CI33" i="1"/>
  <c r="CI34" i="1"/>
  <c r="CI43" i="1"/>
  <c r="CI21" i="1"/>
  <c r="CI23" i="1"/>
  <c r="CI19" i="1"/>
  <c r="CI30" i="1"/>
  <c r="CI28" i="1"/>
  <c r="CI24" i="1"/>
  <c r="CI38" i="1"/>
  <c r="CI4" i="1"/>
  <c r="CI31" i="1"/>
  <c r="CI37" i="1"/>
  <c r="CI40" i="1"/>
  <c r="CI7" i="1"/>
  <c r="CI41" i="1"/>
  <c r="CI36" i="1"/>
  <c r="CI22" i="1"/>
  <c r="CI35" i="1"/>
  <c r="CI39" i="1"/>
  <c r="CI42" i="1"/>
  <c r="CI44" i="1"/>
  <c r="CI9" i="1"/>
  <c r="CI13" i="1"/>
  <c r="CI16" i="1"/>
  <c r="CI17" i="1"/>
  <c r="CI11" i="1"/>
  <c r="CI14" i="1"/>
  <c r="CI15" i="1"/>
  <c r="CI18" i="1"/>
  <c r="CI25" i="1"/>
  <c r="CI27" i="1"/>
  <c r="CI29" i="1"/>
  <c r="CI20" i="1"/>
  <c r="CH32" i="1"/>
  <c r="CH33" i="1"/>
  <c r="CH34" i="1"/>
  <c r="CH43" i="1"/>
  <c r="CH21" i="1"/>
  <c r="CH23" i="1"/>
  <c r="CH19" i="1"/>
  <c r="CH30" i="1"/>
  <c r="CH28" i="1"/>
  <c r="CH24" i="1"/>
  <c r="CH38" i="1"/>
  <c r="CH4" i="1"/>
  <c r="CH31" i="1"/>
  <c r="CH37" i="1"/>
  <c r="CH40" i="1"/>
  <c r="CH7" i="1"/>
  <c r="CH41" i="1"/>
  <c r="CH36" i="1"/>
  <c r="CH22" i="1"/>
  <c r="CH35" i="1"/>
  <c r="CH39" i="1"/>
  <c r="CH42" i="1"/>
  <c r="CH44" i="1"/>
  <c r="CH9" i="1"/>
  <c r="CH13" i="1"/>
  <c r="CH16" i="1"/>
  <c r="CH17" i="1"/>
  <c r="CH11" i="1"/>
  <c r="CH14" i="1"/>
  <c r="CH15" i="1"/>
  <c r="CH18" i="1"/>
  <c r="CH25" i="1"/>
  <c r="CH27" i="1"/>
  <c r="CH29" i="1"/>
  <c r="CH20" i="1"/>
  <c r="CI26" i="1"/>
  <c r="CH26" i="1"/>
  <c r="BZ20" i="1"/>
  <c r="BY20" i="1"/>
  <c r="BZ29" i="1"/>
  <c r="BY29" i="1"/>
  <c r="BZ27" i="1"/>
  <c r="BY27" i="1"/>
  <c r="BZ25" i="1"/>
  <c r="BY25" i="1"/>
  <c r="BZ18" i="1"/>
  <c r="BY18" i="1"/>
  <c r="BZ15" i="1"/>
  <c r="BY15" i="1"/>
  <c r="BZ14" i="1"/>
  <c r="BY14" i="1"/>
  <c r="BZ11" i="1"/>
  <c r="BY11" i="1"/>
  <c r="BZ17" i="1"/>
  <c r="BY17" i="1"/>
  <c r="BZ16" i="1"/>
  <c r="BY16" i="1"/>
  <c r="BZ13" i="1"/>
  <c r="BY13" i="1"/>
  <c r="BZ9" i="1"/>
  <c r="BY9" i="1"/>
  <c r="BZ44" i="1"/>
  <c r="BY44" i="1"/>
  <c r="BZ42" i="1"/>
  <c r="BY42" i="1"/>
  <c r="BZ39" i="1"/>
  <c r="BY39" i="1"/>
  <c r="BZ35" i="1"/>
  <c r="BY35" i="1"/>
  <c r="BZ22" i="1"/>
  <c r="BY22" i="1"/>
  <c r="BZ36" i="1"/>
  <c r="BY36" i="1"/>
  <c r="BZ41" i="1"/>
  <c r="BY41" i="1"/>
  <c r="BZ7" i="1"/>
  <c r="BY7" i="1"/>
  <c r="BZ40" i="1"/>
  <c r="BY40" i="1"/>
  <c r="BZ37" i="1"/>
  <c r="BY37" i="1"/>
  <c r="BZ31" i="1"/>
  <c r="BY31" i="1"/>
  <c r="BZ4" i="1"/>
  <c r="BY4" i="1"/>
  <c r="BZ38" i="1"/>
  <c r="BY38" i="1"/>
  <c r="BZ24" i="1"/>
  <c r="BY24" i="1"/>
  <c r="BZ28" i="1"/>
  <c r="BY28" i="1"/>
  <c r="BZ30" i="1"/>
  <c r="BY30" i="1"/>
  <c r="BZ19" i="1"/>
  <c r="BY19" i="1"/>
  <c r="BZ23" i="1"/>
  <c r="BY23" i="1"/>
  <c r="BZ21" i="1"/>
  <c r="BY21" i="1"/>
  <c r="BZ43" i="1"/>
  <c r="BY43" i="1"/>
  <c r="BZ34" i="1"/>
  <c r="BY34" i="1"/>
  <c r="BZ33" i="1"/>
  <c r="BY33" i="1"/>
  <c r="BZ32" i="1"/>
  <c r="BY32" i="1"/>
  <c r="BZ26" i="1"/>
  <c r="BY26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G10" i="1" l="1"/>
  <c r="CF12" i="1"/>
  <c r="CG5" i="1"/>
  <c r="CF6" i="1"/>
  <c r="CG3" i="1"/>
  <c r="CF3" i="1"/>
  <c r="CG6" i="1"/>
  <c r="CG12" i="1"/>
  <c r="CF10" i="1"/>
  <c r="CG2" i="1"/>
  <c r="CF5" i="1"/>
  <c r="CF2" i="1"/>
  <c r="CA21" i="1"/>
  <c r="CA19" i="1"/>
  <c r="CA4" i="1"/>
  <c r="CA37" i="1"/>
  <c r="CA20" i="1"/>
  <c r="CA18" i="1"/>
  <c r="CA27" i="1"/>
  <c r="CA36" i="1"/>
  <c r="CA42" i="1"/>
  <c r="CA16" i="1"/>
  <c r="CA15" i="1"/>
  <c r="CA26" i="1"/>
  <c r="CA25" i="1"/>
  <c r="CA29" i="1"/>
  <c r="CA33" i="1"/>
  <c r="CA30" i="1"/>
  <c r="CA40" i="1"/>
  <c r="CA41" i="1"/>
  <c r="CA44" i="1"/>
  <c r="CA13" i="1"/>
  <c r="CA24" i="1"/>
  <c r="CA34" i="1"/>
  <c r="CA38" i="1"/>
  <c r="CA35" i="1"/>
  <c r="CA11" i="1"/>
  <c r="CA28" i="1"/>
  <c r="CA31" i="1"/>
  <c r="CA9" i="1"/>
  <c r="CA17" i="1"/>
  <c r="CA14" i="1"/>
  <c r="CA32" i="1"/>
  <c r="CA43" i="1"/>
  <c r="CA23" i="1"/>
  <c r="CA7" i="1"/>
  <c r="CA22" i="1"/>
  <c r="CA39" i="1"/>
  <c r="B13" i="14"/>
  <c r="C13" i="14" s="1"/>
  <c r="D13" i="14" s="1"/>
  <c r="E13" i="14" s="1"/>
  <c r="F13" i="14" s="1"/>
  <c r="G13" i="14" s="1"/>
  <c r="H13" i="14" s="1"/>
  <c r="B19" i="14"/>
  <c r="C19" i="14" s="1"/>
  <c r="D19" i="14" s="1"/>
  <c r="E19" i="14" s="1"/>
  <c r="BR22" i="1"/>
  <c r="BS22" i="1"/>
  <c r="BR25" i="1"/>
  <c r="BS25" i="1"/>
  <c r="BR21" i="1"/>
  <c r="BS21" i="1"/>
  <c r="BR28" i="1"/>
  <c r="BS28" i="1"/>
  <c r="BR27" i="1"/>
  <c r="BS27" i="1"/>
  <c r="BR17" i="1"/>
  <c r="BS17" i="1"/>
  <c r="BR16" i="1"/>
  <c r="BS16" i="1"/>
  <c r="BR24" i="1"/>
  <c r="BS24" i="1"/>
  <c r="BR19" i="1"/>
  <c r="BS19" i="1"/>
  <c r="BR23" i="1"/>
  <c r="BS23" i="1"/>
  <c r="BR4" i="1"/>
  <c r="BS4" i="1"/>
  <c r="BR26" i="1"/>
  <c r="BS26" i="1"/>
  <c r="BR11" i="1"/>
  <c r="BS11" i="1"/>
  <c r="BR29" i="1"/>
  <c r="BS29" i="1"/>
  <c r="BR20" i="1"/>
  <c r="BS20" i="1"/>
  <c r="BR30" i="1"/>
  <c r="BS30" i="1"/>
  <c r="BR31" i="1"/>
  <c r="BS31" i="1"/>
  <c r="BR14" i="1"/>
  <c r="BS14" i="1"/>
  <c r="BR32" i="1"/>
  <c r="BS32" i="1"/>
  <c r="BR34" i="1"/>
  <c r="BS34" i="1"/>
  <c r="BR33" i="1"/>
  <c r="BS33" i="1"/>
  <c r="BR15" i="1"/>
  <c r="BS15" i="1"/>
  <c r="BR35" i="1"/>
  <c r="BS35" i="1"/>
  <c r="BR36" i="1"/>
  <c r="BS36" i="1"/>
  <c r="BR37" i="1"/>
  <c r="BS37" i="1"/>
  <c r="BR13" i="1"/>
  <c r="BS13" i="1"/>
  <c r="BR39" i="1"/>
  <c r="BS39" i="1"/>
  <c r="BR40" i="1"/>
  <c r="BS40" i="1"/>
  <c r="BR7" i="1"/>
  <c r="BS7" i="1"/>
  <c r="BR38" i="1"/>
  <c r="BS38" i="1"/>
  <c r="BR18" i="1"/>
  <c r="BS18" i="1"/>
  <c r="BR43" i="1"/>
  <c r="BS43" i="1"/>
  <c r="BR42" i="1"/>
  <c r="BS42" i="1"/>
  <c r="BR44" i="1"/>
  <c r="BS44" i="1"/>
  <c r="BR41" i="1"/>
  <c r="BS41" i="1"/>
  <c r="BS9" i="1"/>
  <c r="BR9" i="1"/>
  <c r="BT21" i="1" l="1"/>
  <c r="BT22" i="1"/>
  <c r="BT42" i="1"/>
  <c r="BT37" i="1"/>
  <c r="BT9" i="1"/>
  <c r="BT33" i="1"/>
  <c r="BT32" i="1"/>
  <c r="BT17" i="1"/>
  <c r="BT4" i="1"/>
  <c r="BT41" i="1"/>
  <c r="BT7" i="1"/>
  <c r="BT39" i="1"/>
  <c r="BT31" i="1"/>
  <c r="BT11" i="1"/>
  <c r="BT19" i="1"/>
  <c r="BT44" i="1"/>
  <c r="BT38" i="1"/>
  <c r="BT13" i="1"/>
  <c r="BT15" i="1"/>
  <c r="BT25" i="1"/>
  <c r="BT14" i="1"/>
  <c r="BT29" i="1"/>
  <c r="BT23" i="1"/>
  <c r="BT16" i="1"/>
  <c r="BT40" i="1"/>
  <c r="BT26" i="1"/>
  <c r="BT34" i="1"/>
  <c r="BT27" i="1"/>
  <c r="BT18" i="1"/>
  <c r="BT35" i="1"/>
  <c r="BT20" i="1"/>
  <c r="BT43" i="1"/>
  <c r="BT36" i="1"/>
  <c r="BT30" i="1"/>
  <c r="BT24" i="1"/>
  <c r="BT28" i="1"/>
  <c r="BK4" i="1"/>
  <c r="BL4" i="1"/>
  <c r="U4" i="1"/>
  <c r="V4" i="1"/>
  <c r="AB4" i="1"/>
  <c r="AC4" i="1"/>
  <c r="AI4" i="1"/>
  <c r="AJ4" i="1"/>
  <c r="AP4" i="1"/>
  <c r="AQ4" i="1"/>
  <c r="AW4" i="1"/>
  <c r="AX4" i="1"/>
  <c r="BD4" i="1"/>
  <c r="BE4" i="1"/>
  <c r="C4" i="1"/>
  <c r="BK7" i="1"/>
  <c r="BL7" i="1"/>
  <c r="U7" i="1"/>
  <c r="V7" i="1"/>
  <c r="AB7" i="1"/>
  <c r="AC7" i="1"/>
  <c r="AI7" i="1"/>
  <c r="AJ7" i="1"/>
  <c r="AQ7" i="1"/>
  <c r="AW7" i="1"/>
  <c r="AX7" i="1"/>
  <c r="BD7" i="1"/>
  <c r="BE7" i="1"/>
  <c r="C7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B7" i="1" l="1"/>
  <c r="CC7" i="1" s="1"/>
  <c r="CD7" i="1"/>
  <c r="CE7" i="1" s="1"/>
  <c r="CD4" i="1"/>
  <c r="CE4" i="1" s="1"/>
  <c r="CB4" i="1"/>
  <c r="AY7" i="1"/>
  <c r="W7" i="1"/>
  <c r="CJ7" i="1"/>
  <c r="CJ4" i="1"/>
  <c r="BF7" i="1"/>
  <c r="AR7" i="1"/>
  <c r="AD7" i="1"/>
  <c r="AY4" i="1"/>
  <c r="BM4" i="1"/>
  <c r="BF4" i="1"/>
  <c r="AK4" i="1"/>
  <c r="AK7" i="1"/>
  <c r="BM7" i="1"/>
  <c r="AR4" i="1"/>
  <c r="AD4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18" i="1"/>
  <c r="B19" i="12"/>
  <c r="BK32" i="1"/>
  <c r="BL32" i="1"/>
  <c r="BK34" i="1"/>
  <c r="BL34" i="1"/>
  <c r="BK39" i="1"/>
  <c r="BL39" i="1"/>
  <c r="BK40" i="1"/>
  <c r="BL40" i="1"/>
  <c r="BK42" i="1"/>
  <c r="BL42" i="1"/>
  <c r="BD32" i="1"/>
  <c r="BE32" i="1"/>
  <c r="BD34" i="1"/>
  <c r="BE34" i="1"/>
  <c r="BD39" i="1"/>
  <c r="BE39" i="1"/>
  <c r="BD40" i="1"/>
  <c r="BE40" i="1"/>
  <c r="BD42" i="1"/>
  <c r="BE42" i="1"/>
  <c r="AW32" i="1"/>
  <c r="AX32" i="1"/>
  <c r="AW34" i="1"/>
  <c r="AX34" i="1"/>
  <c r="AW39" i="1"/>
  <c r="AX39" i="1"/>
  <c r="AW40" i="1"/>
  <c r="AX40" i="1"/>
  <c r="AW42" i="1"/>
  <c r="AX42" i="1"/>
  <c r="AP32" i="1"/>
  <c r="AQ32" i="1"/>
  <c r="AP34" i="1"/>
  <c r="AQ34" i="1"/>
  <c r="AP39" i="1"/>
  <c r="AQ39" i="1"/>
  <c r="AP40" i="1"/>
  <c r="AQ40" i="1"/>
  <c r="AP42" i="1"/>
  <c r="AQ42" i="1"/>
  <c r="AI32" i="1"/>
  <c r="AJ32" i="1"/>
  <c r="AI34" i="1"/>
  <c r="AJ34" i="1"/>
  <c r="AI39" i="1"/>
  <c r="AJ39" i="1"/>
  <c r="AI40" i="1"/>
  <c r="AJ40" i="1"/>
  <c r="AI42" i="1"/>
  <c r="AJ42" i="1"/>
  <c r="AB32" i="1"/>
  <c r="AC32" i="1"/>
  <c r="AB34" i="1"/>
  <c r="AC34" i="1"/>
  <c r="AB39" i="1"/>
  <c r="AC39" i="1"/>
  <c r="AB40" i="1"/>
  <c r="AC40" i="1"/>
  <c r="AB42" i="1"/>
  <c r="AC42" i="1"/>
  <c r="U32" i="1"/>
  <c r="V32" i="1"/>
  <c r="U34" i="1"/>
  <c r="V34" i="1"/>
  <c r="U39" i="1"/>
  <c r="V39" i="1"/>
  <c r="U40" i="1"/>
  <c r="V40" i="1"/>
  <c r="U42" i="1"/>
  <c r="V42" i="1"/>
  <c r="N32" i="1"/>
  <c r="O32" i="1"/>
  <c r="N34" i="1"/>
  <c r="O34" i="1"/>
  <c r="N39" i="1"/>
  <c r="O39" i="1"/>
  <c r="N40" i="1"/>
  <c r="O40" i="1"/>
  <c r="N42" i="1"/>
  <c r="O42" i="1"/>
  <c r="C21" i="1"/>
  <c r="C22" i="1"/>
  <c r="C23" i="1"/>
  <c r="C19" i="1"/>
  <c r="C24" i="1"/>
  <c r="C25" i="1"/>
  <c r="C26" i="1"/>
  <c r="C27" i="1"/>
  <c r="C28" i="1"/>
  <c r="C29" i="1"/>
  <c r="C11" i="1"/>
  <c r="C30" i="1"/>
  <c r="C31" i="1"/>
  <c r="C20" i="1"/>
  <c r="C33" i="1"/>
  <c r="C32" i="1"/>
  <c r="C34" i="1"/>
  <c r="C14" i="1"/>
  <c r="C35" i="1"/>
  <c r="C36" i="1"/>
  <c r="C15" i="1"/>
  <c r="C37" i="1"/>
  <c r="C16" i="1"/>
  <c r="C17" i="1"/>
  <c r="C38" i="1"/>
  <c r="C18" i="1"/>
  <c r="C39" i="1"/>
  <c r="C40" i="1"/>
  <c r="C13" i="1"/>
  <c r="C41" i="1"/>
  <c r="C43" i="1"/>
  <c r="C42" i="1"/>
  <c r="CB42" i="1" l="1"/>
  <c r="CC42" i="1" s="1"/>
  <c r="CB39" i="1"/>
  <c r="CC39" i="1" s="1"/>
  <c r="CB32" i="1"/>
  <c r="CC32" i="1" s="1"/>
  <c r="CD40" i="1"/>
  <c r="CE40" i="1" s="1"/>
  <c r="CD34" i="1"/>
  <c r="CE34" i="1" s="1"/>
  <c r="CB40" i="1"/>
  <c r="CC40" i="1" s="1"/>
  <c r="CB34" i="1"/>
  <c r="CC34" i="1" s="1"/>
  <c r="CD42" i="1"/>
  <c r="CE42" i="1" s="1"/>
  <c r="CD39" i="1"/>
  <c r="CE39" i="1" s="1"/>
  <c r="CD32" i="1"/>
  <c r="CE32" i="1" s="1"/>
  <c r="CF4" i="1"/>
  <c r="CG7" i="1"/>
  <c r="CF7" i="1"/>
  <c r="CC4" i="1"/>
  <c r="CG4" i="1" s="1"/>
  <c r="W39" i="1"/>
  <c r="AD42" i="1"/>
  <c r="AK39" i="1"/>
  <c r="AY42" i="1"/>
  <c r="AY39" i="1"/>
  <c r="AY32" i="1"/>
  <c r="CJ34" i="1"/>
  <c r="AY34" i="1"/>
  <c r="BM42" i="1"/>
  <c r="BM39" i="1"/>
  <c r="AR32" i="1"/>
  <c r="CJ40" i="1"/>
  <c r="BM32" i="1"/>
  <c r="P39" i="1"/>
  <c r="P32" i="1"/>
  <c r="AD39" i="1"/>
  <c r="AD32" i="1"/>
  <c r="AR39" i="1"/>
  <c r="BF34" i="1"/>
  <c r="P40" i="1"/>
  <c r="W40" i="1"/>
  <c r="BF39" i="1"/>
  <c r="CJ42" i="1"/>
  <c r="AD34" i="1"/>
  <c r="AK40" i="1"/>
  <c r="AR34" i="1"/>
  <c r="CJ39" i="1"/>
  <c r="CJ32" i="1"/>
  <c r="P34" i="1"/>
  <c r="W42" i="1"/>
  <c r="W32" i="1"/>
  <c r="AK34" i="1"/>
  <c r="AR40" i="1"/>
  <c r="BF40" i="1"/>
  <c r="BF32" i="1"/>
  <c r="BM40" i="1"/>
  <c r="P42" i="1"/>
  <c r="W34" i="1"/>
  <c r="AD40" i="1"/>
  <c r="AK42" i="1"/>
  <c r="AK32" i="1"/>
  <c r="AR42" i="1"/>
  <c r="AY40" i="1"/>
  <c r="BF42" i="1"/>
  <c r="BM34" i="1"/>
  <c r="CG42" i="1" l="1"/>
  <c r="CG39" i="1"/>
  <c r="CF42" i="1"/>
  <c r="CF39" i="1"/>
  <c r="CF40" i="1"/>
  <c r="CG40" i="1"/>
  <c r="CG32" i="1"/>
  <c r="CG34" i="1"/>
  <c r="CF32" i="1"/>
  <c r="CF34" i="1"/>
  <c r="BL21" i="1"/>
  <c r="BK21" i="1"/>
  <c r="BD26" i="1"/>
  <c r="BE21" i="1"/>
  <c r="O21" i="1"/>
  <c r="BD22" i="1"/>
  <c r="BE22" i="1"/>
  <c r="BD23" i="1"/>
  <c r="BE23" i="1"/>
  <c r="BD19" i="1"/>
  <c r="BE19" i="1"/>
  <c r="BD24" i="1"/>
  <c r="BE24" i="1"/>
  <c r="BD25" i="1"/>
  <c r="BE25" i="1"/>
  <c r="BE26" i="1"/>
  <c r="BD27" i="1"/>
  <c r="BE27" i="1"/>
  <c r="BD28" i="1"/>
  <c r="BE28" i="1"/>
  <c r="BD29" i="1"/>
  <c r="BE29" i="1"/>
  <c r="BD11" i="1"/>
  <c r="BE11" i="1"/>
  <c r="BD30" i="1"/>
  <c r="BE30" i="1"/>
  <c r="BD31" i="1"/>
  <c r="BE31" i="1"/>
  <c r="BD20" i="1"/>
  <c r="BE20" i="1"/>
  <c r="BD33" i="1"/>
  <c r="BE33" i="1"/>
  <c r="AW22" i="1"/>
  <c r="AX22" i="1"/>
  <c r="AW23" i="1"/>
  <c r="AX23" i="1"/>
  <c r="AW19" i="1"/>
  <c r="AX19" i="1"/>
  <c r="AW24" i="1"/>
  <c r="AX24" i="1"/>
  <c r="AW25" i="1"/>
  <c r="AX25" i="1"/>
  <c r="AW26" i="1"/>
  <c r="AX26" i="1"/>
  <c r="AW27" i="1"/>
  <c r="AX27" i="1"/>
  <c r="AW28" i="1"/>
  <c r="AX28" i="1"/>
  <c r="AW29" i="1"/>
  <c r="AX29" i="1"/>
  <c r="AP22" i="1"/>
  <c r="AQ22" i="1"/>
  <c r="AP23" i="1"/>
  <c r="AQ23" i="1"/>
  <c r="AP19" i="1"/>
  <c r="AQ19" i="1"/>
  <c r="AP24" i="1"/>
  <c r="AQ24" i="1"/>
  <c r="AP25" i="1"/>
  <c r="AQ25" i="1"/>
  <c r="AP26" i="1"/>
  <c r="AQ26" i="1"/>
  <c r="AP27" i="1"/>
  <c r="AQ27" i="1"/>
  <c r="AP28" i="1"/>
  <c r="AQ28" i="1"/>
  <c r="AP29" i="1"/>
  <c r="AQ29" i="1"/>
  <c r="AP11" i="1"/>
  <c r="AQ11" i="1"/>
  <c r="AP30" i="1"/>
  <c r="AQ30" i="1"/>
  <c r="AP31" i="1"/>
  <c r="AQ31" i="1"/>
  <c r="AP20" i="1"/>
  <c r="AQ20" i="1"/>
  <c r="AI22" i="1"/>
  <c r="AJ22" i="1"/>
  <c r="AI23" i="1"/>
  <c r="AJ23" i="1"/>
  <c r="AI19" i="1"/>
  <c r="AJ19" i="1"/>
  <c r="AI24" i="1"/>
  <c r="AJ24" i="1"/>
  <c r="AI25" i="1"/>
  <c r="AJ25" i="1"/>
  <c r="AI26" i="1"/>
  <c r="AJ26" i="1"/>
  <c r="AI27" i="1"/>
  <c r="AJ27" i="1"/>
  <c r="AI28" i="1"/>
  <c r="AJ28" i="1"/>
  <c r="AI29" i="1"/>
  <c r="AJ29" i="1"/>
  <c r="AI11" i="1"/>
  <c r="AJ11" i="1"/>
  <c r="AI30" i="1"/>
  <c r="AJ30" i="1"/>
  <c r="AI31" i="1"/>
  <c r="AJ31" i="1"/>
  <c r="AI20" i="1"/>
  <c r="AJ20" i="1"/>
  <c r="AI33" i="1"/>
  <c r="AJ33" i="1"/>
  <c r="AI14" i="1"/>
  <c r="AJ14" i="1"/>
  <c r="AI35" i="1"/>
  <c r="AJ35" i="1"/>
  <c r="AB22" i="1"/>
  <c r="AC22" i="1"/>
  <c r="AB23" i="1"/>
  <c r="AC23" i="1"/>
  <c r="AB19" i="1"/>
  <c r="AC19" i="1"/>
  <c r="AB24" i="1"/>
  <c r="AC24" i="1"/>
  <c r="AB25" i="1"/>
  <c r="AC25" i="1"/>
  <c r="AB26" i="1"/>
  <c r="AC26" i="1"/>
  <c r="AB27" i="1"/>
  <c r="AC27" i="1"/>
  <c r="AB28" i="1"/>
  <c r="AC28" i="1"/>
  <c r="AB29" i="1"/>
  <c r="AC29" i="1"/>
  <c r="AB11" i="1"/>
  <c r="AC11" i="1"/>
  <c r="AB30" i="1"/>
  <c r="AC30" i="1"/>
  <c r="AB31" i="1"/>
  <c r="AC31" i="1"/>
  <c r="AB20" i="1"/>
  <c r="AC20" i="1"/>
  <c r="U22" i="1"/>
  <c r="V22" i="1"/>
  <c r="U23" i="1"/>
  <c r="V23" i="1"/>
  <c r="U19" i="1"/>
  <c r="V19" i="1"/>
  <c r="U24" i="1"/>
  <c r="V24" i="1"/>
  <c r="U25" i="1"/>
  <c r="V25" i="1"/>
  <c r="U26" i="1"/>
  <c r="V26" i="1"/>
  <c r="U27" i="1"/>
  <c r="V27" i="1"/>
  <c r="U28" i="1"/>
  <c r="V28" i="1"/>
  <c r="U29" i="1"/>
  <c r="V29" i="1"/>
  <c r="U11" i="1"/>
  <c r="V11" i="1"/>
  <c r="U30" i="1"/>
  <c r="V30" i="1"/>
  <c r="U31" i="1"/>
  <c r="V31" i="1"/>
  <c r="U20" i="1"/>
  <c r="V20" i="1"/>
  <c r="N22" i="1"/>
  <c r="O22" i="1"/>
  <c r="N23" i="1"/>
  <c r="O23" i="1"/>
  <c r="N19" i="1"/>
  <c r="O19" i="1"/>
  <c r="N24" i="1"/>
  <c r="O24" i="1"/>
  <c r="N25" i="1"/>
  <c r="O25" i="1"/>
  <c r="N26" i="1"/>
  <c r="O26" i="1"/>
  <c r="N27" i="1"/>
  <c r="O27" i="1"/>
  <c r="N28" i="1"/>
  <c r="O28" i="1"/>
  <c r="N29" i="1"/>
  <c r="O29" i="1"/>
  <c r="N11" i="1"/>
  <c r="O11" i="1"/>
  <c r="N30" i="1"/>
  <c r="O30" i="1"/>
  <c r="N31" i="1"/>
  <c r="O31" i="1"/>
  <c r="N20" i="1"/>
  <c r="O20" i="1"/>
  <c r="N33" i="1"/>
  <c r="O33" i="1"/>
  <c r="BK29" i="1"/>
  <c r="BL29" i="1"/>
  <c r="BL9" i="1"/>
  <c r="BK9" i="1"/>
  <c r="BL44" i="1"/>
  <c r="BK44" i="1"/>
  <c r="BL43" i="1"/>
  <c r="BK43" i="1"/>
  <c r="BL41" i="1"/>
  <c r="BK41" i="1"/>
  <c r="BL13" i="1"/>
  <c r="BK13" i="1"/>
  <c r="BL18" i="1"/>
  <c r="BL38" i="1"/>
  <c r="BK38" i="1"/>
  <c r="BL17" i="1"/>
  <c r="BK17" i="1"/>
  <c r="BL16" i="1"/>
  <c r="BK16" i="1"/>
  <c r="BL37" i="1"/>
  <c r="BK37" i="1"/>
  <c r="BL15" i="1"/>
  <c r="BK15" i="1"/>
  <c r="BL36" i="1"/>
  <c r="BK36" i="1"/>
  <c r="BL35" i="1"/>
  <c r="BK35" i="1"/>
  <c r="BL14" i="1"/>
  <c r="BK14" i="1"/>
  <c r="BL33" i="1"/>
  <c r="BK33" i="1"/>
  <c r="BL20" i="1"/>
  <c r="BK20" i="1"/>
  <c r="BL31" i="1"/>
  <c r="BK31" i="1"/>
  <c r="BL30" i="1"/>
  <c r="BK30" i="1"/>
  <c r="BL11" i="1"/>
  <c r="BK11" i="1"/>
  <c r="BL28" i="1"/>
  <c r="BK28" i="1"/>
  <c r="BL27" i="1"/>
  <c r="BK27" i="1"/>
  <c r="BL26" i="1"/>
  <c r="BK26" i="1"/>
  <c r="BL25" i="1"/>
  <c r="BK25" i="1"/>
  <c r="BL24" i="1"/>
  <c r="BK24" i="1"/>
  <c r="BL19" i="1"/>
  <c r="BK19" i="1"/>
  <c r="BL23" i="1"/>
  <c r="BK23" i="1"/>
  <c r="BL22" i="1"/>
  <c r="BK22" i="1"/>
  <c r="CB28" i="1" l="1"/>
  <c r="CB26" i="1"/>
  <c r="CB24" i="1"/>
  <c r="CB23" i="1"/>
  <c r="CD29" i="1"/>
  <c r="CE29" i="1" s="1"/>
  <c r="CD27" i="1"/>
  <c r="CD25" i="1"/>
  <c r="CD19" i="1"/>
  <c r="CD22" i="1"/>
  <c r="CE22" i="1" s="1"/>
  <c r="CB29" i="1"/>
  <c r="CC29" i="1" s="1"/>
  <c r="CB27" i="1"/>
  <c r="CB25" i="1"/>
  <c r="CB19" i="1"/>
  <c r="CB22" i="1"/>
  <c r="CC22" i="1" s="1"/>
  <c r="CD28" i="1"/>
  <c r="CD26" i="1"/>
  <c r="CD24" i="1"/>
  <c r="CD23" i="1"/>
  <c r="W25" i="1"/>
  <c r="AR29" i="1"/>
  <c r="AR22" i="1"/>
  <c r="AY29" i="1"/>
  <c r="AY25" i="1"/>
  <c r="P27" i="1"/>
  <c r="BF25" i="1"/>
  <c r="BM21" i="1"/>
  <c r="BM29" i="1"/>
  <c r="P20" i="1"/>
  <c r="P29" i="1"/>
  <c r="W31" i="1"/>
  <c r="W11" i="1"/>
  <c r="W28" i="1"/>
  <c r="W26" i="1"/>
  <c r="W22" i="1"/>
  <c r="AK31" i="1"/>
  <c r="AK28" i="1"/>
  <c r="AK26" i="1"/>
  <c r="W20" i="1"/>
  <c r="W30" i="1"/>
  <c r="W27" i="1"/>
  <c r="BF24" i="1"/>
  <c r="AD19" i="1"/>
  <c r="AD22" i="1"/>
  <c r="AR11" i="1"/>
  <c r="AR25" i="1"/>
  <c r="AY24" i="1"/>
  <c r="BF31" i="1"/>
  <c r="P28" i="1"/>
  <c r="P24" i="1"/>
  <c r="AD28" i="1"/>
  <c r="AD24" i="1"/>
  <c r="AD23" i="1"/>
  <c r="AK24" i="1"/>
  <c r="AR30" i="1"/>
  <c r="BM22" i="1"/>
  <c r="BM19" i="1"/>
  <c r="BM25" i="1"/>
  <c r="BM27" i="1"/>
  <c r="BM11" i="1"/>
  <c r="BM31" i="1"/>
  <c r="BM33" i="1"/>
  <c r="BM35" i="1"/>
  <c r="BM15" i="1"/>
  <c r="BM37" i="1"/>
  <c r="BM17" i="1"/>
  <c r="BM18" i="1"/>
  <c r="BM41" i="1"/>
  <c r="BM44" i="1"/>
  <c r="BM9" i="1"/>
  <c r="P25" i="1"/>
  <c r="P22" i="1"/>
  <c r="W29" i="1"/>
  <c r="W19" i="1"/>
  <c r="AD31" i="1"/>
  <c r="AK25" i="1"/>
  <c r="AR20" i="1"/>
  <c r="AR27" i="1"/>
  <c r="AR19" i="1"/>
  <c r="AY22" i="1"/>
  <c r="BF20" i="1"/>
  <c r="BF27" i="1"/>
  <c r="BM23" i="1"/>
  <c r="BM24" i="1"/>
  <c r="BM26" i="1"/>
  <c r="BM28" i="1"/>
  <c r="BM20" i="1"/>
  <c r="BM36" i="1"/>
  <c r="BM16" i="1"/>
  <c r="BM13" i="1"/>
  <c r="P31" i="1"/>
  <c r="W24" i="1"/>
  <c r="W23" i="1"/>
  <c r="AD30" i="1"/>
  <c r="AD29" i="1"/>
  <c r="AK35" i="1"/>
  <c r="AR28" i="1"/>
  <c r="AR26" i="1"/>
  <c r="AR23" i="1"/>
  <c r="AY28" i="1"/>
  <c r="AY26" i="1"/>
  <c r="BF33" i="1"/>
  <c r="BF28" i="1"/>
  <c r="BF26" i="1"/>
  <c r="P33" i="1"/>
  <c r="P30" i="1"/>
  <c r="P26" i="1"/>
  <c r="P19" i="1"/>
  <c r="AD20" i="1"/>
  <c r="AD11" i="1"/>
  <c r="AD26" i="1"/>
  <c r="AK14" i="1"/>
  <c r="AK20" i="1"/>
  <c r="AK11" i="1"/>
  <c r="AK27" i="1"/>
  <c r="AK23" i="1"/>
  <c r="AR31" i="1"/>
  <c r="AR24" i="1"/>
  <c r="AY27" i="1"/>
  <c r="AY23" i="1"/>
  <c r="BF30" i="1"/>
  <c r="BF29" i="1"/>
  <c r="BF23" i="1"/>
  <c r="BM30" i="1"/>
  <c r="BM14" i="1"/>
  <c r="BM38" i="1"/>
  <c r="BM43" i="1"/>
  <c r="P11" i="1"/>
  <c r="P23" i="1"/>
  <c r="AD27" i="1"/>
  <c r="AD25" i="1"/>
  <c r="AK33" i="1"/>
  <c r="AK30" i="1"/>
  <c r="AK29" i="1"/>
  <c r="AK19" i="1"/>
  <c r="AK22" i="1"/>
  <c r="AY19" i="1"/>
  <c r="BF11" i="1"/>
  <c r="BF19" i="1"/>
  <c r="BF22" i="1"/>
  <c r="CJ29" i="1"/>
  <c r="CJ22" i="1"/>
  <c r="CF27" i="1" l="1"/>
  <c r="CF22" i="1"/>
  <c r="CF23" i="1"/>
  <c r="CF19" i="1"/>
  <c r="CF24" i="1"/>
  <c r="CG22" i="1"/>
  <c r="CF26" i="1"/>
  <c r="CG29" i="1"/>
  <c r="CF29" i="1"/>
  <c r="CF28" i="1"/>
  <c r="CF25" i="1"/>
  <c r="CJ23" i="1" l="1"/>
  <c r="CJ9" i="1"/>
  <c r="CJ37" i="1"/>
  <c r="CJ28" i="1"/>
  <c r="CJ16" i="1"/>
  <c r="CJ15" i="1"/>
  <c r="CJ11" i="1"/>
  <c r="CJ43" i="1"/>
  <c r="CJ30" i="1"/>
  <c r="CJ38" i="1"/>
  <c r="CJ26" i="1"/>
  <c r="CJ41" i="1"/>
  <c r="CJ25" i="1"/>
  <c r="CJ36" i="1"/>
  <c r="CJ35" i="1"/>
  <c r="CJ24" i="1"/>
  <c r="CJ14" i="1"/>
  <c r="CJ17" i="1"/>
  <c r="CJ27" i="1"/>
  <c r="CJ21" i="1"/>
  <c r="CJ13" i="1"/>
  <c r="CJ19" i="1"/>
  <c r="CJ20" i="1"/>
  <c r="CJ31" i="1"/>
  <c r="CJ18" i="1"/>
  <c r="CJ44" i="1"/>
  <c r="CJ33" i="1"/>
  <c r="BE9" i="1"/>
  <c r="BD9" i="1"/>
  <c r="BE44" i="1"/>
  <c r="BD44" i="1"/>
  <c r="BE43" i="1"/>
  <c r="BD43" i="1"/>
  <c r="BE41" i="1"/>
  <c r="BD41" i="1"/>
  <c r="BE13" i="1"/>
  <c r="BD13" i="1"/>
  <c r="BE18" i="1"/>
  <c r="BD18" i="1"/>
  <c r="BE38" i="1"/>
  <c r="BD38" i="1"/>
  <c r="BE17" i="1"/>
  <c r="BD17" i="1"/>
  <c r="BE16" i="1"/>
  <c r="BD16" i="1"/>
  <c r="BE37" i="1"/>
  <c r="BD37" i="1"/>
  <c r="BE15" i="1"/>
  <c r="BD15" i="1"/>
  <c r="BE36" i="1"/>
  <c r="BD36" i="1"/>
  <c r="BE35" i="1"/>
  <c r="BD35" i="1"/>
  <c r="BE14" i="1"/>
  <c r="BD14" i="1"/>
  <c r="BD21" i="1"/>
  <c r="AW30" i="1"/>
  <c r="CB30" i="1" s="1"/>
  <c r="AX30" i="1"/>
  <c r="CD30" i="1" s="1"/>
  <c r="AW43" i="1"/>
  <c r="AX43" i="1"/>
  <c r="AP43" i="1"/>
  <c r="AQ43" i="1"/>
  <c r="AI43" i="1"/>
  <c r="AJ43" i="1"/>
  <c r="U43" i="1"/>
  <c r="V43" i="1"/>
  <c r="AB43" i="1"/>
  <c r="AC43" i="1"/>
  <c r="N43" i="1"/>
  <c r="O43" i="1"/>
  <c r="N9" i="1"/>
  <c r="O9" i="1"/>
  <c r="CB43" i="1" l="1"/>
  <c r="CD43" i="1"/>
  <c r="CE43" i="1" s="1"/>
  <c r="CF30" i="1"/>
  <c r="CC30" i="1"/>
  <c r="CE23" i="1"/>
  <c r="CC23" i="1"/>
  <c r="CE30" i="1"/>
  <c r="BF21" i="1"/>
  <c r="BF14" i="1"/>
  <c r="BF35" i="1"/>
  <c r="BF15" i="1"/>
  <c r="BF37" i="1"/>
  <c r="BF17" i="1"/>
  <c r="BF18" i="1"/>
  <c r="BF13" i="1"/>
  <c r="BF43" i="1"/>
  <c r="BF9" i="1"/>
  <c r="BF36" i="1"/>
  <c r="BF16" i="1"/>
  <c r="BF38" i="1"/>
  <c r="BF41" i="1"/>
  <c r="BF44" i="1"/>
  <c r="P9" i="1"/>
  <c r="AD43" i="1"/>
  <c r="W43" i="1"/>
  <c r="AK43" i="1"/>
  <c r="AY43" i="1"/>
  <c r="P43" i="1"/>
  <c r="AR43" i="1"/>
  <c r="AY30" i="1"/>
  <c r="CF43" i="1" l="1"/>
  <c r="CC43" i="1"/>
  <c r="CG43" i="1" s="1"/>
  <c r="CG30" i="1"/>
  <c r="CG23" i="1"/>
  <c r="AX11" i="1" l="1"/>
  <c r="CD11" i="1" s="1"/>
  <c r="AW11" i="1"/>
  <c r="CB11" i="1" s="1"/>
  <c r="AX38" i="1"/>
  <c r="AW38" i="1"/>
  <c r="AX35" i="1"/>
  <c r="AW35" i="1"/>
  <c r="AX36" i="1"/>
  <c r="AW36" i="1"/>
  <c r="AX18" i="1"/>
  <c r="AW18" i="1"/>
  <c r="AX14" i="1"/>
  <c r="AW14" i="1"/>
  <c r="AX13" i="1"/>
  <c r="AW13" i="1"/>
  <c r="AX9" i="1"/>
  <c r="AW9" i="1"/>
  <c r="AX20" i="1"/>
  <c r="CD20" i="1" s="1"/>
  <c r="AW20" i="1"/>
  <c r="CB20" i="1" s="1"/>
  <c r="AX17" i="1"/>
  <c r="AW17" i="1"/>
  <c r="AX33" i="1"/>
  <c r="AW33" i="1"/>
  <c r="AX44" i="1"/>
  <c r="AW44" i="1"/>
  <c r="AX31" i="1"/>
  <c r="CD31" i="1" s="1"/>
  <c r="AW31" i="1"/>
  <c r="CB31" i="1" s="1"/>
  <c r="AX16" i="1"/>
  <c r="AW16" i="1"/>
  <c r="AX21" i="1"/>
  <c r="AW21" i="1"/>
  <c r="AX15" i="1"/>
  <c r="AW15" i="1"/>
  <c r="AX41" i="1"/>
  <c r="AW41" i="1"/>
  <c r="AX37" i="1"/>
  <c r="AW37" i="1"/>
  <c r="CF31" i="1" l="1"/>
  <c r="CF20" i="1"/>
  <c r="CF11" i="1"/>
  <c r="AY41" i="1"/>
  <c r="AY15" i="1"/>
  <c r="AY21" i="1"/>
  <c r="AY16" i="1"/>
  <c r="AY44" i="1"/>
  <c r="AY33" i="1"/>
  <c r="AY17" i="1"/>
  <c r="AY13" i="1"/>
  <c r="AY14" i="1"/>
  <c r="AY18" i="1"/>
  <c r="AY35" i="1"/>
  <c r="AY38" i="1"/>
  <c r="AY37" i="1"/>
  <c r="AY31" i="1"/>
  <c r="AY20" i="1"/>
  <c r="AY9" i="1"/>
  <c r="AY36" i="1"/>
  <c r="AY11" i="1"/>
  <c r="G1" i="12"/>
  <c r="H1" i="12" s="1"/>
  <c r="G26" i="12"/>
  <c r="H26" i="12" s="1"/>
  <c r="B13" i="12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38" i="1" l="1"/>
  <c r="AQ38" i="1"/>
  <c r="AI38" i="1"/>
  <c r="AJ38" i="1"/>
  <c r="AB38" i="1"/>
  <c r="AC38" i="1"/>
  <c r="U38" i="1"/>
  <c r="V38" i="1"/>
  <c r="N38" i="1"/>
  <c r="O38" i="1"/>
  <c r="CB38" i="1" l="1"/>
  <c r="CC38" i="1" s="1"/>
  <c r="CD38" i="1"/>
  <c r="CE38" i="1" s="1"/>
  <c r="W38" i="1"/>
  <c r="AK38" i="1"/>
  <c r="P38" i="1"/>
  <c r="AD38" i="1"/>
  <c r="AR38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F38" i="1" l="1"/>
  <c r="CG38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P21" i="1"/>
  <c r="AQ21" i="1"/>
  <c r="AP14" i="1"/>
  <c r="AQ14" i="1"/>
  <c r="AP33" i="1"/>
  <c r="AQ33" i="1"/>
  <c r="AP16" i="1"/>
  <c r="AQ16" i="1"/>
  <c r="AP15" i="1"/>
  <c r="AQ15" i="1"/>
  <c r="AP37" i="1"/>
  <c r="AQ37" i="1"/>
  <c r="AP17" i="1"/>
  <c r="AQ17" i="1"/>
  <c r="AP36" i="1"/>
  <c r="AQ36" i="1"/>
  <c r="AP35" i="1"/>
  <c r="AQ35" i="1"/>
  <c r="AP13" i="1"/>
  <c r="AQ13" i="1"/>
  <c r="AP18" i="1"/>
  <c r="AQ18" i="1"/>
  <c r="AP44" i="1"/>
  <c r="AQ44" i="1"/>
  <c r="AP41" i="1"/>
  <c r="AQ41" i="1"/>
  <c r="AP9" i="1"/>
  <c r="AQ9" i="1"/>
  <c r="CE11" i="1" l="1"/>
  <c r="CC11" i="1"/>
  <c r="AR18" i="1"/>
  <c r="AR37" i="1"/>
  <c r="AR44" i="1"/>
  <c r="AR36" i="1"/>
  <c r="AR15" i="1"/>
  <c r="AR33" i="1"/>
  <c r="AR9" i="1"/>
  <c r="AR41" i="1"/>
  <c r="AR13" i="1"/>
  <c r="AR35" i="1"/>
  <c r="AR17" i="1"/>
  <c r="AR16" i="1"/>
  <c r="AR14" i="1"/>
  <c r="AR21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G11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14" i="1"/>
  <c r="O14" i="1"/>
  <c r="N35" i="1"/>
  <c r="O35" i="1"/>
  <c r="N36" i="1"/>
  <c r="O36" i="1"/>
  <c r="N15" i="1"/>
  <c r="O15" i="1"/>
  <c r="N37" i="1"/>
  <c r="O37" i="1"/>
  <c r="N16" i="1"/>
  <c r="O16" i="1"/>
  <c r="N17" i="1"/>
  <c r="O17" i="1"/>
  <c r="N18" i="1"/>
  <c r="O18" i="1"/>
  <c r="N13" i="1"/>
  <c r="O13" i="1"/>
  <c r="N41" i="1"/>
  <c r="O41" i="1"/>
  <c r="N44" i="1"/>
  <c r="O44" i="1"/>
  <c r="U33" i="1"/>
  <c r="V33" i="1"/>
  <c r="U14" i="1"/>
  <c r="V14" i="1"/>
  <c r="U35" i="1"/>
  <c r="V35" i="1"/>
  <c r="U36" i="1"/>
  <c r="V36" i="1"/>
  <c r="U15" i="1"/>
  <c r="V15" i="1"/>
  <c r="U37" i="1"/>
  <c r="V37" i="1"/>
  <c r="U16" i="1"/>
  <c r="V16" i="1"/>
  <c r="U17" i="1"/>
  <c r="V17" i="1"/>
  <c r="U18" i="1"/>
  <c r="V18" i="1"/>
  <c r="U13" i="1"/>
  <c r="V13" i="1"/>
  <c r="U41" i="1"/>
  <c r="V41" i="1"/>
  <c r="U44" i="1"/>
  <c r="V44" i="1"/>
  <c r="U9" i="1"/>
  <c r="V9" i="1"/>
  <c r="AB33" i="1"/>
  <c r="CB33" i="1" s="1"/>
  <c r="AC33" i="1"/>
  <c r="AB14" i="1"/>
  <c r="AC14" i="1"/>
  <c r="AB35" i="1"/>
  <c r="CB35" i="1" s="1"/>
  <c r="AC35" i="1"/>
  <c r="CD35" i="1" s="1"/>
  <c r="AB36" i="1"/>
  <c r="AC36" i="1"/>
  <c r="AB15" i="1"/>
  <c r="AC15" i="1"/>
  <c r="AB37" i="1"/>
  <c r="AC37" i="1"/>
  <c r="AB16" i="1"/>
  <c r="AC16" i="1"/>
  <c r="AB17" i="1"/>
  <c r="AC17" i="1"/>
  <c r="AB18" i="1"/>
  <c r="AC18" i="1"/>
  <c r="AB13" i="1"/>
  <c r="AC13" i="1"/>
  <c r="AB41" i="1"/>
  <c r="AC41" i="1"/>
  <c r="AB44" i="1"/>
  <c r="AC44" i="1"/>
  <c r="AB9" i="1"/>
  <c r="AC9" i="1"/>
  <c r="AI36" i="1"/>
  <c r="AJ36" i="1"/>
  <c r="AI15" i="1"/>
  <c r="CB15" i="1" s="1"/>
  <c r="AJ15" i="1"/>
  <c r="CD15" i="1" s="1"/>
  <c r="AI37" i="1"/>
  <c r="AJ37" i="1"/>
  <c r="AI16" i="1"/>
  <c r="CB16" i="1" s="1"/>
  <c r="AJ16" i="1"/>
  <c r="CD16" i="1" s="1"/>
  <c r="AI17" i="1"/>
  <c r="AJ17" i="1"/>
  <c r="AI18" i="1"/>
  <c r="CB18" i="1" s="1"/>
  <c r="AJ18" i="1"/>
  <c r="CD18" i="1" s="1"/>
  <c r="AI13" i="1"/>
  <c r="AJ13" i="1"/>
  <c r="AI41" i="1"/>
  <c r="CB41" i="1" s="1"/>
  <c r="AJ41" i="1"/>
  <c r="CD41" i="1" s="1"/>
  <c r="AI44" i="1"/>
  <c r="AJ44" i="1"/>
  <c r="AI9" i="1"/>
  <c r="CB9" i="1" s="1"/>
  <c r="AJ9" i="1"/>
  <c r="CD9" i="1" s="1"/>
  <c r="CD44" i="1" l="1"/>
  <c r="CE44" i="1" s="1"/>
  <c r="CD13" i="1"/>
  <c r="CD17" i="1"/>
  <c r="CE17" i="1" s="1"/>
  <c r="CD37" i="1"/>
  <c r="CE37" i="1" s="1"/>
  <c r="CD36" i="1"/>
  <c r="CE36" i="1" s="1"/>
  <c r="CD14" i="1"/>
  <c r="CD33" i="1"/>
  <c r="CE33" i="1" s="1"/>
  <c r="CB44" i="1"/>
  <c r="CC44" i="1" s="1"/>
  <c r="CB13" i="1"/>
  <c r="CC13" i="1" s="1"/>
  <c r="CB17" i="1"/>
  <c r="CC17" i="1" s="1"/>
  <c r="CB37" i="1"/>
  <c r="CC37" i="1" s="1"/>
  <c r="CB36" i="1"/>
  <c r="CC36" i="1" s="1"/>
  <c r="CB14" i="1"/>
  <c r="CE14" i="1"/>
  <c r="CF9" i="1"/>
  <c r="CE18" i="1"/>
  <c r="CE16" i="1"/>
  <c r="CE15" i="1"/>
  <c r="CE35" i="1"/>
  <c r="CC9" i="1"/>
  <c r="P44" i="1"/>
  <c r="CE41" i="1"/>
  <c r="CE13" i="1"/>
  <c r="CC16" i="1"/>
  <c r="CE20" i="1"/>
  <c r="CE31" i="1"/>
  <c r="CE28" i="1"/>
  <c r="CE25" i="1"/>
  <c r="CE24" i="1"/>
  <c r="CC35" i="1"/>
  <c r="CC20" i="1"/>
  <c r="CC31" i="1"/>
  <c r="CC28" i="1"/>
  <c r="CC25" i="1"/>
  <c r="CC24" i="1"/>
  <c r="CC33" i="1"/>
  <c r="CC27" i="1"/>
  <c r="CC26" i="1"/>
  <c r="CC19" i="1"/>
  <c r="CE27" i="1"/>
  <c r="CE26" i="1"/>
  <c r="CE19" i="1"/>
  <c r="P36" i="1"/>
  <c r="W13" i="1"/>
  <c r="AD16" i="1"/>
  <c r="AD36" i="1"/>
  <c r="P13" i="1"/>
  <c r="AK15" i="1"/>
  <c r="AK44" i="1"/>
  <c r="AK41" i="1"/>
  <c r="P18" i="1"/>
  <c r="W44" i="1"/>
  <c r="AD18" i="1"/>
  <c r="AK37" i="1"/>
  <c r="W37" i="1"/>
  <c r="P35" i="1"/>
  <c r="AK9" i="1"/>
  <c r="AD33" i="1"/>
  <c r="AK13" i="1"/>
  <c r="AD13" i="1"/>
  <c r="W41" i="1"/>
  <c r="AD14" i="1"/>
  <c r="W18" i="1"/>
  <c r="W35" i="1"/>
  <c r="AK17" i="1"/>
  <c r="AD35" i="1"/>
  <c r="W17" i="1"/>
  <c r="W16" i="1"/>
  <c r="W14" i="1"/>
  <c r="P37" i="1"/>
  <c r="P15" i="1"/>
  <c r="AK18" i="1"/>
  <c r="AD41" i="1"/>
  <c r="W36" i="1"/>
  <c r="P14" i="1"/>
  <c r="W33" i="1"/>
  <c r="AK16" i="1"/>
  <c r="AK36" i="1"/>
  <c r="AD9" i="1"/>
  <c r="AD44" i="1"/>
  <c r="AD17" i="1"/>
  <c r="AD15" i="1"/>
  <c r="W9" i="1"/>
  <c r="W15" i="1"/>
  <c r="P41" i="1"/>
  <c r="P17" i="1"/>
  <c r="P16" i="1"/>
  <c r="AD37" i="1"/>
  <c r="CE9" i="1" l="1"/>
  <c r="CG9" i="1" s="1"/>
  <c r="CF35" i="1"/>
  <c r="CF44" i="1"/>
  <c r="CF18" i="1"/>
  <c r="CF17" i="1"/>
  <c r="CF15" i="1"/>
  <c r="CF13" i="1"/>
  <c r="CC15" i="1"/>
  <c r="CG15" i="1" s="1"/>
  <c r="CF33" i="1"/>
  <c r="CF37" i="1"/>
  <c r="CF14" i="1"/>
  <c r="CF41" i="1"/>
  <c r="CF36" i="1"/>
  <c r="CC18" i="1"/>
  <c r="CG18" i="1" s="1"/>
  <c r="CC14" i="1"/>
  <c r="CG14" i="1" s="1"/>
  <c r="CC41" i="1"/>
  <c r="CG41" i="1" s="1"/>
  <c r="CF16" i="1"/>
  <c r="CG35" i="1"/>
  <c r="CG44" i="1"/>
  <c r="CG28" i="1"/>
  <c r="CG25" i="1"/>
  <c r="CG20" i="1"/>
  <c r="CG37" i="1"/>
  <c r="CG17" i="1"/>
  <c r="CG24" i="1"/>
  <c r="CG31" i="1"/>
  <c r="CG26" i="1"/>
  <c r="CG33" i="1"/>
  <c r="CG16" i="1"/>
  <c r="CG36" i="1"/>
  <c r="CG19" i="1"/>
  <c r="CG27" i="1"/>
  <c r="CG13" i="1"/>
  <c r="C7" i="3"/>
  <c r="C3" i="3"/>
  <c r="H5" i="3" l="1"/>
  <c r="H4" i="3"/>
  <c r="H3" i="3"/>
  <c r="C44" i="1"/>
  <c r="C9" i="1"/>
  <c r="H6" i="3" l="1"/>
  <c r="AJ21" i="1"/>
  <c r="AI21" i="1"/>
  <c r="AK21" i="1" l="1"/>
  <c r="C8" i="3"/>
  <c r="C9" i="3" s="1"/>
  <c r="C2" i="3"/>
  <c r="C4" i="3" s="1"/>
  <c r="AC21" i="1" l="1"/>
  <c r="AB21" i="1"/>
  <c r="V21" i="1"/>
  <c r="U21" i="1"/>
  <c r="N21" i="1"/>
  <c r="CB21" i="1" l="1"/>
  <c r="CC21" i="1" s="1"/>
  <c r="CD21" i="1"/>
  <c r="P21" i="1"/>
  <c r="W21" i="1"/>
  <c r="AD21" i="1"/>
  <c r="CF21" i="1" l="1"/>
  <c r="CE21" i="1"/>
  <c r="CG21" i="1" s="1"/>
</calcChain>
</file>

<file path=xl/sharedStrings.xml><?xml version="1.0" encoding="utf-8"?>
<sst xmlns="http://schemas.openxmlformats.org/spreadsheetml/2006/main" count="1024" uniqueCount="230">
  <si>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</si>
  <si>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</si>
  <si>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</si>
  <si>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</si>
  <si>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</si>
  <si>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</si>
  <si>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</si>
  <si>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</si>
  <si>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</si>
  <si>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</si>
  <si>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</si>
  <si>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</si>
  <si>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</si>
  <si>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</si>
  <si>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</si>
  <si>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</si>
  <si>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</si>
  <si>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</si>
  <si>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</si>
  <si>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</si>
  <si>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</si>
  <si>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</si>
  <si>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</si>
  <si>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</si>
  <si>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</si>
  <si>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</si>
  <si>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</si>
  <si>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</si>
  <si>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</si>
  <si>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</si>
  <si>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</si>
  <si>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</si>
  <si>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</si>
  <si>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</si>
  <si>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</si>
  <si>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</si>
  <si>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</si>
  <si>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</si>
  <si>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</si>
  <si>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</si>
  <si>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</si>
  <si>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</si>
  <si>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</si>
  <si>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</si>
  <si>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</si>
  <si>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</si>
  <si>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</si>
  <si>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</si>
  <si>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</si>
  <si>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</si>
  <si>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</si>
  <si>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</si>
  <si>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</si>
  <si>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</si>
  <si>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</si>
  <si>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</si>
  <si>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</si>
  <si>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</si>
  <si>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</si>
  <si>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</si>
  <si>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</si>
  <si>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</si>
  <si>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</si>
  <si>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</si>
  <si>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</si>
  <si>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</si>
  <si>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</si>
  <si>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</si>
  <si>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</si>
  <si>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</si>
  <si>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</si>
  <si>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</si>
  <si>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</si>
  <si>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</si>
  <si>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</si>
  <si>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</si>
  <si>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</si>
  <si>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</si>
  <si>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</si>
  <si>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</si>
  <si>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</si>
  <si>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</si>
  <si>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</si>
  <si>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</si>
  <si>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</si>
  <si>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</si>
  <si>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</si>
  <si>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</si>
  <si>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</si>
  <si>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</si>
  <si>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</si>
  <si>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</si>
  <si>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</si>
  <si>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</si>
  <si>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</si>
  <si>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</si>
  <si>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</si>
  <si>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</si>
  <si>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</si>
  <si>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</si>
  <si>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</si>
  <si>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</si>
  <si>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</si>
  <si>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</si>
  <si>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</si>
  <si>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</si>
  <si>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</si>
  <si>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</si>
  <si>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</si>
  <si>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</si>
  <si>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</si>
  <si>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</si>
  <si>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</si>
  <si>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</si>
  <si>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</si>
  <si>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</si>
  <si>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</si>
  <si>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</si>
  <si>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</si>
  <si>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</si>
  <si>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</si>
  <si>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</si>
  <si>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</si>
  <si>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</si>
  <si>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</si>
  <si>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</si>
  <si>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</si>
  <si>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</si>
  <si>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</si>
  <si>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</si>
  <si>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</si>
  <si>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</si>
  <si>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</si>
  <si>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</si>
  <si>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</si>
  <si>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</si>
  <si>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</si>
  <si>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</si>
  <si>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</si>
  <si>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</si>
  <si>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</si>
  <si>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</si>
  <si>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</si>
  <si>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</si>
  <si>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</si>
  <si>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</si>
  <si>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</si>
  <si>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</si>
  <si>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</si>
  <si>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</si>
  <si>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</si>
  <si>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</si>
  <si>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</si>
  <si>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</si>
  <si>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</si>
  <si>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</si>
  <si>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</si>
  <si>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</si>
  <si>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</si>
  <si>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</si>
  <si>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</si>
  <si>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</si>
  <si>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</si>
  <si>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</si>
  <si>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</si>
  <si>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</si>
  <si>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</si>
  <si>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</si>
  <si>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</si>
  <si>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</si>
  <si>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</si>
  <si>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</si>
  <si>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</si>
  <si>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</si>
  <si>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</si>
  <si>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</si>
  <si>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</si>
  <si>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</si>
  <si>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</si>
  <si>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</si>
  <si>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</si>
  <si>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</si>
  <si>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</si>
  <si>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</si>
  <si>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</si>
  <si>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</si>
  <si>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</si>
  <si>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</si>
  <si>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</si>
  <si>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</si>
  <si>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</si>
  <si>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</si>
  <si>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</si>
  <si>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</si>
  <si>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</si>
  <si>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</si>
  <si>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</si>
  <si>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</si>
  <si>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</si>
  <si>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</si>
  <si>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</si>
  <si>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</si>
  <si>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</si>
  <si>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</si>
  <si>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</si>
  <si>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</si>
  <si>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</si>
  <si>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</si>
  <si>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</si>
  <si>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</si>
  <si>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</si>
  <si>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</si>
  <si>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</si>
  <si>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</si>
  <si>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</si>
  <si>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</si>
  <si>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</si>
  <si>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</si>
  <si>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</si>
  <si>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אורי</t>
  </si>
  <si>
    <t>חן</t>
  </si>
  <si>
    <t>סאן</t>
  </si>
  <si>
    <t>התש 5</t>
  </si>
  <si>
    <t>מרץ 18</t>
  </si>
  <si>
    <t>מיכל</t>
  </si>
  <si>
    <t>סוגרת?</t>
  </si>
  <si>
    <t>מי עתודה?</t>
  </si>
  <si>
    <t>נושאים לטיפול: עדן חן אחודה - הת"ש 7? תאיר אחודה - הת"ש 7? אורי גל 679 - פטור מצה"ל? שיר 679 שמירות? מעין 9? מיכל 11 תאריך שחרור?</t>
  </si>
  <si>
    <t>קקצ אוק</t>
  </si>
  <si>
    <t>פברואר לילות שמירה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</si>
</sst>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0" fillId="0" borderId="5" xfId="0" applyFont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/>
    </xf>
    <xf numFmtId="10" fontId="8" fillId="2" borderId="23" xfId="0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5" xfId="0" applyFont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9" fillId="0" borderId="8" xfId="0" applyFont="1" applyBorder="1"/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164" fontId="8" fillId="0" borderId="8" xfId="0" applyNumberFormat="1" applyFont="1" applyBorder="1" applyAlignment="1">
      <alignment horizontal="center" vertical="center"/>
    </xf>
  </cellXfs>
  <cellStyles count="1"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J79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7.140625" style="57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4.7109375" style="43" customWidth="1"/>
    <col min="7" max="7" width="12.42578125" style="43" customWidth="1"/>
    <col min="8" max="8" width="11.140625" style="43" hidden="1" customWidth="1"/>
    <col min="9" max="9" width="9" style="58" customWidth="1"/>
    <col min="10" max="15" width="7.85546875" style="58" hidden="1" customWidth="1"/>
    <col min="16" max="16" width="7.7109375" style="58" customWidth="1"/>
    <col min="17" max="22" width="7.7109375" style="56" hidden="1" customWidth="1"/>
    <col min="23" max="23" width="7.7109375" style="56" customWidth="1"/>
    <col min="24" max="29" width="7.7109375" style="56" hidden="1" customWidth="1"/>
    <col min="30" max="30" width="7.7109375" style="56" customWidth="1"/>
    <col min="31" max="36" width="7.7109375" style="56" hidden="1" customWidth="1"/>
    <col min="37" max="37" width="7.7109375" style="56" customWidth="1"/>
    <col min="38" max="43" width="7.7109375" style="56" hidden="1" customWidth="1"/>
    <col min="44" max="44" width="7.7109375" style="56" customWidth="1"/>
    <col min="45" max="50" width="7.7109375" style="56" hidden="1" customWidth="1"/>
    <col min="51" max="51" width="7.7109375" style="56" customWidth="1"/>
    <col min="52" max="57" width="7.7109375" style="56" hidden="1" customWidth="1"/>
    <col min="58" max="58" width="7.7109375" style="56" customWidth="1"/>
    <col min="59" max="64" width="7.7109375" style="56" hidden="1" customWidth="1"/>
    <col min="65" max="65" width="7.7109375" style="56" customWidth="1"/>
    <col min="66" max="70" width="7.7109375" style="122" customWidth="1"/>
    <col min="71" max="72" width="7.7109375" style="56" customWidth="1"/>
    <col min="73" max="77" width="7.7109375" style="122" customWidth="1"/>
    <col min="78" max="79" width="7.7109375" style="56" customWidth="1"/>
    <col min="80" max="88" width="7.7109375" style="43" customWidth="1"/>
    <col min="89" max="16384" width="9.140625" style="43"/>
  </cols>
  <sheetData>
    <row r="1" spans="1:88" ht="60.75" thickBot="1" x14ac:dyDescent="0.3">
      <c r="A1" s="66" t="s">
        <v>0</v>
      </c>
      <c r="B1" s="67" t="s">
        <v>1</v>
      </c>
      <c r="C1" s="39" t="s">
        <v>86</v>
      </c>
      <c r="D1" s="67" t="s">
        <v>3</v>
      </c>
      <c r="E1" s="39" t="s">
        <v>4</v>
      </c>
      <c r="F1" s="86" t="s">
        <v>210</v>
      </c>
      <c r="G1" s="86" t="s">
        <v>156</v>
      </c>
      <c r="H1" s="86" t="s">
        <v>55</v>
      </c>
      <c r="I1" s="86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0" t="s">
        <v>53</v>
      </c>
      <c r="O1" s="40" t="s">
        <v>54</v>
      </c>
      <c r="P1" s="41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68" t="s">
        <v>35</v>
      </c>
      <c r="V1" s="40" t="s">
        <v>36</v>
      </c>
      <c r="W1" s="41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0" t="s">
        <v>44</v>
      </c>
      <c r="AC1" s="40" t="s">
        <v>45</v>
      </c>
      <c r="AD1" s="41" t="s">
        <v>46</v>
      </c>
      <c r="AE1" s="38" t="s">
        <v>65</v>
      </c>
      <c r="AF1" s="39" t="s">
        <v>66</v>
      </c>
      <c r="AG1" s="39" t="s">
        <v>67</v>
      </c>
      <c r="AH1" s="39" t="s">
        <v>68</v>
      </c>
      <c r="AI1" s="40" t="s">
        <v>69</v>
      </c>
      <c r="AJ1" s="40" t="s">
        <v>70</v>
      </c>
      <c r="AK1" s="41" t="s">
        <v>71</v>
      </c>
      <c r="AL1" s="38" t="s">
        <v>117</v>
      </c>
      <c r="AM1" s="39" t="s">
        <v>118</v>
      </c>
      <c r="AN1" s="39" t="s">
        <v>119</v>
      </c>
      <c r="AO1" s="67" t="s">
        <v>120</v>
      </c>
      <c r="AP1" s="40" t="s">
        <v>121</v>
      </c>
      <c r="AQ1" s="40" t="s">
        <v>122</v>
      </c>
      <c r="AR1" s="41" t="s">
        <v>123</v>
      </c>
      <c r="AS1" s="66" t="s">
        <v>130</v>
      </c>
      <c r="AT1" s="67" t="s">
        <v>131</v>
      </c>
      <c r="AU1" s="67" t="s">
        <v>132</v>
      </c>
      <c r="AV1" s="67" t="s">
        <v>133</v>
      </c>
      <c r="AW1" s="68" t="s">
        <v>134</v>
      </c>
      <c r="AX1" s="68" t="s">
        <v>135</v>
      </c>
      <c r="AY1" s="69" t="s">
        <v>136</v>
      </c>
      <c r="AZ1" s="66" t="s">
        <v>149</v>
      </c>
      <c r="BA1" s="67" t="s">
        <v>150</v>
      </c>
      <c r="BB1" s="67" t="s">
        <v>151</v>
      </c>
      <c r="BC1" s="67" t="s">
        <v>152</v>
      </c>
      <c r="BD1" s="68" t="s">
        <v>153</v>
      </c>
      <c r="BE1" s="68" t="s">
        <v>154</v>
      </c>
      <c r="BF1" s="69" t="s">
        <v>155</v>
      </c>
      <c r="BG1" s="66" t="s">
        <v>169</v>
      </c>
      <c r="BH1" s="67" t="s">
        <v>170</v>
      </c>
      <c r="BI1" s="67" t="s">
        <v>229</v>
      </c>
      <c r="BJ1" s="67" t="s">
        <v>171</v>
      </c>
      <c r="BK1" s="68" t="s">
        <v>174</v>
      </c>
      <c r="BL1" s="68" t="s">
        <v>173</v>
      </c>
      <c r="BM1" s="128" t="s">
        <v>172</v>
      </c>
      <c r="BN1" s="129" t="s">
        <v>190</v>
      </c>
      <c r="BO1" s="130" t="s">
        <v>191</v>
      </c>
      <c r="BP1" s="130" t="s">
        <v>192</v>
      </c>
      <c r="BQ1" s="131" t="s">
        <v>193</v>
      </c>
      <c r="BR1" s="136" t="s">
        <v>194</v>
      </c>
      <c r="BS1" s="68" t="s">
        <v>195</v>
      </c>
      <c r="BT1" s="69" t="s">
        <v>196</v>
      </c>
      <c r="BU1" s="129" t="s">
        <v>211</v>
      </c>
      <c r="BV1" s="130" t="s">
        <v>212</v>
      </c>
      <c r="BW1" s="130" t="s">
        <v>213</v>
      </c>
      <c r="BX1" s="131" t="s">
        <v>214</v>
      </c>
      <c r="BY1" s="136" t="s">
        <v>215</v>
      </c>
      <c r="BZ1" s="68" t="s">
        <v>216</v>
      </c>
      <c r="CA1" s="69" t="s">
        <v>217</v>
      </c>
      <c r="CB1" s="134" t="s">
        <v>158</v>
      </c>
      <c r="CC1" s="85" t="s">
        <v>160</v>
      </c>
      <c r="CD1" s="85" t="s">
        <v>159</v>
      </c>
      <c r="CE1" s="85" t="s">
        <v>161</v>
      </c>
      <c r="CF1" s="42" t="s">
        <v>129</v>
      </c>
      <c r="CG1" s="85" t="s">
        <v>157</v>
      </c>
      <c r="CH1" s="42" t="s">
        <v>143</v>
      </c>
      <c r="CI1" s="42" t="s">
        <v>144</v>
      </c>
      <c r="CJ1" s="85" t="s">
        <v>145</v>
      </c>
    </row>
    <row r="2" spans="1:88" x14ac:dyDescent="0.25">
      <c r="A2" s="44">
        <v>9</v>
      </c>
      <c r="B2" s="73" t="s">
        <v>5</v>
      </c>
      <c r="C2" s="78" t="str">
        <f>B2&amp;" "&amp;A2</f>
        <v>מאי 9</v>
      </c>
      <c r="D2" s="62" t="s">
        <v>6</v>
      </c>
      <c r="E2" s="62" t="s">
        <v>6</v>
      </c>
      <c r="F2" s="90" t="s">
        <v>223</v>
      </c>
      <c r="G2" s="84">
        <v>43160</v>
      </c>
      <c r="H2" s="201" t="s">
        <v>85</v>
      </c>
      <c r="I2" s="47"/>
      <c r="J2" s="192"/>
      <c r="K2" s="193"/>
      <c r="L2" s="193"/>
      <c r="M2" s="193"/>
      <c r="N2" s="194">
        <f>J2*3+L2</f>
        <v>0</v>
      </c>
      <c r="O2" s="194">
        <f>K2*3+M2</f>
        <v>0</v>
      </c>
      <c r="P2" s="49">
        <f>O2+N2</f>
        <v>0</v>
      </c>
      <c r="Q2" s="44"/>
      <c r="R2" s="46"/>
      <c r="S2" s="46"/>
      <c r="T2" s="46"/>
      <c r="U2" s="48">
        <f>Q2*3+S2</f>
        <v>0</v>
      </c>
      <c r="V2" s="48">
        <f>R2*3+T2</f>
        <v>0</v>
      </c>
      <c r="W2" s="50">
        <f>V2+U2</f>
        <v>0</v>
      </c>
      <c r="X2" s="44"/>
      <c r="Y2" s="46"/>
      <c r="Z2" s="46"/>
      <c r="AA2" s="46"/>
      <c r="AB2" s="51">
        <f>X2*3+Z2</f>
        <v>0</v>
      </c>
      <c r="AC2" s="51">
        <f>Y2*3+AA2</f>
        <v>0</v>
      </c>
      <c r="AD2" s="52">
        <f>AC2+AB2</f>
        <v>0</v>
      </c>
      <c r="AE2" s="44"/>
      <c r="AF2" s="46"/>
      <c r="AG2" s="46"/>
      <c r="AH2" s="46"/>
      <c r="AI2" s="48">
        <f>AE2*3+AG2</f>
        <v>0</v>
      </c>
      <c r="AJ2" s="48">
        <f>AF2*3+AH2</f>
        <v>0</v>
      </c>
      <c r="AK2" s="50">
        <f>AJ2+AI2</f>
        <v>0</v>
      </c>
      <c r="AL2" s="44"/>
      <c r="AM2" s="46"/>
      <c r="AN2" s="46"/>
      <c r="AO2" s="46"/>
      <c r="AP2" s="48">
        <f>AL2*3+AN2</f>
        <v>0</v>
      </c>
      <c r="AQ2" s="48">
        <f>AM2*3+AO2</f>
        <v>0</v>
      </c>
      <c r="AR2" s="50">
        <f>AQ2+AP2</f>
        <v>0</v>
      </c>
      <c r="AS2" s="44"/>
      <c r="AT2" s="46"/>
      <c r="AU2" s="46"/>
      <c r="AV2" s="46"/>
      <c r="AW2" s="48">
        <f>AS2*3+AU2</f>
        <v>0</v>
      </c>
      <c r="AX2" s="48">
        <f>AT2*3+AV2</f>
        <v>0</v>
      </c>
      <c r="AY2" s="50">
        <f>AX2+AW2</f>
        <v>0</v>
      </c>
      <c r="AZ2" s="44"/>
      <c r="BA2" s="46"/>
      <c r="BB2" s="46"/>
      <c r="BC2" s="46"/>
      <c r="BD2" s="48">
        <f>AZ2*3+BB2</f>
        <v>0</v>
      </c>
      <c r="BE2" s="48">
        <f>BA2*3+BC2</f>
        <v>0</v>
      </c>
      <c r="BF2" s="50">
        <f>BE2+BD2</f>
        <v>0</v>
      </c>
      <c r="BG2" s="91"/>
      <c r="BH2" s="124"/>
      <c r="BI2" s="46"/>
      <c r="BJ2" s="46"/>
      <c r="BK2" s="48">
        <f>BG2*3+BI2</f>
        <v>0</v>
      </c>
      <c r="BL2" s="48">
        <f>BH2*3+BJ2</f>
        <v>0</v>
      </c>
      <c r="BM2" s="123">
        <f>BL2+BK2</f>
        <v>0</v>
      </c>
      <c r="BN2" s="125"/>
      <c r="BO2" s="126"/>
      <c r="BP2" s="126"/>
      <c r="BQ2" s="126"/>
      <c r="BR2" s="48">
        <f>BN2*3+BP2</f>
        <v>0</v>
      </c>
      <c r="BS2" s="48">
        <f>BO2*3+BQ2</f>
        <v>0</v>
      </c>
      <c r="BT2" s="123">
        <f>BS2+BR2</f>
        <v>0</v>
      </c>
      <c r="BU2" s="125">
        <v>1</v>
      </c>
      <c r="BV2" s="126"/>
      <c r="BW2" s="126"/>
      <c r="BX2" s="126"/>
      <c r="BY2" s="48">
        <f>BU2*3+BW2</f>
        <v>3</v>
      </c>
      <c r="BZ2" s="48">
        <f>BV2*3+BX2</f>
        <v>0</v>
      </c>
      <c r="CA2" s="123">
        <f>BZ2+BY2</f>
        <v>3</v>
      </c>
      <c r="CB2" s="135">
        <f>SUM(AP2,AI2,AB2,U2,N2,AW2,BD2,BK2,BR2,BY2)</f>
        <v>3</v>
      </c>
      <c r="CC2" s="87">
        <f ca="1">CB2/(TODAY()-G2)</f>
        <v>0.13043478260869565</v>
      </c>
      <c r="CD2" s="53">
        <f>SUM(AQ2,AJ2,AC2,V2,O2,AX2,BE2,BL2,BS2,BZ2)</f>
        <v>0</v>
      </c>
      <c r="CE2" s="87">
        <f ca="1">CD2/(TODAY()-G2)</f>
        <v>0</v>
      </c>
      <c r="CF2" s="53">
        <f>CB2+CD2</f>
        <v>3</v>
      </c>
      <c r="CG2" s="87">
        <f ca="1">CE2+CC2</f>
        <v>0.13043478260869565</v>
      </c>
      <c r="CH2" s="53">
        <f>SUM(AS2,AL2,AE2,X2,Q2,Q2,J2,AZ2,BG2,BN2,BU2)</f>
        <v>1</v>
      </c>
      <c r="CI2" s="53">
        <f>SUM(AT2,AM2,AF2,Y2,R2,R2,K2,BA2,BH2,BO2,BV2)</f>
        <v>0</v>
      </c>
      <c r="CJ2" s="53">
        <f>CI2+CH2</f>
        <v>1</v>
      </c>
    </row>
    <row r="3" spans="1:88" x14ac:dyDescent="0.25">
      <c r="A3" s="44">
        <v>11</v>
      </c>
      <c r="B3" s="73" t="s">
        <v>224</v>
      </c>
      <c r="C3" s="78" t="str">
        <f>B3&amp;" "&amp;A3</f>
        <v>מיכל 11</v>
      </c>
      <c r="D3" s="62" t="s">
        <v>6</v>
      </c>
      <c r="E3" s="62" t="s">
        <v>6</v>
      </c>
      <c r="F3" s="90" t="s">
        <v>223</v>
      </c>
      <c r="G3" s="84">
        <v>43160</v>
      </c>
      <c r="H3" s="88" t="s">
        <v>85</v>
      </c>
      <c r="I3" s="100" t="s">
        <v>225</v>
      </c>
      <c r="J3" s="192"/>
      <c r="K3" s="193"/>
      <c r="L3" s="193"/>
      <c r="M3" s="193"/>
      <c r="N3" s="194">
        <f>J3*3+L3</f>
        <v>0</v>
      </c>
      <c r="O3" s="194">
        <f>K3*3+M3</f>
        <v>0</v>
      </c>
      <c r="P3" s="49">
        <f>O3+N3</f>
        <v>0</v>
      </c>
      <c r="Q3" s="44"/>
      <c r="R3" s="46"/>
      <c r="S3" s="46"/>
      <c r="T3" s="46"/>
      <c r="U3" s="48">
        <f>Q3*3+S3</f>
        <v>0</v>
      </c>
      <c r="V3" s="48">
        <f>R3*3+T3</f>
        <v>0</v>
      </c>
      <c r="W3" s="50">
        <f>V3+U3</f>
        <v>0</v>
      </c>
      <c r="X3" s="44"/>
      <c r="Y3" s="46"/>
      <c r="Z3" s="46"/>
      <c r="AA3" s="46"/>
      <c r="AB3" s="51">
        <f>X3*3+Z3</f>
        <v>0</v>
      </c>
      <c r="AC3" s="51">
        <f>Y3*3+AA3</f>
        <v>0</v>
      </c>
      <c r="AD3" s="52">
        <f>AC3+AB3</f>
        <v>0</v>
      </c>
      <c r="AE3" s="44"/>
      <c r="AF3" s="46"/>
      <c r="AG3" s="46"/>
      <c r="AH3" s="46"/>
      <c r="AI3" s="48">
        <f>AE3*3+AG3</f>
        <v>0</v>
      </c>
      <c r="AJ3" s="48">
        <f>AF3*3+AH3</f>
        <v>0</v>
      </c>
      <c r="AK3" s="50">
        <f>AJ3+AI3</f>
        <v>0</v>
      </c>
      <c r="AL3" s="44"/>
      <c r="AM3" s="46"/>
      <c r="AN3" s="46"/>
      <c r="AO3" s="46"/>
      <c r="AP3" s="48">
        <f>AL3*3+AN3</f>
        <v>0</v>
      </c>
      <c r="AQ3" s="48">
        <f>AM3*3+AO3</f>
        <v>0</v>
      </c>
      <c r="AR3" s="50">
        <f>AQ3+AP3</f>
        <v>0</v>
      </c>
      <c r="AS3" s="44"/>
      <c r="AT3" s="46"/>
      <c r="AU3" s="46"/>
      <c r="AV3" s="46"/>
      <c r="AW3" s="48">
        <f>AS3*3+AU3</f>
        <v>0</v>
      </c>
      <c r="AX3" s="48">
        <f>AT3*3+AV3</f>
        <v>0</v>
      </c>
      <c r="AY3" s="50">
        <f>AX3+AW3</f>
        <v>0</v>
      </c>
      <c r="AZ3" s="44"/>
      <c r="BA3" s="46"/>
      <c r="BB3" s="46"/>
      <c r="BC3" s="46"/>
      <c r="BD3" s="48">
        <f>AZ3*3+BB3</f>
        <v>0</v>
      </c>
      <c r="BE3" s="48">
        <f>BA3*3+BC3</f>
        <v>0</v>
      </c>
      <c r="BF3" s="50">
        <f>BE3+BD3</f>
        <v>0</v>
      </c>
      <c r="BG3" s="91"/>
      <c r="BH3" s="124"/>
      <c r="BI3" s="46"/>
      <c r="BJ3" s="46"/>
      <c r="BK3" s="48">
        <f>BG3*3+BI3</f>
        <v>0</v>
      </c>
      <c r="BL3" s="48">
        <f>BH3*3+BJ3</f>
        <v>0</v>
      </c>
      <c r="BM3" s="123">
        <f>BL3+BK3</f>
        <v>0</v>
      </c>
      <c r="BN3" s="91"/>
      <c r="BO3" s="124"/>
      <c r="BP3" s="124"/>
      <c r="BQ3" s="124"/>
      <c r="BR3" s="48">
        <f>BN3*3+BP3</f>
        <v>0</v>
      </c>
      <c r="BS3" s="48">
        <f>BO3*3+BQ3</f>
        <v>0</v>
      </c>
      <c r="BT3" s="123">
        <f>BS3+BR3</f>
        <v>0</v>
      </c>
      <c r="BU3" s="91">
        <v>1</v>
      </c>
      <c r="BV3" s="124"/>
      <c r="BW3" s="124"/>
      <c r="BX3" s="124"/>
      <c r="BY3" s="48">
        <f>BU3*3+BW3</f>
        <v>3</v>
      </c>
      <c r="BZ3" s="48">
        <f>BV3*3+BX3</f>
        <v>0</v>
      </c>
      <c r="CA3" s="123">
        <f>BZ3+BY3</f>
        <v>3</v>
      </c>
      <c r="CB3" s="135">
        <f>SUM(AP3,AI3,AB3,U3,N3,AW3,BD3,BK3,BR3,BY3)</f>
        <v>3</v>
      </c>
      <c r="CC3" s="87">
        <f ca="1">CB3/(TODAY()-G3)</f>
        <v>0.13043478260869565</v>
      </c>
      <c r="CD3" s="53">
        <f>SUM(AQ3,AJ3,AC3,V3,O3,AX3,BE3,BL3,BS3,BZ3)</f>
        <v>0</v>
      </c>
      <c r="CE3" s="87">
        <f ca="1">CD3/(TODAY()-G3)</f>
        <v>0</v>
      </c>
      <c r="CF3" s="53">
        <f>CB3+CD3</f>
        <v>3</v>
      </c>
      <c r="CG3" s="87">
        <f ca="1">CE3+CC3</f>
        <v>0.13043478260869565</v>
      </c>
      <c r="CH3" s="53">
        <f>SUM(AS3,AL3,AE3,X3,Q3,Q3,J3,AZ3,BG3,BN3,BU3)</f>
        <v>1</v>
      </c>
      <c r="CI3" s="53">
        <f>SUM(AT3,AM3,AF3,Y3,R3,R3,K3,BA3,BH3,BO3,BV3)</f>
        <v>0</v>
      </c>
      <c r="CJ3" s="53">
        <f>CI3+CH3</f>
        <v>1</v>
      </c>
    </row>
    <row r="4" spans="1:88" x14ac:dyDescent="0.25">
      <c r="A4" s="44">
        <v>11</v>
      </c>
      <c r="B4" s="73" t="s">
        <v>189</v>
      </c>
      <c r="C4" s="78" t="str">
        <f>B4&amp;" "&amp;A4</f>
        <v>ניקול 11</v>
      </c>
      <c r="D4" s="62" t="s">
        <v>6</v>
      </c>
      <c r="E4" s="62" t="s">
        <v>6</v>
      </c>
      <c r="F4" s="90" t="s">
        <v>209</v>
      </c>
      <c r="G4" s="84">
        <v>43132</v>
      </c>
      <c r="H4" s="201" t="s">
        <v>85</v>
      </c>
      <c r="I4" s="47"/>
      <c r="J4" s="192"/>
      <c r="K4" s="193"/>
      <c r="L4" s="193"/>
      <c r="M4" s="193"/>
      <c r="N4" s="194">
        <f>J4*3+L4</f>
        <v>0</v>
      </c>
      <c r="O4" s="194">
        <f>K4*3+M4</f>
        <v>0</v>
      </c>
      <c r="P4" s="49">
        <f>O4+N4</f>
        <v>0</v>
      </c>
      <c r="Q4" s="44"/>
      <c r="R4" s="46"/>
      <c r="S4" s="46"/>
      <c r="T4" s="46"/>
      <c r="U4" s="48">
        <f>Q4*3+S4</f>
        <v>0</v>
      </c>
      <c r="V4" s="48">
        <f>R4*3+T4</f>
        <v>0</v>
      </c>
      <c r="W4" s="50">
        <v>0</v>
      </c>
      <c r="X4" s="44"/>
      <c r="Y4" s="46"/>
      <c r="Z4" s="46"/>
      <c r="AA4" s="46"/>
      <c r="AB4" s="51">
        <f>X4*3+Z4</f>
        <v>0</v>
      </c>
      <c r="AC4" s="51">
        <f>Y4*3+AA4</f>
        <v>0</v>
      </c>
      <c r="AD4" s="52">
        <f>AC4+AB4</f>
        <v>0</v>
      </c>
      <c r="AE4" s="44"/>
      <c r="AF4" s="46"/>
      <c r="AG4" s="46"/>
      <c r="AH4" s="46"/>
      <c r="AI4" s="48">
        <f>AE4*3+AG4</f>
        <v>0</v>
      </c>
      <c r="AJ4" s="48">
        <f>AF4*3+AH4</f>
        <v>0</v>
      </c>
      <c r="AK4" s="50">
        <f>AJ4+AI4</f>
        <v>0</v>
      </c>
      <c r="AL4" s="44"/>
      <c r="AM4" s="46"/>
      <c r="AN4" s="46"/>
      <c r="AO4" s="46"/>
      <c r="AP4" s="48">
        <f>AL4*3+AN4</f>
        <v>0</v>
      </c>
      <c r="AQ4" s="48">
        <f>AM4*3+AO4</f>
        <v>0</v>
      </c>
      <c r="AR4" s="50">
        <f>AQ4+AP4</f>
        <v>0</v>
      </c>
      <c r="AS4" s="44"/>
      <c r="AT4" s="46"/>
      <c r="AU4" s="46"/>
      <c r="AV4" s="46"/>
      <c r="AW4" s="48">
        <f>AS4*3+AU4</f>
        <v>0</v>
      </c>
      <c r="AX4" s="48">
        <f>AT4*3+AV4</f>
        <v>0</v>
      </c>
      <c r="AY4" s="50">
        <f>AX4+AW4</f>
        <v>0</v>
      </c>
      <c r="AZ4" s="44"/>
      <c r="BA4" s="46"/>
      <c r="BB4" s="46"/>
      <c r="BC4" s="46"/>
      <c r="BD4" s="48">
        <f>AZ4*3+BB4</f>
        <v>0</v>
      </c>
      <c r="BE4" s="48">
        <f>BA4*3+BC4</f>
        <v>0</v>
      </c>
      <c r="BF4" s="50">
        <f>BE4+BD4</f>
        <v>0</v>
      </c>
      <c r="BG4" s="91"/>
      <c r="BH4" s="124"/>
      <c r="BI4" s="46"/>
      <c r="BJ4" s="46"/>
      <c r="BK4" s="48">
        <f>BG4*3+BI4</f>
        <v>0</v>
      </c>
      <c r="BL4" s="48">
        <f>BH4*3+BJ4</f>
        <v>0</v>
      </c>
      <c r="BM4" s="123">
        <f>BL4+BK4</f>
        <v>0</v>
      </c>
      <c r="BN4" s="91">
        <v>1</v>
      </c>
      <c r="BO4" s="124"/>
      <c r="BP4" s="124">
        <v>2</v>
      </c>
      <c r="BQ4" s="124"/>
      <c r="BR4" s="48">
        <f>BN4*3+BP4</f>
        <v>5</v>
      </c>
      <c r="BS4" s="48">
        <f>BO4*3+BQ4</f>
        <v>0</v>
      </c>
      <c r="BT4" s="123">
        <f>BS4+BR4</f>
        <v>5</v>
      </c>
      <c r="BU4" s="91">
        <v>1</v>
      </c>
      <c r="BV4" s="124"/>
      <c r="BW4" s="124"/>
      <c r="BX4" s="124"/>
      <c r="BY4" s="48">
        <f>BU4*3+BW4</f>
        <v>3</v>
      </c>
      <c r="BZ4" s="48">
        <f>BV4*3+BX4</f>
        <v>0</v>
      </c>
      <c r="CA4" s="123">
        <f>BZ4+BY4</f>
        <v>3</v>
      </c>
      <c r="CB4" s="135">
        <f>SUM(AP4,AI4,AB4,U4,N4,AW4,BD4,BK4,BR4,BY4)</f>
        <v>8</v>
      </c>
      <c r="CC4" s="87">
        <f ca="1">CB4/(TODAY()-G4)</f>
        <v>0.15686274509803921</v>
      </c>
      <c r="CD4" s="53">
        <f>SUM(AQ4,AJ4,AC4,V4,O4,AX4,BE4,BL4,BS4,BZ4)</f>
        <v>0</v>
      </c>
      <c r="CE4" s="87">
        <f ca="1">CD4/(TODAY()-G4)</f>
        <v>0</v>
      </c>
      <c r="CF4" s="53">
        <f>CB4+CD4</f>
        <v>8</v>
      </c>
      <c r="CG4" s="87">
        <f ca="1">CE4+CC4</f>
        <v>0.15686274509803921</v>
      </c>
      <c r="CH4" s="53">
        <f>SUM(AS4,AL4,AE4,X4,Q4,Q4,J4,AZ4,BG4,BN4,BU4)</f>
        <v>2</v>
      </c>
      <c r="CI4" s="53">
        <f>SUM(AT4,AM4,AF4,Y4,R4,R4,K4,BA4,BH4,BO4,BV4)</f>
        <v>0</v>
      </c>
      <c r="CJ4" s="53">
        <f>CI4+CH4</f>
        <v>2</v>
      </c>
    </row>
    <row r="5" spans="1:88" x14ac:dyDescent="0.25">
      <c r="A5" s="44">
        <v>209</v>
      </c>
      <c r="B5" s="73" t="s">
        <v>221</v>
      </c>
      <c r="C5" s="78" t="str">
        <f>B5&amp;" "&amp;A5</f>
        <v>סאן 209</v>
      </c>
      <c r="D5" s="62" t="s">
        <v>6</v>
      </c>
      <c r="E5" s="62" t="s">
        <v>6</v>
      </c>
      <c r="F5" s="90" t="s">
        <v>223</v>
      </c>
      <c r="G5" s="84">
        <v>43160</v>
      </c>
      <c r="H5" s="201" t="s">
        <v>85</v>
      </c>
      <c r="I5" s="100" t="s">
        <v>228</v>
      </c>
      <c r="J5" s="192"/>
      <c r="K5" s="193"/>
      <c r="L5" s="193"/>
      <c r="M5" s="193"/>
      <c r="N5" s="194">
        <f>J5*3+L5</f>
        <v>0</v>
      </c>
      <c r="O5" s="194">
        <f>K5*3+M5</f>
        <v>0</v>
      </c>
      <c r="P5" s="49">
        <f>O5+N5</f>
        <v>0</v>
      </c>
      <c r="Q5" s="44"/>
      <c r="R5" s="46"/>
      <c r="S5" s="46"/>
      <c r="T5" s="46"/>
      <c r="U5" s="48">
        <f>Q5*3+S5</f>
        <v>0</v>
      </c>
      <c r="V5" s="48">
        <f>R5*3+T5</f>
        <v>0</v>
      </c>
      <c r="W5" s="50">
        <f>V5+U5</f>
        <v>0</v>
      </c>
      <c r="X5" s="44"/>
      <c r="Y5" s="46"/>
      <c r="Z5" s="46"/>
      <c r="AA5" s="46"/>
      <c r="AB5" s="51">
        <f>X5*3+Z5</f>
        <v>0</v>
      </c>
      <c r="AC5" s="51">
        <f>Y5*3+AA5</f>
        <v>0</v>
      </c>
      <c r="AD5" s="52">
        <f>AC5+AB5</f>
        <v>0</v>
      </c>
      <c r="AE5" s="44"/>
      <c r="AF5" s="46"/>
      <c r="AG5" s="46"/>
      <c r="AH5" s="46"/>
      <c r="AI5" s="48">
        <f>AE5*3+AG5</f>
        <v>0</v>
      </c>
      <c r="AJ5" s="48">
        <f>AF5*3+AH5</f>
        <v>0</v>
      </c>
      <c r="AK5" s="50">
        <f>AJ5+AI5</f>
        <v>0</v>
      </c>
      <c r="AL5" s="44"/>
      <c r="AM5" s="46"/>
      <c r="AN5" s="46"/>
      <c r="AO5" s="46"/>
      <c r="AP5" s="48">
        <f>AL5*3+AN5</f>
        <v>0</v>
      </c>
      <c r="AQ5" s="48">
        <f>AM5*3+AO5</f>
        <v>0</v>
      </c>
      <c r="AR5" s="50">
        <f>AQ5+AP5</f>
        <v>0</v>
      </c>
      <c r="AS5" s="44"/>
      <c r="AT5" s="46"/>
      <c r="AU5" s="46"/>
      <c r="AV5" s="46"/>
      <c r="AW5" s="48">
        <f>AS5*3+AU5</f>
        <v>0</v>
      </c>
      <c r="AX5" s="48">
        <f>AT5*3+AV5</f>
        <v>0</v>
      </c>
      <c r="AY5" s="50">
        <f>AX5+AW5</f>
        <v>0</v>
      </c>
      <c r="AZ5" s="44"/>
      <c r="BA5" s="46"/>
      <c r="BB5" s="46"/>
      <c r="BC5" s="46"/>
      <c r="BD5" s="48">
        <f>AZ5*3+BB5</f>
        <v>0</v>
      </c>
      <c r="BE5" s="48">
        <f>BA5*3+BC5</f>
        <v>0</v>
      </c>
      <c r="BF5" s="50">
        <f>BE5+BD5</f>
        <v>0</v>
      </c>
      <c r="BG5" s="91"/>
      <c r="BH5" s="124"/>
      <c r="BI5" s="46"/>
      <c r="BJ5" s="46"/>
      <c r="BK5" s="48">
        <f>BG5*3+BI5</f>
        <v>0</v>
      </c>
      <c r="BL5" s="48">
        <f>BH5*3+BJ5</f>
        <v>0</v>
      </c>
      <c r="BM5" s="123">
        <f>BL5+BK5</f>
        <v>0</v>
      </c>
      <c r="BN5" s="91"/>
      <c r="BO5" s="124"/>
      <c r="BP5" s="124"/>
      <c r="BQ5" s="124"/>
      <c r="BR5" s="48">
        <f>BN5*3+BP5</f>
        <v>0</v>
      </c>
      <c r="BS5" s="48">
        <f>BO5*3+BQ5</f>
        <v>0</v>
      </c>
      <c r="BT5" s="123">
        <f>BS5+BR5</f>
        <v>0</v>
      </c>
      <c r="BU5" s="91"/>
      <c r="BV5" s="124"/>
      <c r="BW5" s="124"/>
      <c r="BX5" s="124"/>
      <c r="BY5" s="48">
        <f>BU5*3+BW5</f>
        <v>0</v>
      </c>
      <c r="BZ5" s="48">
        <f>BV5*3+BX5</f>
        <v>0</v>
      </c>
      <c r="CA5" s="123">
        <f>BZ5+BY5</f>
        <v>0</v>
      </c>
      <c r="CB5" s="135">
        <f>SUM(AP5,AI5,AB5,U5,N5,AW5,BD5,BK5,BR5,BY5)</f>
        <v>0</v>
      </c>
      <c r="CC5" s="87">
        <f ca="1">CB5/(TODAY()-G5)</f>
        <v>0</v>
      </c>
      <c r="CD5" s="53">
        <f>SUM(AQ5,AJ5,AC5,V5,O5,AX5,BE5,BL5,BS5,BZ5)</f>
        <v>0</v>
      </c>
      <c r="CE5" s="87">
        <f ca="1">CD5/(TODAY()-G5)</f>
        <v>0</v>
      </c>
      <c r="CF5" s="53">
        <f>CB5+CD5</f>
        <v>0</v>
      </c>
      <c r="CG5" s="87">
        <f ca="1">CE5+CC5</f>
        <v>0</v>
      </c>
      <c r="CH5" s="53">
        <f>SUM(AS5,AL5,AE5,X5,Q5,Q5,J5,AZ5,BG5,BN5,BU5)</f>
        <v>0</v>
      </c>
      <c r="CI5" s="53">
        <f>SUM(AT5,AM5,AF5,Y5,R5,R5,K5,BA5,BH5,BO5,BV5)</f>
        <v>0</v>
      </c>
      <c r="CJ5" s="53">
        <f>CI5+CH5</f>
        <v>0</v>
      </c>
    </row>
    <row r="6" spans="1:88" x14ac:dyDescent="0.25">
      <c r="A6" s="44">
        <v>679</v>
      </c>
      <c r="B6" s="73" t="s">
        <v>220</v>
      </c>
      <c r="C6" s="78" t="str">
        <f>B6&amp;" "&amp;A6</f>
        <v>חן 679</v>
      </c>
      <c r="D6" s="62" t="s">
        <v>6</v>
      </c>
      <c r="E6" s="62" t="s">
        <v>6</v>
      </c>
      <c r="F6" s="90" t="s">
        <v>223</v>
      </c>
      <c r="G6" s="84">
        <v>43160</v>
      </c>
      <c r="H6" s="138" t="s">
        <v>85</v>
      </c>
      <c r="I6" s="100" t="s">
        <v>228</v>
      </c>
      <c r="J6" s="192"/>
      <c r="K6" s="193"/>
      <c r="L6" s="193"/>
      <c r="M6" s="193"/>
      <c r="N6" s="194">
        <f>J6*3+L6</f>
        <v>0</v>
      </c>
      <c r="O6" s="194">
        <f>K6*3+M6</f>
        <v>0</v>
      </c>
      <c r="P6" s="49">
        <f>O6+N6</f>
        <v>0</v>
      </c>
      <c r="Q6" s="44"/>
      <c r="R6" s="46"/>
      <c r="S6" s="46"/>
      <c r="T6" s="46"/>
      <c r="U6" s="48">
        <f>Q6*3+S6</f>
        <v>0</v>
      </c>
      <c r="V6" s="48">
        <f>R6*3+T6</f>
        <v>0</v>
      </c>
      <c r="W6" s="50">
        <f>V6+U6</f>
        <v>0</v>
      </c>
      <c r="X6" s="44"/>
      <c r="Y6" s="46"/>
      <c r="Z6" s="46"/>
      <c r="AA6" s="46"/>
      <c r="AB6" s="51">
        <f>X6*3+Z6</f>
        <v>0</v>
      </c>
      <c r="AC6" s="51">
        <f>Y6*3+AA6</f>
        <v>0</v>
      </c>
      <c r="AD6" s="52">
        <f>AC6+AB6</f>
        <v>0</v>
      </c>
      <c r="AE6" s="44"/>
      <c r="AF6" s="46"/>
      <c r="AG6" s="46"/>
      <c r="AH6" s="46"/>
      <c r="AI6" s="48">
        <f>AE6*3+AG6</f>
        <v>0</v>
      </c>
      <c r="AJ6" s="48">
        <f>AF6*3+AH6</f>
        <v>0</v>
      </c>
      <c r="AK6" s="50">
        <f>AJ6+AI6</f>
        <v>0</v>
      </c>
      <c r="AL6" s="44"/>
      <c r="AM6" s="46"/>
      <c r="AN6" s="46"/>
      <c r="AO6" s="46"/>
      <c r="AP6" s="48">
        <f>AL6*3+AN6</f>
        <v>0</v>
      </c>
      <c r="AQ6" s="48">
        <f>AM6*3+AO6</f>
        <v>0</v>
      </c>
      <c r="AR6" s="50">
        <f>AQ6+AP6</f>
        <v>0</v>
      </c>
      <c r="AS6" s="44"/>
      <c r="AT6" s="46"/>
      <c r="AU6" s="46"/>
      <c r="AV6" s="46"/>
      <c r="AW6" s="48">
        <f>AS6*3+AU6</f>
        <v>0</v>
      </c>
      <c r="AX6" s="48">
        <f>AT6*3+AV6</f>
        <v>0</v>
      </c>
      <c r="AY6" s="50">
        <f>AX6+AW6</f>
        <v>0</v>
      </c>
      <c r="AZ6" s="44"/>
      <c r="BA6" s="46"/>
      <c r="BB6" s="46"/>
      <c r="BC6" s="46"/>
      <c r="BD6" s="48">
        <f>AZ6*3+BB6</f>
        <v>0</v>
      </c>
      <c r="BE6" s="48">
        <f>BA6*3+BC6</f>
        <v>0</v>
      </c>
      <c r="BF6" s="50">
        <f>BE6+BD6</f>
        <v>0</v>
      </c>
      <c r="BG6" s="91"/>
      <c r="BH6" s="124"/>
      <c r="BI6" s="46"/>
      <c r="BJ6" s="46"/>
      <c r="BK6" s="48">
        <f>BG6*3+BI6</f>
        <v>0</v>
      </c>
      <c r="BL6" s="48">
        <f>BH6*3+BJ6</f>
        <v>0</v>
      </c>
      <c r="BM6" s="123">
        <f>BL6+BK6</f>
        <v>0</v>
      </c>
      <c r="BN6" s="91"/>
      <c r="BO6" s="124"/>
      <c r="BP6" s="124"/>
      <c r="BQ6" s="124"/>
      <c r="BR6" s="48">
        <f>BN6*3+BP6</f>
        <v>0</v>
      </c>
      <c r="BS6" s="48">
        <f>BO6*3+BQ6</f>
        <v>0</v>
      </c>
      <c r="BT6" s="123">
        <f>BS6+BR6</f>
        <v>0</v>
      </c>
      <c r="BU6" s="91"/>
      <c r="BV6" s="124"/>
      <c r="BW6" s="124"/>
      <c r="BX6" s="124"/>
      <c r="BY6" s="48">
        <f>BU6*3+BW6</f>
        <v>0</v>
      </c>
      <c r="BZ6" s="48">
        <f>BV6*3+BX6</f>
        <v>0</v>
      </c>
      <c r="CA6" s="123">
        <f>BZ6+BY6</f>
        <v>0</v>
      </c>
      <c r="CB6" s="135">
        <f>SUM(AP6,AI6,AB6,U6,N6,AW6,BD6,BK6,BR6,BY6)</f>
        <v>0</v>
      </c>
      <c r="CC6" s="87">
        <f ca="1">CB6/(TODAY()-G6)</f>
        <v>0</v>
      </c>
      <c r="CD6" s="53">
        <f>SUM(AQ6,AJ6,AC6,V6,O6,AX6,BE6,BL6,BS6,BZ6)</f>
        <v>0</v>
      </c>
      <c r="CE6" s="87">
        <f ca="1">CD6/(TODAY()-G6)</f>
        <v>0</v>
      </c>
      <c r="CF6" s="53">
        <f>CB6+CD6</f>
        <v>0</v>
      </c>
      <c r="CG6" s="87">
        <f ca="1">CE6+CC6</f>
        <v>0</v>
      </c>
      <c r="CH6" s="53">
        <f>SUM(AS6,AL6,AE6,X6,Q6,Q6,J6,AZ6,BG6,BN6,BU6)</f>
        <v>0</v>
      </c>
      <c r="CI6" s="53">
        <f>SUM(AT6,AM6,AF6,Y6,R6,R6,K6,BA6,BH6,BO6,BV6)</f>
        <v>0</v>
      </c>
      <c r="CJ6" s="53">
        <f>CI6+CH6</f>
        <v>0</v>
      </c>
    </row>
    <row r="7" spans="1:88" x14ac:dyDescent="0.25">
      <c r="A7" s="91" t="s">
        <v>87</v>
      </c>
      <c r="B7" s="73" t="s">
        <v>188</v>
      </c>
      <c r="C7" s="78" t="str">
        <f>B7&amp;" "&amp;A7</f>
        <v>תאיר אחודה</v>
      </c>
      <c r="D7" s="62" t="s">
        <v>6</v>
      </c>
      <c r="E7" s="62" t="s">
        <v>6</v>
      </c>
      <c r="F7" s="90" t="s">
        <v>209</v>
      </c>
      <c r="G7" s="84">
        <v>43132</v>
      </c>
      <c r="H7" s="90" t="s">
        <v>85</v>
      </c>
      <c r="I7" s="100" t="s">
        <v>222</v>
      </c>
      <c r="J7" s="192"/>
      <c r="K7" s="193"/>
      <c r="L7" s="193"/>
      <c r="M7" s="193"/>
      <c r="N7" s="194">
        <f>J7*3+L7</f>
        <v>0</v>
      </c>
      <c r="O7" s="194">
        <f>K7*3+M7</f>
        <v>0</v>
      </c>
      <c r="P7" s="49">
        <f>O7+N7</f>
        <v>0</v>
      </c>
      <c r="Q7" s="44"/>
      <c r="R7" s="46"/>
      <c r="S7" s="46"/>
      <c r="T7" s="46"/>
      <c r="U7" s="48">
        <f>Q7*3+S7</f>
        <v>0</v>
      </c>
      <c r="V7" s="48">
        <f>R7*3+T7</f>
        <v>0</v>
      </c>
      <c r="W7" s="50">
        <f>V7+U7</f>
        <v>0</v>
      </c>
      <c r="X7" s="44"/>
      <c r="Y7" s="46"/>
      <c r="Z7" s="46"/>
      <c r="AA7" s="46"/>
      <c r="AB7" s="51">
        <f>X7*3+Z7</f>
        <v>0</v>
      </c>
      <c r="AC7" s="51">
        <f>Y7*3+AA7</f>
        <v>0</v>
      </c>
      <c r="AD7" s="52">
        <f>AC7+AB7</f>
        <v>0</v>
      </c>
      <c r="AE7" s="44"/>
      <c r="AF7" s="46"/>
      <c r="AG7" s="46"/>
      <c r="AH7" s="46"/>
      <c r="AI7" s="48">
        <f>AE7*3+AG7</f>
        <v>0</v>
      </c>
      <c r="AJ7" s="48">
        <f>AF7*3+AH7</f>
        <v>0</v>
      </c>
      <c r="AK7" s="50">
        <f>AJ7+AI7</f>
        <v>0</v>
      </c>
      <c r="AL7" s="44"/>
      <c r="AM7" s="46"/>
      <c r="AN7" s="46"/>
      <c r="AO7" s="46"/>
      <c r="AP7" s="48">
        <f>AL7*3+AN7</f>
        <v>0</v>
      </c>
      <c r="AQ7" s="48">
        <f>AM7*3+AO7</f>
        <v>0</v>
      </c>
      <c r="AR7" s="50">
        <f>AQ7+AP7</f>
        <v>0</v>
      </c>
      <c r="AS7" s="44"/>
      <c r="AT7" s="46"/>
      <c r="AU7" s="46"/>
      <c r="AV7" s="46"/>
      <c r="AW7" s="48">
        <f>AS7*3+AU7</f>
        <v>0</v>
      </c>
      <c r="AX7" s="48">
        <f>AT7*3+AV7</f>
        <v>0</v>
      </c>
      <c r="AY7" s="50">
        <f>AX7+AW7</f>
        <v>0</v>
      </c>
      <c r="AZ7" s="44"/>
      <c r="BA7" s="46"/>
      <c r="BB7" s="46"/>
      <c r="BC7" s="46"/>
      <c r="BD7" s="48">
        <f>AZ7*3+BB7</f>
        <v>0</v>
      </c>
      <c r="BE7" s="48">
        <f>BA7*3+BC7</f>
        <v>0</v>
      </c>
      <c r="BF7" s="50">
        <f>BE7+BD7</f>
        <v>0</v>
      </c>
      <c r="BG7" s="91"/>
      <c r="BH7" s="124"/>
      <c r="BI7" s="46"/>
      <c r="BJ7" s="46"/>
      <c r="BK7" s="48">
        <f>BG7*3+BI7</f>
        <v>0</v>
      </c>
      <c r="BL7" s="48">
        <f>BH7*3+BJ7</f>
        <v>0</v>
      </c>
      <c r="BM7" s="123">
        <f>BL7+BK7</f>
        <v>0</v>
      </c>
      <c r="BN7" s="91">
        <v>1</v>
      </c>
      <c r="BO7" s="124"/>
      <c r="BP7" s="124">
        <v>2</v>
      </c>
      <c r="BQ7" s="124"/>
      <c r="BR7" s="48">
        <f>BN7*3+BP7</f>
        <v>5</v>
      </c>
      <c r="BS7" s="48">
        <f>BO7*3+BQ7</f>
        <v>0</v>
      </c>
      <c r="BT7" s="123">
        <f>BS7+BR7</f>
        <v>5</v>
      </c>
      <c r="BU7" s="91"/>
      <c r="BV7" s="124"/>
      <c r="BW7" s="124"/>
      <c r="BX7" s="124"/>
      <c r="BY7" s="48">
        <f>BU7*3+BW7</f>
        <v>0</v>
      </c>
      <c r="BZ7" s="48">
        <f>BV7*3+BX7</f>
        <v>0</v>
      </c>
      <c r="CA7" s="123">
        <f>BZ7+BY7</f>
        <v>0</v>
      </c>
      <c r="CB7" s="135">
        <f>SUM(AP7,AI7,AB7,U7,N7,AW7,BD7,BK7,BR7,BY7)</f>
        <v>5</v>
      </c>
      <c r="CC7" s="87">
        <f ca="1">CB7/(TODAY()-G7)</f>
        <v>9.8039215686274508E-2</v>
      </c>
      <c r="CD7" s="53">
        <f>SUM(AQ7,AJ7,AC7,V7,O7,AX7,BE7,BL7,BS7,BZ7)</f>
        <v>0</v>
      </c>
      <c r="CE7" s="87">
        <f ca="1">CD7/(TODAY()-G7)</f>
        <v>0</v>
      </c>
      <c r="CF7" s="53">
        <f>CB7+CD7</f>
        <v>5</v>
      </c>
      <c r="CG7" s="87">
        <f ca="1">CE7+CC7</f>
        <v>9.8039215686274508E-2</v>
      </c>
      <c r="CH7" s="53">
        <f>SUM(AS7,AL7,AE7,X7,Q7,Q7,J7,AZ7,BG7,BN7,BU7)</f>
        <v>1</v>
      </c>
      <c r="CI7" s="53">
        <f>SUM(AT7,AM7,AF7,Y7,R7,R7,K7,BA7,BH7,BO7,BV7)</f>
        <v>0</v>
      </c>
      <c r="CJ7" s="53">
        <f>CI7+CH7</f>
        <v>1</v>
      </c>
    </row>
    <row r="8" spans="1:88" x14ac:dyDescent="0.25">
      <c r="A8" s="154" t="s">
        <v>19</v>
      </c>
      <c r="B8" s="73" t="s">
        <v>177</v>
      </c>
      <c r="C8" s="78" t="str">
        <f>B8&amp;" "&amp;A8</f>
        <v>נועה מרחבים</v>
      </c>
      <c r="D8" s="62" t="s">
        <v>6</v>
      </c>
      <c r="E8" s="62" t="s">
        <v>6</v>
      </c>
      <c r="F8" s="90" t="s">
        <v>223</v>
      </c>
      <c r="G8" s="84">
        <v>43160</v>
      </c>
      <c r="H8" s="90" t="s">
        <v>85</v>
      </c>
      <c r="I8" s="100" t="s">
        <v>222</v>
      </c>
      <c r="J8" s="192"/>
      <c r="K8" s="193"/>
      <c r="L8" s="193"/>
      <c r="M8" s="193"/>
      <c r="N8" s="194">
        <f>J8*3+L8</f>
        <v>0</v>
      </c>
      <c r="O8" s="194">
        <f>K8*3+M8</f>
        <v>0</v>
      </c>
      <c r="P8" s="49">
        <f>O8+N8</f>
        <v>0</v>
      </c>
      <c r="Q8" s="44"/>
      <c r="R8" s="46"/>
      <c r="S8" s="46"/>
      <c r="T8" s="46"/>
      <c r="U8" s="48">
        <f>Q8*3+S8</f>
        <v>0</v>
      </c>
      <c r="V8" s="48">
        <f>R8*3+T8</f>
        <v>0</v>
      </c>
      <c r="W8" s="50">
        <f>V8+U8</f>
        <v>0</v>
      </c>
      <c r="X8" s="44"/>
      <c r="Y8" s="46"/>
      <c r="Z8" s="46"/>
      <c r="AA8" s="46"/>
      <c r="AB8" s="51">
        <f>X8*3+Z8</f>
        <v>0</v>
      </c>
      <c r="AC8" s="51">
        <f>Y8*3+AA8</f>
        <v>0</v>
      </c>
      <c r="AD8" s="52">
        <f>AC8+AB8</f>
        <v>0</v>
      </c>
      <c r="AE8" s="44"/>
      <c r="AF8" s="46"/>
      <c r="AG8" s="46"/>
      <c r="AH8" s="46"/>
      <c r="AI8" s="48">
        <f>AE8*3+AG8</f>
        <v>0</v>
      </c>
      <c r="AJ8" s="48">
        <f>AF8*3+AH8</f>
        <v>0</v>
      </c>
      <c r="AK8" s="50">
        <f>AJ8+AI8</f>
        <v>0</v>
      </c>
      <c r="AL8" s="44"/>
      <c r="AM8" s="46"/>
      <c r="AN8" s="46"/>
      <c r="AO8" s="46"/>
      <c r="AP8" s="48">
        <f>AL8*3+AN8</f>
        <v>0</v>
      </c>
      <c r="AQ8" s="48">
        <f>AM8*3+AO8</f>
        <v>0</v>
      </c>
      <c r="AR8" s="50">
        <f>AQ8+AP8</f>
        <v>0</v>
      </c>
      <c r="AS8" s="44"/>
      <c r="AT8" s="46"/>
      <c r="AU8" s="46"/>
      <c r="AV8" s="46"/>
      <c r="AW8" s="48">
        <f>AS8*3+AU8</f>
        <v>0</v>
      </c>
      <c r="AX8" s="48">
        <f>AT8*3+AV8</f>
        <v>0</v>
      </c>
      <c r="AY8" s="50">
        <f>AX8+AW8</f>
        <v>0</v>
      </c>
      <c r="AZ8" s="44"/>
      <c r="BA8" s="46"/>
      <c r="BB8" s="46"/>
      <c r="BC8" s="46"/>
      <c r="BD8" s="48">
        <f>AZ8*3+BB8</f>
        <v>0</v>
      </c>
      <c r="BE8" s="48">
        <f>BA8*3+BC8</f>
        <v>0</v>
      </c>
      <c r="BF8" s="50">
        <f>BE8+BD8</f>
        <v>0</v>
      </c>
      <c r="BG8" s="91"/>
      <c r="BH8" s="124"/>
      <c r="BI8" s="46"/>
      <c r="BJ8" s="46"/>
      <c r="BK8" s="48">
        <f>BG8*3+BI8</f>
        <v>0</v>
      </c>
      <c r="BL8" s="48">
        <f>BH8*3+BJ8</f>
        <v>0</v>
      </c>
      <c r="BM8" s="123">
        <f>BL8+BK8</f>
        <v>0</v>
      </c>
      <c r="BN8" s="91"/>
      <c r="BO8" s="124"/>
      <c r="BP8" s="124"/>
      <c r="BQ8" s="124"/>
      <c r="BR8" s="48">
        <f>BN8*3+BP8</f>
        <v>0</v>
      </c>
      <c r="BS8" s="48">
        <f>BO8*3+BQ8</f>
        <v>0</v>
      </c>
      <c r="BT8" s="123">
        <f>BS8+BR8</f>
        <v>0</v>
      </c>
      <c r="BU8" s="91"/>
      <c r="BV8" s="124"/>
      <c r="BW8" s="124"/>
      <c r="BX8" s="124"/>
      <c r="BY8" s="48">
        <f>BU8*3+BW8</f>
        <v>0</v>
      </c>
      <c r="BZ8" s="48">
        <f>BV8*3+BX8</f>
        <v>0</v>
      </c>
      <c r="CA8" s="123">
        <f>BZ8+BY8</f>
        <v>0</v>
      </c>
      <c r="CB8" s="135">
        <f>SUM(AP8,AI8,AB8,U8,N8,AW8,BD8,BK8,BR8,BY8)</f>
        <v>0</v>
      </c>
      <c r="CC8" s="87">
        <f ca="1">CB8/(TODAY()-G8)</f>
        <v>0</v>
      </c>
      <c r="CD8" s="53">
        <f>SUM(AQ8,AJ8,AC8,V8,O8,AX8,BE8,BL8,BS8,BZ8)</f>
        <v>0</v>
      </c>
      <c r="CE8" s="87">
        <f ca="1">CD8/(TODAY()-G8)</f>
        <v>0</v>
      </c>
      <c r="CF8" s="53">
        <f>CB8+CD8</f>
        <v>0</v>
      </c>
      <c r="CG8" s="87">
        <f ca="1">CE8+CC8</f>
        <v>0</v>
      </c>
      <c r="CH8" s="53">
        <f>SUM(AS8,AL8,AE8,X8,Q8,Q8,J8,AZ8,BG8,BN8,BU8)</f>
        <v>0</v>
      </c>
      <c r="CI8" s="53">
        <f>SUM(AT8,AM8,AF8,Y8,R8,R8,K8,BA8,BH8,BO8,BV8)</f>
        <v>0</v>
      </c>
      <c r="CJ8" s="53">
        <f>CI8+CH8</f>
        <v>0</v>
      </c>
    </row>
    <row r="9" spans="1:88" x14ac:dyDescent="0.25">
      <c r="A9" s="91" t="s">
        <v>19</v>
      </c>
      <c r="B9" s="160" t="s">
        <v>139</v>
      </c>
      <c r="C9" s="78" t="str">
        <f>B9&amp;" "&amp;A9</f>
        <v>רותם מרחבים</v>
      </c>
      <c r="D9" s="46" t="s">
        <v>6</v>
      </c>
      <c r="E9" s="62" t="s">
        <v>6</v>
      </c>
      <c r="F9" s="90" t="s">
        <v>207</v>
      </c>
      <c r="G9" s="84">
        <v>43040</v>
      </c>
      <c r="H9" s="138" t="s">
        <v>85</v>
      </c>
      <c r="I9" s="100" t="s">
        <v>179</v>
      </c>
      <c r="J9" s="192"/>
      <c r="K9" s="193"/>
      <c r="L9" s="193"/>
      <c r="M9" s="193"/>
      <c r="N9" s="194">
        <f>J9*3+L9</f>
        <v>0</v>
      </c>
      <c r="O9" s="194">
        <f>K9*3+M9</f>
        <v>0</v>
      </c>
      <c r="P9" s="49">
        <f>O9+N9</f>
        <v>0</v>
      </c>
      <c r="Q9" s="44"/>
      <c r="R9" s="46"/>
      <c r="S9" s="46"/>
      <c r="T9" s="46"/>
      <c r="U9" s="48">
        <f>Q9*3+S9</f>
        <v>0</v>
      </c>
      <c r="V9" s="48">
        <f>R9*3+T9</f>
        <v>0</v>
      </c>
      <c r="W9" s="50">
        <f>V9+U9</f>
        <v>0</v>
      </c>
      <c r="X9" s="44"/>
      <c r="Y9" s="46"/>
      <c r="Z9" s="46"/>
      <c r="AA9" s="46"/>
      <c r="AB9" s="51">
        <f>X9*3+Z9</f>
        <v>0</v>
      </c>
      <c r="AC9" s="51">
        <f>Y9*3+AA9</f>
        <v>0</v>
      </c>
      <c r="AD9" s="52">
        <f>AC9+AB9</f>
        <v>0</v>
      </c>
      <c r="AE9" s="44"/>
      <c r="AF9" s="46"/>
      <c r="AG9" s="46"/>
      <c r="AH9" s="46"/>
      <c r="AI9" s="48">
        <f>AE9*3+AG9</f>
        <v>0</v>
      </c>
      <c r="AJ9" s="48">
        <f>AF9*3+AH9</f>
        <v>0</v>
      </c>
      <c r="AK9" s="50">
        <f>AJ9+AI9</f>
        <v>0</v>
      </c>
      <c r="AL9" s="44"/>
      <c r="AM9" s="46"/>
      <c r="AN9" s="46"/>
      <c r="AO9" s="46"/>
      <c r="AP9" s="48">
        <f>AL9*3+AN9</f>
        <v>0</v>
      </c>
      <c r="AQ9" s="48">
        <f>AM9*3+AO9</f>
        <v>0</v>
      </c>
      <c r="AR9" s="50">
        <f>AQ9+AP9</f>
        <v>0</v>
      </c>
      <c r="AS9" s="44"/>
      <c r="AT9" s="46"/>
      <c r="AU9" s="46">
        <v>1</v>
      </c>
      <c r="AV9" s="46"/>
      <c r="AW9" s="48">
        <f>AS9*3+AU9</f>
        <v>1</v>
      </c>
      <c r="AX9" s="48">
        <f>AT9*3+AV9</f>
        <v>0</v>
      </c>
      <c r="AY9" s="50">
        <f>AX9+AW9</f>
        <v>1</v>
      </c>
      <c r="AZ9" s="44"/>
      <c r="BA9" s="46"/>
      <c r="BB9" s="46">
        <v>1</v>
      </c>
      <c r="BC9" s="46"/>
      <c r="BD9" s="48">
        <f>AZ9*3+BB9</f>
        <v>1</v>
      </c>
      <c r="BE9" s="48">
        <f>BA9*3+BC9</f>
        <v>0</v>
      </c>
      <c r="BF9" s="50">
        <f>BE9+BD9</f>
        <v>1</v>
      </c>
      <c r="BG9" s="91"/>
      <c r="BH9" s="124"/>
      <c r="BI9" s="46">
        <v>2</v>
      </c>
      <c r="BJ9" s="46"/>
      <c r="BK9" s="48">
        <f>BG9*3+BI9</f>
        <v>2</v>
      </c>
      <c r="BL9" s="48">
        <f>BH9*3+BJ9</f>
        <v>0</v>
      </c>
      <c r="BM9" s="123">
        <f>BL9+BK9</f>
        <v>2</v>
      </c>
      <c r="BN9" s="91">
        <v>1</v>
      </c>
      <c r="BO9" s="124"/>
      <c r="BP9" s="124">
        <v>1</v>
      </c>
      <c r="BQ9" s="124"/>
      <c r="BR9" s="48">
        <f>BN9*3+BP9</f>
        <v>4</v>
      </c>
      <c r="BS9" s="48">
        <f>BO9*3+BQ9</f>
        <v>0</v>
      </c>
      <c r="BT9" s="123">
        <f>BS9+BR9</f>
        <v>4</v>
      </c>
      <c r="BU9" s="91"/>
      <c r="BV9" s="124"/>
      <c r="BW9" s="124"/>
      <c r="BX9" s="124"/>
      <c r="BY9" s="48">
        <f>BU9*3+BW9</f>
        <v>0</v>
      </c>
      <c r="BZ9" s="48">
        <f>BV9*3+BX9</f>
        <v>0</v>
      </c>
      <c r="CA9" s="123">
        <f>BZ9+BY9</f>
        <v>0</v>
      </c>
      <c r="CB9" s="135">
        <f>SUM(AP9,AI9,AB9,U9,N9,AW9,BD9,BK9,BR9,BY9)</f>
        <v>8</v>
      </c>
      <c r="CC9" s="87">
        <f ca="1">CB9/(TODAY()-G9)</f>
        <v>5.5944055944055944E-2</v>
      </c>
      <c r="CD9" s="53">
        <f>SUM(AQ9,AJ9,AC9,V9,O9,AX9,BE9,BL9,BS9,BZ9)</f>
        <v>0</v>
      </c>
      <c r="CE9" s="87">
        <f ca="1">CD9/(TODAY()-G9)</f>
        <v>0</v>
      </c>
      <c r="CF9" s="53">
        <f>CB9+CD9</f>
        <v>8</v>
      </c>
      <c r="CG9" s="87">
        <f ca="1">CE9+CC9</f>
        <v>5.5944055944055944E-2</v>
      </c>
      <c r="CH9" s="53">
        <f>SUM(AS9,AL9,AE9,X9,Q9,Q9,J9,AZ9,BG9,BN9,BU9)</f>
        <v>1</v>
      </c>
      <c r="CI9" s="53">
        <f>SUM(AT9,AM9,AF9,Y9,R9,R9,K9,BA9,BH9,BO9,BV9)</f>
        <v>0</v>
      </c>
      <c r="CJ9" s="53">
        <f>CI9+CH9</f>
        <v>1</v>
      </c>
    </row>
    <row r="10" spans="1:88" x14ac:dyDescent="0.25">
      <c r="A10" s="91" t="s">
        <v>87</v>
      </c>
      <c r="B10" s="73" t="s">
        <v>13</v>
      </c>
      <c r="C10" s="78" t="str">
        <f>B10&amp;" "&amp;A10</f>
        <v>עדן אחודה</v>
      </c>
      <c r="D10" s="62" t="s">
        <v>85</v>
      </c>
      <c r="E10" s="62" t="s">
        <v>7</v>
      </c>
      <c r="F10" s="90" t="s">
        <v>223</v>
      </c>
      <c r="G10" s="84">
        <v>43160</v>
      </c>
      <c r="H10" s="90" t="s">
        <v>85</v>
      </c>
      <c r="I10" s="47"/>
      <c r="J10" s="192"/>
      <c r="K10" s="193"/>
      <c r="L10" s="193"/>
      <c r="M10" s="193"/>
      <c r="N10" s="194">
        <f>J10*3+L10</f>
        <v>0</v>
      </c>
      <c r="O10" s="194">
        <f>K10*3+M10</f>
        <v>0</v>
      </c>
      <c r="P10" s="49">
        <f>O10+N10</f>
        <v>0</v>
      </c>
      <c r="Q10" s="44"/>
      <c r="R10" s="46"/>
      <c r="S10" s="46"/>
      <c r="T10" s="46"/>
      <c r="U10" s="48">
        <f>Q10*3+S10</f>
        <v>0</v>
      </c>
      <c r="V10" s="48">
        <f>R10*3+T10</f>
        <v>0</v>
      </c>
      <c r="W10" s="50">
        <f>V10+U10</f>
        <v>0</v>
      </c>
      <c r="X10" s="44"/>
      <c r="Y10" s="46"/>
      <c r="Z10" s="46"/>
      <c r="AA10" s="46"/>
      <c r="AB10" s="51">
        <f>X10*3+Z10</f>
        <v>0</v>
      </c>
      <c r="AC10" s="51">
        <f>Y10*3+AA10</f>
        <v>0</v>
      </c>
      <c r="AD10" s="52">
        <f>AC10+AB10</f>
        <v>0</v>
      </c>
      <c r="AE10" s="44"/>
      <c r="AF10" s="46"/>
      <c r="AG10" s="46"/>
      <c r="AH10" s="46"/>
      <c r="AI10" s="48">
        <f>AE10*3+AG10</f>
        <v>0</v>
      </c>
      <c r="AJ10" s="48">
        <f>AF10*3+AH10</f>
        <v>0</v>
      </c>
      <c r="AK10" s="50">
        <f>AJ10+AI10</f>
        <v>0</v>
      </c>
      <c r="AL10" s="44"/>
      <c r="AM10" s="46"/>
      <c r="AN10" s="46"/>
      <c r="AO10" s="46"/>
      <c r="AP10" s="48">
        <f>AL10*3+AN10</f>
        <v>0</v>
      </c>
      <c r="AQ10" s="48">
        <f>AM10*3+AO10</f>
        <v>0</v>
      </c>
      <c r="AR10" s="50">
        <f>AQ10+AP10</f>
        <v>0</v>
      </c>
      <c r="AS10" s="44"/>
      <c r="AT10" s="46"/>
      <c r="AU10" s="46"/>
      <c r="AV10" s="46"/>
      <c r="AW10" s="48">
        <f>AS10*3+AU10</f>
        <v>0</v>
      </c>
      <c r="AX10" s="48">
        <f>AT10*3+AV10</f>
        <v>0</v>
      </c>
      <c r="AY10" s="50">
        <f>AX10+AW10</f>
        <v>0</v>
      </c>
      <c r="AZ10" s="44"/>
      <c r="BA10" s="46"/>
      <c r="BB10" s="46"/>
      <c r="BC10" s="46"/>
      <c r="BD10" s="48">
        <f>AZ10*3+BB10</f>
        <v>0</v>
      </c>
      <c r="BE10" s="48">
        <f>BA10*3+BC10</f>
        <v>0</v>
      </c>
      <c r="BF10" s="50">
        <f>BE10+BD10</f>
        <v>0</v>
      </c>
      <c r="BG10" s="91"/>
      <c r="BH10" s="124"/>
      <c r="BI10" s="46"/>
      <c r="BJ10" s="46"/>
      <c r="BK10" s="48">
        <f>BG10*3+BI10</f>
        <v>0</v>
      </c>
      <c r="BL10" s="48">
        <f>BH10*3+BJ10</f>
        <v>0</v>
      </c>
      <c r="BM10" s="123">
        <f>BL10+BK10</f>
        <v>0</v>
      </c>
      <c r="BN10" s="91"/>
      <c r="BO10" s="124"/>
      <c r="BP10" s="124"/>
      <c r="BQ10" s="124"/>
      <c r="BR10" s="48">
        <f>BN10*3+BP10</f>
        <v>0</v>
      </c>
      <c r="BS10" s="48">
        <f>BO10*3+BQ10</f>
        <v>0</v>
      </c>
      <c r="BT10" s="123">
        <f>BS10+BR10</f>
        <v>0</v>
      </c>
      <c r="BU10" s="91"/>
      <c r="BV10" s="124"/>
      <c r="BW10" s="124"/>
      <c r="BX10" s="124"/>
      <c r="BY10" s="48">
        <f>BU10*3+BW10</f>
        <v>0</v>
      </c>
      <c r="BZ10" s="48">
        <f>BV10*3+BX10</f>
        <v>0</v>
      </c>
      <c r="CA10" s="123">
        <f>BZ10+BY10</f>
        <v>0</v>
      </c>
      <c r="CB10" s="135">
        <f>SUM(AP10,AI10,AB10,U10,N10,AW10,BD10,BK10,BR10,BY10)</f>
        <v>0</v>
      </c>
      <c r="CC10" s="87">
        <f ca="1">CB10/(TODAY()-G10)</f>
        <v>0</v>
      </c>
      <c r="CD10" s="53">
        <f>SUM(AQ10,AJ10,AC10,V10,O10,AX10,BE10,BL10,BS10,BZ10)</f>
        <v>0</v>
      </c>
      <c r="CE10" s="87">
        <f ca="1">CD10/(TODAY()-G10)</f>
        <v>0</v>
      </c>
      <c r="CF10" s="53">
        <f>CB10+CD10</f>
        <v>0</v>
      </c>
      <c r="CG10" s="87">
        <f ca="1">CE10+CC10</f>
        <v>0</v>
      </c>
      <c r="CH10" s="53">
        <f>SUM(AS10,AL10,AE10,X10,Q10,Q10,J10,AZ10,BG10,BN10,BU10)</f>
        <v>0</v>
      </c>
      <c r="CI10" s="53">
        <f>SUM(AT10,AM10,AF10,Y10,R10,R10,K10,BA10,BH10,BO10,BV10)</f>
        <v>0</v>
      </c>
      <c r="CJ10" s="53">
        <f>CI10+CH10</f>
        <v>0</v>
      </c>
    </row>
    <row r="11" spans="1:88" x14ac:dyDescent="0.25">
      <c r="A11" s="44">
        <v>209</v>
      </c>
      <c r="B11" s="45" t="s">
        <v>114</v>
      </c>
      <c r="C11" s="45" t="str">
        <f>B11&amp;" "&amp;A11</f>
        <v>גילי 209</v>
      </c>
      <c r="D11" s="46" t="s">
        <v>7</v>
      </c>
      <c r="E11" s="62" t="s">
        <v>7</v>
      </c>
      <c r="F11" s="90" t="s">
        <v>206</v>
      </c>
      <c r="G11" s="84">
        <v>43009</v>
      </c>
      <c r="H11" s="54" t="s">
        <v>85</v>
      </c>
      <c r="I11" s="47"/>
      <c r="J11" s="192"/>
      <c r="K11" s="193"/>
      <c r="L11" s="193"/>
      <c r="M11" s="193"/>
      <c r="N11" s="194">
        <f>J11*3+L11</f>
        <v>0</v>
      </c>
      <c r="O11" s="194">
        <f>K11*3+M11</f>
        <v>0</v>
      </c>
      <c r="P11" s="49">
        <f>O11+N11</f>
        <v>0</v>
      </c>
      <c r="Q11" s="44"/>
      <c r="R11" s="46"/>
      <c r="S11" s="46"/>
      <c r="T11" s="46"/>
      <c r="U11" s="48">
        <f>Q11*3+S11</f>
        <v>0</v>
      </c>
      <c r="V11" s="48">
        <f>R11*3+T11</f>
        <v>0</v>
      </c>
      <c r="W11" s="50">
        <f>V11+U11</f>
        <v>0</v>
      </c>
      <c r="X11" s="44"/>
      <c r="Y11" s="46"/>
      <c r="Z11" s="46"/>
      <c r="AA11" s="46"/>
      <c r="AB11" s="51">
        <f>X11*3+Z11</f>
        <v>0</v>
      </c>
      <c r="AC11" s="51">
        <f>Y11*3+AA11</f>
        <v>0</v>
      </c>
      <c r="AD11" s="52">
        <f>AC11+AB11</f>
        <v>0</v>
      </c>
      <c r="AE11" s="44"/>
      <c r="AF11" s="46"/>
      <c r="AG11" s="46"/>
      <c r="AH11" s="46"/>
      <c r="AI11" s="48">
        <f>AE11*3+AG11</f>
        <v>0</v>
      </c>
      <c r="AJ11" s="48">
        <f>AF11*3+AH11</f>
        <v>0</v>
      </c>
      <c r="AK11" s="50">
        <f>AJ11+AI11</f>
        <v>0</v>
      </c>
      <c r="AL11" s="44"/>
      <c r="AM11" s="46">
        <v>1</v>
      </c>
      <c r="AN11" s="46"/>
      <c r="AO11" s="46"/>
      <c r="AP11" s="48">
        <f>AL11*3+AN11</f>
        <v>0</v>
      </c>
      <c r="AQ11" s="48">
        <f>AM11*3+AO11</f>
        <v>3</v>
      </c>
      <c r="AR11" s="50">
        <f>AQ11+AP11</f>
        <v>3</v>
      </c>
      <c r="AS11" s="44"/>
      <c r="AT11" s="46">
        <v>1</v>
      </c>
      <c r="AU11" s="46"/>
      <c r="AV11" s="46">
        <v>2</v>
      </c>
      <c r="AW11" s="48">
        <f>AS11*3+AU11</f>
        <v>0</v>
      </c>
      <c r="AX11" s="48">
        <f>AT11*3+AV11</f>
        <v>5</v>
      </c>
      <c r="AY11" s="50">
        <f>AX11+AW11</f>
        <v>5</v>
      </c>
      <c r="AZ11" s="44"/>
      <c r="BA11" s="46"/>
      <c r="BB11" s="46"/>
      <c r="BC11" s="46">
        <v>3</v>
      </c>
      <c r="BD11" s="48">
        <f>AZ11*3+BB11</f>
        <v>0</v>
      </c>
      <c r="BE11" s="48">
        <f>BA11*3+BC11</f>
        <v>3</v>
      </c>
      <c r="BF11" s="50">
        <f>BE11+BD11</f>
        <v>3</v>
      </c>
      <c r="BG11" s="91"/>
      <c r="BH11" s="124">
        <v>1</v>
      </c>
      <c r="BI11" s="124"/>
      <c r="BJ11" s="46">
        <v>2</v>
      </c>
      <c r="BK11" s="48">
        <f>BG11*3+BI11</f>
        <v>0</v>
      </c>
      <c r="BL11" s="48">
        <f>BH11*3+BJ11</f>
        <v>5</v>
      </c>
      <c r="BM11" s="123">
        <f>BL11+BK11</f>
        <v>5</v>
      </c>
      <c r="BN11" s="91"/>
      <c r="BO11" s="124"/>
      <c r="BP11" s="124"/>
      <c r="BQ11" s="124">
        <v>1</v>
      </c>
      <c r="BR11" s="48">
        <f>BN11*3+BP11</f>
        <v>0</v>
      </c>
      <c r="BS11" s="48">
        <f>BO11*3+BQ11</f>
        <v>1</v>
      </c>
      <c r="BT11" s="123">
        <f>BS11+BR11</f>
        <v>1</v>
      </c>
      <c r="BU11" s="91"/>
      <c r="BV11" s="124">
        <v>1</v>
      </c>
      <c r="BW11" s="124"/>
      <c r="BX11" s="124"/>
      <c r="BY11" s="48">
        <f>BU11*3+BW11</f>
        <v>0</v>
      </c>
      <c r="BZ11" s="48">
        <f>BV11*3+BX11</f>
        <v>3</v>
      </c>
      <c r="CA11" s="123">
        <f>BZ11+BY11</f>
        <v>3</v>
      </c>
      <c r="CB11" s="135">
        <f>SUM(AP11,AI11,AB11,U11,N11,AW11,BD11,BK11,BR11,BY11)</f>
        <v>0</v>
      </c>
      <c r="CC11" s="87">
        <f ca="1">CB11/(TODAY()-G11)</f>
        <v>0</v>
      </c>
      <c r="CD11" s="53">
        <f>SUM(AQ11,AJ11,AC11,V11,O11,AX11,BE11,BL11,BS11,BZ11)</f>
        <v>20</v>
      </c>
      <c r="CE11" s="87">
        <f ca="1">CD11/(TODAY()-G11)</f>
        <v>0.11494252873563218</v>
      </c>
      <c r="CF11" s="53">
        <f>CB11+CD11</f>
        <v>20</v>
      </c>
      <c r="CG11" s="87">
        <f ca="1">CE11+CC11</f>
        <v>0.11494252873563218</v>
      </c>
      <c r="CH11" s="53">
        <f>SUM(AS11,AL11,AE11,X11,Q11,Q11,J11,AZ11,BG11,BN11,BU11)</f>
        <v>0</v>
      </c>
      <c r="CI11" s="53">
        <f>SUM(AT11,AM11,AF11,Y11,R11,R11,K11,BA11,BH11,BO11,BV11)</f>
        <v>4</v>
      </c>
      <c r="CJ11" s="53">
        <f>CI11+CH11</f>
        <v>4</v>
      </c>
    </row>
    <row r="12" spans="1:88" x14ac:dyDescent="0.25">
      <c r="A12" s="44">
        <v>679</v>
      </c>
      <c r="B12" s="73" t="s">
        <v>219</v>
      </c>
      <c r="C12" s="78" t="str">
        <f>B12&amp;" "&amp;A12</f>
        <v>אורי 679</v>
      </c>
      <c r="D12" s="62" t="s">
        <v>7</v>
      </c>
      <c r="E12" s="62" t="s">
        <v>7</v>
      </c>
      <c r="F12" s="90" t="s">
        <v>223</v>
      </c>
      <c r="G12" s="84">
        <v>43160</v>
      </c>
      <c r="H12" s="138" t="s">
        <v>85</v>
      </c>
      <c r="I12" s="47"/>
      <c r="J12" s="192"/>
      <c r="K12" s="193"/>
      <c r="L12" s="193"/>
      <c r="M12" s="193"/>
      <c r="N12" s="194">
        <f>J12*3+L12</f>
        <v>0</v>
      </c>
      <c r="O12" s="194">
        <f>K12*3+M12</f>
        <v>0</v>
      </c>
      <c r="P12" s="49">
        <f>O12+N12</f>
        <v>0</v>
      </c>
      <c r="Q12" s="44"/>
      <c r="R12" s="46"/>
      <c r="S12" s="46"/>
      <c r="T12" s="46"/>
      <c r="U12" s="48">
        <f>Q12*3+S12</f>
        <v>0</v>
      </c>
      <c r="V12" s="48">
        <f>R12*3+T12</f>
        <v>0</v>
      </c>
      <c r="W12" s="50">
        <f>V12+U12</f>
        <v>0</v>
      </c>
      <c r="X12" s="44"/>
      <c r="Y12" s="46"/>
      <c r="Z12" s="46"/>
      <c r="AA12" s="46"/>
      <c r="AB12" s="51">
        <f>X12*3+Z12</f>
        <v>0</v>
      </c>
      <c r="AC12" s="51">
        <f>Y12*3+AA12</f>
        <v>0</v>
      </c>
      <c r="AD12" s="52">
        <f>AC12+AB12</f>
        <v>0</v>
      </c>
      <c r="AE12" s="44"/>
      <c r="AF12" s="46"/>
      <c r="AG12" s="46"/>
      <c r="AH12" s="46"/>
      <c r="AI12" s="48">
        <f>AE12*3+AG12</f>
        <v>0</v>
      </c>
      <c r="AJ12" s="48">
        <f>AF12*3+AH12</f>
        <v>0</v>
      </c>
      <c r="AK12" s="50">
        <f>AJ12+AI12</f>
        <v>0</v>
      </c>
      <c r="AL12" s="44"/>
      <c r="AM12" s="46"/>
      <c r="AN12" s="46"/>
      <c r="AO12" s="46"/>
      <c r="AP12" s="48">
        <f>AL12*3+AN12</f>
        <v>0</v>
      </c>
      <c r="AQ12" s="48">
        <f>AM12*3+AO12</f>
        <v>0</v>
      </c>
      <c r="AR12" s="50">
        <f>AQ12+AP12</f>
        <v>0</v>
      </c>
      <c r="AS12" s="44"/>
      <c r="AT12" s="46"/>
      <c r="AU12" s="46"/>
      <c r="AV12" s="46"/>
      <c r="AW12" s="48">
        <f>AS12*3+AU12</f>
        <v>0</v>
      </c>
      <c r="AX12" s="48">
        <f>AT12*3+AV12</f>
        <v>0</v>
      </c>
      <c r="AY12" s="50">
        <f>AX12+AW12</f>
        <v>0</v>
      </c>
      <c r="AZ12" s="44"/>
      <c r="BA12" s="46"/>
      <c r="BB12" s="46"/>
      <c r="BC12" s="46"/>
      <c r="BD12" s="48">
        <f>AZ12*3+BB12</f>
        <v>0</v>
      </c>
      <c r="BE12" s="48">
        <f>BA12*3+BC12</f>
        <v>0</v>
      </c>
      <c r="BF12" s="50">
        <f>BE12+BD12</f>
        <v>0</v>
      </c>
      <c r="BG12" s="91"/>
      <c r="BH12" s="124"/>
      <c r="BI12" s="46"/>
      <c r="BJ12" s="46"/>
      <c r="BK12" s="48">
        <f>BG12*3+BI12</f>
        <v>0</v>
      </c>
      <c r="BL12" s="48">
        <f>BH12*3+BJ12</f>
        <v>0</v>
      </c>
      <c r="BM12" s="123">
        <f>BL12+BK12</f>
        <v>0</v>
      </c>
      <c r="BN12" s="91"/>
      <c r="BO12" s="124"/>
      <c r="BP12" s="124"/>
      <c r="BQ12" s="124"/>
      <c r="BR12" s="48">
        <f>BN12*3+BP12</f>
        <v>0</v>
      </c>
      <c r="BS12" s="48">
        <f>BO12*3+BQ12</f>
        <v>0</v>
      </c>
      <c r="BT12" s="123">
        <f>BS12+BR12</f>
        <v>0</v>
      </c>
      <c r="BU12" s="91"/>
      <c r="BV12" s="124">
        <v>1</v>
      </c>
      <c r="BW12" s="124"/>
      <c r="BX12" s="124"/>
      <c r="BY12" s="48">
        <f>BU12*3+BW12</f>
        <v>0</v>
      </c>
      <c r="BZ12" s="48">
        <f>BV12*3+BX12</f>
        <v>3</v>
      </c>
      <c r="CA12" s="123">
        <f>BZ12+BY12</f>
        <v>3</v>
      </c>
      <c r="CB12" s="135">
        <f>SUM(AP12,AI12,AB12,U12,N12,AW12,BD12,BK12,BR12,BY12)</f>
        <v>0</v>
      </c>
      <c r="CC12" s="87">
        <f ca="1">CB12/(TODAY()-G12)</f>
        <v>0</v>
      </c>
      <c r="CD12" s="53">
        <f>SUM(AQ12,AJ12,AC12,V12,O12,AX12,BE12,BL12,BS12,BZ12)</f>
        <v>3</v>
      </c>
      <c r="CE12" s="87">
        <f ca="1">CD12/(TODAY()-G12)</f>
        <v>0.13043478260869565</v>
      </c>
      <c r="CF12" s="53">
        <f>CB12+CD12</f>
        <v>3</v>
      </c>
      <c r="CG12" s="87">
        <f ca="1">CE12+CC12</f>
        <v>0.13043478260869565</v>
      </c>
      <c r="CH12" s="53">
        <f>SUM(AS12,AL12,AE12,X12,Q12,Q12,J12,AZ12,BG12,BN12,BU12)</f>
        <v>0</v>
      </c>
      <c r="CI12" s="53">
        <f>SUM(AT12,AM12,AF12,Y12,R12,R12,K12,BA12,BH12,BO12,BV12)</f>
        <v>1</v>
      </c>
      <c r="CJ12" s="53">
        <f>CI12+CH12</f>
        <v>1</v>
      </c>
    </row>
    <row r="13" spans="1:88" x14ac:dyDescent="0.25">
      <c r="A13" s="44" t="s">
        <v>87</v>
      </c>
      <c r="B13" s="45" t="s">
        <v>62</v>
      </c>
      <c r="C13" s="78" t="str">
        <f>B13&amp;" "&amp;A13</f>
        <v>סופיה אחודה</v>
      </c>
      <c r="D13" s="46" t="s">
        <v>7</v>
      </c>
      <c r="E13" s="46" t="s">
        <v>7</v>
      </c>
      <c r="F13" s="90" t="s">
        <v>204</v>
      </c>
      <c r="G13" s="84">
        <v>42948</v>
      </c>
      <c r="H13" s="54">
        <v>43659</v>
      </c>
      <c r="I13" s="47"/>
      <c r="J13" s="192"/>
      <c r="K13" s="193"/>
      <c r="L13" s="193"/>
      <c r="M13" s="193"/>
      <c r="N13" s="194">
        <f>J13*3+L13</f>
        <v>0</v>
      </c>
      <c r="O13" s="194">
        <f>K13*3+M13</f>
        <v>0</v>
      </c>
      <c r="P13" s="49">
        <f>O13+N13</f>
        <v>0</v>
      </c>
      <c r="Q13" s="44"/>
      <c r="R13" s="46"/>
      <c r="S13" s="46"/>
      <c r="T13" s="46"/>
      <c r="U13" s="48">
        <f>Q13*3+S13</f>
        <v>0</v>
      </c>
      <c r="V13" s="48">
        <f>R13*3+T13</f>
        <v>0</v>
      </c>
      <c r="W13" s="50">
        <f>V13+U13</f>
        <v>0</v>
      </c>
      <c r="X13" s="44"/>
      <c r="Y13" s="46"/>
      <c r="Z13" s="46"/>
      <c r="AA13" s="46"/>
      <c r="AB13" s="51">
        <f>X13*3+Z13</f>
        <v>0</v>
      </c>
      <c r="AC13" s="51">
        <f>Y13*3+AA13</f>
        <v>0</v>
      </c>
      <c r="AD13" s="52">
        <f>AC13+AB13</f>
        <v>0</v>
      </c>
      <c r="AE13" s="44"/>
      <c r="AF13" s="46">
        <v>1</v>
      </c>
      <c r="AG13" s="46"/>
      <c r="AH13" s="46">
        <v>1</v>
      </c>
      <c r="AI13" s="48">
        <f>AE13*3+AG13</f>
        <v>0</v>
      </c>
      <c r="AJ13" s="48">
        <f>AF13*3+AH13</f>
        <v>4</v>
      </c>
      <c r="AK13" s="50">
        <f>AJ13+AI13</f>
        <v>4</v>
      </c>
      <c r="AL13" s="44"/>
      <c r="AM13" s="46">
        <v>1</v>
      </c>
      <c r="AN13" s="46"/>
      <c r="AO13" s="46">
        <v>1</v>
      </c>
      <c r="AP13" s="48">
        <f>AL13*3+AN13</f>
        <v>0</v>
      </c>
      <c r="AQ13" s="48">
        <f>AM13*3+AO13</f>
        <v>4</v>
      </c>
      <c r="AR13" s="50">
        <f>AQ13+AP13</f>
        <v>4</v>
      </c>
      <c r="AS13" s="44"/>
      <c r="AT13" s="46"/>
      <c r="AU13" s="46"/>
      <c r="AV13" s="46">
        <v>3</v>
      </c>
      <c r="AW13" s="48">
        <f>AS13*3+AU13</f>
        <v>0</v>
      </c>
      <c r="AX13" s="48">
        <f>AT13*3+AV13</f>
        <v>3</v>
      </c>
      <c r="AY13" s="50">
        <f>AX13+AW13</f>
        <v>3</v>
      </c>
      <c r="AZ13" s="44"/>
      <c r="BA13" s="46">
        <v>1</v>
      </c>
      <c r="BB13" s="46"/>
      <c r="BC13" s="46">
        <v>1</v>
      </c>
      <c r="BD13" s="48">
        <f>AZ13*3+BB13</f>
        <v>0</v>
      </c>
      <c r="BE13" s="48">
        <f>BA13*3+BC13</f>
        <v>4</v>
      </c>
      <c r="BF13" s="50">
        <f>BE13+BD13</f>
        <v>4</v>
      </c>
      <c r="BG13" s="91"/>
      <c r="BH13" s="124"/>
      <c r="BI13" s="46"/>
      <c r="BJ13" s="46">
        <v>2</v>
      </c>
      <c r="BK13" s="48">
        <f>BG13*3+BI13</f>
        <v>0</v>
      </c>
      <c r="BL13" s="48">
        <f>BH13*3+BJ13</f>
        <v>2</v>
      </c>
      <c r="BM13" s="123">
        <f>BL13+BK13</f>
        <v>2</v>
      </c>
      <c r="BN13" s="91"/>
      <c r="BO13" s="124"/>
      <c r="BP13" s="124"/>
      <c r="BQ13" s="124">
        <v>4</v>
      </c>
      <c r="BR13" s="48">
        <f>BN13*3+BP13</f>
        <v>0</v>
      </c>
      <c r="BS13" s="48">
        <f>BO13*3+BQ13</f>
        <v>4</v>
      </c>
      <c r="BT13" s="123">
        <f>BS13+BR13</f>
        <v>4</v>
      </c>
      <c r="BU13" s="91"/>
      <c r="BV13" s="124">
        <v>1</v>
      </c>
      <c r="BW13" s="124"/>
      <c r="BX13" s="124"/>
      <c r="BY13" s="48">
        <f>BU13*3+BW13</f>
        <v>0</v>
      </c>
      <c r="BZ13" s="48">
        <f>BV13*3+BX13</f>
        <v>3</v>
      </c>
      <c r="CA13" s="123">
        <f>BZ13+BY13</f>
        <v>3</v>
      </c>
      <c r="CB13" s="135">
        <f>SUM(AP13,AI13,AB13,U13,N13,AW13,BD13,BK13,BR13,BY13)</f>
        <v>0</v>
      </c>
      <c r="CC13" s="87">
        <f ca="1">CB13/(TODAY()-G13)</f>
        <v>0</v>
      </c>
      <c r="CD13" s="53">
        <f>SUM(AQ13,AJ13,AC13,V13,O13,AX13,BE13,BL13,BS13,BZ13)</f>
        <v>24</v>
      </c>
      <c r="CE13" s="87">
        <f ca="1">CD13/(TODAY()-G13)</f>
        <v>0.10212765957446808</v>
      </c>
      <c r="CF13" s="53">
        <f>CB13+CD13</f>
        <v>24</v>
      </c>
      <c r="CG13" s="87">
        <f ca="1">CE13+CC13</f>
        <v>0.10212765957446808</v>
      </c>
      <c r="CH13" s="53">
        <f>SUM(AS13,AL13,AE13,X13,Q13,Q13,J13,AZ13,BG13,BN13,BU13)</f>
        <v>0</v>
      </c>
      <c r="CI13" s="53">
        <f>SUM(AT13,AM13,AF13,Y13,R13,R13,K13,BA13,BH13,BO13,BV13)</f>
        <v>4</v>
      </c>
      <c r="CJ13" s="53">
        <f>CI13+CH13</f>
        <v>4</v>
      </c>
    </row>
    <row r="14" spans="1:88" x14ac:dyDescent="0.25">
      <c r="A14" s="44">
        <v>474</v>
      </c>
      <c r="B14" s="45" t="s">
        <v>5</v>
      </c>
      <c r="C14" s="78" t="str">
        <f>B14&amp;" "&amp;A14</f>
        <v>מאי 474</v>
      </c>
      <c r="D14" s="62" t="s">
        <v>7</v>
      </c>
      <c r="E14" s="62" t="s">
        <v>7</v>
      </c>
      <c r="F14" s="90" t="s">
        <v>205</v>
      </c>
      <c r="G14" s="84">
        <v>42979</v>
      </c>
      <c r="H14" s="54">
        <v>43661</v>
      </c>
      <c r="I14" s="47"/>
      <c r="J14" s="192"/>
      <c r="K14" s="193"/>
      <c r="L14" s="193"/>
      <c r="M14" s="193"/>
      <c r="N14" s="194">
        <f>J14*3+L14</f>
        <v>0</v>
      </c>
      <c r="O14" s="194">
        <f>K14*3+M14</f>
        <v>0</v>
      </c>
      <c r="P14" s="49">
        <f>O14+N14</f>
        <v>0</v>
      </c>
      <c r="Q14" s="44"/>
      <c r="R14" s="46"/>
      <c r="S14" s="46"/>
      <c r="T14" s="46"/>
      <c r="U14" s="48">
        <f>Q14*3+S14</f>
        <v>0</v>
      </c>
      <c r="V14" s="48">
        <f>R14*3+T14</f>
        <v>0</v>
      </c>
      <c r="W14" s="50">
        <f>V14+U14</f>
        <v>0</v>
      </c>
      <c r="X14" s="44"/>
      <c r="Y14" s="46"/>
      <c r="Z14" s="46"/>
      <c r="AA14" s="46"/>
      <c r="AB14" s="51">
        <f>X14*3+Z14</f>
        <v>0</v>
      </c>
      <c r="AC14" s="51">
        <f>Y14*3+AA14</f>
        <v>0</v>
      </c>
      <c r="AD14" s="52">
        <f>AC14+AB14</f>
        <v>0</v>
      </c>
      <c r="AE14" s="44">
        <v>1</v>
      </c>
      <c r="AF14" s="46"/>
      <c r="AG14" s="46">
        <v>2</v>
      </c>
      <c r="AH14" s="46"/>
      <c r="AI14" s="48">
        <f>AE14*3+AG14</f>
        <v>5</v>
      </c>
      <c r="AJ14" s="48">
        <f>AF14*3+AH14</f>
        <v>0</v>
      </c>
      <c r="AK14" s="50">
        <f>AJ14+AI14</f>
        <v>5</v>
      </c>
      <c r="AL14" s="44">
        <v>1</v>
      </c>
      <c r="AM14" s="46"/>
      <c r="AN14" s="46"/>
      <c r="AO14" s="46"/>
      <c r="AP14" s="48">
        <f>AL14*3+AN14</f>
        <v>3</v>
      </c>
      <c r="AQ14" s="48">
        <f>AM14*3+AO14</f>
        <v>0</v>
      </c>
      <c r="AR14" s="50">
        <f>AQ14+AP14</f>
        <v>3</v>
      </c>
      <c r="AS14" s="44"/>
      <c r="AT14" s="46"/>
      <c r="AU14" s="46"/>
      <c r="AV14" s="46">
        <v>2</v>
      </c>
      <c r="AW14" s="48">
        <f>AS14*3+AU14</f>
        <v>0</v>
      </c>
      <c r="AX14" s="48">
        <f>AT14*3+AV14</f>
        <v>2</v>
      </c>
      <c r="AY14" s="50">
        <f>AX14+AW14</f>
        <v>2</v>
      </c>
      <c r="AZ14" s="44"/>
      <c r="BA14" s="46">
        <v>1</v>
      </c>
      <c r="BB14" s="46"/>
      <c r="BC14" s="46">
        <v>2</v>
      </c>
      <c r="BD14" s="48">
        <f>AZ14*3+BB14</f>
        <v>0</v>
      </c>
      <c r="BE14" s="48">
        <f>BA14*3+BC14</f>
        <v>5</v>
      </c>
      <c r="BF14" s="50">
        <f>BE14+BD14</f>
        <v>5</v>
      </c>
      <c r="BG14" s="91"/>
      <c r="BH14" s="124">
        <v>1</v>
      </c>
      <c r="BI14" s="124"/>
      <c r="BJ14" s="46">
        <v>1</v>
      </c>
      <c r="BK14" s="48">
        <f>BG14*3+BI14</f>
        <v>0</v>
      </c>
      <c r="BL14" s="48">
        <f>BH14*3+BJ14</f>
        <v>4</v>
      </c>
      <c r="BM14" s="123">
        <f>BL14+BK14</f>
        <v>4</v>
      </c>
      <c r="BN14" s="91"/>
      <c r="BO14" s="124">
        <v>1</v>
      </c>
      <c r="BP14" s="124"/>
      <c r="BQ14" s="124">
        <v>1</v>
      </c>
      <c r="BR14" s="48">
        <f>BN14*3+BP14</f>
        <v>0</v>
      </c>
      <c r="BS14" s="48">
        <f>BO14*3+BQ14</f>
        <v>4</v>
      </c>
      <c r="BT14" s="123">
        <f>BS14+BR14</f>
        <v>4</v>
      </c>
      <c r="BU14" s="91"/>
      <c r="BV14" s="124"/>
      <c r="BW14" s="124"/>
      <c r="BX14" s="124"/>
      <c r="BY14" s="48">
        <f>BU14*3+BW14</f>
        <v>0</v>
      </c>
      <c r="BZ14" s="48">
        <f>BV14*3+BX14</f>
        <v>0</v>
      </c>
      <c r="CA14" s="123">
        <f>BZ14+BY14</f>
        <v>0</v>
      </c>
      <c r="CB14" s="135">
        <f>SUM(AP14,AI14,AB14,U14,N14,AW14,BD14,BK14,BR14,BY14)</f>
        <v>8</v>
      </c>
      <c r="CC14" s="87">
        <f ca="1">CB14/(TODAY()-G14)</f>
        <v>3.9215686274509803E-2</v>
      </c>
      <c r="CD14" s="53">
        <f>SUM(AQ14,AJ14,AC14,V14,O14,AX14,BE14,BL14,BS14,BZ14)</f>
        <v>15</v>
      </c>
      <c r="CE14" s="87">
        <f ca="1">CD14/(TODAY()-G14)</f>
        <v>7.3529411764705885E-2</v>
      </c>
      <c r="CF14" s="53">
        <f>CB14+CD14</f>
        <v>23</v>
      </c>
      <c r="CG14" s="87">
        <f ca="1">CE14+CC14</f>
        <v>0.11274509803921569</v>
      </c>
      <c r="CH14" s="53">
        <f>SUM(AS14,AL14,AE14,X14,Q14,Q14,J14,AZ14,BG14,BN14,BU14)</f>
        <v>2</v>
      </c>
      <c r="CI14" s="53">
        <f>SUM(AT14,AM14,AF14,Y14,R14,R14,K14,BA14,BH14,BO14,BV14)</f>
        <v>3</v>
      </c>
      <c r="CJ14" s="53">
        <f>CI14+CH14</f>
        <v>5</v>
      </c>
    </row>
    <row r="15" spans="1:88" x14ac:dyDescent="0.25">
      <c r="A15" s="44">
        <v>679</v>
      </c>
      <c r="B15" s="45" t="s">
        <v>20</v>
      </c>
      <c r="C15" s="78" t="str">
        <f>B15&amp;" "&amp;A15</f>
        <v>הדס 679</v>
      </c>
      <c r="D15" s="46" t="s">
        <v>7</v>
      </c>
      <c r="E15" s="46" t="s">
        <v>7</v>
      </c>
      <c r="F15" s="90" t="s">
        <v>202</v>
      </c>
      <c r="G15" s="84">
        <v>42887</v>
      </c>
      <c r="H15" s="54">
        <v>43360</v>
      </c>
      <c r="I15" s="47"/>
      <c r="J15" s="192"/>
      <c r="K15" s="193"/>
      <c r="L15" s="193"/>
      <c r="M15" s="193">
        <v>1</v>
      </c>
      <c r="N15" s="194">
        <f>J15*3+L15</f>
        <v>0</v>
      </c>
      <c r="O15" s="194">
        <f>K15*3+M15</f>
        <v>1</v>
      </c>
      <c r="P15" s="49">
        <f>O15+N15</f>
        <v>1</v>
      </c>
      <c r="Q15" s="44"/>
      <c r="R15" s="46">
        <v>1</v>
      </c>
      <c r="S15" s="46"/>
      <c r="T15" s="46">
        <v>1</v>
      </c>
      <c r="U15" s="48">
        <f>Q15*3+S15</f>
        <v>0</v>
      </c>
      <c r="V15" s="48">
        <f>R15*3+T15</f>
        <v>4</v>
      </c>
      <c r="W15" s="50">
        <f>V15+U15</f>
        <v>4</v>
      </c>
      <c r="X15" s="44"/>
      <c r="Y15" s="46">
        <v>1</v>
      </c>
      <c r="Z15" s="46"/>
      <c r="AA15" s="46">
        <v>4</v>
      </c>
      <c r="AB15" s="51">
        <f>X15*3+Z15</f>
        <v>0</v>
      </c>
      <c r="AC15" s="51">
        <f>Y15*3+AA15</f>
        <v>7</v>
      </c>
      <c r="AD15" s="52">
        <f>AC15+AB15</f>
        <v>7</v>
      </c>
      <c r="AE15" s="44"/>
      <c r="AF15" s="46">
        <v>1</v>
      </c>
      <c r="AG15" s="46"/>
      <c r="AH15" s="46">
        <v>1</v>
      </c>
      <c r="AI15" s="48">
        <f>AE15*3+AG15</f>
        <v>0</v>
      </c>
      <c r="AJ15" s="48">
        <f>AF15*3+AH15</f>
        <v>4</v>
      </c>
      <c r="AK15" s="50">
        <f>AJ15+AI15</f>
        <v>4</v>
      </c>
      <c r="AL15" s="44"/>
      <c r="AM15" s="46"/>
      <c r="AN15" s="46"/>
      <c r="AO15" s="46">
        <v>1</v>
      </c>
      <c r="AP15" s="48">
        <f>AL15*3+AN15</f>
        <v>0</v>
      </c>
      <c r="AQ15" s="48">
        <f>AM15*3+AO15</f>
        <v>1</v>
      </c>
      <c r="AR15" s="50">
        <f>AQ15+AP15</f>
        <v>1</v>
      </c>
      <c r="AS15" s="44"/>
      <c r="AT15" s="46">
        <v>1</v>
      </c>
      <c r="AU15" s="46"/>
      <c r="AV15" s="46">
        <v>1</v>
      </c>
      <c r="AW15" s="48">
        <f>AS15*3+AU15</f>
        <v>0</v>
      </c>
      <c r="AX15" s="48">
        <f>AT15*3+AV15</f>
        <v>4</v>
      </c>
      <c r="AY15" s="50">
        <f>AX15+AW15</f>
        <v>4</v>
      </c>
      <c r="AZ15" s="44"/>
      <c r="BA15" s="46">
        <v>1</v>
      </c>
      <c r="BB15" s="46"/>
      <c r="BC15" s="46">
        <v>2</v>
      </c>
      <c r="BD15" s="48">
        <f>AZ15*3+BB15</f>
        <v>0</v>
      </c>
      <c r="BE15" s="48">
        <f>BA15*3+BC15</f>
        <v>5</v>
      </c>
      <c r="BF15" s="50">
        <f>BE15+BD15</f>
        <v>5</v>
      </c>
      <c r="BG15" s="91"/>
      <c r="BH15" s="124"/>
      <c r="BI15" s="46"/>
      <c r="BJ15" s="46">
        <v>3</v>
      </c>
      <c r="BK15" s="48">
        <f>BG15*3+BI15</f>
        <v>0</v>
      </c>
      <c r="BL15" s="48">
        <f>BH15*3+BJ15</f>
        <v>3</v>
      </c>
      <c r="BM15" s="123">
        <f>BL15+BK15</f>
        <v>3</v>
      </c>
      <c r="BN15" s="91"/>
      <c r="BO15" s="124"/>
      <c r="BP15" s="124"/>
      <c r="BQ15" s="124">
        <v>1</v>
      </c>
      <c r="BR15" s="48">
        <f>BN15*3+BP15</f>
        <v>0</v>
      </c>
      <c r="BS15" s="48">
        <f>BO15*3+BQ15</f>
        <v>1</v>
      </c>
      <c r="BT15" s="123">
        <f>BS15+BR15</f>
        <v>1</v>
      </c>
      <c r="BU15" s="91"/>
      <c r="BV15" s="124"/>
      <c r="BW15" s="124"/>
      <c r="BX15" s="124"/>
      <c r="BY15" s="48">
        <f>BU15*3+BW15</f>
        <v>0</v>
      </c>
      <c r="BZ15" s="48">
        <f>BV15*3+BX15</f>
        <v>0</v>
      </c>
      <c r="CA15" s="123">
        <f>BZ15+BY15</f>
        <v>0</v>
      </c>
      <c r="CB15" s="135">
        <f>SUM(AP15,AI15,AB15,U15,N15,AW15,BD15,BK15,BR15,BY15)</f>
        <v>0</v>
      </c>
      <c r="CC15" s="87">
        <f ca="1">CB15/(TODAY()-G15)</f>
        <v>0</v>
      </c>
      <c r="CD15" s="53">
        <f>SUM(AQ15,AJ15,AC15,V15,O15,AX15,BE15,BL15,BS15,BZ15)</f>
        <v>30</v>
      </c>
      <c r="CE15" s="87">
        <f ca="1">CD15/(TODAY()-G15)</f>
        <v>0.10135135135135136</v>
      </c>
      <c r="CF15" s="53">
        <f>CB15+CD15</f>
        <v>30</v>
      </c>
      <c r="CG15" s="87">
        <f ca="1">CE15+CC15</f>
        <v>0.10135135135135136</v>
      </c>
      <c r="CH15" s="53">
        <f>SUM(AS15,AL15,AE15,X15,Q15,Q15,J15,AZ15,BG15,BN15,BU15)</f>
        <v>0</v>
      </c>
      <c r="CI15" s="53">
        <f>SUM(AT15,AM15,AF15,Y15,R15,R15,K15,BA15,BH15,BO15,BV15)</f>
        <v>6</v>
      </c>
      <c r="CJ15" s="53">
        <f>CI15+CH15</f>
        <v>6</v>
      </c>
    </row>
    <row r="16" spans="1:88" x14ac:dyDescent="0.25">
      <c r="A16" s="44">
        <v>679</v>
      </c>
      <c r="B16" s="45" t="s">
        <v>12</v>
      </c>
      <c r="C16" s="78" t="str">
        <f>B16&amp;" "&amp;A16</f>
        <v>שגית 679</v>
      </c>
      <c r="D16" s="62" t="s">
        <v>7</v>
      </c>
      <c r="E16" s="46" t="s">
        <v>7</v>
      </c>
      <c r="F16" s="90" t="s">
        <v>202</v>
      </c>
      <c r="G16" s="84">
        <v>42887</v>
      </c>
      <c r="H16" s="54">
        <v>43297</v>
      </c>
      <c r="I16" s="100" t="s">
        <v>222</v>
      </c>
      <c r="J16" s="192"/>
      <c r="K16" s="193">
        <v>1</v>
      </c>
      <c r="L16" s="193"/>
      <c r="M16" s="193">
        <v>1</v>
      </c>
      <c r="N16" s="194">
        <f>J16*3+L16</f>
        <v>0</v>
      </c>
      <c r="O16" s="194">
        <f>K16*3+M16</f>
        <v>4</v>
      </c>
      <c r="P16" s="49">
        <f>O16+N16</f>
        <v>4</v>
      </c>
      <c r="Q16" s="44"/>
      <c r="R16" s="46">
        <v>1</v>
      </c>
      <c r="S16" s="46"/>
      <c r="T16" s="46">
        <v>1</v>
      </c>
      <c r="U16" s="48">
        <f>Q16*3+S16</f>
        <v>0</v>
      </c>
      <c r="V16" s="48">
        <f>R16*3+T16</f>
        <v>4</v>
      </c>
      <c r="W16" s="50">
        <f>V16+U16</f>
        <v>4</v>
      </c>
      <c r="X16" s="44"/>
      <c r="Y16" s="46"/>
      <c r="Z16" s="46"/>
      <c r="AA16" s="46">
        <v>2</v>
      </c>
      <c r="AB16" s="51">
        <f>X16*3+Z16</f>
        <v>0</v>
      </c>
      <c r="AC16" s="51">
        <f>Y16*3+AA16</f>
        <v>2</v>
      </c>
      <c r="AD16" s="52">
        <f>AC16+AB16</f>
        <v>2</v>
      </c>
      <c r="AE16" s="44"/>
      <c r="AF16" s="46"/>
      <c r="AG16" s="46"/>
      <c r="AH16" s="46">
        <v>3</v>
      </c>
      <c r="AI16" s="48">
        <f>AE16*3+AG16</f>
        <v>0</v>
      </c>
      <c r="AJ16" s="48">
        <f>AF16*3+AH16</f>
        <v>3</v>
      </c>
      <c r="AK16" s="50">
        <f>AJ16+AI16</f>
        <v>3</v>
      </c>
      <c r="AL16" s="44"/>
      <c r="AM16" s="46">
        <v>1</v>
      </c>
      <c r="AN16" s="46"/>
      <c r="AO16" s="46">
        <v>1</v>
      </c>
      <c r="AP16" s="48">
        <f>AL16*3+AN16</f>
        <v>0</v>
      </c>
      <c r="AQ16" s="48">
        <f>AM16*3+AO16</f>
        <v>4</v>
      </c>
      <c r="AR16" s="50">
        <f>AQ16+AP16</f>
        <v>4</v>
      </c>
      <c r="AS16" s="44"/>
      <c r="AT16" s="46">
        <v>1</v>
      </c>
      <c r="AU16" s="46"/>
      <c r="AV16" s="46">
        <v>4</v>
      </c>
      <c r="AW16" s="48">
        <f>AS16*3+AU16</f>
        <v>0</v>
      </c>
      <c r="AX16" s="48">
        <f>AT16*3+AV16</f>
        <v>7</v>
      </c>
      <c r="AY16" s="50">
        <f>AX16+AW16</f>
        <v>7</v>
      </c>
      <c r="AZ16" s="44"/>
      <c r="BA16" s="46"/>
      <c r="BB16" s="46"/>
      <c r="BC16" s="46">
        <v>1</v>
      </c>
      <c r="BD16" s="48">
        <f>AZ16*3+BB16</f>
        <v>0</v>
      </c>
      <c r="BE16" s="48">
        <f>BA16*3+BC16</f>
        <v>1</v>
      </c>
      <c r="BF16" s="50">
        <f>BE16+BD16</f>
        <v>1</v>
      </c>
      <c r="BG16" s="91"/>
      <c r="BH16" s="124"/>
      <c r="BI16" s="46"/>
      <c r="BJ16" s="46">
        <v>2</v>
      </c>
      <c r="BK16" s="48">
        <f>BG16*3+BI16</f>
        <v>0</v>
      </c>
      <c r="BL16" s="48">
        <f>BH16*3+BJ16</f>
        <v>2</v>
      </c>
      <c r="BM16" s="123">
        <f>BL16+BK16</f>
        <v>2</v>
      </c>
      <c r="BN16" s="91"/>
      <c r="BO16" s="124"/>
      <c r="BP16" s="124"/>
      <c r="BQ16" s="124">
        <v>3</v>
      </c>
      <c r="BR16" s="48">
        <f>BN16*3+BP16</f>
        <v>0</v>
      </c>
      <c r="BS16" s="48">
        <f>BO16*3+BQ16</f>
        <v>3</v>
      </c>
      <c r="BT16" s="123">
        <f>BS16+BR16</f>
        <v>3</v>
      </c>
      <c r="BU16" s="91"/>
      <c r="BV16" s="124"/>
      <c r="BW16" s="124"/>
      <c r="BX16" s="124"/>
      <c r="BY16" s="48">
        <f>BU16*3+BW16</f>
        <v>0</v>
      </c>
      <c r="BZ16" s="48">
        <f>BV16*3+BX16</f>
        <v>0</v>
      </c>
      <c r="CA16" s="123">
        <f>BZ16+BY16</f>
        <v>0</v>
      </c>
      <c r="CB16" s="135">
        <f>SUM(AP16,AI16,AB16,U16,N16,AW16,BD16,BK16,BR16,BY16)</f>
        <v>0</v>
      </c>
      <c r="CC16" s="87">
        <f ca="1">CB16/(TODAY()-G16)</f>
        <v>0</v>
      </c>
      <c r="CD16" s="53">
        <f>SUM(AQ16,AJ16,AC16,V16,O16,AX16,BE16,BL16,BS16,BZ16)</f>
        <v>30</v>
      </c>
      <c r="CE16" s="87">
        <f ca="1">CD16/(TODAY()-G16)</f>
        <v>0.10135135135135136</v>
      </c>
      <c r="CF16" s="53">
        <f>CB16+CD16</f>
        <v>30</v>
      </c>
      <c r="CG16" s="87">
        <f ca="1">CE16+CC16</f>
        <v>0.10135135135135136</v>
      </c>
      <c r="CH16" s="53">
        <f>SUM(AS16,AL16,AE16,X16,Q16,Q16,J16,AZ16,BG16,BN16,BU16)</f>
        <v>0</v>
      </c>
      <c r="CI16" s="53">
        <f>SUM(AT16,AM16,AF16,Y16,R16,R16,K16,BA16,BH16,BO16,BV16)</f>
        <v>5</v>
      </c>
      <c r="CJ16" s="53">
        <f>CI16+CH16</f>
        <v>5</v>
      </c>
    </row>
    <row r="17" spans="1:88" x14ac:dyDescent="0.25">
      <c r="A17" s="44">
        <v>679</v>
      </c>
      <c r="B17" s="45" t="s">
        <v>16</v>
      </c>
      <c r="C17" s="78" t="str">
        <f>B17&amp;" "&amp;A17</f>
        <v>שיר 679</v>
      </c>
      <c r="D17" s="62" t="s">
        <v>7</v>
      </c>
      <c r="E17" s="46" t="s">
        <v>7</v>
      </c>
      <c r="F17" s="90" t="s">
        <v>203</v>
      </c>
      <c r="G17" s="84">
        <v>42917</v>
      </c>
      <c r="H17" s="54">
        <v>43558</v>
      </c>
      <c r="I17" s="47"/>
      <c r="J17" s="192"/>
      <c r="K17" s="193"/>
      <c r="L17" s="193"/>
      <c r="M17" s="193"/>
      <c r="N17" s="194">
        <f>J17*3+L17</f>
        <v>0</v>
      </c>
      <c r="O17" s="194">
        <f>K17*3+M17</f>
        <v>0</v>
      </c>
      <c r="P17" s="49">
        <f>O17+N17</f>
        <v>0</v>
      </c>
      <c r="Q17" s="44">
        <v>1</v>
      </c>
      <c r="R17" s="46"/>
      <c r="S17" s="46"/>
      <c r="T17" s="46"/>
      <c r="U17" s="48">
        <f>Q17*3+S17</f>
        <v>3</v>
      </c>
      <c r="V17" s="48">
        <f>R17*3+T17</f>
        <v>0</v>
      </c>
      <c r="W17" s="50">
        <f>V17+U17</f>
        <v>3</v>
      </c>
      <c r="X17" s="44">
        <v>1</v>
      </c>
      <c r="Y17" s="46"/>
      <c r="Z17" s="46">
        <v>1</v>
      </c>
      <c r="AA17" s="46"/>
      <c r="AB17" s="51">
        <f>X17*3+Z17</f>
        <v>4</v>
      </c>
      <c r="AC17" s="51">
        <f>Y17*3+AA17</f>
        <v>0</v>
      </c>
      <c r="AD17" s="52">
        <f>AC17+AB17</f>
        <v>4</v>
      </c>
      <c r="AE17" s="44"/>
      <c r="AF17" s="46"/>
      <c r="AG17" s="46">
        <v>1</v>
      </c>
      <c r="AH17" s="46">
        <v>2</v>
      </c>
      <c r="AI17" s="48">
        <f>AE17*3+AG17</f>
        <v>1</v>
      </c>
      <c r="AJ17" s="48">
        <f>AF17*3+AH17</f>
        <v>2</v>
      </c>
      <c r="AK17" s="50">
        <f>AJ17+AI17</f>
        <v>3</v>
      </c>
      <c r="AL17" s="44"/>
      <c r="AM17" s="46"/>
      <c r="AN17" s="46">
        <v>2</v>
      </c>
      <c r="AO17" s="46"/>
      <c r="AP17" s="48">
        <f>AL17*3+AN17</f>
        <v>2</v>
      </c>
      <c r="AQ17" s="48">
        <f>AM17*3+AO17</f>
        <v>0</v>
      </c>
      <c r="AR17" s="50">
        <f>AQ17+AP17</f>
        <v>2</v>
      </c>
      <c r="AS17" s="44"/>
      <c r="AT17" s="46"/>
      <c r="AU17" s="46">
        <v>3</v>
      </c>
      <c r="AV17" s="46"/>
      <c r="AW17" s="48">
        <f>AS17*3+AU17</f>
        <v>3</v>
      </c>
      <c r="AX17" s="48">
        <f>AT17*3+AV17</f>
        <v>0</v>
      </c>
      <c r="AY17" s="50">
        <f>AX17+AW17</f>
        <v>3</v>
      </c>
      <c r="AZ17" s="44">
        <v>1</v>
      </c>
      <c r="BA17" s="46"/>
      <c r="BB17" s="46">
        <v>1</v>
      </c>
      <c r="BC17" s="46">
        <v>1</v>
      </c>
      <c r="BD17" s="48">
        <f>AZ17*3+BB17</f>
        <v>4</v>
      </c>
      <c r="BE17" s="48">
        <f>BA17*3+BC17</f>
        <v>1</v>
      </c>
      <c r="BF17" s="50">
        <f>BE17+BD17</f>
        <v>5</v>
      </c>
      <c r="BG17" s="91">
        <v>1</v>
      </c>
      <c r="BH17" s="124"/>
      <c r="BI17" s="124">
        <v>1</v>
      </c>
      <c r="BJ17" s="46">
        <v>1</v>
      </c>
      <c r="BK17" s="48">
        <f>BG17*3+BI17</f>
        <v>4</v>
      </c>
      <c r="BL17" s="48">
        <f>BH17*3+BJ17</f>
        <v>1</v>
      </c>
      <c r="BM17" s="123">
        <f>BL17+BK17</f>
        <v>5</v>
      </c>
      <c r="BN17" s="91"/>
      <c r="BO17" s="124"/>
      <c r="BP17" s="124"/>
      <c r="BQ17" s="124">
        <v>2</v>
      </c>
      <c r="BR17" s="48">
        <f>BN17*3+BP17</f>
        <v>0</v>
      </c>
      <c r="BS17" s="48">
        <f>BO17*3+BQ17</f>
        <v>2</v>
      </c>
      <c r="BT17" s="123">
        <f>BS17+BR17</f>
        <v>2</v>
      </c>
      <c r="BU17" s="91"/>
      <c r="BV17" s="124"/>
      <c r="BW17" s="124"/>
      <c r="BX17" s="124"/>
      <c r="BY17" s="48">
        <f>BU17*3+BW17</f>
        <v>0</v>
      </c>
      <c r="BZ17" s="48">
        <f>BV17*3+BX17</f>
        <v>0</v>
      </c>
      <c r="CA17" s="123">
        <f>BZ17+BY17</f>
        <v>0</v>
      </c>
      <c r="CB17" s="135">
        <f>SUM(AP17,AI17,AB17,U17,N17,AW17,BD17,BK17,BR17,BY17)</f>
        <v>21</v>
      </c>
      <c r="CC17" s="87">
        <f ca="1">CB17/(TODAY()-G17)</f>
        <v>7.8947368421052627E-2</v>
      </c>
      <c r="CD17" s="53">
        <f>SUM(AQ17,AJ17,AC17,V17,O17,AX17,BE17,BL17,BS17,BZ17)</f>
        <v>6</v>
      </c>
      <c r="CE17" s="87">
        <f ca="1">CD17/(TODAY()-G17)</f>
        <v>2.2556390977443608E-2</v>
      </c>
      <c r="CF17" s="53">
        <f>CB17+CD17</f>
        <v>27</v>
      </c>
      <c r="CG17" s="87">
        <f ca="1">CE17+CC17</f>
        <v>0.10150375939849623</v>
      </c>
      <c r="CH17" s="53">
        <f>SUM(AS17,AL17,AE17,X17,Q17,Q17,J17,AZ17,BG17,BN17,BU17)</f>
        <v>5</v>
      </c>
      <c r="CI17" s="53">
        <f>SUM(AT17,AM17,AF17,Y17,R17,R17,K17,BA17,BH17,BO17,BV17)</f>
        <v>0</v>
      </c>
      <c r="CJ17" s="53">
        <f>CI17+CH17</f>
        <v>5</v>
      </c>
    </row>
    <row r="18" spans="1:88" x14ac:dyDescent="0.25">
      <c r="A18" s="44" t="s">
        <v>87</v>
      </c>
      <c r="B18" s="45" t="s">
        <v>61</v>
      </c>
      <c r="C18" s="78" t="str">
        <f>B18&amp;" "&amp;A18</f>
        <v>דקל אחודה</v>
      </c>
      <c r="D18" s="62" t="s">
        <v>7</v>
      </c>
      <c r="E18" s="46" t="s">
        <v>7</v>
      </c>
      <c r="F18" s="90" t="s">
        <v>204</v>
      </c>
      <c r="G18" s="84">
        <v>42948</v>
      </c>
      <c r="H18" s="54">
        <v>43692</v>
      </c>
      <c r="I18" s="47"/>
      <c r="J18" s="192"/>
      <c r="K18" s="193"/>
      <c r="L18" s="193"/>
      <c r="M18" s="193"/>
      <c r="N18" s="194">
        <f>J18*3+L18</f>
        <v>0</v>
      </c>
      <c r="O18" s="194">
        <f>K18*3+M18</f>
        <v>0</v>
      </c>
      <c r="P18" s="49">
        <f>O18+N18</f>
        <v>0</v>
      </c>
      <c r="Q18" s="44"/>
      <c r="R18" s="46"/>
      <c r="S18" s="46"/>
      <c r="T18" s="46"/>
      <c r="U18" s="48">
        <f>Q18*3+S18</f>
        <v>0</v>
      </c>
      <c r="V18" s="48">
        <f>R18*3+T18</f>
        <v>0</v>
      </c>
      <c r="W18" s="50">
        <f>V18+U18</f>
        <v>0</v>
      </c>
      <c r="X18" s="44">
        <v>1</v>
      </c>
      <c r="Y18" s="46"/>
      <c r="Z18" s="46"/>
      <c r="AA18" s="46"/>
      <c r="AB18" s="51">
        <f>X18*3+Z18</f>
        <v>3</v>
      </c>
      <c r="AC18" s="51">
        <f>Y18*3+AA18</f>
        <v>0</v>
      </c>
      <c r="AD18" s="52">
        <f>AC18+AB18</f>
        <v>3</v>
      </c>
      <c r="AE18" s="44">
        <v>1</v>
      </c>
      <c r="AF18" s="46"/>
      <c r="AG18" s="46">
        <v>1</v>
      </c>
      <c r="AH18" s="46"/>
      <c r="AI18" s="48">
        <f>AE18*3+AG18</f>
        <v>4</v>
      </c>
      <c r="AJ18" s="48">
        <f>AF18*3+AH18</f>
        <v>0</v>
      </c>
      <c r="AK18" s="50">
        <f>AJ18+AI18</f>
        <v>4</v>
      </c>
      <c r="AL18" s="44"/>
      <c r="AM18" s="46"/>
      <c r="AN18" s="46"/>
      <c r="AO18" s="46">
        <v>1</v>
      </c>
      <c r="AP18" s="48">
        <f>AL18*3+AN18</f>
        <v>0</v>
      </c>
      <c r="AQ18" s="48">
        <f>AM18*3+AO18</f>
        <v>1</v>
      </c>
      <c r="AR18" s="50">
        <f>AQ18+AP18</f>
        <v>1</v>
      </c>
      <c r="AS18" s="44"/>
      <c r="AT18" s="46"/>
      <c r="AU18" s="46">
        <v>4</v>
      </c>
      <c r="AV18" s="46"/>
      <c r="AW18" s="48">
        <f>AS18*3+AU18</f>
        <v>4</v>
      </c>
      <c r="AX18" s="48">
        <f>AT18*3+AV18</f>
        <v>0</v>
      </c>
      <c r="AY18" s="50">
        <f>AX18+AW18</f>
        <v>4</v>
      </c>
      <c r="AZ18" s="44"/>
      <c r="BA18" s="46">
        <v>1</v>
      </c>
      <c r="BB18" s="46"/>
      <c r="BC18" s="46"/>
      <c r="BD18" s="48">
        <f>AZ18*3+BB18</f>
        <v>0</v>
      </c>
      <c r="BE18" s="48">
        <f>BA18*3+BC18</f>
        <v>3</v>
      </c>
      <c r="BF18" s="50">
        <f>BE18+BD18</f>
        <v>3</v>
      </c>
      <c r="BG18" s="91"/>
      <c r="BH18" s="124"/>
      <c r="BI18" s="124">
        <v>1</v>
      </c>
      <c r="BJ18" s="46">
        <v>1</v>
      </c>
      <c r="BK18" s="48">
        <f>BG18*3+BI18</f>
        <v>1</v>
      </c>
      <c r="BL18" s="48">
        <f>BH18*3+BJ18</f>
        <v>1</v>
      </c>
      <c r="BM18" s="123">
        <f>BL18+BK18</f>
        <v>2</v>
      </c>
      <c r="BN18" s="91"/>
      <c r="BO18" s="124">
        <v>1</v>
      </c>
      <c r="BP18" s="124"/>
      <c r="BQ18" s="124">
        <v>1</v>
      </c>
      <c r="BR18" s="48">
        <f>BN18*3+BP18</f>
        <v>0</v>
      </c>
      <c r="BS18" s="48">
        <f>BO18*3+BQ18</f>
        <v>4</v>
      </c>
      <c r="BT18" s="123">
        <f>BS18+BR18</f>
        <v>4</v>
      </c>
      <c r="BU18" s="91"/>
      <c r="BV18" s="124"/>
      <c r="BW18" s="124"/>
      <c r="BX18" s="124"/>
      <c r="BY18" s="48">
        <f>BU18*3+BW18</f>
        <v>0</v>
      </c>
      <c r="BZ18" s="48">
        <f>BV18*3+BX18</f>
        <v>0</v>
      </c>
      <c r="CA18" s="123">
        <f>BZ18+BY18</f>
        <v>0</v>
      </c>
      <c r="CB18" s="135">
        <f>SUM(AP18,AI18,AB18,U18,N18,AW18,BD18,BK18,BR18,BY18)</f>
        <v>12</v>
      </c>
      <c r="CC18" s="87">
        <f ca="1">CB18/(TODAY()-G18)</f>
        <v>5.106382978723404E-2</v>
      </c>
      <c r="CD18" s="53">
        <f>SUM(AQ18,AJ18,AC18,V18,O18,AX18,BE18,BL18,BS18,BZ18)</f>
        <v>9</v>
      </c>
      <c r="CE18" s="87">
        <f ca="1">CD18/(TODAY()-G18)</f>
        <v>3.8297872340425532E-2</v>
      </c>
      <c r="CF18" s="53">
        <f>CB18+CD18</f>
        <v>21</v>
      </c>
      <c r="CG18" s="87">
        <f ca="1">CE18+CC18</f>
        <v>8.9361702127659565E-2</v>
      </c>
      <c r="CH18" s="53">
        <f>SUM(AS18,AL18,AE18,X18,Q18,Q18,J18,AZ18,BG18,BN18,BU18)</f>
        <v>2</v>
      </c>
      <c r="CI18" s="53">
        <f>SUM(AT18,AM18,AF18,Y18,R18,R18,K18,BA18,BH18,BO18,BV18)</f>
        <v>2</v>
      </c>
      <c r="CJ18" s="53">
        <f>CI18+CH18</f>
        <v>4</v>
      </c>
    </row>
    <row r="19" spans="1:88" x14ac:dyDescent="0.25">
      <c r="A19" s="44">
        <v>9</v>
      </c>
      <c r="B19" s="45" t="s">
        <v>63</v>
      </c>
      <c r="C19" s="78" t="str">
        <f>B19&amp;" "&amp;A19</f>
        <v>כלנית 9</v>
      </c>
      <c r="D19" s="46" t="s">
        <v>6</v>
      </c>
      <c r="E19" s="62" t="s">
        <v>7</v>
      </c>
      <c r="F19" s="90" t="s">
        <v>205</v>
      </c>
      <c r="G19" s="84">
        <v>42979</v>
      </c>
      <c r="H19" s="54">
        <v>43661</v>
      </c>
      <c r="I19" s="47"/>
      <c r="J19" s="192"/>
      <c r="K19" s="193"/>
      <c r="L19" s="193"/>
      <c r="M19" s="193"/>
      <c r="N19" s="194">
        <f>J19*3+L19</f>
        <v>0</v>
      </c>
      <c r="O19" s="194">
        <f>K19*3+M19</f>
        <v>0</v>
      </c>
      <c r="P19" s="49">
        <f>O19+N19</f>
        <v>0</v>
      </c>
      <c r="Q19" s="44"/>
      <c r="R19" s="46"/>
      <c r="S19" s="46"/>
      <c r="T19" s="46"/>
      <c r="U19" s="48">
        <f>Q19*3+S19</f>
        <v>0</v>
      </c>
      <c r="V19" s="48">
        <f>R19*3+T19</f>
        <v>0</v>
      </c>
      <c r="W19" s="50">
        <f>V19+U19</f>
        <v>0</v>
      </c>
      <c r="X19" s="44"/>
      <c r="Y19" s="46"/>
      <c r="Z19" s="46"/>
      <c r="AA19" s="46"/>
      <c r="AB19" s="51">
        <f>X19*3+Z19</f>
        <v>0</v>
      </c>
      <c r="AC19" s="51">
        <f>Y19*3+AA19</f>
        <v>0</v>
      </c>
      <c r="AD19" s="52">
        <f>AC19+AB19</f>
        <v>0</v>
      </c>
      <c r="AE19" s="44">
        <v>1</v>
      </c>
      <c r="AF19" s="46"/>
      <c r="AG19" s="46">
        <v>2</v>
      </c>
      <c r="AH19" s="46"/>
      <c r="AI19" s="48">
        <f>AE19*3+AG19</f>
        <v>5</v>
      </c>
      <c r="AJ19" s="48">
        <f>AF19*3+AH19</f>
        <v>0</v>
      </c>
      <c r="AK19" s="50">
        <f>AJ19+AI19</f>
        <v>5</v>
      </c>
      <c r="AL19" s="44">
        <v>1</v>
      </c>
      <c r="AM19" s="46"/>
      <c r="AN19" s="46"/>
      <c r="AO19" s="46"/>
      <c r="AP19" s="48">
        <f>AL19*3+AN19</f>
        <v>3</v>
      </c>
      <c r="AQ19" s="48">
        <f>AM19*3+AO19</f>
        <v>0</v>
      </c>
      <c r="AR19" s="50">
        <f>AQ19+AP19</f>
        <v>3</v>
      </c>
      <c r="AS19" s="44"/>
      <c r="AT19" s="46"/>
      <c r="AU19" s="46">
        <v>4</v>
      </c>
      <c r="AV19" s="46"/>
      <c r="AW19" s="48">
        <f>AS19*3+AU19</f>
        <v>4</v>
      </c>
      <c r="AX19" s="48">
        <f>AT19*3+AV19</f>
        <v>0</v>
      </c>
      <c r="AY19" s="50">
        <f>AX19+AW19</f>
        <v>4</v>
      </c>
      <c r="AZ19" s="44"/>
      <c r="BA19" s="46"/>
      <c r="BB19" s="46">
        <v>2</v>
      </c>
      <c r="BC19" s="46">
        <v>1</v>
      </c>
      <c r="BD19" s="48">
        <f>AZ19*3+BB19</f>
        <v>2</v>
      </c>
      <c r="BE19" s="48">
        <f>BA19*3+BC19</f>
        <v>1</v>
      </c>
      <c r="BF19" s="50">
        <f>BE19+BD19</f>
        <v>3</v>
      </c>
      <c r="BG19" s="91">
        <v>1</v>
      </c>
      <c r="BH19" s="124"/>
      <c r="BI19" s="124">
        <v>1</v>
      </c>
      <c r="BJ19" s="46"/>
      <c r="BK19" s="48">
        <f>BG19*3+BI19</f>
        <v>4</v>
      </c>
      <c r="BL19" s="48">
        <f>BH19*3+BJ19</f>
        <v>0</v>
      </c>
      <c r="BM19" s="123">
        <f>BL19+BK19</f>
        <v>4</v>
      </c>
      <c r="BN19" s="91"/>
      <c r="BO19" s="124"/>
      <c r="BP19" s="124">
        <v>3</v>
      </c>
      <c r="BQ19" s="124">
        <v>1</v>
      </c>
      <c r="BR19" s="48">
        <f>BN19*3+BP19</f>
        <v>3</v>
      </c>
      <c r="BS19" s="48">
        <f>BO19*3+BQ19</f>
        <v>1</v>
      </c>
      <c r="BT19" s="123">
        <f>BS19+BR19</f>
        <v>4</v>
      </c>
      <c r="BU19" s="91"/>
      <c r="BV19" s="124">
        <v>1</v>
      </c>
      <c r="BW19" s="124"/>
      <c r="BX19" s="124"/>
      <c r="BY19" s="48">
        <f>BU19*3+BW19</f>
        <v>0</v>
      </c>
      <c r="BZ19" s="48">
        <f>BV19*3+BX19</f>
        <v>3</v>
      </c>
      <c r="CA19" s="123">
        <f>BZ19+BY19</f>
        <v>3</v>
      </c>
      <c r="CB19" s="135">
        <f>SUM(AP19,AI19,AB19,U19,N19,AW19,BD19,BK19,BR19,BY19)</f>
        <v>21</v>
      </c>
      <c r="CC19" s="87">
        <f ca="1">CB19/(TODAY()-G19)</f>
        <v>0.10294117647058823</v>
      </c>
      <c r="CD19" s="53">
        <f>SUM(AQ19,AJ19,AC19,V19,O19,AX19,BE19,BL19,BS19,BZ19)</f>
        <v>5</v>
      </c>
      <c r="CE19" s="87">
        <f ca="1">CD19/(TODAY()-G19)</f>
        <v>2.4509803921568627E-2</v>
      </c>
      <c r="CF19" s="53">
        <f>CB19+CD19</f>
        <v>26</v>
      </c>
      <c r="CG19" s="87">
        <f ca="1">CE19+CC19</f>
        <v>0.12745098039215685</v>
      </c>
      <c r="CH19" s="53">
        <f>SUM(AS19,AL19,AE19,X19,Q19,Q19,J19,AZ19,BG19,BN19,BU19)</f>
        <v>3</v>
      </c>
      <c r="CI19" s="53">
        <f>SUM(AT19,AM19,AF19,Y19,R19,R19,K19,BA19,BH19,BO19,BV19)</f>
        <v>1</v>
      </c>
      <c r="CJ19" s="53">
        <f>CI19+CH19</f>
        <v>4</v>
      </c>
    </row>
    <row r="20" spans="1:88" x14ac:dyDescent="0.25">
      <c r="A20" s="44">
        <v>209</v>
      </c>
      <c r="B20" s="45" t="s">
        <v>60</v>
      </c>
      <c r="C20" s="78" t="str">
        <f>B20&amp;" "&amp;A20</f>
        <v>שי 209</v>
      </c>
      <c r="D20" s="46" t="s">
        <v>6</v>
      </c>
      <c r="E20" s="46" t="s">
        <v>7</v>
      </c>
      <c r="F20" s="90" t="s">
        <v>204</v>
      </c>
      <c r="G20" s="84">
        <v>42948</v>
      </c>
      <c r="H20" s="54">
        <v>43659</v>
      </c>
      <c r="I20" s="47"/>
      <c r="J20" s="192"/>
      <c r="K20" s="193"/>
      <c r="L20" s="193"/>
      <c r="M20" s="193"/>
      <c r="N20" s="194">
        <f>J20*3+L20</f>
        <v>0</v>
      </c>
      <c r="O20" s="194">
        <f>K20*3+M20</f>
        <v>0</v>
      </c>
      <c r="P20" s="49">
        <f>O20+N20</f>
        <v>0</v>
      </c>
      <c r="Q20" s="44"/>
      <c r="R20" s="46"/>
      <c r="S20" s="46"/>
      <c r="T20" s="46"/>
      <c r="U20" s="48">
        <f>Q20*3+S20</f>
        <v>0</v>
      </c>
      <c r="V20" s="48">
        <f>R20*3+T20</f>
        <v>0</v>
      </c>
      <c r="W20" s="50">
        <f>V20+U20</f>
        <v>0</v>
      </c>
      <c r="X20" s="44">
        <v>1</v>
      </c>
      <c r="Y20" s="46"/>
      <c r="Z20" s="46">
        <v>1</v>
      </c>
      <c r="AA20" s="46"/>
      <c r="AB20" s="51">
        <f>X20*3+Z20</f>
        <v>4</v>
      </c>
      <c r="AC20" s="51">
        <f>Y20*3+AA20</f>
        <v>0</v>
      </c>
      <c r="AD20" s="52">
        <f>AC20+AB20</f>
        <v>4</v>
      </c>
      <c r="AE20" s="44"/>
      <c r="AF20" s="46"/>
      <c r="AG20" s="46">
        <v>3</v>
      </c>
      <c r="AH20" s="46">
        <v>1</v>
      </c>
      <c r="AI20" s="48">
        <f>AE20*3+AG20</f>
        <v>3</v>
      </c>
      <c r="AJ20" s="48">
        <f>AF20*3+AH20</f>
        <v>1</v>
      </c>
      <c r="AK20" s="50">
        <f>AJ20+AI20</f>
        <v>4</v>
      </c>
      <c r="AL20" s="44"/>
      <c r="AM20" s="46"/>
      <c r="AN20" s="46">
        <v>1</v>
      </c>
      <c r="AO20" s="46">
        <v>1</v>
      </c>
      <c r="AP20" s="48">
        <f>AL20*3+AN20</f>
        <v>1</v>
      </c>
      <c r="AQ20" s="48">
        <f>AM20*3+AO20</f>
        <v>1</v>
      </c>
      <c r="AR20" s="50">
        <f>AQ20+AP20</f>
        <v>2</v>
      </c>
      <c r="AS20" s="44">
        <v>1</v>
      </c>
      <c r="AT20" s="46"/>
      <c r="AU20" s="46">
        <v>1</v>
      </c>
      <c r="AV20" s="46">
        <v>1</v>
      </c>
      <c r="AW20" s="48">
        <f>AS20*3+AU20</f>
        <v>4</v>
      </c>
      <c r="AX20" s="48">
        <f>AT20*3+AV20</f>
        <v>1</v>
      </c>
      <c r="AY20" s="50">
        <f>AX20+AW20</f>
        <v>5</v>
      </c>
      <c r="AZ20" s="44"/>
      <c r="BA20" s="46"/>
      <c r="BB20" s="46">
        <v>4</v>
      </c>
      <c r="BC20" s="46"/>
      <c r="BD20" s="48">
        <f>AZ20*3+BB20</f>
        <v>4</v>
      </c>
      <c r="BE20" s="48">
        <f>BA20*3+BC20</f>
        <v>0</v>
      </c>
      <c r="BF20" s="50">
        <f>BE20+BD20</f>
        <v>4</v>
      </c>
      <c r="BG20" s="91"/>
      <c r="BH20" s="124">
        <v>1</v>
      </c>
      <c r="BI20" s="124">
        <v>1</v>
      </c>
      <c r="BJ20" s="46"/>
      <c r="BK20" s="48">
        <f>BG20*3+BI20</f>
        <v>1</v>
      </c>
      <c r="BL20" s="48">
        <f>BH20*3+BJ20</f>
        <v>3</v>
      </c>
      <c r="BM20" s="123">
        <f>BL20+BK20</f>
        <v>4</v>
      </c>
      <c r="BN20" s="91">
        <v>1</v>
      </c>
      <c r="BO20" s="124"/>
      <c r="BP20" s="124"/>
      <c r="BQ20" s="124"/>
      <c r="BR20" s="48">
        <f>BN20*3+BP20</f>
        <v>3</v>
      </c>
      <c r="BS20" s="48">
        <f>BO20*3+BQ20</f>
        <v>0</v>
      </c>
      <c r="BT20" s="123">
        <f>BS20+BR20</f>
        <v>3</v>
      </c>
      <c r="BU20" s="91"/>
      <c r="BV20" s="124">
        <v>1</v>
      </c>
      <c r="BW20" s="124"/>
      <c r="BX20" s="124"/>
      <c r="BY20" s="48">
        <f>BU20*3+BW20</f>
        <v>0</v>
      </c>
      <c r="BZ20" s="48">
        <f>BV20*3+BX20</f>
        <v>3</v>
      </c>
      <c r="CA20" s="123">
        <f>BZ20+BY20</f>
        <v>3</v>
      </c>
      <c r="CB20" s="135">
        <f>SUM(AP20,AI20,AB20,U20,N20,AW20,BD20,BK20,BR20,BY20)</f>
        <v>20</v>
      </c>
      <c r="CC20" s="87">
        <f ca="1">CB20/(TODAY()-G20)</f>
        <v>8.5106382978723402E-2</v>
      </c>
      <c r="CD20" s="53">
        <f>SUM(AQ20,AJ20,AC20,V20,O20,AX20,BE20,BL20,BS20,BZ20)</f>
        <v>9</v>
      </c>
      <c r="CE20" s="87">
        <f ca="1">CD20/(TODAY()-G20)</f>
        <v>3.8297872340425532E-2</v>
      </c>
      <c r="CF20" s="53">
        <f>CB20+CD20</f>
        <v>29</v>
      </c>
      <c r="CG20" s="87">
        <f ca="1">CE20+CC20</f>
        <v>0.12340425531914893</v>
      </c>
      <c r="CH20" s="53">
        <f>SUM(AS20,AL20,AE20,X20,Q20,Q20,J20,AZ20,BG20,BN20,BU20)</f>
        <v>3</v>
      </c>
      <c r="CI20" s="53">
        <f>SUM(AT20,AM20,AF20,Y20,R20,R20,K20,BA20,BH20,BO20,BV20)</f>
        <v>2</v>
      </c>
      <c r="CJ20" s="53">
        <f>CI20+CH20</f>
        <v>5</v>
      </c>
    </row>
    <row r="21" spans="1:88" x14ac:dyDescent="0.25">
      <c r="A21" s="44">
        <v>9</v>
      </c>
      <c r="B21" s="45" t="s">
        <v>14</v>
      </c>
      <c r="C21" s="78" t="str">
        <f>B21&amp;" "&amp;A21</f>
        <v>בר 9</v>
      </c>
      <c r="D21" s="46" t="s">
        <v>6</v>
      </c>
      <c r="E21" s="46" t="s">
        <v>7</v>
      </c>
      <c r="F21" s="90" t="s">
        <v>203</v>
      </c>
      <c r="G21" s="84">
        <v>42917</v>
      </c>
      <c r="H21" s="54">
        <v>43560</v>
      </c>
      <c r="I21" s="100" t="s">
        <v>167</v>
      </c>
      <c r="J21" s="192"/>
      <c r="K21" s="193"/>
      <c r="L21" s="193"/>
      <c r="M21" s="193"/>
      <c r="N21" s="194">
        <f>J21*3+L21</f>
        <v>0</v>
      </c>
      <c r="O21" s="194">
        <f>K21*3+M21</f>
        <v>0</v>
      </c>
      <c r="P21" s="49">
        <f>O21+N21</f>
        <v>0</v>
      </c>
      <c r="Q21" s="44">
        <v>1</v>
      </c>
      <c r="R21" s="46"/>
      <c r="S21" s="46">
        <v>2</v>
      </c>
      <c r="T21" s="46"/>
      <c r="U21" s="48">
        <f>Q21*3+S21</f>
        <v>5</v>
      </c>
      <c r="V21" s="48">
        <f>R21*3+T21</f>
        <v>0</v>
      </c>
      <c r="W21" s="50">
        <f>V21+U21</f>
        <v>5</v>
      </c>
      <c r="X21" s="44"/>
      <c r="Y21" s="46"/>
      <c r="Z21" s="46">
        <v>2</v>
      </c>
      <c r="AA21" s="46"/>
      <c r="AB21" s="51">
        <f>X21*3+Z21</f>
        <v>2</v>
      </c>
      <c r="AC21" s="51">
        <f>Y21*3+AA21</f>
        <v>0</v>
      </c>
      <c r="AD21" s="52">
        <f>AC21+AB21</f>
        <v>2</v>
      </c>
      <c r="AE21" s="44"/>
      <c r="AF21" s="46">
        <v>1</v>
      </c>
      <c r="AG21" s="46">
        <v>2</v>
      </c>
      <c r="AH21" s="46">
        <v>1</v>
      </c>
      <c r="AI21" s="48">
        <f>AE21*3+AG21</f>
        <v>2</v>
      </c>
      <c r="AJ21" s="48">
        <f>AF21*3+AH21</f>
        <v>4</v>
      </c>
      <c r="AK21" s="50">
        <f>AJ21+AI21</f>
        <v>6</v>
      </c>
      <c r="AL21" s="44">
        <v>1</v>
      </c>
      <c r="AM21" s="46"/>
      <c r="AN21" s="46"/>
      <c r="AO21" s="46"/>
      <c r="AP21" s="48">
        <f>AL21*3+AN21</f>
        <v>3</v>
      </c>
      <c r="AQ21" s="48">
        <f>AM21*3+AO21</f>
        <v>0</v>
      </c>
      <c r="AR21" s="50">
        <f>AQ21+AP21</f>
        <v>3</v>
      </c>
      <c r="AS21" s="44"/>
      <c r="AT21" s="46"/>
      <c r="AU21" s="46">
        <v>2</v>
      </c>
      <c r="AV21" s="46"/>
      <c r="AW21" s="48">
        <f>AS21*3+AU21</f>
        <v>2</v>
      </c>
      <c r="AX21" s="48">
        <f>AT21*3+AV21</f>
        <v>0</v>
      </c>
      <c r="AY21" s="50">
        <f>AX21+AW21</f>
        <v>2</v>
      </c>
      <c r="AZ21" s="44"/>
      <c r="BA21" s="46"/>
      <c r="BB21" s="46">
        <v>1</v>
      </c>
      <c r="BC21" s="46"/>
      <c r="BD21" s="48">
        <f>AZ21*3+BB21</f>
        <v>1</v>
      </c>
      <c r="BE21" s="48">
        <f>BA21*3+BC21</f>
        <v>0</v>
      </c>
      <c r="BF21" s="50">
        <f>BE21+BD21</f>
        <v>1</v>
      </c>
      <c r="BG21" s="91">
        <v>1</v>
      </c>
      <c r="BH21" s="124"/>
      <c r="BI21" s="46">
        <v>3</v>
      </c>
      <c r="BJ21" s="46"/>
      <c r="BK21" s="48">
        <f>BG21*3+BI21</f>
        <v>6</v>
      </c>
      <c r="BL21" s="48">
        <f>BH21*3+BJ21</f>
        <v>0</v>
      </c>
      <c r="BM21" s="123">
        <f>BL21+BK21</f>
        <v>6</v>
      </c>
      <c r="BN21" s="91"/>
      <c r="BO21" s="124"/>
      <c r="BP21" s="124">
        <v>2</v>
      </c>
      <c r="BQ21" s="124">
        <v>1</v>
      </c>
      <c r="BR21" s="48">
        <f>BN21*3+BP21</f>
        <v>2</v>
      </c>
      <c r="BS21" s="48">
        <f>BO21*3+BQ21</f>
        <v>1</v>
      </c>
      <c r="BT21" s="123">
        <f>BS21+BR21</f>
        <v>3</v>
      </c>
      <c r="BU21" s="91"/>
      <c r="BV21" s="124"/>
      <c r="BW21" s="124"/>
      <c r="BX21" s="124"/>
      <c r="BY21" s="48">
        <f>BU21*3+BW21</f>
        <v>0</v>
      </c>
      <c r="BZ21" s="48">
        <f>BV21*3+BX21</f>
        <v>0</v>
      </c>
      <c r="CA21" s="123">
        <f>BZ21+BY21</f>
        <v>0</v>
      </c>
      <c r="CB21" s="135">
        <f>SUM(AP21,AI21,AB21,U21,N21,AW21,BD21,BK21,BR21,BY21)</f>
        <v>23</v>
      </c>
      <c r="CC21" s="87">
        <f ca="1">CB21/(TODAY()-G21)</f>
        <v>8.646616541353383E-2</v>
      </c>
      <c r="CD21" s="53">
        <f>SUM(AQ21,AJ21,AC21,V21,O21,AX21,BE21,BL21,BS21,BZ21)</f>
        <v>5</v>
      </c>
      <c r="CE21" s="87">
        <f ca="1">CD21/(TODAY()-G21)</f>
        <v>1.8796992481203006E-2</v>
      </c>
      <c r="CF21" s="53">
        <f>CB21+CD21</f>
        <v>28</v>
      </c>
      <c r="CG21" s="87">
        <f ca="1">CE21+CC21</f>
        <v>0.10526315789473684</v>
      </c>
      <c r="CH21" s="53">
        <f>SUM(AS21,AL21,AE21,X21,Q21,Q21,J21,AZ21,BG21,BN21,BU21)</f>
        <v>4</v>
      </c>
      <c r="CI21" s="53">
        <f>SUM(AT21,AM21,AF21,Y21,R21,R21,K21,BA21,BH21,BO21,BV21)</f>
        <v>1</v>
      </c>
      <c r="CJ21" s="53">
        <f>CI21+CH21</f>
        <v>5</v>
      </c>
    </row>
    <row r="22" spans="1:88" x14ac:dyDescent="0.25">
      <c r="A22" s="44">
        <v>9</v>
      </c>
      <c r="B22" s="73" t="s">
        <v>166</v>
      </c>
      <c r="C22" s="78" t="str">
        <f>B22&amp;" "&amp;A22</f>
        <v>יעל 9</v>
      </c>
      <c r="D22" s="62" t="s">
        <v>6</v>
      </c>
      <c r="E22" s="62" t="s">
        <v>7</v>
      </c>
      <c r="F22" s="90" t="s">
        <v>208</v>
      </c>
      <c r="G22" s="84">
        <v>43101</v>
      </c>
      <c r="H22" s="90" t="s">
        <v>85</v>
      </c>
      <c r="I22" s="100" t="s">
        <v>167</v>
      </c>
      <c r="J22" s="192"/>
      <c r="K22" s="193"/>
      <c r="L22" s="193"/>
      <c r="M22" s="193"/>
      <c r="N22" s="194">
        <f>J22*3+L22</f>
        <v>0</v>
      </c>
      <c r="O22" s="194">
        <f>K22*3+M22</f>
        <v>0</v>
      </c>
      <c r="P22" s="49">
        <f>O22+N22</f>
        <v>0</v>
      </c>
      <c r="Q22" s="44"/>
      <c r="R22" s="46"/>
      <c r="S22" s="46"/>
      <c r="T22" s="46"/>
      <c r="U22" s="48">
        <f>Q22*3+S22</f>
        <v>0</v>
      </c>
      <c r="V22" s="48">
        <f>R22*3+T22</f>
        <v>0</v>
      </c>
      <c r="W22" s="50">
        <f>V22+U22</f>
        <v>0</v>
      </c>
      <c r="X22" s="44"/>
      <c r="Y22" s="46"/>
      <c r="Z22" s="46"/>
      <c r="AA22" s="46"/>
      <c r="AB22" s="51">
        <f>X22*3+Z22</f>
        <v>0</v>
      </c>
      <c r="AC22" s="51">
        <f>Y22*3+AA22</f>
        <v>0</v>
      </c>
      <c r="AD22" s="52">
        <f>AC22+AB22</f>
        <v>0</v>
      </c>
      <c r="AE22" s="44"/>
      <c r="AF22" s="46"/>
      <c r="AG22" s="46"/>
      <c r="AH22" s="46"/>
      <c r="AI22" s="48">
        <f>AE22*3+AG22</f>
        <v>0</v>
      </c>
      <c r="AJ22" s="48">
        <f>AF22*3+AH22</f>
        <v>0</v>
      </c>
      <c r="AK22" s="50">
        <f>AJ22+AI22</f>
        <v>0</v>
      </c>
      <c r="AL22" s="44"/>
      <c r="AM22" s="46"/>
      <c r="AN22" s="46"/>
      <c r="AO22" s="46"/>
      <c r="AP22" s="48">
        <f>AL22*3+AN22</f>
        <v>0</v>
      </c>
      <c r="AQ22" s="48">
        <f>AM22*3+AO22</f>
        <v>0</v>
      </c>
      <c r="AR22" s="50">
        <f>AQ22+AP22</f>
        <v>0</v>
      </c>
      <c r="AS22" s="44"/>
      <c r="AT22" s="46"/>
      <c r="AU22" s="46"/>
      <c r="AV22" s="46"/>
      <c r="AW22" s="48">
        <f>AS22*3+AU22</f>
        <v>0</v>
      </c>
      <c r="AX22" s="48">
        <f>AT22*3+AV22</f>
        <v>0</v>
      </c>
      <c r="AY22" s="50">
        <f>AX22+AW22</f>
        <v>0</v>
      </c>
      <c r="AZ22" s="44"/>
      <c r="BA22" s="46"/>
      <c r="BB22" s="46"/>
      <c r="BC22" s="46"/>
      <c r="BD22" s="48">
        <f>AZ22*3+BB22</f>
        <v>0</v>
      </c>
      <c r="BE22" s="48">
        <f>BA22*3+BC22</f>
        <v>0</v>
      </c>
      <c r="BF22" s="50">
        <f>BE22+BD22</f>
        <v>0</v>
      </c>
      <c r="BG22" s="91">
        <v>1</v>
      </c>
      <c r="BH22" s="124"/>
      <c r="BI22" s="124">
        <v>1</v>
      </c>
      <c r="BJ22" s="46"/>
      <c r="BK22" s="48">
        <f>BG22*3+BI22</f>
        <v>4</v>
      </c>
      <c r="BL22" s="48">
        <f>BH22*3+BJ22</f>
        <v>0</v>
      </c>
      <c r="BM22" s="123">
        <f>BL22+BK22</f>
        <v>4</v>
      </c>
      <c r="BN22" s="91">
        <v>1</v>
      </c>
      <c r="BO22" s="124"/>
      <c r="BP22" s="124">
        <v>1</v>
      </c>
      <c r="BQ22" s="124"/>
      <c r="BR22" s="48">
        <f>BN22*3+BP22</f>
        <v>4</v>
      </c>
      <c r="BS22" s="48">
        <f>BO22*3+BQ22</f>
        <v>0</v>
      </c>
      <c r="BT22" s="123">
        <f>BS22+BR22</f>
        <v>4</v>
      </c>
      <c r="BU22" s="91"/>
      <c r="BV22" s="124"/>
      <c r="BW22" s="124"/>
      <c r="BX22" s="124"/>
      <c r="BY22" s="48">
        <f>BU22*3+BW22</f>
        <v>0</v>
      </c>
      <c r="BZ22" s="48">
        <f>BV22*3+BX22</f>
        <v>0</v>
      </c>
      <c r="CA22" s="123">
        <f>BZ22+BY22</f>
        <v>0</v>
      </c>
      <c r="CB22" s="135">
        <f>SUM(AP22,AI22,AB22,U22,N22,AW22,BD22,BK22,BR22,BY22)</f>
        <v>8</v>
      </c>
      <c r="CC22" s="87">
        <f ca="1">CB22/(TODAY()-G22)</f>
        <v>9.7560975609756101E-2</v>
      </c>
      <c r="CD22" s="53">
        <f>SUM(AQ22,AJ22,AC22,V22,O22,AX22,BE22,BL22,BS22,BZ22)</f>
        <v>0</v>
      </c>
      <c r="CE22" s="87">
        <f ca="1">CD22/(TODAY()-G22)</f>
        <v>0</v>
      </c>
      <c r="CF22" s="53">
        <f>CB22+CD22</f>
        <v>8</v>
      </c>
      <c r="CG22" s="87">
        <f ca="1">CE22+CC22</f>
        <v>9.7560975609756101E-2</v>
      </c>
      <c r="CH22" s="53">
        <f>SUM(AS22,AL22,AE22,X22,Q22,Q22,J22,AZ22,BG22,BN22,BU22)</f>
        <v>2</v>
      </c>
      <c r="CI22" s="53">
        <f>SUM(AT22,AM22,AF22,Y22,R22,R22,K22,BA22,BH22,BO22,BV22)</f>
        <v>0</v>
      </c>
      <c r="CJ22" s="53">
        <f>CI22+CH22</f>
        <v>2</v>
      </c>
    </row>
    <row r="23" spans="1:88" x14ac:dyDescent="0.25">
      <c r="A23" s="44">
        <v>9</v>
      </c>
      <c r="B23" s="73" t="s">
        <v>146</v>
      </c>
      <c r="C23" s="45" t="str">
        <f>B23&amp;" "&amp;A23</f>
        <v>ירדן 9</v>
      </c>
      <c r="D23" s="62" t="s">
        <v>6</v>
      </c>
      <c r="E23" s="62" t="s">
        <v>7</v>
      </c>
      <c r="F23" s="90" t="s">
        <v>207</v>
      </c>
      <c r="G23" s="84">
        <v>43040</v>
      </c>
      <c r="H23" s="90" t="s">
        <v>85</v>
      </c>
      <c r="I23" s="47"/>
      <c r="J23" s="192"/>
      <c r="K23" s="193"/>
      <c r="L23" s="193"/>
      <c r="M23" s="193"/>
      <c r="N23" s="194">
        <f>J23*3+L23</f>
        <v>0</v>
      </c>
      <c r="O23" s="194">
        <f>K23*3+M23</f>
        <v>0</v>
      </c>
      <c r="P23" s="49">
        <f>O23+N23</f>
        <v>0</v>
      </c>
      <c r="Q23" s="44"/>
      <c r="R23" s="46"/>
      <c r="S23" s="46"/>
      <c r="T23" s="46"/>
      <c r="U23" s="48">
        <f>Q23*3+S23</f>
        <v>0</v>
      </c>
      <c r="V23" s="48">
        <f>R23*3+T23</f>
        <v>0</v>
      </c>
      <c r="W23" s="50">
        <f>V23+U23</f>
        <v>0</v>
      </c>
      <c r="X23" s="44"/>
      <c r="Y23" s="46"/>
      <c r="Z23" s="46"/>
      <c r="AA23" s="46"/>
      <c r="AB23" s="51">
        <f>X23*3+Z23</f>
        <v>0</v>
      </c>
      <c r="AC23" s="51">
        <f>Y23*3+AA23</f>
        <v>0</v>
      </c>
      <c r="AD23" s="52">
        <f>AC23+AB23</f>
        <v>0</v>
      </c>
      <c r="AE23" s="44"/>
      <c r="AF23" s="46"/>
      <c r="AG23" s="46"/>
      <c r="AH23" s="46"/>
      <c r="AI23" s="48">
        <f>AE23*3+AG23</f>
        <v>0</v>
      </c>
      <c r="AJ23" s="48">
        <f>AF23*3+AH23</f>
        <v>0</v>
      </c>
      <c r="AK23" s="50">
        <f>AJ23+AI23</f>
        <v>0</v>
      </c>
      <c r="AL23" s="44"/>
      <c r="AM23" s="46"/>
      <c r="AN23" s="46"/>
      <c r="AO23" s="46"/>
      <c r="AP23" s="48">
        <f>AL23*3+AN23</f>
        <v>0</v>
      </c>
      <c r="AQ23" s="48">
        <f>AM23*3+AO23</f>
        <v>0</v>
      </c>
      <c r="AR23" s="50">
        <f>AQ23+AP23</f>
        <v>0</v>
      </c>
      <c r="AS23" s="44">
        <v>1</v>
      </c>
      <c r="AT23" s="46"/>
      <c r="AU23" s="46"/>
      <c r="AV23" s="46"/>
      <c r="AW23" s="48">
        <f>AS23*3+AU23</f>
        <v>3</v>
      </c>
      <c r="AX23" s="48">
        <f>AT23*3+AV23</f>
        <v>0</v>
      </c>
      <c r="AY23" s="50">
        <f>AX23+AW23</f>
        <v>3</v>
      </c>
      <c r="AZ23" s="44"/>
      <c r="BA23" s="46"/>
      <c r="BB23" s="46">
        <v>3</v>
      </c>
      <c r="BC23" s="46"/>
      <c r="BD23" s="48">
        <f>AZ23*3+BB23</f>
        <v>3</v>
      </c>
      <c r="BE23" s="48">
        <f>BA23*3+BC23</f>
        <v>0</v>
      </c>
      <c r="BF23" s="50">
        <f>BE23+BD23</f>
        <v>3</v>
      </c>
      <c r="BG23" s="91">
        <v>1</v>
      </c>
      <c r="BH23" s="124"/>
      <c r="BI23" s="124">
        <v>1</v>
      </c>
      <c r="BJ23" s="46"/>
      <c r="BK23" s="48">
        <f>BG23*3+BI23</f>
        <v>4</v>
      </c>
      <c r="BL23" s="48">
        <f>BH23*3+BJ23</f>
        <v>0</v>
      </c>
      <c r="BM23" s="123">
        <f>BL23+BK23</f>
        <v>4</v>
      </c>
      <c r="BN23" s="91"/>
      <c r="BO23" s="124"/>
      <c r="BP23" s="124">
        <v>3</v>
      </c>
      <c r="BQ23" s="124">
        <v>1</v>
      </c>
      <c r="BR23" s="48">
        <f>BN23*3+BP23</f>
        <v>3</v>
      </c>
      <c r="BS23" s="48">
        <f>BO23*3+BQ23</f>
        <v>1</v>
      </c>
      <c r="BT23" s="123">
        <f>BS23+BR23</f>
        <v>4</v>
      </c>
      <c r="BU23" s="91"/>
      <c r="BV23" s="124"/>
      <c r="BW23" s="124"/>
      <c r="BX23" s="124"/>
      <c r="BY23" s="48">
        <f>BU23*3+BW23</f>
        <v>0</v>
      </c>
      <c r="BZ23" s="48">
        <f>BV23*3+BX23</f>
        <v>0</v>
      </c>
      <c r="CA23" s="123">
        <f>BZ23+BY23</f>
        <v>0</v>
      </c>
      <c r="CB23" s="135">
        <f>SUM(AP23,AI23,AB23,U23,N23,AW23,BD23,BK23,BR23,BY23)</f>
        <v>13</v>
      </c>
      <c r="CC23" s="87">
        <f ca="1">CB23/(TODAY()-G23)</f>
        <v>9.0909090909090912E-2</v>
      </c>
      <c r="CD23" s="53">
        <f>SUM(AQ23,AJ23,AC23,V23,O23,AX23,BE23,BL23,BS23,BZ23)</f>
        <v>1</v>
      </c>
      <c r="CE23" s="87">
        <f ca="1">CD23/(TODAY()-G23)</f>
        <v>6.993006993006993E-3</v>
      </c>
      <c r="CF23" s="53">
        <f>CB23+CD23</f>
        <v>14</v>
      </c>
      <c r="CG23" s="87">
        <f ca="1">CE23+CC23</f>
        <v>9.7902097902097904E-2</v>
      </c>
      <c r="CH23" s="53">
        <f>SUM(AS23,AL23,AE23,X23,Q23,Q23,J23,AZ23,BG23,BN23,BU23)</f>
        <v>2</v>
      </c>
      <c r="CI23" s="53">
        <f>SUM(AT23,AM23,AF23,Y23,R23,R23,K23,BA23,BH23,BO23,BV23)</f>
        <v>0</v>
      </c>
      <c r="CJ23" s="53">
        <f>CI23+CH23</f>
        <v>2</v>
      </c>
    </row>
    <row r="24" spans="1:88" x14ac:dyDescent="0.25">
      <c r="A24" s="44">
        <v>9</v>
      </c>
      <c r="B24" s="73" t="s">
        <v>138</v>
      </c>
      <c r="C24" s="78" t="str">
        <f>B24&amp;" "&amp;A24</f>
        <v>מעין 9</v>
      </c>
      <c r="D24" s="46" t="s">
        <v>6</v>
      </c>
      <c r="E24" s="62" t="s">
        <v>7</v>
      </c>
      <c r="F24" s="90" t="s">
        <v>205</v>
      </c>
      <c r="G24" s="84">
        <v>42979</v>
      </c>
      <c r="H24" s="54">
        <v>43661</v>
      </c>
      <c r="I24" s="47"/>
      <c r="J24" s="192"/>
      <c r="K24" s="193"/>
      <c r="L24" s="193"/>
      <c r="M24" s="193"/>
      <c r="N24" s="194">
        <f>J24*3+L24</f>
        <v>0</v>
      </c>
      <c r="O24" s="194">
        <f>K24*3+M24</f>
        <v>0</v>
      </c>
      <c r="P24" s="49">
        <f>O24+N24</f>
        <v>0</v>
      </c>
      <c r="Q24" s="44"/>
      <c r="R24" s="46"/>
      <c r="S24" s="46"/>
      <c r="T24" s="46"/>
      <c r="U24" s="48">
        <f>Q24*3+S24</f>
        <v>0</v>
      </c>
      <c r="V24" s="48">
        <f>R24*3+T24</f>
        <v>0</v>
      </c>
      <c r="W24" s="50">
        <f>V24+U24</f>
        <v>0</v>
      </c>
      <c r="X24" s="44"/>
      <c r="Y24" s="46"/>
      <c r="Z24" s="46"/>
      <c r="AA24" s="46"/>
      <c r="AB24" s="51">
        <f>X24*3+Z24</f>
        <v>0</v>
      </c>
      <c r="AC24" s="51">
        <f>Y24*3+AA24</f>
        <v>0</v>
      </c>
      <c r="AD24" s="52">
        <f>AC24+AB24</f>
        <v>0</v>
      </c>
      <c r="AE24" s="44">
        <v>1</v>
      </c>
      <c r="AF24" s="46"/>
      <c r="AG24" s="46">
        <v>3</v>
      </c>
      <c r="AH24" s="46"/>
      <c r="AI24" s="48">
        <f>AE24*3+AG24</f>
        <v>6</v>
      </c>
      <c r="AJ24" s="48">
        <f>AF24*3+AH24</f>
        <v>0</v>
      </c>
      <c r="AK24" s="50">
        <f>AJ24+AI24</f>
        <v>6</v>
      </c>
      <c r="AL24" s="44"/>
      <c r="AM24" s="46"/>
      <c r="AN24" s="46">
        <v>1</v>
      </c>
      <c r="AO24" s="46"/>
      <c r="AP24" s="48">
        <f>AL24*3+AN24</f>
        <v>1</v>
      </c>
      <c r="AQ24" s="48">
        <f>AM24*3+AO24</f>
        <v>0</v>
      </c>
      <c r="AR24" s="50">
        <f>AQ24+AP24</f>
        <v>1</v>
      </c>
      <c r="AS24" s="44">
        <v>1</v>
      </c>
      <c r="AT24" s="46"/>
      <c r="AU24" s="46">
        <v>1</v>
      </c>
      <c r="AV24" s="46"/>
      <c r="AW24" s="48">
        <f>AS24*3+AU24</f>
        <v>4</v>
      </c>
      <c r="AX24" s="48">
        <f>AT24*3+AV24</f>
        <v>0</v>
      </c>
      <c r="AY24" s="50">
        <f>AX24+AW24</f>
        <v>4</v>
      </c>
      <c r="AZ24" s="44">
        <v>1</v>
      </c>
      <c r="BA24" s="46"/>
      <c r="BB24" s="46">
        <v>3</v>
      </c>
      <c r="BC24" s="46">
        <v>1</v>
      </c>
      <c r="BD24" s="48">
        <f>AZ24*3+BB24</f>
        <v>6</v>
      </c>
      <c r="BE24" s="48">
        <f>BA24*3+BC24</f>
        <v>1</v>
      </c>
      <c r="BF24" s="50">
        <f>BE24+BD24</f>
        <v>7</v>
      </c>
      <c r="BG24" s="91"/>
      <c r="BH24" s="124"/>
      <c r="BI24" s="46">
        <v>1</v>
      </c>
      <c r="BJ24" s="46"/>
      <c r="BK24" s="48">
        <f>BG24*3+BI24</f>
        <v>1</v>
      </c>
      <c r="BL24" s="48">
        <f>BH24*3+BJ24</f>
        <v>0</v>
      </c>
      <c r="BM24" s="123">
        <f>BL24+BK24</f>
        <v>1</v>
      </c>
      <c r="BN24" s="91"/>
      <c r="BO24" s="124"/>
      <c r="BP24" s="124">
        <v>2</v>
      </c>
      <c r="BQ24" s="124">
        <v>1</v>
      </c>
      <c r="BR24" s="48">
        <f>BN24*3+BP24</f>
        <v>2</v>
      </c>
      <c r="BS24" s="48">
        <f>BO24*3+BQ24</f>
        <v>1</v>
      </c>
      <c r="BT24" s="123">
        <f>BS24+BR24</f>
        <v>3</v>
      </c>
      <c r="BU24" s="91"/>
      <c r="BV24" s="124"/>
      <c r="BW24" s="124"/>
      <c r="BX24" s="124"/>
      <c r="BY24" s="48">
        <f>BU24*3+BW24</f>
        <v>0</v>
      </c>
      <c r="BZ24" s="48">
        <f>BV24*3+BX24</f>
        <v>0</v>
      </c>
      <c r="CA24" s="123">
        <f>BZ24+BY24</f>
        <v>0</v>
      </c>
      <c r="CB24" s="135">
        <f>SUM(AP24,AI24,AB24,U24,N24,AW24,BD24,BK24,BR24,BY24)</f>
        <v>20</v>
      </c>
      <c r="CC24" s="87">
        <f ca="1">CB24/(TODAY()-G24)</f>
        <v>9.8039215686274508E-2</v>
      </c>
      <c r="CD24" s="53">
        <f>SUM(AQ24,AJ24,AC24,V24,O24,AX24,BE24,BL24,BS24,BZ24)</f>
        <v>2</v>
      </c>
      <c r="CE24" s="87">
        <f ca="1">CD24/(TODAY()-G24)</f>
        <v>9.8039215686274508E-3</v>
      </c>
      <c r="CF24" s="53">
        <f>CB24+CD24</f>
        <v>22</v>
      </c>
      <c r="CG24" s="87">
        <f ca="1">CE24+CC24</f>
        <v>0.10784313725490197</v>
      </c>
      <c r="CH24" s="53">
        <f>SUM(AS24,AL24,AE24,X24,Q24,Q24,J24,AZ24,BG24,BN24,BU24)</f>
        <v>3</v>
      </c>
      <c r="CI24" s="53">
        <f>SUM(AT24,AM24,AF24,Y24,R24,R24,K24,BA24,BH24,BO24,BV24)</f>
        <v>0</v>
      </c>
      <c r="CJ24" s="53">
        <f>CI24+CH24</f>
        <v>3</v>
      </c>
    </row>
    <row r="25" spans="1:88" x14ac:dyDescent="0.25">
      <c r="A25" s="44">
        <v>9</v>
      </c>
      <c r="B25" s="45" t="s">
        <v>15</v>
      </c>
      <c r="C25" s="78" t="str">
        <f>B25&amp;" "&amp;A25</f>
        <v>שקד 9</v>
      </c>
      <c r="D25" s="46" t="s">
        <v>6</v>
      </c>
      <c r="E25" s="62" t="s">
        <v>7</v>
      </c>
      <c r="F25" s="90" t="s">
        <v>206</v>
      </c>
      <c r="G25" s="84">
        <v>43009</v>
      </c>
      <c r="H25" s="90" t="s">
        <v>85</v>
      </c>
      <c r="I25" s="100" t="s">
        <v>167</v>
      </c>
      <c r="J25" s="192"/>
      <c r="K25" s="193"/>
      <c r="L25" s="193"/>
      <c r="M25" s="193"/>
      <c r="N25" s="194">
        <f>J25*3+L25</f>
        <v>0</v>
      </c>
      <c r="O25" s="194">
        <f>K25*3+M25</f>
        <v>0</v>
      </c>
      <c r="P25" s="49">
        <f>O25+N25</f>
        <v>0</v>
      </c>
      <c r="Q25" s="44"/>
      <c r="R25" s="46"/>
      <c r="S25" s="46"/>
      <c r="T25" s="46"/>
      <c r="U25" s="48">
        <f>Q25*3+S25</f>
        <v>0</v>
      </c>
      <c r="V25" s="48">
        <f>R25*3+T25</f>
        <v>0</v>
      </c>
      <c r="W25" s="50">
        <f>V25+U25</f>
        <v>0</v>
      </c>
      <c r="X25" s="44"/>
      <c r="Y25" s="46"/>
      <c r="Z25" s="46"/>
      <c r="AA25" s="46"/>
      <c r="AB25" s="51">
        <f>X25*3+Z25</f>
        <v>0</v>
      </c>
      <c r="AC25" s="51">
        <f>Y25*3+AA25</f>
        <v>0</v>
      </c>
      <c r="AD25" s="52">
        <f>AC25+AB25</f>
        <v>0</v>
      </c>
      <c r="AE25" s="44"/>
      <c r="AF25" s="46"/>
      <c r="AG25" s="46">
        <v>1</v>
      </c>
      <c r="AH25" s="46"/>
      <c r="AI25" s="48">
        <f>AE25*3+AG25</f>
        <v>1</v>
      </c>
      <c r="AJ25" s="48">
        <f>AF25*3+AH25</f>
        <v>0</v>
      </c>
      <c r="AK25" s="50">
        <f>AJ25+AI25</f>
        <v>1</v>
      </c>
      <c r="AL25" s="44">
        <v>1</v>
      </c>
      <c r="AM25" s="46"/>
      <c r="AN25" s="46">
        <v>2</v>
      </c>
      <c r="AO25" s="46"/>
      <c r="AP25" s="48">
        <f>AL25*3+AN25</f>
        <v>5</v>
      </c>
      <c r="AQ25" s="48">
        <f>AM25*3+AO25</f>
        <v>0</v>
      </c>
      <c r="AR25" s="50">
        <f>AQ25+AP25</f>
        <v>5</v>
      </c>
      <c r="AS25" s="44"/>
      <c r="AT25" s="46"/>
      <c r="AU25" s="46">
        <v>4</v>
      </c>
      <c r="AV25" s="46"/>
      <c r="AW25" s="48">
        <f>AS25*3+AU25</f>
        <v>4</v>
      </c>
      <c r="AX25" s="48">
        <f>AT25*3+AV25</f>
        <v>0</v>
      </c>
      <c r="AY25" s="50">
        <f>AX25+AW25</f>
        <v>4</v>
      </c>
      <c r="AZ25" s="44"/>
      <c r="BA25" s="46"/>
      <c r="BB25" s="46">
        <v>2</v>
      </c>
      <c r="BC25" s="46">
        <v>1</v>
      </c>
      <c r="BD25" s="48">
        <f>AZ25*3+BB25</f>
        <v>2</v>
      </c>
      <c r="BE25" s="48">
        <f>BA25*3+BC25</f>
        <v>1</v>
      </c>
      <c r="BF25" s="50">
        <f>BE25+BD25</f>
        <v>3</v>
      </c>
      <c r="BG25" s="91">
        <v>1</v>
      </c>
      <c r="BH25" s="124"/>
      <c r="BI25" s="124">
        <v>1</v>
      </c>
      <c r="BJ25" s="46"/>
      <c r="BK25" s="48">
        <f>BG25*3+BI25</f>
        <v>4</v>
      </c>
      <c r="BL25" s="48">
        <f>BH25*3+BJ25</f>
        <v>0</v>
      </c>
      <c r="BM25" s="123">
        <f>BL25+BK25</f>
        <v>4</v>
      </c>
      <c r="BN25" s="91">
        <v>1</v>
      </c>
      <c r="BO25" s="124"/>
      <c r="BP25" s="124"/>
      <c r="BQ25" s="124"/>
      <c r="BR25" s="48">
        <f>BN25*3+BP25</f>
        <v>3</v>
      </c>
      <c r="BS25" s="48">
        <f>BO25*3+BQ25</f>
        <v>0</v>
      </c>
      <c r="BT25" s="123">
        <f>BS25+BR25</f>
        <v>3</v>
      </c>
      <c r="BU25" s="91"/>
      <c r="BV25" s="124"/>
      <c r="BW25" s="124"/>
      <c r="BX25" s="124"/>
      <c r="BY25" s="48">
        <f>BU25*3+BW25</f>
        <v>0</v>
      </c>
      <c r="BZ25" s="48">
        <f>BV25*3+BX25</f>
        <v>0</v>
      </c>
      <c r="CA25" s="123">
        <f>BZ25+BY25</f>
        <v>0</v>
      </c>
      <c r="CB25" s="135">
        <f>SUM(AP25,AI25,AB25,U25,N25,AW25,BD25,BK25,BR25,BY25)</f>
        <v>19</v>
      </c>
      <c r="CC25" s="87">
        <f ca="1">CB25/(TODAY()-G25)</f>
        <v>0.10919540229885058</v>
      </c>
      <c r="CD25" s="53">
        <f>SUM(AQ25,AJ25,AC25,V25,O25,AX25,BE25,BL25,BS25,BZ25)</f>
        <v>1</v>
      </c>
      <c r="CE25" s="87">
        <f ca="1">CD25/(TODAY()-G25)</f>
        <v>5.7471264367816091E-3</v>
      </c>
      <c r="CF25" s="53">
        <f>CB25+CD25</f>
        <v>20</v>
      </c>
      <c r="CG25" s="87">
        <f ca="1">CE25+CC25</f>
        <v>0.11494252873563218</v>
      </c>
      <c r="CH25" s="53">
        <f>SUM(AS25,AL25,AE25,X25,Q25,Q25,J25,AZ25,BG25,BN25,BU25)</f>
        <v>3</v>
      </c>
      <c r="CI25" s="53">
        <f>SUM(AT25,AM25,AF25,Y25,R25,R25,K25,BA25,BH25,BO25,BV25)</f>
        <v>0</v>
      </c>
      <c r="CJ25" s="53">
        <f>CI25+CH25</f>
        <v>3</v>
      </c>
    </row>
    <row r="26" spans="1:88" x14ac:dyDescent="0.25">
      <c r="A26" s="44">
        <v>11</v>
      </c>
      <c r="B26" s="45" t="s">
        <v>10</v>
      </c>
      <c r="C26" s="78" t="str">
        <f>B26&amp;" "&amp;A26</f>
        <v>טאי 11</v>
      </c>
      <c r="D26" s="46" t="s">
        <v>6</v>
      </c>
      <c r="E26" s="46" t="s">
        <v>7</v>
      </c>
      <c r="F26" s="90" t="s">
        <v>202</v>
      </c>
      <c r="G26" s="84">
        <v>42887</v>
      </c>
      <c r="H26" s="54">
        <v>43360</v>
      </c>
      <c r="I26" s="100"/>
      <c r="J26" s="192">
        <v>1</v>
      </c>
      <c r="K26" s="193"/>
      <c r="L26" s="193">
        <v>1</v>
      </c>
      <c r="M26" s="193">
        <v>1</v>
      </c>
      <c r="N26" s="194">
        <f>J26*3+L26</f>
        <v>4</v>
      </c>
      <c r="O26" s="194">
        <f>K26*3+M26</f>
        <v>1</v>
      </c>
      <c r="P26" s="49">
        <f>O26+N26</f>
        <v>5</v>
      </c>
      <c r="Q26" s="44">
        <v>1</v>
      </c>
      <c r="R26" s="46"/>
      <c r="S26" s="46"/>
      <c r="T26" s="46">
        <v>1</v>
      </c>
      <c r="U26" s="48">
        <f>Q26*3+S26</f>
        <v>3</v>
      </c>
      <c r="V26" s="48">
        <f>R26*3+T26</f>
        <v>1</v>
      </c>
      <c r="W26" s="50">
        <f>V26+U26</f>
        <v>4</v>
      </c>
      <c r="X26" s="44"/>
      <c r="Y26" s="46"/>
      <c r="Z26" s="46">
        <v>2</v>
      </c>
      <c r="AA26" s="46"/>
      <c r="AB26" s="51">
        <f>X26*3+Z26</f>
        <v>2</v>
      </c>
      <c r="AC26" s="51">
        <f>Y26*3+AA26</f>
        <v>0</v>
      </c>
      <c r="AD26" s="52">
        <f>AC26+AB26</f>
        <v>2</v>
      </c>
      <c r="AE26" s="44">
        <v>1</v>
      </c>
      <c r="AF26" s="46"/>
      <c r="AG26" s="46">
        <v>1</v>
      </c>
      <c r="AH26" s="46"/>
      <c r="AI26" s="48">
        <f>AE26*3+AG26</f>
        <v>4</v>
      </c>
      <c r="AJ26" s="48">
        <f>AF26*3+AH26</f>
        <v>0</v>
      </c>
      <c r="AK26" s="50">
        <f>AJ26+AI26</f>
        <v>4</v>
      </c>
      <c r="AL26" s="44"/>
      <c r="AM26" s="46"/>
      <c r="AN26" s="46">
        <v>2</v>
      </c>
      <c r="AO26" s="46"/>
      <c r="AP26" s="48">
        <f>AL26*3+AN26</f>
        <v>2</v>
      </c>
      <c r="AQ26" s="48">
        <f>AM26*3+AO26</f>
        <v>0</v>
      </c>
      <c r="AR26" s="50">
        <f>AQ26+AP26</f>
        <v>2</v>
      </c>
      <c r="AS26" s="44"/>
      <c r="AT26" s="46"/>
      <c r="AU26" s="46">
        <v>2</v>
      </c>
      <c r="AV26" s="46">
        <v>1</v>
      </c>
      <c r="AW26" s="48">
        <f>AS26*3+AU26</f>
        <v>2</v>
      </c>
      <c r="AX26" s="48">
        <f>AT26*3+AV26</f>
        <v>1</v>
      </c>
      <c r="AY26" s="50">
        <f>AX26+AW26</f>
        <v>3</v>
      </c>
      <c r="AZ26" s="44">
        <v>1</v>
      </c>
      <c r="BA26" s="46"/>
      <c r="BB26" s="46">
        <v>1</v>
      </c>
      <c r="BC26" s="46"/>
      <c r="BD26" s="48">
        <f>AZ26*3+BB26</f>
        <v>4</v>
      </c>
      <c r="BE26" s="48">
        <f>BA26*3+BC26</f>
        <v>0</v>
      </c>
      <c r="BF26" s="50">
        <f>BE26+BD26</f>
        <v>4</v>
      </c>
      <c r="BG26" s="91"/>
      <c r="BH26" s="124"/>
      <c r="BI26" s="124">
        <v>1</v>
      </c>
      <c r="BJ26" s="62">
        <v>1</v>
      </c>
      <c r="BK26" s="48">
        <f>BG26*3+BI26</f>
        <v>1</v>
      </c>
      <c r="BL26" s="48">
        <f>BH26*3+BJ26</f>
        <v>1</v>
      </c>
      <c r="BM26" s="123">
        <f>BL26+BK26</f>
        <v>2</v>
      </c>
      <c r="BN26" s="91"/>
      <c r="BO26" s="124"/>
      <c r="BP26" s="124">
        <v>4</v>
      </c>
      <c r="BQ26" s="124"/>
      <c r="BR26" s="48">
        <f>BN26*3+BP26</f>
        <v>4</v>
      </c>
      <c r="BS26" s="48">
        <f>BO26*3+BQ26</f>
        <v>0</v>
      </c>
      <c r="BT26" s="123">
        <f>BS26+BR26</f>
        <v>4</v>
      </c>
      <c r="BU26" s="91">
        <v>1</v>
      </c>
      <c r="BV26" s="124"/>
      <c r="BW26" s="124"/>
      <c r="BX26" s="124"/>
      <c r="BY26" s="48">
        <f>BU26*3+BW26</f>
        <v>3</v>
      </c>
      <c r="BZ26" s="48">
        <f>BV26*3+BX26</f>
        <v>0</v>
      </c>
      <c r="CA26" s="123">
        <f>BZ26+BY26</f>
        <v>3</v>
      </c>
      <c r="CB26" s="135">
        <f>SUM(AP26,AI26,AB26,U26,N26,AW26,BD26,BK26,BR26,BY26)</f>
        <v>29</v>
      </c>
      <c r="CC26" s="87">
        <f ca="1">CB26/(TODAY()-G26)</f>
        <v>9.7972972972972971E-2</v>
      </c>
      <c r="CD26" s="53">
        <f>SUM(AQ26,AJ26,AC26,V26,O26,AX26,BE26,BL26,BS26,BZ26)</f>
        <v>4</v>
      </c>
      <c r="CE26" s="87">
        <f ca="1">CD26/(TODAY()-G26)</f>
        <v>1.3513513513513514E-2</v>
      </c>
      <c r="CF26" s="53">
        <f>CB26+CD26</f>
        <v>33</v>
      </c>
      <c r="CG26" s="87">
        <f ca="1">CE26+CC26</f>
        <v>0.11148648648648649</v>
      </c>
      <c r="CH26" s="53">
        <f>SUM(AS26,AL26,AE26,X26,Q26,Q26,J26,AZ26,BG26,BN26,BU26)</f>
        <v>6</v>
      </c>
      <c r="CI26" s="53">
        <f>SUM(AT26,AM26,AF26,Y26,R26,R26,K26,BA26,BH26,BO26,BV26)</f>
        <v>0</v>
      </c>
      <c r="CJ26" s="53">
        <f>CI26+CH26</f>
        <v>6</v>
      </c>
    </row>
    <row r="27" spans="1:88" x14ac:dyDescent="0.25">
      <c r="A27" s="44">
        <v>11</v>
      </c>
      <c r="B27" s="45" t="s">
        <v>13</v>
      </c>
      <c r="C27" s="78" t="str">
        <f>B27&amp;" "&amp;A27</f>
        <v>עדן 11</v>
      </c>
      <c r="D27" s="46" t="s">
        <v>6</v>
      </c>
      <c r="E27" s="46" t="s">
        <v>7</v>
      </c>
      <c r="F27" s="90" t="s">
        <v>202</v>
      </c>
      <c r="G27" s="84">
        <v>42887</v>
      </c>
      <c r="H27" s="54">
        <v>43490</v>
      </c>
      <c r="I27" s="100"/>
      <c r="J27" s="192">
        <v>1</v>
      </c>
      <c r="K27" s="193"/>
      <c r="L27" s="193">
        <v>4</v>
      </c>
      <c r="M27" s="193"/>
      <c r="N27" s="194">
        <f>J27*3+L27</f>
        <v>7</v>
      </c>
      <c r="O27" s="194">
        <f>K27*3+M27</f>
        <v>0</v>
      </c>
      <c r="P27" s="49">
        <f>O27+N27</f>
        <v>7</v>
      </c>
      <c r="Q27" s="44"/>
      <c r="R27" s="46"/>
      <c r="S27" s="46">
        <v>3</v>
      </c>
      <c r="T27" s="46"/>
      <c r="U27" s="48">
        <f>Q27*3+S27</f>
        <v>3</v>
      </c>
      <c r="V27" s="48">
        <f>R27*3+T27</f>
        <v>0</v>
      </c>
      <c r="W27" s="50">
        <f>V27+U27</f>
        <v>3</v>
      </c>
      <c r="X27" s="44">
        <v>1</v>
      </c>
      <c r="Y27" s="46">
        <v>1</v>
      </c>
      <c r="Z27" s="46"/>
      <c r="AA27" s="46">
        <v>1</v>
      </c>
      <c r="AB27" s="51">
        <f>X27*3+Z27</f>
        <v>3</v>
      </c>
      <c r="AC27" s="51">
        <f>Y27*3+AA27</f>
        <v>4</v>
      </c>
      <c r="AD27" s="52">
        <f>AC27+AB27</f>
        <v>7</v>
      </c>
      <c r="AE27" s="44"/>
      <c r="AF27" s="46"/>
      <c r="AG27" s="46">
        <v>1</v>
      </c>
      <c r="AH27" s="46"/>
      <c r="AI27" s="48">
        <f>AE27*3+AG27</f>
        <v>1</v>
      </c>
      <c r="AJ27" s="48">
        <f>AF27*3+AH27</f>
        <v>0</v>
      </c>
      <c r="AK27" s="50">
        <f>AJ27+AI27</f>
        <v>1</v>
      </c>
      <c r="AL27" s="44"/>
      <c r="AM27" s="46"/>
      <c r="AN27" s="46">
        <v>2</v>
      </c>
      <c r="AO27" s="46"/>
      <c r="AP27" s="48">
        <f>AL27*3+AN27</f>
        <v>2</v>
      </c>
      <c r="AQ27" s="48">
        <f>AM27*3+AO27</f>
        <v>0</v>
      </c>
      <c r="AR27" s="50">
        <f>AQ27+AP27</f>
        <v>2</v>
      </c>
      <c r="AS27" s="44">
        <v>1</v>
      </c>
      <c r="AT27" s="46"/>
      <c r="AU27" s="46"/>
      <c r="AV27" s="46"/>
      <c r="AW27" s="48">
        <f>AS27*3+AU27</f>
        <v>3</v>
      </c>
      <c r="AX27" s="48">
        <f>AT27*3+AV27</f>
        <v>0</v>
      </c>
      <c r="AY27" s="50">
        <f>AX27+AW27</f>
        <v>3</v>
      </c>
      <c r="AZ27" s="44"/>
      <c r="BA27" s="46"/>
      <c r="BB27" s="46">
        <v>3</v>
      </c>
      <c r="BC27" s="46"/>
      <c r="BD27" s="48">
        <f>AZ27*3+BB27</f>
        <v>3</v>
      </c>
      <c r="BE27" s="48">
        <f>BA27*3+BC27</f>
        <v>0</v>
      </c>
      <c r="BF27" s="50">
        <f>BE27+BD27</f>
        <v>3</v>
      </c>
      <c r="BG27" s="91"/>
      <c r="BH27" s="124">
        <v>1</v>
      </c>
      <c r="BI27" s="124"/>
      <c r="BJ27" s="46"/>
      <c r="BK27" s="48">
        <f>BG27*3+BI27</f>
        <v>0</v>
      </c>
      <c r="BL27" s="48">
        <f>BH27*3+BJ27</f>
        <v>3</v>
      </c>
      <c r="BM27" s="123">
        <f>BL27+BK27</f>
        <v>3</v>
      </c>
      <c r="BN27" s="91">
        <v>1</v>
      </c>
      <c r="BO27" s="124"/>
      <c r="BP27" s="124"/>
      <c r="BQ27" s="124"/>
      <c r="BR27" s="48">
        <f>BN27*3+BP27</f>
        <v>3</v>
      </c>
      <c r="BS27" s="48">
        <f>BO27*3+BQ27</f>
        <v>0</v>
      </c>
      <c r="BT27" s="123">
        <f>BS27+BR27</f>
        <v>3</v>
      </c>
      <c r="BU27" s="91"/>
      <c r="BV27" s="124"/>
      <c r="BW27" s="124"/>
      <c r="BX27" s="124"/>
      <c r="BY27" s="48">
        <f>BU27*3+BW27</f>
        <v>0</v>
      </c>
      <c r="BZ27" s="48">
        <f>BV27*3+BX27</f>
        <v>0</v>
      </c>
      <c r="CA27" s="123">
        <f>BZ27+BY27</f>
        <v>0</v>
      </c>
      <c r="CB27" s="135">
        <f>SUM(AP27,AI27,AB27,U27,N27,AW27,BD27,BK27,BR27,BY27)</f>
        <v>25</v>
      </c>
      <c r="CC27" s="87">
        <f ca="1">CB27/(TODAY()-G27)</f>
        <v>8.4459459459459457E-2</v>
      </c>
      <c r="CD27" s="53">
        <f>SUM(AQ27,AJ27,AC27,V27,O27,AX27,BE27,BL27,BS27,BZ27)</f>
        <v>7</v>
      </c>
      <c r="CE27" s="87">
        <f ca="1">CD27/(TODAY()-G27)</f>
        <v>2.364864864864865E-2</v>
      </c>
      <c r="CF27" s="53">
        <f>CB27+CD27</f>
        <v>32</v>
      </c>
      <c r="CG27" s="87">
        <f ca="1">CE27+CC27</f>
        <v>0.10810810810810811</v>
      </c>
      <c r="CH27" s="53">
        <f>SUM(AS27,AL27,AE27,X27,Q27,Q27,J27,AZ27,BG27,BN27,BU27)</f>
        <v>4</v>
      </c>
      <c r="CI27" s="53">
        <f>SUM(AT27,AM27,AF27,Y27,R27,R27,K27,BA27,BH27,BO27,BV27)</f>
        <v>2</v>
      </c>
      <c r="CJ27" s="53">
        <f>CI27+CH27</f>
        <v>6</v>
      </c>
    </row>
    <row r="28" spans="1:88" x14ac:dyDescent="0.25">
      <c r="A28" s="44">
        <v>11</v>
      </c>
      <c r="B28" s="45" t="s">
        <v>9</v>
      </c>
      <c r="C28" s="78" t="str">
        <f>B28&amp;" "&amp;A28</f>
        <v>שחר 11</v>
      </c>
      <c r="D28" s="46" t="s">
        <v>6</v>
      </c>
      <c r="E28" s="46" t="s">
        <v>7</v>
      </c>
      <c r="F28" s="90" t="s">
        <v>203</v>
      </c>
      <c r="G28" s="84">
        <v>42917</v>
      </c>
      <c r="H28" s="54">
        <v>43560</v>
      </c>
      <c r="I28" s="100" t="s">
        <v>167</v>
      </c>
      <c r="J28" s="192"/>
      <c r="K28" s="193"/>
      <c r="L28" s="193">
        <v>1</v>
      </c>
      <c r="M28" s="193"/>
      <c r="N28" s="194">
        <f>J28*3+L28</f>
        <v>1</v>
      </c>
      <c r="O28" s="194">
        <f>K28*3+M28</f>
        <v>0</v>
      </c>
      <c r="P28" s="49">
        <f>O28+N28</f>
        <v>1</v>
      </c>
      <c r="Q28" s="44">
        <v>1</v>
      </c>
      <c r="R28" s="46"/>
      <c r="S28" s="46">
        <v>2</v>
      </c>
      <c r="T28" s="46"/>
      <c r="U28" s="48">
        <f>Q28*3+S28</f>
        <v>5</v>
      </c>
      <c r="V28" s="48">
        <f>R28*3+T28</f>
        <v>0</v>
      </c>
      <c r="W28" s="50">
        <f>V28+U28</f>
        <v>5</v>
      </c>
      <c r="X28" s="44">
        <v>1</v>
      </c>
      <c r="Y28" s="46"/>
      <c r="Z28" s="46">
        <v>1</v>
      </c>
      <c r="AA28" s="46"/>
      <c r="AB28" s="51">
        <f>X28*3+Z28</f>
        <v>4</v>
      </c>
      <c r="AC28" s="51">
        <f>Y28*3+AA28</f>
        <v>0</v>
      </c>
      <c r="AD28" s="52">
        <f>AC28+AB28</f>
        <v>4</v>
      </c>
      <c r="AE28" s="44"/>
      <c r="AF28" s="46"/>
      <c r="AG28" s="46">
        <v>2</v>
      </c>
      <c r="AH28" s="46"/>
      <c r="AI28" s="48">
        <f>AE28*3+AG28</f>
        <v>2</v>
      </c>
      <c r="AJ28" s="48">
        <f>AF28*3+AH28</f>
        <v>0</v>
      </c>
      <c r="AK28" s="50">
        <f>AJ28+AI28</f>
        <v>2</v>
      </c>
      <c r="AL28" s="44"/>
      <c r="AM28" s="46"/>
      <c r="AN28" s="46">
        <v>2</v>
      </c>
      <c r="AO28" s="46">
        <v>1</v>
      </c>
      <c r="AP28" s="48">
        <f>AL28*3+AN28</f>
        <v>2</v>
      </c>
      <c r="AQ28" s="48">
        <f>AM28*3+AO28</f>
        <v>1</v>
      </c>
      <c r="AR28" s="50">
        <f>AQ28+AP28</f>
        <v>3</v>
      </c>
      <c r="AS28" s="44">
        <v>1</v>
      </c>
      <c r="AT28" s="46"/>
      <c r="AU28" s="46">
        <v>1</v>
      </c>
      <c r="AV28" s="46"/>
      <c r="AW28" s="48">
        <f>AS28*3+AU28</f>
        <v>4</v>
      </c>
      <c r="AX28" s="48">
        <f>AT28*3+AV28</f>
        <v>0</v>
      </c>
      <c r="AY28" s="50">
        <f>AX28+AW28</f>
        <v>4</v>
      </c>
      <c r="AZ28" s="44">
        <v>1</v>
      </c>
      <c r="BA28" s="46"/>
      <c r="BB28" s="46"/>
      <c r="BC28" s="46">
        <v>1</v>
      </c>
      <c r="BD28" s="48">
        <f>AZ28*3+BB28</f>
        <v>3</v>
      </c>
      <c r="BE28" s="48">
        <f>BA28*3+BC28</f>
        <v>1</v>
      </c>
      <c r="BF28" s="50">
        <f>BE28+BD28</f>
        <v>4</v>
      </c>
      <c r="BG28" s="91"/>
      <c r="BH28" s="124"/>
      <c r="BI28" s="124">
        <v>1</v>
      </c>
      <c r="BJ28" s="46">
        <v>1</v>
      </c>
      <c r="BK28" s="48">
        <f>BG28*3+BI28</f>
        <v>1</v>
      </c>
      <c r="BL28" s="48">
        <f>BH28*3+BJ28</f>
        <v>1</v>
      </c>
      <c r="BM28" s="123">
        <f>BL28+BK28</f>
        <v>2</v>
      </c>
      <c r="BN28" s="91"/>
      <c r="BO28" s="124"/>
      <c r="BP28" s="124">
        <v>3</v>
      </c>
      <c r="BQ28" s="124"/>
      <c r="BR28" s="48">
        <f>BN28*3+BP28</f>
        <v>3</v>
      </c>
      <c r="BS28" s="48">
        <f>BO28*3+BQ28</f>
        <v>0</v>
      </c>
      <c r="BT28" s="123">
        <f>BS28+BR28</f>
        <v>3</v>
      </c>
      <c r="BU28" s="91">
        <v>1</v>
      </c>
      <c r="BV28" s="124"/>
      <c r="BW28" s="124"/>
      <c r="BX28" s="124"/>
      <c r="BY28" s="48">
        <f>BU28*3+BW28</f>
        <v>3</v>
      </c>
      <c r="BZ28" s="48">
        <f>BV28*3+BX28</f>
        <v>0</v>
      </c>
      <c r="CA28" s="123">
        <f>BZ28+BY28</f>
        <v>3</v>
      </c>
      <c r="CB28" s="135">
        <f>SUM(AP28,AI28,AB28,U28,N28,AW28,BD28,BK28,BR28,BY28)</f>
        <v>28</v>
      </c>
      <c r="CC28" s="87">
        <f ca="1">CB28/(TODAY()-G28)</f>
        <v>0.10526315789473684</v>
      </c>
      <c r="CD28" s="53">
        <f>SUM(AQ28,AJ28,AC28,V28,O28,AX28,BE28,BL28,BS28,BZ28)</f>
        <v>3</v>
      </c>
      <c r="CE28" s="87">
        <f ca="1">CD28/(TODAY()-G28)</f>
        <v>1.1278195488721804E-2</v>
      </c>
      <c r="CF28" s="53">
        <f>CB28+CD28</f>
        <v>31</v>
      </c>
      <c r="CG28" s="87">
        <f ca="1">CE28+CC28</f>
        <v>0.11654135338345864</v>
      </c>
      <c r="CH28" s="53">
        <f>SUM(AS28,AL28,AE28,X28,Q28,Q28,J28,AZ28,BG28,BN28,BU28)</f>
        <v>6</v>
      </c>
      <c r="CI28" s="53">
        <f>SUM(AT28,AM28,AF28,Y28,R28,R28,K28,BA28,BH28,BO28,BV28)</f>
        <v>0</v>
      </c>
      <c r="CJ28" s="53">
        <f>CI28+CH28</f>
        <v>6</v>
      </c>
    </row>
    <row r="29" spans="1:88" x14ac:dyDescent="0.25">
      <c r="A29" s="44">
        <v>209</v>
      </c>
      <c r="B29" s="73" t="s">
        <v>168</v>
      </c>
      <c r="C29" s="45" t="str">
        <f>B29&amp;" "&amp;A29</f>
        <v>אלינה 209</v>
      </c>
      <c r="D29" s="62" t="s">
        <v>6</v>
      </c>
      <c r="E29" s="62" t="s">
        <v>7</v>
      </c>
      <c r="F29" s="90" t="s">
        <v>208</v>
      </c>
      <c r="G29" s="84">
        <v>43101</v>
      </c>
      <c r="H29" s="90" t="s">
        <v>85</v>
      </c>
      <c r="I29" s="47"/>
      <c r="J29" s="192"/>
      <c r="K29" s="193"/>
      <c r="L29" s="193"/>
      <c r="M29" s="193"/>
      <c r="N29" s="194">
        <f>J29*3+L29</f>
        <v>0</v>
      </c>
      <c r="O29" s="194">
        <f>K29*3+M29</f>
        <v>0</v>
      </c>
      <c r="P29" s="49">
        <f>O29+N29</f>
        <v>0</v>
      </c>
      <c r="Q29" s="44"/>
      <c r="R29" s="46"/>
      <c r="S29" s="46"/>
      <c r="T29" s="46"/>
      <c r="U29" s="48">
        <f>Q29*3+S29</f>
        <v>0</v>
      </c>
      <c r="V29" s="48">
        <f>R29*3+T29</f>
        <v>0</v>
      </c>
      <c r="W29" s="50">
        <f>V29+U29</f>
        <v>0</v>
      </c>
      <c r="X29" s="44"/>
      <c r="Y29" s="46"/>
      <c r="Z29" s="46"/>
      <c r="AA29" s="46"/>
      <c r="AB29" s="51">
        <f>X29*3+Z29</f>
        <v>0</v>
      </c>
      <c r="AC29" s="51">
        <f>Y29*3+AA29</f>
        <v>0</v>
      </c>
      <c r="AD29" s="52">
        <f>AC29+AB29</f>
        <v>0</v>
      </c>
      <c r="AE29" s="44"/>
      <c r="AF29" s="46"/>
      <c r="AG29" s="46"/>
      <c r="AH29" s="46"/>
      <c r="AI29" s="48">
        <f>AE29*3+AG29</f>
        <v>0</v>
      </c>
      <c r="AJ29" s="48">
        <f>AF29*3+AH29</f>
        <v>0</v>
      </c>
      <c r="AK29" s="50">
        <f>AJ29+AI29</f>
        <v>0</v>
      </c>
      <c r="AL29" s="44"/>
      <c r="AM29" s="46"/>
      <c r="AN29" s="46"/>
      <c r="AO29" s="46"/>
      <c r="AP29" s="48">
        <f>AL29*3+AN29</f>
        <v>0</v>
      </c>
      <c r="AQ29" s="48">
        <f>AM29*3+AO29</f>
        <v>0</v>
      </c>
      <c r="AR29" s="50">
        <f>AQ29+AP29</f>
        <v>0</v>
      </c>
      <c r="AS29" s="44"/>
      <c r="AT29" s="46"/>
      <c r="AU29" s="46"/>
      <c r="AV29" s="46"/>
      <c r="AW29" s="48">
        <f>AS29*3+AU29</f>
        <v>0</v>
      </c>
      <c r="AX29" s="48">
        <f>AT29*3+AV29</f>
        <v>0</v>
      </c>
      <c r="AY29" s="50">
        <f>AX29+AW29</f>
        <v>0</v>
      </c>
      <c r="AZ29" s="44">
        <v>1</v>
      </c>
      <c r="BA29" s="46"/>
      <c r="BB29" s="46"/>
      <c r="BC29" s="46"/>
      <c r="BD29" s="48">
        <f>AZ29*3+BB29</f>
        <v>3</v>
      </c>
      <c r="BE29" s="48">
        <f>BA29*3+BC29</f>
        <v>0</v>
      </c>
      <c r="BF29" s="50">
        <f>BE29+BD29</f>
        <v>3</v>
      </c>
      <c r="BG29" s="91"/>
      <c r="BH29" s="124">
        <v>1</v>
      </c>
      <c r="BI29" s="124">
        <v>1</v>
      </c>
      <c r="BJ29" s="46"/>
      <c r="BK29" s="48">
        <f>BG29*3+BI29</f>
        <v>1</v>
      </c>
      <c r="BL29" s="48">
        <f>BH29*3+BJ29</f>
        <v>3</v>
      </c>
      <c r="BM29" s="123">
        <f>BL29+BK29</f>
        <v>4</v>
      </c>
      <c r="BN29" s="91"/>
      <c r="BO29" s="124"/>
      <c r="BP29" s="124"/>
      <c r="BQ29" s="124"/>
      <c r="BR29" s="48">
        <f>BN29*3+BP29</f>
        <v>0</v>
      </c>
      <c r="BS29" s="48">
        <f>BO29*3+BQ29</f>
        <v>0</v>
      </c>
      <c r="BT29" s="123">
        <f>BS29+BR29</f>
        <v>0</v>
      </c>
      <c r="BU29" s="91">
        <v>1</v>
      </c>
      <c r="BV29" s="124"/>
      <c r="BW29" s="124"/>
      <c r="BX29" s="124"/>
      <c r="BY29" s="48">
        <f>BU29*3+BW29</f>
        <v>3</v>
      </c>
      <c r="BZ29" s="48">
        <f>BV29*3+BX29</f>
        <v>0</v>
      </c>
      <c r="CA29" s="123">
        <f>BZ29+BY29</f>
        <v>3</v>
      </c>
      <c r="CB29" s="135">
        <f>SUM(AP29,AI29,AB29,U29,N29,AW29,BD29,BK29,BR29,BY29)</f>
        <v>7</v>
      </c>
      <c r="CC29" s="87">
        <f ca="1">CB29/(TODAY()-G29)</f>
        <v>8.5365853658536592E-2</v>
      </c>
      <c r="CD29" s="53">
        <f>SUM(AQ29,AJ29,AC29,V29,O29,AX29,BE29,BL29,BS29,BZ29)</f>
        <v>3</v>
      </c>
      <c r="CE29" s="87">
        <f ca="1">CD29/(TODAY()-G29)</f>
        <v>3.6585365853658534E-2</v>
      </c>
      <c r="CF29" s="53">
        <f>CB29+CD29</f>
        <v>10</v>
      </c>
      <c r="CG29" s="87">
        <f ca="1">CE29+CC29</f>
        <v>0.12195121951219512</v>
      </c>
      <c r="CH29" s="53">
        <f>SUM(AS29,AL29,AE29,X29,Q29,Q29,J29,AZ29,BG29,BN29,BU29)</f>
        <v>2</v>
      </c>
      <c r="CI29" s="53">
        <f>SUM(AT29,AM29,AF29,Y29,R29,R29,K29,BA29,BH29,BO29,BV29)</f>
        <v>1</v>
      </c>
      <c r="CJ29" s="53">
        <f>CI29+CH29</f>
        <v>3</v>
      </c>
    </row>
    <row r="30" spans="1:88" x14ac:dyDescent="0.25">
      <c r="A30" s="44">
        <v>209</v>
      </c>
      <c r="B30" s="73" t="s">
        <v>147</v>
      </c>
      <c r="C30" s="78" t="str">
        <f>B30&amp;" "&amp;A30</f>
        <v>ולריה 209</v>
      </c>
      <c r="D30" s="62" t="s">
        <v>6</v>
      </c>
      <c r="E30" s="62" t="s">
        <v>7</v>
      </c>
      <c r="F30" s="90" t="s">
        <v>207</v>
      </c>
      <c r="G30" s="84">
        <v>43040</v>
      </c>
      <c r="H30" s="88" t="s">
        <v>85</v>
      </c>
      <c r="I30" s="47"/>
      <c r="J30" s="192"/>
      <c r="K30" s="193"/>
      <c r="L30" s="193"/>
      <c r="M30" s="193"/>
      <c r="N30" s="194">
        <f>J30*3+L30</f>
        <v>0</v>
      </c>
      <c r="O30" s="194">
        <f>K30*3+M30</f>
        <v>0</v>
      </c>
      <c r="P30" s="49">
        <f>O30+N30</f>
        <v>0</v>
      </c>
      <c r="Q30" s="44"/>
      <c r="R30" s="46"/>
      <c r="S30" s="46"/>
      <c r="T30" s="46"/>
      <c r="U30" s="48">
        <f>Q30*3+S30</f>
        <v>0</v>
      </c>
      <c r="V30" s="48">
        <f>R30*3+T30</f>
        <v>0</v>
      </c>
      <c r="W30" s="50">
        <f>V30+U30</f>
        <v>0</v>
      </c>
      <c r="X30" s="44"/>
      <c r="Y30" s="46"/>
      <c r="Z30" s="46"/>
      <c r="AA30" s="46"/>
      <c r="AB30" s="51">
        <f>X30*3+Z30</f>
        <v>0</v>
      </c>
      <c r="AC30" s="51">
        <f>Y30*3+AA30</f>
        <v>0</v>
      </c>
      <c r="AD30" s="52">
        <f>AC30+AB30</f>
        <v>0</v>
      </c>
      <c r="AE30" s="44"/>
      <c r="AF30" s="46"/>
      <c r="AG30" s="46"/>
      <c r="AH30" s="46"/>
      <c r="AI30" s="48">
        <f>AE30*3+AG30</f>
        <v>0</v>
      </c>
      <c r="AJ30" s="48">
        <f>AF30*3+AH30</f>
        <v>0</v>
      </c>
      <c r="AK30" s="50">
        <f>AJ30+AI30</f>
        <v>0</v>
      </c>
      <c r="AL30" s="44"/>
      <c r="AM30" s="46"/>
      <c r="AN30" s="46"/>
      <c r="AO30" s="46"/>
      <c r="AP30" s="48">
        <f>AL30*3+AN30</f>
        <v>0</v>
      </c>
      <c r="AQ30" s="48">
        <f>AM30*3+AO30</f>
        <v>0</v>
      </c>
      <c r="AR30" s="50">
        <f>AQ30+AP30</f>
        <v>0</v>
      </c>
      <c r="AS30" s="44"/>
      <c r="AT30" s="46"/>
      <c r="AU30" s="46">
        <v>1</v>
      </c>
      <c r="AV30" s="46"/>
      <c r="AW30" s="48">
        <f>AS30*3+AU30</f>
        <v>1</v>
      </c>
      <c r="AX30" s="48">
        <f>AT30*3+AV30</f>
        <v>0</v>
      </c>
      <c r="AY30" s="50">
        <f>AX30+AW30</f>
        <v>1</v>
      </c>
      <c r="AZ30" s="44">
        <v>1</v>
      </c>
      <c r="BA30" s="46"/>
      <c r="BB30" s="46">
        <v>2</v>
      </c>
      <c r="BC30" s="46"/>
      <c r="BD30" s="48">
        <f>AZ30*3+BB30</f>
        <v>5</v>
      </c>
      <c r="BE30" s="48">
        <f>BA30*3+BC30</f>
        <v>0</v>
      </c>
      <c r="BF30" s="50">
        <f>BE30+BD30</f>
        <v>5</v>
      </c>
      <c r="BG30" s="91"/>
      <c r="BH30" s="124"/>
      <c r="BI30" s="46">
        <v>3</v>
      </c>
      <c r="BJ30" s="46"/>
      <c r="BK30" s="48">
        <f>BG30*3+BI30</f>
        <v>3</v>
      </c>
      <c r="BL30" s="48">
        <f>BH30*3+BJ30</f>
        <v>0</v>
      </c>
      <c r="BM30" s="123">
        <f>BL30+BK30</f>
        <v>3</v>
      </c>
      <c r="BN30" s="91"/>
      <c r="BO30" s="124">
        <v>1</v>
      </c>
      <c r="BP30" s="124">
        <v>3</v>
      </c>
      <c r="BQ30" s="124">
        <v>1</v>
      </c>
      <c r="BR30" s="48">
        <f>BN30*3+BP30</f>
        <v>3</v>
      </c>
      <c r="BS30" s="48">
        <f>BO30*3+BQ30</f>
        <v>4</v>
      </c>
      <c r="BT30" s="123">
        <f>BS30+BR30</f>
        <v>7</v>
      </c>
      <c r="BU30" s="91">
        <v>1</v>
      </c>
      <c r="BV30" s="124"/>
      <c r="BW30" s="124"/>
      <c r="BX30" s="124"/>
      <c r="BY30" s="48">
        <f>BU30*3+BW30</f>
        <v>3</v>
      </c>
      <c r="BZ30" s="48">
        <f>BV30*3+BX30</f>
        <v>0</v>
      </c>
      <c r="CA30" s="123">
        <f>BZ30+BY30</f>
        <v>3</v>
      </c>
      <c r="CB30" s="135">
        <f>SUM(AP30,AI30,AB30,U30,N30,AW30,BD30,BK30,BR30,BY30)</f>
        <v>15</v>
      </c>
      <c r="CC30" s="87">
        <f ca="1">CB30/(TODAY()-G30)</f>
        <v>0.1048951048951049</v>
      </c>
      <c r="CD30" s="53">
        <f>SUM(AQ30,AJ30,AC30,V30,O30,AX30,BE30,BL30,BS30,BZ30)</f>
        <v>4</v>
      </c>
      <c r="CE30" s="87">
        <f ca="1">CD30/(TODAY()-G30)</f>
        <v>2.7972027972027972E-2</v>
      </c>
      <c r="CF30" s="53">
        <f>CB30+CD30</f>
        <v>19</v>
      </c>
      <c r="CG30" s="87">
        <f ca="1">CE30+CC30</f>
        <v>0.13286713286713286</v>
      </c>
      <c r="CH30" s="53">
        <f>SUM(AS30,AL30,AE30,X30,Q30,Q30,J30,AZ30,BG30,BN30,BU30)</f>
        <v>2</v>
      </c>
      <c r="CI30" s="53">
        <f>SUM(AT30,AM30,AF30,Y30,R30,R30,K30,BA30,BH30,BO30,BV30)</f>
        <v>1</v>
      </c>
      <c r="CJ30" s="53">
        <f>CI30+CH30</f>
        <v>3</v>
      </c>
    </row>
    <row r="31" spans="1:88" x14ac:dyDescent="0.25">
      <c r="A31" s="44">
        <v>209</v>
      </c>
      <c r="B31" s="45" t="s">
        <v>8</v>
      </c>
      <c r="C31" s="78" t="str">
        <f>B31&amp;" "&amp;A31</f>
        <v>יובל 209</v>
      </c>
      <c r="D31" s="46" t="s">
        <v>6</v>
      </c>
      <c r="E31" s="46" t="s">
        <v>7</v>
      </c>
      <c r="F31" s="90" t="s">
        <v>202</v>
      </c>
      <c r="G31" s="84">
        <v>42887</v>
      </c>
      <c r="H31" s="55">
        <v>43437</v>
      </c>
      <c r="I31" s="47"/>
      <c r="J31" s="192"/>
      <c r="K31" s="193"/>
      <c r="L31" s="193">
        <v>2</v>
      </c>
      <c r="M31" s="193">
        <v>1</v>
      </c>
      <c r="N31" s="194">
        <f>J31*3+L31</f>
        <v>2</v>
      </c>
      <c r="O31" s="194">
        <f>K31*3+M31</f>
        <v>1</v>
      </c>
      <c r="P31" s="49">
        <f>O31+N31</f>
        <v>3</v>
      </c>
      <c r="Q31" s="44"/>
      <c r="R31" s="46">
        <v>1</v>
      </c>
      <c r="S31" s="46">
        <v>2</v>
      </c>
      <c r="T31" s="46"/>
      <c r="U31" s="48">
        <f>Q31*3+S31</f>
        <v>2</v>
      </c>
      <c r="V31" s="48">
        <f>R31*3+T31</f>
        <v>3</v>
      </c>
      <c r="W31" s="50">
        <f>V31+U31</f>
        <v>5</v>
      </c>
      <c r="X31" s="44">
        <v>1</v>
      </c>
      <c r="Y31" s="46"/>
      <c r="Z31" s="46"/>
      <c r="AA31" s="46"/>
      <c r="AB31" s="51">
        <f>X31*3+Z31</f>
        <v>3</v>
      </c>
      <c r="AC31" s="51">
        <f>Y31*3+AA31</f>
        <v>0</v>
      </c>
      <c r="AD31" s="52">
        <f>AC31+AB31</f>
        <v>3</v>
      </c>
      <c r="AE31" s="44"/>
      <c r="AF31" s="46"/>
      <c r="AG31" s="46">
        <v>3</v>
      </c>
      <c r="AH31" s="46"/>
      <c r="AI31" s="48">
        <f>AE31*3+AG31</f>
        <v>3</v>
      </c>
      <c r="AJ31" s="48">
        <f>AF31*3+AH31</f>
        <v>0</v>
      </c>
      <c r="AK31" s="50">
        <f>AJ31+AI31</f>
        <v>3</v>
      </c>
      <c r="AL31" s="44"/>
      <c r="AM31" s="46"/>
      <c r="AN31" s="46"/>
      <c r="AO31" s="46">
        <v>1</v>
      </c>
      <c r="AP31" s="48">
        <f>AL31*3+AN31</f>
        <v>0</v>
      </c>
      <c r="AQ31" s="48">
        <f>AM31*3+AO31</f>
        <v>1</v>
      </c>
      <c r="AR31" s="50">
        <f>AQ31+AP31</f>
        <v>1</v>
      </c>
      <c r="AS31" s="44"/>
      <c r="AT31" s="46"/>
      <c r="AU31" s="46">
        <v>1</v>
      </c>
      <c r="AV31" s="46"/>
      <c r="AW31" s="48">
        <f>AS31*3+AU31</f>
        <v>1</v>
      </c>
      <c r="AX31" s="48">
        <f>AT31*3+AV31</f>
        <v>0</v>
      </c>
      <c r="AY31" s="50">
        <f>AX31+AW31</f>
        <v>1</v>
      </c>
      <c r="AZ31" s="44"/>
      <c r="BA31" s="46"/>
      <c r="BB31" s="46">
        <v>2</v>
      </c>
      <c r="BC31" s="46"/>
      <c r="BD31" s="48">
        <f>AZ31*3+BB31</f>
        <v>2</v>
      </c>
      <c r="BE31" s="48">
        <f>BA31*3+BC31</f>
        <v>0</v>
      </c>
      <c r="BF31" s="50">
        <f>BE31+BD31</f>
        <v>2</v>
      </c>
      <c r="BG31" s="91">
        <v>1</v>
      </c>
      <c r="BH31" s="124"/>
      <c r="BI31" s="46">
        <v>2</v>
      </c>
      <c r="BJ31" s="46"/>
      <c r="BK31" s="48">
        <f>BG31*3+BI31</f>
        <v>5</v>
      </c>
      <c r="BL31" s="48">
        <f>BH31*3+BJ31</f>
        <v>0</v>
      </c>
      <c r="BM31" s="123">
        <f>BL31+BK31</f>
        <v>5</v>
      </c>
      <c r="BN31" s="91">
        <v>1</v>
      </c>
      <c r="BO31" s="124"/>
      <c r="BP31" s="124">
        <v>2</v>
      </c>
      <c r="BQ31" s="124"/>
      <c r="BR31" s="48">
        <f>BN31*3+BP31</f>
        <v>5</v>
      </c>
      <c r="BS31" s="48">
        <f>BO31*3+BQ31</f>
        <v>0</v>
      </c>
      <c r="BT31" s="123">
        <f>BS31+BR31</f>
        <v>5</v>
      </c>
      <c r="BU31" s="91"/>
      <c r="BV31" s="124"/>
      <c r="BW31" s="124"/>
      <c r="BX31" s="124"/>
      <c r="BY31" s="48">
        <f>BU31*3+BW31</f>
        <v>0</v>
      </c>
      <c r="BZ31" s="48">
        <f>BV31*3+BX31</f>
        <v>0</v>
      </c>
      <c r="CA31" s="123">
        <f>BZ31+BY31</f>
        <v>0</v>
      </c>
      <c r="CB31" s="135">
        <f>SUM(AP31,AI31,AB31,U31,N31,AW31,BD31,BK31,BR31,BY31)</f>
        <v>23</v>
      </c>
      <c r="CC31" s="87">
        <f ca="1">CB31/(TODAY()-G31)</f>
        <v>7.77027027027027E-2</v>
      </c>
      <c r="CD31" s="53">
        <f>SUM(AQ31,AJ31,AC31,V31,O31,AX31,BE31,BL31,BS31,BZ31)</f>
        <v>5</v>
      </c>
      <c r="CE31" s="87">
        <f ca="1">CD31/(TODAY()-G31)</f>
        <v>1.6891891891891893E-2</v>
      </c>
      <c r="CF31" s="53">
        <f>CB31+CD31</f>
        <v>28</v>
      </c>
      <c r="CG31" s="87">
        <f ca="1">CE31+CC31</f>
        <v>9.45945945945946E-2</v>
      </c>
      <c r="CH31" s="53">
        <f>SUM(AS31,AL31,AE31,X31,Q31,Q31,J31,AZ31,BG31,BN31,BU31)</f>
        <v>3</v>
      </c>
      <c r="CI31" s="53">
        <f>SUM(AT31,AM31,AF31,Y31,R31,R31,K31,BA31,BH31,BO31,BV31)</f>
        <v>2</v>
      </c>
      <c r="CJ31" s="53">
        <f>CI31+CH31</f>
        <v>5</v>
      </c>
    </row>
    <row r="32" spans="1:88" x14ac:dyDescent="0.25">
      <c r="A32" s="44">
        <v>474</v>
      </c>
      <c r="B32" s="73" t="s">
        <v>175</v>
      </c>
      <c r="C32" s="78" t="str">
        <f>B32&amp;" "&amp;A32</f>
        <v>אתי 474</v>
      </c>
      <c r="D32" s="46" t="s">
        <v>6</v>
      </c>
      <c r="E32" s="62" t="s">
        <v>7</v>
      </c>
      <c r="F32" s="90" t="s">
        <v>208</v>
      </c>
      <c r="G32" s="84">
        <v>43101</v>
      </c>
      <c r="H32" s="88" t="s">
        <v>85</v>
      </c>
      <c r="I32" s="47"/>
      <c r="J32" s="192"/>
      <c r="K32" s="193"/>
      <c r="L32" s="193"/>
      <c r="M32" s="193"/>
      <c r="N32" s="194">
        <f>J32*3+L32</f>
        <v>0</v>
      </c>
      <c r="O32" s="194">
        <f>K32*3+M32</f>
        <v>0</v>
      </c>
      <c r="P32" s="49">
        <f>O32+N32</f>
        <v>0</v>
      </c>
      <c r="Q32" s="44"/>
      <c r="R32" s="46"/>
      <c r="S32" s="46"/>
      <c r="T32" s="46"/>
      <c r="U32" s="48">
        <f>Q32*3+S32</f>
        <v>0</v>
      </c>
      <c r="V32" s="48">
        <f>R32*3+T32</f>
        <v>0</v>
      </c>
      <c r="W32" s="50">
        <f>V32+U32</f>
        <v>0</v>
      </c>
      <c r="X32" s="44"/>
      <c r="Y32" s="46"/>
      <c r="Z32" s="46"/>
      <c r="AA32" s="46"/>
      <c r="AB32" s="51">
        <f>X32*3+Z32</f>
        <v>0</v>
      </c>
      <c r="AC32" s="51">
        <f>Y32*3+AA32</f>
        <v>0</v>
      </c>
      <c r="AD32" s="52">
        <f>AC32+AB32</f>
        <v>0</v>
      </c>
      <c r="AE32" s="44"/>
      <c r="AF32" s="46"/>
      <c r="AG32" s="46"/>
      <c r="AH32" s="46"/>
      <c r="AI32" s="48">
        <f>AE32*3+AG32</f>
        <v>0</v>
      </c>
      <c r="AJ32" s="48">
        <f>AF32*3+AH32</f>
        <v>0</v>
      </c>
      <c r="AK32" s="50">
        <f>AJ32+AI32</f>
        <v>0</v>
      </c>
      <c r="AL32" s="44"/>
      <c r="AM32" s="46"/>
      <c r="AN32" s="46"/>
      <c r="AO32" s="46"/>
      <c r="AP32" s="48">
        <f>AL32*3+AN32</f>
        <v>0</v>
      </c>
      <c r="AQ32" s="48">
        <f>AM32*3+AO32</f>
        <v>0</v>
      </c>
      <c r="AR32" s="50">
        <f>AQ32+AP32</f>
        <v>0</v>
      </c>
      <c r="AS32" s="44"/>
      <c r="AT32" s="46"/>
      <c r="AU32" s="46"/>
      <c r="AV32" s="46"/>
      <c r="AW32" s="48">
        <f>AS32*3+AU32</f>
        <v>0</v>
      </c>
      <c r="AX32" s="48">
        <f>AT32*3+AV32</f>
        <v>0</v>
      </c>
      <c r="AY32" s="50">
        <f>AX32+AW32</f>
        <v>0</v>
      </c>
      <c r="AZ32" s="44"/>
      <c r="BA32" s="46"/>
      <c r="BB32" s="46"/>
      <c r="BC32" s="46"/>
      <c r="BD32" s="48">
        <f>AZ32*3+BB32</f>
        <v>0</v>
      </c>
      <c r="BE32" s="48">
        <f>BA32*3+BC32</f>
        <v>0</v>
      </c>
      <c r="BF32" s="50">
        <f>BE32+BD32</f>
        <v>0</v>
      </c>
      <c r="BG32" s="91">
        <v>1</v>
      </c>
      <c r="BH32" s="124"/>
      <c r="BI32" s="46"/>
      <c r="BJ32" s="46"/>
      <c r="BK32" s="48">
        <f>BG32*3+BI32</f>
        <v>3</v>
      </c>
      <c r="BL32" s="48">
        <f>BH32*3+BJ32</f>
        <v>0</v>
      </c>
      <c r="BM32" s="123">
        <f>BL32+BK32</f>
        <v>3</v>
      </c>
      <c r="BN32" s="91"/>
      <c r="BO32" s="124"/>
      <c r="BP32" s="124">
        <v>4</v>
      </c>
      <c r="BQ32" s="124"/>
      <c r="BR32" s="48">
        <f>BN32*3+BP32</f>
        <v>4</v>
      </c>
      <c r="BS32" s="48">
        <f>BO32*3+BQ32</f>
        <v>0</v>
      </c>
      <c r="BT32" s="123">
        <f>BS32+BR32</f>
        <v>4</v>
      </c>
      <c r="BU32" s="91"/>
      <c r="BV32" s="124"/>
      <c r="BW32" s="124"/>
      <c r="BX32" s="124"/>
      <c r="BY32" s="48">
        <f>BU32*3+BW32</f>
        <v>0</v>
      </c>
      <c r="BZ32" s="48">
        <f>BV32*3+BX32</f>
        <v>0</v>
      </c>
      <c r="CA32" s="123">
        <f>BZ32+BY32</f>
        <v>0</v>
      </c>
      <c r="CB32" s="135">
        <f>SUM(AP32,AI32,AB32,U32,N32,AW32,BD32,BK32,BR32,BY32)</f>
        <v>7</v>
      </c>
      <c r="CC32" s="87">
        <f ca="1">CB32/(TODAY()-G32)</f>
        <v>8.5365853658536592E-2</v>
      </c>
      <c r="CD32" s="53">
        <f>SUM(AQ32,AJ32,AC32,V32,O32,AX32,BE32,BL32,BS32,BZ32)</f>
        <v>0</v>
      </c>
      <c r="CE32" s="87">
        <f ca="1">CD32/(TODAY()-G32)</f>
        <v>0</v>
      </c>
      <c r="CF32" s="53">
        <f>CB32+CD32</f>
        <v>7</v>
      </c>
      <c r="CG32" s="87">
        <f ca="1">CE32+CC32</f>
        <v>8.5365853658536592E-2</v>
      </c>
      <c r="CH32" s="53">
        <f>SUM(AS32,AL32,AE32,X32,Q32,Q32,J32,AZ32,BG32,BN32,BU32)</f>
        <v>1</v>
      </c>
      <c r="CI32" s="53">
        <f>SUM(AT32,AM32,AF32,Y32,R32,R32,K32,BA32,BH32,BO32,BV32)</f>
        <v>0</v>
      </c>
      <c r="CJ32" s="53">
        <f>CI32+CH32</f>
        <v>1</v>
      </c>
    </row>
    <row r="33" spans="1:88" x14ac:dyDescent="0.25">
      <c r="A33" s="44">
        <v>474</v>
      </c>
      <c r="B33" s="73" t="s">
        <v>107</v>
      </c>
      <c r="C33" s="78" t="str">
        <f>B33&amp;" "&amp;A33</f>
        <v>יהל אור 474</v>
      </c>
      <c r="D33" s="46" t="s">
        <v>6</v>
      </c>
      <c r="E33" s="46" t="s">
        <v>7</v>
      </c>
      <c r="F33" s="90" t="s">
        <v>203</v>
      </c>
      <c r="G33" s="84">
        <v>42917</v>
      </c>
      <c r="H33" s="55">
        <v>43748</v>
      </c>
      <c r="I33" s="47"/>
      <c r="J33" s="192"/>
      <c r="K33" s="193"/>
      <c r="L33" s="193"/>
      <c r="M33" s="193"/>
      <c r="N33" s="194">
        <f>J33*3+L33</f>
        <v>0</v>
      </c>
      <c r="O33" s="194">
        <f>K33*3+M33</f>
        <v>0</v>
      </c>
      <c r="P33" s="49">
        <f>O33+N33</f>
        <v>0</v>
      </c>
      <c r="Q33" s="44"/>
      <c r="R33" s="46"/>
      <c r="S33" s="46">
        <v>4</v>
      </c>
      <c r="T33" s="46"/>
      <c r="U33" s="48">
        <f>Q33*3+S33</f>
        <v>4</v>
      </c>
      <c r="V33" s="48">
        <f>R33*3+T33</f>
        <v>0</v>
      </c>
      <c r="W33" s="50">
        <f>V33+U33</f>
        <v>4</v>
      </c>
      <c r="X33" s="44">
        <v>1</v>
      </c>
      <c r="Y33" s="46"/>
      <c r="Z33" s="46">
        <v>1</v>
      </c>
      <c r="AA33" s="46"/>
      <c r="AB33" s="51">
        <f>X33*3+Z33</f>
        <v>4</v>
      </c>
      <c r="AC33" s="51">
        <f>Y33*3+AA33</f>
        <v>0</v>
      </c>
      <c r="AD33" s="52">
        <f>AC33+AB33</f>
        <v>4</v>
      </c>
      <c r="AE33" s="44"/>
      <c r="AF33" s="46"/>
      <c r="AG33" s="46">
        <v>2</v>
      </c>
      <c r="AH33" s="46">
        <v>2</v>
      </c>
      <c r="AI33" s="48">
        <f>AE33*3+AG33</f>
        <v>2</v>
      </c>
      <c r="AJ33" s="48">
        <f>AF33*3+AH33</f>
        <v>2</v>
      </c>
      <c r="AK33" s="50">
        <f>AJ33+AI33</f>
        <v>4</v>
      </c>
      <c r="AL33" s="44"/>
      <c r="AM33" s="46"/>
      <c r="AN33" s="46">
        <v>2</v>
      </c>
      <c r="AO33" s="46">
        <v>1</v>
      </c>
      <c r="AP33" s="48">
        <f>AL33*3+AN33</f>
        <v>2</v>
      </c>
      <c r="AQ33" s="48">
        <f>AM33*3+AO33</f>
        <v>1</v>
      </c>
      <c r="AR33" s="50">
        <f>AQ33+AP33</f>
        <v>3</v>
      </c>
      <c r="AS33" s="44">
        <v>1</v>
      </c>
      <c r="AT33" s="46"/>
      <c r="AU33" s="46"/>
      <c r="AV33" s="46"/>
      <c r="AW33" s="48">
        <f>AS33*3+AU33</f>
        <v>3</v>
      </c>
      <c r="AX33" s="48">
        <f>AT33*3+AV33</f>
        <v>0</v>
      </c>
      <c r="AY33" s="50">
        <f>AX33+AW33</f>
        <v>3</v>
      </c>
      <c r="AZ33" s="44"/>
      <c r="BA33" s="46"/>
      <c r="BB33" s="46">
        <v>3</v>
      </c>
      <c r="BC33" s="46"/>
      <c r="BD33" s="48">
        <f>AZ33*3+BB33</f>
        <v>3</v>
      </c>
      <c r="BE33" s="48">
        <f>BA33*3+BC33</f>
        <v>0</v>
      </c>
      <c r="BF33" s="50">
        <f>BE33+BD33</f>
        <v>3</v>
      </c>
      <c r="BG33" s="91">
        <v>1</v>
      </c>
      <c r="BH33" s="124"/>
      <c r="BI33" s="46"/>
      <c r="BJ33" s="46">
        <v>1</v>
      </c>
      <c r="BK33" s="48">
        <f>BG33*3+BI33</f>
        <v>3</v>
      </c>
      <c r="BL33" s="48">
        <f>BH33*3+BJ33</f>
        <v>1</v>
      </c>
      <c r="BM33" s="123">
        <f>BL33+BK33</f>
        <v>4</v>
      </c>
      <c r="BN33" s="91"/>
      <c r="BO33" s="124"/>
      <c r="BP33" s="124">
        <v>4</v>
      </c>
      <c r="BQ33" s="124"/>
      <c r="BR33" s="48">
        <f>BN33*3+BP33</f>
        <v>4</v>
      </c>
      <c r="BS33" s="48">
        <f>BO33*3+BQ33</f>
        <v>0</v>
      </c>
      <c r="BT33" s="123">
        <f>BS33+BR33</f>
        <v>4</v>
      </c>
      <c r="BU33" s="91"/>
      <c r="BV33" s="124"/>
      <c r="BW33" s="124"/>
      <c r="BX33" s="124"/>
      <c r="BY33" s="48">
        <f>BU33*3+BW33</f>
        <v>0</v>
      </c>
      <c r="BZ33" s="48">
        <f>BV33*3+BX33</f>
        <v>0</v>
      </c>
      <c r="CA33" s="123">
        <f>BZ33+BY33</f>
        <v>0</v>
      </c>
      <c r="CB33" s="135">
        <f>SUM(AP33,AI33,AB33,U33,N33,AW33,BD33,BK33,BR33,BY33)</f>
        <v>25</v>
      </c>
      <c r="CC33" s="87">
        <f ca="1">CB33/(TODAY()-G33)</f>
        <v>9.3984962406015032E-2</v>
      </c>
      <c r="CD33" s="53">
        <f>SUM(AQ33,AJ33,AC33,V33,O33,AX33,BE33,BL33,BS33,BZ33)</f>
        <v>4</v>
      </c>
      <c r="CE33" s="87">
        <f ca="1">CD33/(TODAY()-G33)</f>
        <v>1.5037593984962405E-2</v>
      </c>
      <c r="CF33" s="53">
        <f>CB33+CD33</f>
        <v>29</v>
      </c>
      <c r="CG33" s="87">
        <f ca="1">CE33+CC33</f>
        <v>0.10902255639097744</v>
      </c>
      <c r="CH33" s="53">
        <f>SUM(AS33,AL33,AE33,X33,Q33,Q33,J33,AZ33,BG33,BN33,BU33)</f>
        <v>3</v>
      </c>
      <c r="CI33" s="53">
        <f>SUM(AT33,AM33,AF33,Y33,R33,R33,K33,BA33,BH33,BO33,BV33)</f>
        <v>0</v>
      </c>
      <c r="CJ33" s="53">
        <f>CI33+CH33</f>
        <v>3</v>
      </c>
    </row>
    <row r="34" spans="1:88" x14ac:dyDescent="0.25">
      <c r="A34" s="44">
        <v>474</v>
      </c>
      <c r="B34" s="73" t="s">
        <v>176</v>
      </c>
      <c r="C34" s="78" t="str">
        <f>B34&amp;" "&amp;A34</f>
        <v>שובל 474</v>
      </c>
      <c r="D34" s="46" t="s">
        <v>6</v>
      </c>
      <c r="E34" s="62" t="s">
        <v>7</v>
      </c>
      <c r="F34" s="90" t="s">
        <v>208</v>
      </c>
      <c r="G34" s="84">
        <v>43101</v>
      </c>
      <c r="H34" s="90" t="s">
        <v>85</v>
      </c>
      <c r="I34" s="47"/>
      <c r="J34" s="192"/>
      <c r="K34" s="193"/>
      <c r="L34" s="193"/>
      <c r="M34" s="193"/>
      <c r="N34" s="194">
        <f>J34*3+L34</f>
        <v>0</v>
      </c>
      <c r="O34" s="194">
        <f>K34*3+M34</f>
        <v>0</v>
      </c>
      <c r="P34" s="49">
        <f>O34+N34</f>
        <v>0</v>
      </c>
      <c r="Q34" s="44"/>
      <c r="R34" s="46"/>
      <c r="S34" s="46"/>
      <c r="T34" s="46"/>
      <c r="U34" s="48">
        <f>Q34*3+S34</f>
        <v>0</v>
      </c>
      <c r="V34" s="48">
        <f>R34*3+T34</f>
        <v>0</v>
      </c>
      <c r="W34" s="50">
        <f>V34+U34</f>
        <v>0</v>
      </c>
      <c r="X34" s="44"/>
      <c r="Y34" s="46"/>
      <c r="Z34" s="46"/>
      <c r="AA34" s="46"/>
      <c r="AB34" s="51">
        <f>X34*3+Z34</f>
        <v>0</v>
      </c>
      <c r="AC34" s="51">
        <f>Y34*3+AA34</f>
        <v>0</v>
      </c>
      <c r="AD34" s="52">
        <f>AC34+AB34</f>
        <v>0</v>
      </c>
      <c r="AE34" s="44"/>
      <c r="AF34" s="46"/>
      <c r="AG34" s="46"/>
      <c r="AH34" s="46"/>
      <c r="AI34" s="48">
        <f>AE34*3+AG34</f>
        <v>0</v>
      </c>
      <c r="AJ34" s="48">
        <f>AF34*3+AH34</f>
        <v>0</v>
      </c>
      <c r="AK34" s="50">
        <f>AJ34+AI34</f>
        <v>0</v>
      </c>
      <c r="AL34" s="44"/>
      <c r="AM34" s="46"/>
      <c r="AN34" s="46"/>
      <c r="AO34" s="46"/>
      <c r="AP34" s="48">
        <f>AL34*3+AN34</f>
        <v>0</v>
      </c>
      <c r="AQ34" s="48">
        <f>AM34*3+AO34</f>
        <v>0</v>
      </c>
      <c r="AR34" s="50">
        <f>AQ34+AP34</f>
        <v>0</v>
      </c>
      <c r="AS34" s="44"/>
      <c r="AT34" s="46"/>
      <c r="AU34" s="46"/>
      <c r="AV34" s="46"/>
      <c r="AW34" s="48">
        <f>AS34*3+AU34</f>
        <v>0</v>
      </c>
      <c r="AX34" s="48">
        <f>AT34*3+AV34</f>
        <v>0</v>
      </c>
      <c r="AY34" s="50">
        <f>AX34+AW34</f>
        <v>0</v>
      </c>
      <c r="AZ34" s="44"/>
      <c r="BA34" s="46"/>
      <c r="BB34" s="46"/>
      <c r="BC34" s="46"/>
      <c r="BD34" s="48">
        <f>AZ34*3+BB34</f>
        <v>0</v>
      </c>
      <c r="BE34" s="48">
        <f>BA34*3+BC34</f>
        <v>0</v>
      </c>
      <c r="BF34" s="50">
        <f>BE34+BD34</f>
        <v>0</v>
      </c>
      <c r="BG34" s="91">
        <v>1</v>
      </c>
      <c r="BH34" s="124"/>
      <c r="BI34" s="46"/>
      <c r="BJ34" s="46"/>
      <c r="BK34" s="48">
        <f>BG34*3+BI34</f>
        <v>3</v>
      </c>
      <c r="BL34" s="48">
        <f>BH34*3+BJ34</f>
        <v>0</v>
      </c>
      <c r="BM34" s="123">
        <f>BL34+BK34</f>
        <v>3</v>
      </c>
      <c r="BN34" s="91"/>
      <c r="BO34" s="124"/>
      <c r="BP34" s="124">
        <v>4</v>
      </c>
      <c r="BQ34" s="124"/>
      <c r="BR34" s="48">
        <f>BN34*3+BP34</f>
        <v>4</v>
      </c>
      <c r="BS34" s="48">
        <f>BO34*3+BQ34</f>
        <v>0</v>
      </c>
      <c r="BT34" s="123">
        <f>BS34+BR34</f>
        <v>4</v>
      </c>
      <c r="BU34" s="91">
        <v>1</v>
      </c>
      <c r="BV34" s="124"/>
      <c r="BW34" s="124"/>
      <c r="BX34" s="124"/>
      <c r="BY34" s="48">
        <f>BU34*3+BW34</f>
        <v>3</v>
      </c>
      <c r="BZ34" s="48">
        <f>BV34*3+BX34</f>
        <v>0</v>
      </c>
      <c r="CA34" s="123">
        <f>BZ34+BY34</f>
        <v>3</v>
      </c>
      <c r="CB34" s="135">
        <f>SUM(AP34,AI34,AB34,U34,N34,AW34,BD34,BK34,BR34,BY34)</f>
        <v>10</v>
      </c>
      <c r="CC34" s="87">
        <f ca="1">CB34/(TODAY()-G34)</f>
        <v>0.12195121951219512</v>
      </c>
      <c r="CD34" s="53">
        <f>SUM(AQ34,AJ34,AC34,V34,O34,AX34,BE34,BL34,BS34,BZ34)</f>
        <v>0</v>
      </c>
      <c r="CE34" s="87">
        <f ca="1">CD34/(TODAY()-G34)</f>
        <v>0</v>
      </c>
      <c r="CF34" s="53">
        <f>CB34+CD34</f>
        <v>10</v>
      </c>
      <c r="CG34" s="87">
        <f ca="1">CE34+CC34</f>
        <v>0.12195121951219512</v>
      </c>
      <c r="CH34" s="53">
        <f>SUM(AS34,AL34,AE34,X34,Q34,Q34,J34,AZ34,BG34,BN34,BU34)</f>
        <v>2</v>
      </c>
      <c r="CI34" s="53">
        <f>SUM(AT34,AM34,AF34,Y34,R34,R34,K34,BA34,BH34,BO34,BV34)</f>
        <v>0</v>
      </c>
      <c r="CJ34" s="53">
        <f>CI34+CH34</f>
        <v>2</v>
      </c>
    </row>
    <row r="35" spans="1:88" x14ac:dyDescent="0.25">
      <c r="A35" s="91">
        <v>679</v>
      </c>
      <c r="B35" s="92" t="s">
        <v>18</v>
      </c>
      <c r="C35" s="78" t="str">
        <f>B35&amp;" "&amp;A35</f>
        <v>אופיר 679</v>
      </c>
      <c r="D35" s="46" t="s">
        <v>6</v>
      </c>
      <c r="E35" s="62" t="s">
        <v>7</v>
      </c>
      <c r="F35" s="90" t="s">
        <v>205</v>
      </c>
      <c r="G35" s="84">
        <v>42979</v>
      </c>
      <c r="H35" s="54">
        <v>43692</v>
      </c>
      <c r="I35" s="47"/>
      <c r="J35" s="192"/>
      <c r="K35" s="193"/>
      <c r="L35" s="193"/>
      <c r="M35" s="193"/>
      <c r="N35" s="194">
        <f>J35*3+L35</f>
        <v>0</v>
      </c>
      <c r="O35" s="194">
        <f>K35*3+M35</f>
        <v>0</v>
      </c>
      <c r="P35" s="49">
        <f>O35+N35</f>
        <v>0</v>
      </c>
      <c r="Q35" s="44"/>
      <c r="R35" s="46"/>
      <c r="S35" s="46"/>
      <c r="T35" s="46"/>
      <c r="U35" s="48">
        <f>Q35*3+S35</f>
        <v>0</v>
      </c>
      <c r="V35" s="48">
        <f>R35*3+T35</f>
        <v>0</v>
      </c>
      <c r="W35" s="50">
        <f>V35+U35</f>
        <v>0</v>
      </c>
      <c r="X35" s="44"/>
      <c r="Y35" s="46"/>
      <c r="Z35" s="46"/>
      <c r="AA35" s="46"/>
      <c r="AB35" s="51">
        <f>X35*3+Z35</f>
        <v>0</v>
      </c>
      <c r="AC35" s="51">
        <f>Y35*3+AA35</f>
        <v>0</v>
      </c>
      <c r="AD35" s="52">
        <f>AC35+AB35</f>
        <v>0</v>
      </c>
      <c r="AE35" s="44"/>
      <c r="AF35" s="46"/>
      <c r="AG35" s="46">
        <v>2</v>
      </c>
      <c r="AH35" s="46"/>
      <c r="AI35" s="48">
        <f>AE35*3+AG35</f>
        <v>2</v>
      </c>
      <c r="AJ35" s="48">
        <f>AF35*3+AH35</f>
        <v>0</v>
      </c>
      <c r="AK35" s="50">
        <f>AJ35+AI35</f>
        <v>2</v>
      </c>
      <c r="AL35" s="44"/>
      <c r="AM35" s="46"/>
      <c r="AN35" s="46">
        <v>5</v>
      </c>
      <c r="AO35" s="46"/>
      <c r="AP35" s="48">
        <f>AL35*3+AN35</f>
        <v>5</v>
      </c>
      <c r="AQ35" s="48">
        <f>AM35*3+AO35</f>
        <v>0</v>
      </c>
      <c r="AR35" s="50">
        <f>AQ35+AP35</f>
        <v>5</v>
      </c>
      <c r="AS35" s="44">
        <v>1</v>
      </c>
      <c r="AT35" s="46"/>
      <c r="AU35" s="46">
        <v>3</v>
      </c>
      <c r="AV35" s="46"/>
      <c r="AW35" s="48">
        <f>AS35*3+AU35</f>
        <v>6</v>
      </c>
      <c r="AX35" s="48">
        <f>AT35*3+AV35</f>
        <v>0</v>
      </c>
      <c r="AY35" s="50">
        <f>AX35+AW35</f>
        <v>6</v>
      </c>
      <c r="AZ35" s="44"/>
      <c r="BA35" s="46"/>
      <c r="BB35" s="46"/>
      <c r="BC35" s="46"/>
      <c r="BD35" s="48">
        <f>AZ35*3+BB35</f>
        <v>0</v>
      </c>
      <c r="BE35" s="48">
        <f>BA35*3+BC35</f>
        <v>0</v>
      </c>
      <c r="BF35" s="50">
        <f>BE35+BD35</f>
        <v>0</v>
      </c>
      <c r="BG35" s="91"/>
      <c r="BH35" s="124"/>
      <c r="BI35" s="46">
        <v>5</v>
      </c>
      <c r="BJ35" s="46">
        <v>2</v>
      </c>
      <c r="BK35" s="48">
        <f>BG35*3+BI35</f>
        <v>5</v>
      </c>
      <c r="BL35" s="48">
        <f>BH35*3+BJ35</f>
        <v>2</v>
      </c>
      <c r="BM35" s="123">
        <f>BL35+BK35</f>
        <v>7</v>
      </c>
      <c r="BN35" s="91">
        <v>1</v>
      </c>
      <c r="BO35" s="124"/>
      <c r="BP35" s="124">
        <v>1</v>
      </c>
      <c r="BQ35" s="124"/>
      <c r="BR35" s="48">
        <f>BN35*3+BP35</f>
        <v>4</v>
      </c>
      <c r="BS35" s="48">
        <f>BO35*3+BQ35</f>
        <v>0</v>
      </c>
      <c r="BT35" s="123">
        <f>BS35+BR35</f>
        <v>4</v>
      </c>
      <c r="BU35" s="91"/>
      <c r="BV35" s="124"/>
      <c r="BW35" s="124"/>
      <c r="BX35" s="124"/>
      <c r="BY35" s="48">
        <f>BU35*3+BW35</f>
        <v>0</v>
      </c>
      <c r="BZ35" s="48">
        <f>BV35*3+BX35</f>
        <v>0</v>
      </c>
      <c r="CA35" s="123">
        <f>BZ35+BY35</f>
        <v>0</v>
      </c>
      <c r="CB35" s="135">
        <f>SUM(AP35,AI35,AB35,U35,N35,AW35,BD35,BK35,BR35,BY35)</f>
        <v>22</v>
      </c>
      <c r="CC35" s="87">
        <f ca="1">CB35/(TODAY()-G35)</f>
        <v>0.10784313725490197</v>
      </c>
      <c r="CD35" s="53">
        <f>SUM(AQ35,AJ35,AC35,V35,O35,AX35,BE35,BL35,BS35,BZ35)</f>
        <v>2</v>
      </c>
      <c r="CE35" s="87">
        <f ca="1">CD35/(TODAY()-G35)</f>
        <v>9.8039215686274508E-3</v>
      </c>
      <c r="CF35" s="53">
        <f>CB35+CD35</f>
        <v>24</v>
      </c>
      <c r="CG35" s="87">
        <f ca="1">CE35+CC35</f>
        <v>0.11764705882352941</v>
      </c>
      <c r="CH35" s="53">
        <f>SUM(AS35,AL35,AE35,X35,Q35,Q35,J35,AZ35,BG35,BN35,BU35)</f>
        <v>2</v>
      </c>
      <c r="CI35" s="53">
        <f>SUM(AT35,AM35,AF35,Y35,R35,R35,K35,BA35,BH35,BO35,BV35)</f>
        <v>0</v>
      </c>
      <c r="CJ35" s="53">
        <f>CI35+CH35</f>
        <v>2</v>
      </c>
    </row>
    <row r="36" spans="1:88" x14ac:dyDescent="0.25">
      <c r="A36" s="91">
        <v>679</v>
      </c>
      <c r="B36" s="92" t="s">
        <v>64</v>
      </c>
      <c r="C36" s="78" t="str">
        <f>B36&amp;" "&amp;A36</f>
        <v>אלכס 679</v>
      </c>
      <c r="D36" s="46" t="s">
        <v>6</v>
      </c>
      <c r="E36" s="62" t="s">
        <v>7</v>
      </c>
      <c r="F36" s="90" t="s">
        <v>205</v>
      </c>
      <c r="G36" s="84">
        <v>42979</v>
      </c>
      <c r="H36" s="54">
        <v>43661</v>
      </c>
      <c r="I36" s="47"/>
      <c r="J36" s="192"/>
      <c r="K36" s="193"/>
      <c r="L36" s="193"/>
      <c r="M36" s="193"/>
      <c r="N36" s="194">
        <f>J36*3+L36</f>
        <v>0</v>
      </c>
      <c r="O36" s="194">
        <f>K36*3+M36</f>
        <v>0</v>
      </c>
      <c r="P36" s="49">
        <f>O36+N36</f>
        <v>0</v>
      </c>
      <c r="Q36" s="44"/>
      <c r="R36" s="46"/>
      <c r="S36" s="46"/>
      <c r="T36" s="46"/>
      <c r="U36" s="48">
        <f>Q36*3+S36</f>
        <v>0</v>
      </c>
      <c r="V36" s="48">
        <f>R36*3+T36</f>
        <v>0</v>
      </c>
      <c r="W36" s="50">
        <f>V36+U36</f>
        <v>0</v>
      </c>
      <c r="X36" s="44"/>
      <c r="Y36" s="46"/>
      <c r="Z36" s="46"/>
      <c r="AA36" s="46"/>
      <c r="AB36" s="51">
        <f>X36*3+Z36</f>
        <v>0</v>
      </c>
      <c r="AC36" s="51">
        <f>Y36*3+AA36</f>
        <v>0</v>
      </c>
      <c r="AD36" s="52">
        <f>AC36+AB36</f>
        <v>0</v>
      </c>
      <c r="AE36" s="44">
        <v>1</v>
      </c>
      <c r="AF36" s="46"/>
      <c r="AG36" s="46"/>
      <c r="AH36" s="46"/>
      <c r="AI36" s="48">
        <f>AE36*3+AG36</f>
        <v>3</v>
      </c>
      <c r="AJ36" s="48">
        <f>AF36*3+AH36</f>
        <v>0</v>
      </c>
      <c r="AK36" s="50">
        <f>AJ36+AI36</f>
        <v>3</v>
      </c>
      <c r="AL36" s="44"/>
      <c r="AM36" s="46"/>
      <c r="AN36" s="46">
        <v>4</v>
      </c>
      <c r="AO36" s="46"/>
      <c r="AP36" s="48">
        <f>AL36*3+AN36</f>
        <v>4</v>
      </c>
      <c r="AQ36" s="48">
        <f>AM36*3+AO36</f>
        <v>0</v>
      </c>
      <c r="AR36" s="50">
        <f>AQ36+AP36</f>
        <v>4</v>
      </c>
      <c r="AS36" s="44"/>
      <c r="AT36" s="46"/>
      <c r="AU36" s="46">
        <v>4</v>
      </c>
      <c r="AV36" s="46"/>
      <c r="AW36" s="48">
        <f>AS36*3+AU36</f>
        <v>4</v>
      </c>
      <c r="AX36" s="48">
        <f>AT36*3+AV36</f>
        <v>0</v>
      </c>
      <c r="AY36" s="50">
        <f>AX36+AW36</f>
        <v>4</v>
      </c>
      <c r="AZ36" s="44">
        <v>1</v>
      </c>
      <c r="BA36" s="46"/>
      <c r="BB36" s="46"/>
      <c r="BC36" s="46"/>
      <c r="BD36" s="48">
        <f>AZ36*3+BB36</f>
        <v>3</v>
      </c>
      <c r="BE36" s="48">
        <f>BA36*3+BC36</f>
        <v>0</v>
      </c>
      <c r="BF36" s="50">
        <f>BE36+BD36</f>
        <v>3</v>
      </c>
      <c r="BG36" s="91"/>
      <c r="BH36" s="124"/>
      <c r="BI36" s="46">
        <v>2</v>
      </c>
      <c r="BJ36" s="46">
        <v>1</v>
      </c>
      <c r="BK36" s="48">
        <f>BG36*3+BI36</f>
        <v>2</v>
      </c>
      <c r="BL36" s="48">
        <f>BH36*3+BJ36</f>
        <v>1</v>
      </c>
      <c r="BM36" s="123">
        <f>BL36+BK36</f>
        <v>3</v>
      </c>
      <c r="BN36" s="91">
        <v>1</v>
      </c>
      <c r="BO36" s="124"/>
      <c r="BP36" s="124">
        <v>1</v>
      </c>
      <c r="BQ36" s="124">
        <v>1</v>
      </c>
      <c r="BR36" s="48">
        <f>BN36*3+BP36</f>
        <v>4</v>
      </c>
      <c r="BS36" s="48">
        <f>BO36*3+BQ36</f>
        <v>1</v>
      </c>
      <c r="BT36" s="123">
        <f>BS36+BR36</f>
        <v>5</v>
      </c>
      <c r="BU36" s="91"/>
      <c r="BV36" s="124"/>
      <c r="BW36" s="124"/>
      <c r="BX36" s="124"/>
      <c r="BY36" s="48">
        <f>BU36*3+BW36</f>
        <v>0</v>
      </c>
      <c r="BZ36" s="48">
        <f>BV36*3+BX36</f>
        <v>0</v>
      </c>
      <c r="CA36" s="123">
        <f>BZ36+BY36</f>
        <v>0</v>
      </c>
      <c r="CB36" s="135">
        <f>SUM(AP36,AI36,AB36,U36,N36,AW36,BD36,BK36,BR36,BY36)</f>
        <v>20</v>
      </c>
      <c r="CC36" s="87">
        <f ca="1">CB36/(TODAY()-G36)</f>
        <v>9.8039215686274508E-2</v>
      </c>
      <c r="CD36" s="53">
        <f>SUM(AQ36,AJ36,AC36,V36,O36,AX36,BE36,BL36,BS36,BZ36)</f>
        <v>2</v>
      </c>
      <c r="CE36" s="87">
        <f ca="1">CD36/(TODAY()-G36)</f>
        <v>9.8039215686274508E-3</v>
      </c>
      <c r="CF36" s="53">
        <f>CB36+CD36</f>
        <v>22</v>
      </c>
      <c r="CG36" s="87">
        <f ca="1">CE36+CC36</f>
        <v>0.10784313725490197</v>
      </c>
      <c r="CH36" s="53">
        <f>SUM(AS36,AL36,AE36,X36,Q36,Q36,J36,AZ36,BG36,BN36,BU36)</f>
        <v>3</v>
      </c>
      <c r="CI36" s="53">
        <f>SUM(AT36,AM36,AF36,Y36,R36,R36,K36,BA36,BH36,BO36,BV36)</f>
        <v>0</v>
      </c>
      <c r="CJ36" s="53">
        <f>CI36+CH36</f>
        <v>3</v>
      </c>
    </row>
    <row r="37" spans="1:88" x14ac:dyDescent="0.25">
      <c r="A37" s="44">
        <v>679</v>
      </c>
      <c r="B37" s="45" t="s">
        <v>11</v>
      </c>
      <c r="C37" s="78" t="str">
        <f>B37&amp;" "&amp;A37</f>
        <v>מירב 679</v>
      </c>
      <c r="D37" s="46" t="s">
        <v>6</v>
      </c>
      <c r="E37" s="46" t="s">
        <v>7</v>
      </c>
      <c r="F37" s="90" t="s">
        <v>202</v>
      </c>
      <c r="G37" s="84">
        <v>42887</v>
      </c>
      <c r="H37" s="54">
        <v>43421</v>
      </c>
      <c r="I37" s="47"/>
      <c r="J37" s="192">
        <v>1</v>
      </c>
      <c r="K37" s="193"/>
      <c r="L37" s="193">
        <v>3</v>
      </c>
      <c r="M37" s="193">
        <v>1</v>
      </c>
      <c r="N37" s="194">
        <f>J37*3+L37</f>
        <v>6</v>
      </c>
      <c r="O37" s="194">
        <f>K37*3+M37</f>
        <v>1</v>
      </c>
      <c r="P37" s="49">
        <f>O37+N37</f>
        <v>7</v>
      </c>
      <c r="Q37" s="44"/>
      <c r="R37" s="46"/>
      <c r="S37" s="46">
        <v>1</v>
      </c>
      <c r="T37" s="46">
        <v>1</v>
      </c>
      <c r="U37" s="48">
        <f>Q37*3+S37</f>
        <v>1</v>
      </c>
      <c r="V37" s="48">
        <f>R37*3+T37</f>
        <v>1</v>
      </c>
      <c r="W37" s="50">
        <f>V37+U37</f>
        <v>2</v>
      </c>
      <c r="X37" s="44"/>
      <c r="Y37" s="46"/>
      <c r="Z37" s="46">
        <v>3</v>
      </c>
      <c r="AA37" s="46"/>
      <c r="AB37" s="51">
        <f>X37*3+Z37</f>
        <v>3</v>
      </c>
      <c r="AC37" s="51">
        <f>Y37*3+AA37</f>
        <v>0</v>
      </c>
      <c r="AD37" s="52">
        <f>AC37+AB37</f>
        <v>3</v>
      </c>
      <c r="AE37" s="44">
        <v>1</v>
      </c>
      <c r="AF37" s="46">
        <v>1</v>
      </c>
      <c r="AG37" s="46">
        <v>1</v>
      </c>
      <c r="AH37" s="46">
        <v>1</v>
      </c>
      <c r="AI37" s="48">
        <f>AE37*3+AG37</f>
        <v>4</v>
      </c>
      <c r="AJ37" s="48">
        <f>AF37*3+AH37</f>
        <v>4</v>
      </c>
      <c r="AK37" s="50">
        <f>AJ37+AI37</f>
        <v>8</v>
      </c>
      <c r="AL37" s="44"/>
      <c r="AM37" s="46"/>
      <c r="AN37" s="46">
        <v>1</v>
      </c>
      <c r="AO37" s="46">
        <v>1</v>
      </c>
      <c r="AP37" s="48">
        <f>AL37*3+AN37</f>
        <v>1</v>
      </c>
      <c r="AQ37" s="48">
        <f>AM37*3+AO37</f>
        <v>1</v>
      </c>
      <c r="AR37" s="50">
        <f>AQ37+AP37</f>
        <v>2</v>
      </c>
      <c r="AS37" s="44"/>
      <c r="AT37" s="46"/>
      <c r="AU37" s="46">
        <v>1</v>
      </c>
      <c r="AV37" s="46">
        <v>2</v>
      </c>
      <c r="AW37" s="48">
        <f>AS37*3+AU37</f>
        <v>1</v>
      </c>
      <c r="AX37" s="48">
        <f>AT37*3+AV37</f>
        <v>2</v>
      </c>
      <c r="AY37" s="50">
        <f>AX37+AW37</f>
        <v>3</v>
      </c>
      <c r="AZ37" s="44"/>
      <c r="BA37" s="46"/>
      <c r="BB37" s="46">
        <v>2</v>
      </c>
      <c r="BC37" s="46">
        <v>1</v>
      </c>
      <c r="BD37" s="48">
        <f>AZ37*3+BB37</f>
        <v>2</v>
      </c>
      <c r="BE37" s="48">
        <f>BA37*3+BC37</f>
        <v>1</v>
      </c>
      <c r="BF37" s="50">
        <f>BE37+BD37</f>
        <v>3</v>
      </c>
      <c r="BG37" s="91"/>
      <c r="BH37" s="124"/>
      <c r="BI37" s="46">
        <v>2</v>
      </c>
      <c r="BJ37" s="46">
        <v>1</v>
      </c>
      <c r="BK37" s="48">
        <f>BG37*3+BI37</f>
        <v>2</v>
      </c>
      <c r="BL37" s="48">
        <f>BH37*3+BJ37</f>
        <v>1</v>
      </c>
      <c r="BM37" s="123">
        <f>BL37+BK37</f>
        <v>3</v>
      </c>
      <c r="BN37" s="91">
        <v>1</v>
      </c>
      <c r="BO37" s="124"/>
      <c r="BP37" s="124">
        <v>2</v>
      </c>
      <c r="BQ37" s="124"/>
      <c r="BR37" s="48">
        <f>BN37*3+BP37</f>
        <v>5</v>
      </c>
      <c r="BS37" s="48">
        <f>BO37*3+BQ37</f>
        <v>0</v>
      </c>
      <c r="BT37" s="123">
        <f>BS37+BR37</f>
        <v>5</v>
      </c>
      <c r="BU37" s="91"/>
      <c r="BV37" s="124"/>
      <c r="BW37" s="124"/>
      <c r="BX37" s="124"/>
      <c r="BY37" s="48">
        <f>BU37*3+BW37</f>
        <v>0</v>
      </c>
      <c r="BZ37" s="48">
        <f>BV37*3+BX37</f>
        <v>0</v>
      </c>
      <c r="CA37" s="123">
        <f>BZ37+BY37</f>
        <v>0</v>
      </c>
      <c r="CB37" s="135">
        <f>SUM(AP37,AI37,AB37,U37,N37,AW37,BD37,BK37,BR37,BY37)</f>
        <v>25</v>
      </c>
      <c r="CC37" s="87">
        <f ca="1">CB37/(TODAY()-G37)</f>
        <v>8.4459459459459457E-2</v>
      </c>
      <c r="CD37" s="53">
        <f>SUM(AQ37,AJ37,AC37,V37,O37,AX37,BE37,BL37,BS37,BZ37)</f>
        <v>11</v>
      </c>
      <c r="CE37" s="87">
        <f ca="1">CD37/(TODAY()-G37)</f>
        <v>3.7162162162162164E-2</v>
      </c>
      <c r="CF37" s="53">
        <f>CB37+CD37</f>
        <v>36</v>
      </c>
      <c r="CG37" s="87">
        <f ca="1">CE37+CC37</f>
        <v>0.12162162162162163</v>
      </c>
      <c r="CH37" s="53">
        <f>SUM(AS37,AL37,AE37,X37,Q37,Q37,J37,AZ37,BG37,BN37,BU37)</f>
        <v>3</v>
      </c>
      <c r="CI37" s="53">
        <f>SUM(AT37,AM37,AF37,Y37,R37,R37,K37,BA37,BH37,BO37,BV37)</f>
        <v>1</v>
      </c>
      <c r="CJ37" s="53">
        <f>CI37+CH37</f>
        <v>4</v>
      </c>
    </row>
    <row r="38" spans="1:88" x14ac:dyDescent="0.25">
      <c r="A38" s="91" t="s">
        <v>87</v>
      </c>
      <c r="B38" s="92" t="s">
        <v>125</v>
      </c>
      <c r="C38" s="78" t="str">
        <f>B38&amp;" "&amp;A38</f>
        <v>דיאנה אחודה</v>
      </c>
      <c r="D38" s="46" t="s">
        <v>6</v>
      </c>
      <c r="E38" s="62" t="s">
        <v>7</v>
      </c>
      <c r="F38" s="90" t="s">
        <v>206</v>
      </c>
      <c r="G38" s="84">
        <v>43009</v>
      </c>
      <c r="H38" s="54">
        <v>43291</v>
      </c>
      <c r="I38" s="47"/>
      <c r="J38" s="192"/>
      <c r="K38" s="193"/>
      <c r="L38" s="193"/>
      <c r="M38" s="193"/>
      <c r="N38" s="194">
        <f>J38*3+L38</f>
        <v>0</v>
      </c>
      <c r="O38" s="194">
        <f>K38*3+M38</f>
        <v>0</v>
      </c>
      <c r="P38" s="49">
        <f>O38+N38</f>
        <v>0</v>
      </c>
      <c r="Q38" s="44"/>
      <c r="R38" s="46"/>
      <c r="S38" s="46"/>
      <c r="T38" s="46"/>
      <c r="U38" s="48">
        <f>Q38*3+S38</f>
        <v>0</v>
      </c>
      <c r="V38" s="48">
        <f>R38*3+T38</f>
        <v>0</v>
      </c>
      <c r="W38" s="50">
        <f>V38+U38</f>
        <v>0</v>
      </c>
      <c r="X38" s="44"/>
      <c r="Y38" s="46"/>
      <c r="Z38" s="46"/>
      <c r="AA38" s="46"/>
      <c r="AB38" s="51">
        <f>X38*3+Z38</f>
        <v>0</v>
      </c>
      <c r="AC38" s="51">
        <f>Y38*3+AA38</f>
        <v>0</v>
      </c>
      <c r="AD38" s="52">
        <f>AC38+AB38</f>
        <v>0</v>
      </c>
      <c r="AE38" s="44"/>
      <c r="AF38" s="46"/>
      <c r="AG38" s="46"/>
      <c r="AH38" s="46"/>
      <c r="AI38" s="48">
        <f>AE38*3+AG38</f>
        <v>0</v>
      </c>
      <c r="AJ38" s="48">
        <f>AF38*3+AH38</f>
        <v>0</v>
      </c>
      <c r="AK38" s="50">
        <f>AJ38+AI38</f>
        <v>0</v>
      </c>
      <c r="AL38" s="44">
        <v>1</v>
      </c>
      <c r="AM38" s="46"/>
      <c r="AN38" s="46">
        <v>1</v>
      </c>
      <c r="AO38" s="46"/>
      <c r="AP38" s="48">
        <f>AL38*3+AN38</f>
        <v>4</v>
      </c>
      <c r="AQ38" s="48">
        <f>AM38*3+AO38</f>
        <v>0</v>
      </c>
      <c r="AR38" s="50">
        <f>AQ38+AP38</f>
        <v>4</v>
      </c>
      <c r="AS38" s="44"/>
      <c r="AT38" s="46"/>
      <c r="AU38" s="46">
        <v>4</v>
      </c>
      <c r="AV38" s="46"/>
      <c r="AW38" s="48">
        <f>AS38*3+AU38</f>
        <v>4</v>
      </c>
      <c r="AX38" s="48">
        <f>AT38*3+AV38</f>
        <v>0</v>
      </c>
      <c r="AY38" s="50">
        <f>AX38+AW38</f>
        <v>4</v>
      </c>
      <c r="AZ38" s="44">
        <v>1</v>
      </c>
      <c r="BA38" s="46"/>
      <c r="BB38" s="46">
        <v>1</v>
      </c>
      <c r="BC38" s="46"/>
      <c r="BD38" s="48">
        <f>AZ38*3+BB38</f>
        <v>4</v>
      </c>
      <c r="BE38" s="48">
        <f>BA38*3+BC38</f>
        <v>0</v>
      </c>
      <c r="BF38" s="50">
        <f>BE38+BD38</f>
        <v>4</v>
      </c>
      <c r="BG38" s="91"/>
      <c r="BH38" s="124"/>
      <c r="BI38" s="46">
        <v>3</v>
      </c>
      <c r="BJ38" s="46"/>
      <c r="BK38" s="48">
        <f>BG38*3+BI38</f>
        <v>3</v>
      </c>
      <c r="BL38" s="48">
        <f>BH38*3+BJ38</f>
        <v>0</v>
      </c>
      <c r="BM38" s="123">
        <f>BL38+BK38</f>
        <v>3</v>
      </c>
      <c r="BN38" s="91"/>
      <c r="BO38" s="124"/>
      <c r="BP38" s="124">
        <v>2</v>
      </c>
      <c r="BQ38" s="124">
        <v>1</v>
      </c>
      <c r="BR38" s="48">
        <f>BN38*3+BP38</f>
        <v>2</v>
      </c>
      <c r="BS38" s="48">
        <f>BO38*3+BQ38</f>
        <v>1</v>
      </c>
      <c r="BT38" s="123">
        <f>BS38+BR38</f>
        <v>3</v>
      </c>
      <c r="BU38" s="91">
        <v>1</v>
      </c>
      <c r="BV38" s="124"/>
      <c r="BW38" s="124"/>
      <c r="BX38" s="124"/>
      <c r="BY38" s="48">
        <f>BU38*3+BW38</f>
        <v>3</v>
      </c>
      <c r="BZ38" s="48">
        <f>BV38*3+BX38</f>
        <v>0</v>
      </c>
      <c r="CA38" s="123">
        <f>BZ38+BY38</f>
        <v>3</v>
      </c>
      <c r="CB38" s="135">
        <f>SUM(AP38,AI38,AB38,U38,N38,AW38,BD38,BK38,BR38,BY38)</f>
        <v>20</v>
      </c>
      <c r="CC38" s="87">
        <f ca="1">CB38/(TODAY()-G38)</f>
        <v>0.11494252873563218</v>
      </c>
      <c r="CD38" s="53">
        <f>SUM(AQ38,AJ38,AC38,V38,O38,AX38,BE38,BL38,BS38,BZ38)</f>
        <v>1</v>
      </c>
      <c r="CE38" s="87">
        <f ca="1">CD38/(TODAY()-G38)</f>
        <v>5.7471264367816091E-3</v>
      </c>
      <c r="CF38" s="53">
        <f>CB38+CD38</f>
        <v>21</v>
      </c>
      <c r="CG38" s="87">
        <f ca="1">CE38+CC38</f>
        <v>0.12068965517241378</v>
      </c>
      <c r="CH38" s="53">
        <f>SUM(AS38,AL38,AE38,X38,Q38,Q38,J38,AZ38,BG38,BN38,BU38)</f>
        <v>3</v>
      </c>
      <c r="CI38" s="53">
        <f>SUM(AT38,AM38,AF38,Y38,R38,R38,K38,BA38,BH38,BO38,BV38)</f>
        <v>0</v>
      </c>
      <c r="CJ38" s="53">
        <f>CI38+CH38</f>
        <v>3</v>
      </c>
    </row>
    <row r="39" spans="1:88" x14ac:dyDescent="0.25">
      <c r="A39" s="159" t="s">
        <v>87</v>
      </c>
      <c r="B39" s="147" t="s">
        <v>177</v>
      </c>
      <c r="C39" s="78" t="str">
        <f>B39&amp;" "&amp;A39</f>
        <v>נועה אחודה</v>
      </c>
      <c r="D39" s="79" t="s">
        <v>6</v>
      </c>
      <c r="E39" s="111" t="s">
        <v>7</v>
      </c>
      <c r="F39" s="90" t="s">
        <v>208</v>
      </c>
      <c r="G39" s="84">
        <v>43101</v>
      </c>
      <c r="H39" s="90" t="s">
        <v>85</v>
      </c>
      <c r="I39" s="80"/>
      <c r="J39" s="195"/>
      <c r="K39" s="196"/>
      <c r="L39" s="196"/>
      <c r="M39" s="196"/>
      <c r="N39" s="194">
        <f>J39*3+L39</f>
        <v>0</v>
      </c>
      <c r="O39" s="194">
        <f>K39*3+M39</f>
        <v>0</v>
      </c>
      <c r="P39" s="49">
        <f>O39+N39</f>
        <v>0</v>
      </c>
      <c r="Q39" s="77"/>
      <c r="R39" s="79"/>
      <c r="S39" s="79"/>
      <c r="T39" s="79"/>
      <c r="U39" s="48">
        <f>Q39*3+S39</f>
        <v>0</v>
      </c>
      <c r="V39" s="48">
        <f>R39*3+T39</f>
        <v>0</v>
      </c>
      <c r="W39" s="50">
        <f>V39+U39</f>
        <v>0</v>
      </c>
      <c r="X39" s="44"/>
      <c r="Y39" s="46"/>
      <c r="Z39" s="46"/>
      <c r="AA39" s="46"/>
      <c r="AB39" s="51">
        <f>X39*3+Z39</f>
        <v>0</v>
      </c>
      <c r="AC39" s="51">
        <f>Y39*3+AA39</f>
        <v>0</v>
      </c>
      <c r="AD39" s="52">
        <f>AC39+AB39</f>
        <v>0</v>
      </c>
      <c r="AE39" s="77"/>
      <c r="AF39" s="79"/>
      <c r="AG39" s="79"/>
      <c r="AH39" s="79"/>
      <c r="AI39" s="48">
        <f>AE39*3+AG39</f>
        <v>0</v>
      </c>
      <c r="AJ39" s="48">
        <f>AF39*3+AH39</f>
        <v>0</v>
      </c>
      <c r="AK39" s="50">
        <f>AJ39+AI39</f>
        <v>0</v>
      </c>
      <c r="AL39" s="77"/>
      <c r="AM39" s="79"/>
      <c r="AN39" s="79"/>
      <c r="AO39" s="79"/>
      <c r="AP39" s="48">
        <f>AL39*3+AN39</f>
        <v>0</v>
      </c>
      <c r="AQ39" s="48">
        <f>AM39*3+AO39</f>
        <v>0</v>
      </c>
      <c r="AR39" s="50">
        <f>AQ39+AP39</f>
        <v>0</v>
      </c>
      <c r="AS39" s="77"/>
      <c r="AT39" s="79"/>
      <c r="AU39" s="79"/>
      <c r="AV39" s="79"/>
      <c r="AW39" s="48">
        <f>AS39*3+AU39</f>
        <v>0</v>
      </c>
      <c r="AX39" s="48">
        <f>AT39*3+AV39</f>
        <v>0</v>
      </c>
      <c r="AY39" s="50">
        <f>AX39+AW39</f>
        <v>0</v>
      </c>
      <c r="AZ39" s="77"/>
      <c r="BA39" s="79"/>
      <c r="BB39" s="79"/>
      <c r="BC39" s="79"/>
      <c r="BD39" s="48">
        <f>AZ39*3+BB39</f>
        <v>0</v>
      </c>
      <c r="BE39" s="48">
        <f>BA39*3+BC39</f>
        <v>0</v>
      </c>
      <c r="BF39" s="50">
        <f>BE39+BD39</f>
        <v>0</v>
      </c>
      <c r="BG39" s="159">
        <v>1</v>
      </c>
      <c r="BH39" s="204"/>
      <c r="BI39" s="79"/>
      <c r="BJ39" s="79"/>
      <c r="BK39" s="48">
        <f>BG39*3+BI39</f>
        <v>3</v>
      </c>
      <c r="BL39" s="48">
        <f>BH39*3+BJ39</f>
        <v>0</v>
      </c>
      <c r="BM39" s="123">
        <f>BL39+BK39</f>
        <v>3</v>
      </c>
      <c r="BN39" s="91">
        <v>1</v>
      </c>
      <c r="BO39" s="124"/>
      <c r="BP39" s="124">
        <v>1</v>
      </c>
      <c r="BQ39" s="124"/>
      <c r="BR39" s="48">
        <f>BN39*3+BP39</f>
        <v>4</v>
      </c>
      <c r="BS39" s="48">
        <f>BO39*3+BQ39</f>
        <v>0</v>
      </c>
      <c r="BT39" s="123">
        <f>BS39+BR39</f>
        <v>4</v>
      </c>
      <c r="BU39" s="91"/>
      <c r="BV39" s="124"/>
      <c r="BW39" s="124"/>
      <c r="BX39" s="124"/>
      <c r="BY39" s="48">
        <f>BU39*3+BW39</f>
        <v>0</v>
      </c>
      <c r="BZ39" s="48">
        <f>BV39*3+BX39</f>
        <v>0</v>
      </c>
      <c r="CA39" s="123">
        <f>BZ39+BY39</f>
        <v>0</v>
      </c>
      <c r="CB39" s="135">
        <f>SUM(AP39,AI39,AB39,U39,N39,AW39,BD39,BK39,BR39,BY39)</f>
        <v>7</v>
      </c>
      <c r="CC39" s="87">
        <f ca="1">CB39/(TODAY()-G39)</f>
        <v>8.5365853658536592E-2</v>
      </c>
      <c r="CD39" s="53">
        <f>SUM(AQ39,AJ39,AC39,V39,O39,AX39,BE39,BL39,BS39,BZ39)</f>
        <v>0</v>
      </c>
      <c r="CE39" s="87">
        <f ca="1">CD39/(TODAY()-G39)</f>
        <v>0</v>
      </c>
      <c r="CF39" s="53">
        <f>CB39+CD39</f>
        <v>7</v>
      </c>
      <c r="CG39" s="87">
        <f ca="1">CE39+CC39</f>
        <v>8.5365853658536592E-2</v>
      </c>
      <c r="CH39" s="53">
        <f>SUM(AS39,AL39,AE39,X39,Q39,Q39,J39,AZ39,BG39,BN39,BU39)</f>
        <v>2</v>
      </c>
      <c r="CI39" s="53">
        <f>SUM(AT39,AM39,AF39,Y39,R39,R39,K39,BA39,BH39,BO39,BV39)</f>
        <v>0</v>
      </c>
      <c r="CJ39" s="53">
        <f>CI39+CH39</f>
        <v>2</v>
      </c>
    </row>
    <row r="40" spans="1:88" x14ac:dyDescent="0.25">
      <c r="A40" s="159" t="s">
        <v>87</v>
      </c>
      <c r="B40" s="147" t="s">
        <v>178</v>
      </c>
      <c r="C40" s="78" t="str">
        <f>B40&amp;" "&amp;A40</f>
        <v>עמית אחודה</v>
      </c>
      <c r="D40" s="79" t="s">
        <v>6</v>
      </c>
      <c r="E40" s="111" t="s">
        <v>7</v>
      </c>
      <c r="F40" s="90" t="s">
        <v>208</v>
      </c>
      <c r="G40" s="84">
        <v>43101</v>
      </c>
      <c r="H40" s="90" t="s">
        <v>85</v>
      </c>
      <c r="I40" s="80"/>
      <c r="J40" s="195"/>
      <c r="K40" s="196"/>
      <c r="L40" s="196"/>
      <c r="M40" s="196"/>
      <c r="N40" s="194">
        <f>J40*3+L40</f>
        <v>0</v>
      </c>
      <c r="O40" s="194">
        <f>K40*3+M40</f>
        <v>0</v>
      </c>
      <c r="P40" s="49">
        <f>O40+N40</f>
        <v>0</v>
      </c>
      <c r="Q40" s="77"/>
      <c r="R40" s="79"/>
      <c r="S40" s="79"/>
      <c r="T40" s="79"/>
      <c r="U40" s="48">
        <f>Q40*3+S40</f>
        <v>0</v>
      </c>
      <c r="V40" s="48">
        <f>R40*3+T40</f>
        <v>0</v>
      </c>
      <c r="W40" s="50">
        <f>V40+U40</f>
        <v>0</v>
      </c>
      <c r="X40" s="44"/>
      <c r="Y40" s="46"/>
      <c r="Z40" s="46"/>
      <c r="AA40" s="46"/>
      <c r="AB40" s="51">
        <f>X40*3+Z40</f>
        <v>0</v>
      </c>
      <c r="AC40" s="51">
        <f>Y40*3+AA40</f>
        <v>0</v>
      </c>
      <c r="AD40" s="52">
        <f>AC40+AB40</f>
        <v>0</v>
      </c>
      <c r="AE40" s="77"/>
      <c r="AF40" s="79"/>
      <c r="AG40" s="79"/>
      <c r="AH40" s="79"/>
      <c r="AI40" s="48">
        <f>AE40*3+AG40</f>
        <v>0</v>
      </c>
      <c r="AJ40" s="48">
        <f>AF40*3+AH40</f>
        <v>0</v>
      </c>
      <c r="AK40" s="50">
        <f>AJ40+AI40</f>
        <v>0</v>
      </c>
      <c r="AL40" s="77"/>
      <c r="AM40" s="79"/>
      <c r="AN40" s="79"/>
      <c r="AO40" s="79"/>
      <c r="AP40" s="48">
        <f>AL40*3+AN40</f>
        <v>0</v>
      </c>
      <c r="AQ40" s="48">
        <f>AM40*3+AO40</f>
        <v>0</v>
      </c>
      <c r="AR40" s="50">
        <f>AQ40+AP40</f>
        <v>0</v>
      </c>
      <c r="AS40" s="77"/>
      <c r="AT40" s="79"/>
      <c r="AU40" s="79"/>
      <c r="AV40" s="79"/>
      <c r="AW40" s="48">
        <f>AS40*3+AU40</f>
        <v>0</v>
      </c>
      <c r="AX40" s="48">
        <f>AT40*3+AV40</f>
        <v>0</v>
      </c>
      <c r="AY40" s="50">
        <f>AX40+AW40</f>
        <v>0</v>
      </c>
      <c r="AZ40" s="77"/>
      <c r="BA40" s="79"/>
      <c r="BB40" s="79"/>
      <c r="BC40" s="79"/>
      <c r="BD40" s="48">
        <f>AZ40*3+BB40</f>
        <v>0</v>
      </c>
      <c r="BE40" s="48">
        <f>BA40*3+BC40</f>
        <v>0</v>
      </c>
      <c r="BF40" s="50">
        <f>BE40+BD40</f>
        <v>0</v>
      </c>
      <c r="BG40" s="159">
        <v>1</v>
      </c>
      <c r="BH40" s="204"/>
      <c r="BI40" s="79"/>
      <c r="BJ40" s="79"/>
      <c r="BK40" s="48">
        <f>BG40*3+BI40</f>
        <v>3</v>
      </c>
      <c r="BL40" s="48">
        <f>BH40*3+BJ40</f>
        <v>0</v>
      </c>
      <c r="BM40" s="123">
        <f>BL40+BK40</f>
        <v>3</v>
      </c>
      <c r="BN40" s="91"/>
      <c r="BO40" s="124">
        <v>1</v>
      </c>
      <c r="BP40" s="124">
        <v>2</v>
      </c>
      <c r="BQ40" s="124"/>
      <c r="BR40" s="48">
        <f>BN40*3+BP40</f>
        <v>2</v>
      </c>
      <c r="BS40" s="48">
        <f>BO40*3+BQ40</f>
        <v>3</v>
      </c>
      <c r="BT40" s="123">
        <f>BS40+BR40</f>
        <v>5</v>
      </c>
      <c r="BU40" s="91"/>
      <c r="BV40" s="124"/>
      <c r="BW40" s="124"/>
      <c r="BX40" s="124"/>
      <c r="BY40" s="48">
        <f>BU40*3+BW40</f>
        <v>0</v>
      </c>
      <c r="BZ40" s="48">
        <f>BV40*3+BX40</f>
        <v>0</v>
      </c>
      <c r="CA40" s="123">
        <f>BZ40+BY40</f>
        <v>0</v>
      </c>
      <c r="CB40" s="135">
        <f>SUM(AP40,AI40,AB40,U40,N40,AW40,BD40,BK40,BR40,BY40)</f>
        <v>5</v>
      </c>
      <c r="CC40" s="87">
        <f ca="1">CB40/(TODAY()-G40)</f>
        <v>6.097560975609756E-2</v>
      </c>
      <c r="CD40" s="53">
        <f>SUM(AQ40,AJ40,AC40,V40,O40,AX40,BE40,BL40,BS40,BZ40)</f>
        <v>3</v>
      </c>
      <c r="CE40" s="87">
        <f ca="1">CD40/(TODAY()-G40)</f>
        <v>3.6585365853658534E-2</v>
      </c>
      <c r="CF40" s="53">
        <f>CB40+CD40</f>
        <v>8</v>
      </c>
      <c r="CG40" s="87">
        <f ca="1">CE40+CC40</f>
        <v>9.7560975609756101E-2</v>
      </c>
      <c r="CH40" s="53">
        <f>SUM(AS40,AL40,AE40,X40,Q40,Q40,J40,AZ40,BG40,BN40,BU40)</f>
        <v>1</v>
      </c>
      <c r="CI40" s="53">
        <f>SUM(AT40,AM40,AF40,Y40,R40,R40,K40,BA40,BH40,BO40,BV40)</f>
        <v>1</v>
      </c>
      <c r="CJ40" s="53">
        <f>CI40+CH40</f>
        <v>2</v>
      </c>
    </row>
    <row r="41" spans="1:88" x14ac:dyDescent="0.25">
      <c r="A41" s="77" t="s">
        <v>17</v>
      </c>
      <c r="B41" s="78" t="s">
        <v>21</v>
      </c>
      <c r="C41" s="78" t="str">
        <f>B41&amp;" "&amp;A41</f>
        <v>מורז מפאוג</v>
      </c>
      <c r="D41" s="79" t="s">
        <v>6</v>
      </c>
      <c r="E41" s="79" t="s">
        <v>7</v>
      </c>
      <c r="F41" s="90" t="s">
        <v>202</v>
      </c>
      <c r="G41" s="84">
        <v>42887</v>
      </c>
      <c r="H41" s="54">
        <v>43416</v>
      </c>
      <c r="I41" s="80"/>
      <c r="J41" s="195">
        <v>1</v>
      </c>
      <c r="K41" s="196"/>
      <c r="L41" s="196">
        <v>1</v>
      </c>
      <c r="M41" s="196"/>
      <c r="N41" s="194">
        <f>J41*3+L41</f>
        <v>4</v>
      </c>
      <c r="O41" s="194">
        <f>K41*3+M41</f>
        <v>0</v>
      </c>
      <c r="P41" s="49">
        <f>O41+N41</f>
        <v>4</v>
      </c>
      <c r="Q41" s="77">
        <v>1</v>
      </c>
      <c r="R41" s="79"/>
      <c r="S41" s="79">
        <v>2</v>
      </c>
      <c r="T41" s="79"/>
      <c r="U41" s="48">
        <f>Q41*3+S41</f>
        <v>5</v>
      </c>
      <c r="V41" s="48">
        <f>R41*3+T41</f>
        <v>0</v>
      </c>
      <c r="W41" s="50">
        <f>V41+U41</f>
        <v>5</v>
      </c>
      <c r="X41" s="44"/>
      <c r="Y41" s="46"/>
      <c r="Z41" s="46">
        <v>1</v>
      </c>
      <c r="AA41" s="46">
        <v>2</v>
      </c>
      <c r="AB41" s="51">
        <f>X41*3+Z41</f>
        <v>1</v>
      </c>
      <c r="AC41" s="51">
        <f>Y41*3+AA41</f>
        <v>2</v>
      </c>
      <c r="AD41" s="52">
        <f>AC41+AB41</f>
        <v>3</v>
      </c>
      <c r="AE41" s="77">
        <v>1</v>
      </c>
      <c r="AF41" s="79"/>
      <c r="AG41" s="79"/>
      <c r="AH41" s="79"/>
      <c r="AI41" s="48">
        <f>AE41*3+AG41</f>
        <v>3</v>
      </c>
      <c r="AJ41" s="48">
        <f>AF41*3+AH41</f>
        <v>0</v>
      </c>
      <c r="AK41" s="50">
        <f>AJ41+AI41</f>
        <v>3</v>
      </c>
      <c r="AL41" s="77"/>
      <c r="AM41" s="79"/>
      <c r="AN41" s="79"/>
      <c r="AO41" s="79"/>
      <c r="AP41" s="48">
        <f>AL41*3+AN41</f>
        <v>0</v>
      </c>
      <c r="AQ41" s="48">
        <f>AM41*3+AO41</f>
        <v>0</v>
      </c>
      <c r="AR41" s="50">
        <f>AQ41+AP41</f>
        <v>0</v>
      </c>
      <c r="AS41" s="77"/>
      <c r="AT41" s="79"/>
      <c r="AU41" s="79">
        <v>1</v>
      </c>
      <c r="AV41" s="79"/>
      <c r="AW41" s="48">
        <f>AS41*3+AU41</f>
        <v>1</v>
      </c>
      <c r="AX41" s="48">
        <f>AT41*3+AV41</f>
        <v>0</v>
      </c>
      <c r="AY41" s="50">
        <f>AX41+AW41</f>
        <v>1</v>
      </c>
      <c r="AZ41" s="77">
        <v>1</v>
      </c>
      <c r="BA41" s="79"/>
      <c r="BB41" s="79"/>
      <c r="BC41" s="79">
        <v>1</v>
      </c>
      <c r="BD41" s="48">
        <f>AZ41*3+BB41</f>
        <v>3</v>
      </c>
      <c r="BE41" s="48">
        <f>BA41*3+BC41</f>
        <v>1</v>
      </c>
      <c r="BF41" s="50">
        <f>BE41+BD41</f>
        <v>4</v>
      </c>
      <c r="BG41" s="159"/>
      <c r="BH41" s="204"/>
      <c r="BI41" s="79">
        <v>3</v>
      </c>
      <c r="BJ41" s="79"/>
      <c r="BK41" s="48">
        <f>BG41*3+BI41</f>
        <v>3</v>
      </c>
      <c r="BL41" s="48">
        <f>BH41*3+BJ41</f>
        <v>0</v>
      </c>
      <c r="BM41" s="123">
        <f>BL41+BK41</f>
        <v>3</v>
      </c>
      <c r="BN41" s="91"/>
      <c r="BO41" s="124">
        <v>1</v>
      </c>
      <c r="BP41" s="124">
        <v>2</v>
      </c>
      <c r="BQ41" s="124"/>
      <c r="BR41" s="48">
        <f>BN41*3+BP41</f>
        <v>2</v>
      </c>
      <c r="BS41" s="48">
        <f>BO41*3+BQ41</f>
        <v>3</v>
      </c>
      <c r="BT41" s="123">
        <f>BS41+BR41</f>
        <v>5</v>
      </c>
      <c r="BU41" s="91"/>
      <c r="BV41" s="124"/>
      <c r="BW41" s="124"/>
      <c r="BX41" s="124"/>
      <c r="BY41" s="48">
        <f>BU41*3+BW41</f>
        <v>0</v>
      </c>
      <c r="BZ41" s="48">
        <f>BV41*3+BX41</f>
        <v>0</v>
      </c>
      <c r="CA41" s="123">
        <f>BZ41+BY41</f>
        <v>0</v>
      </c>
      <c r="CB41" s="135">
        <f>SUM(AP41,AI41,AB41,U41,N41,AW41,BD41,BK41,BR41,BY41)</f>
        <v>22</v>
      </c>
      <c r="CC41" s="87">
        <f ca="1">CB41/(TODAY()-G41)</f>
        <v>7.4324324324324328E-2</v>
      </c>
      <c r="CD41" s="53">
        <f>SUM(AQ41,AJ41,AC41,V41,O41,AX41,BE41,BL41,BS41,BZ41)</f>
        <v>6</v>
      </c>
      <c r="CE41" s="87">
        <f ca="1">CD41/(TODAY()-G41)</f>
        <v>2.0270270270270271E-2</v>
      </c>
      <c r="CF41" s="53">
        <f>CB41+CD41</f>
        <v>28</v>
      </c>
      <c r="CG41" s="87">
        <f ca="1">CE41+CC41</f>
        <v>9.45945945945946E-2</v>
      </c>
      <c r="CH41" s="53">
        <f>SUM(AS41,AL41,AE41,X41,Q41,Q41,J41,AZ41,BG41,BN41,BU41)</f>
        <v>5</v>
      </c>
      <c r="CI41" s="53">
        <f>SUM(AT41,AM41,AF41,Y41,R41,R41,K41,BA41,BH41,BO41,BV41)</f>
        <v>1</v>
      </c>
      <c r="CJ41" s="53">
        <f>CI41+CH41</f>
        <v>6</v>
      </c>
    </row>
    <row r="42" spans="1:88" x14ac:dyDescent="0.25">
      <c r="A42" s="200" t="s">
        <v>17</v>
      </c>
      <c r="B42" s="147" t="s">
        <v>177</v>
      </c>
      <c r="C42" s="78" t="str">
        <f>B42&amp;" "&amp;A42</f>
        <v>נועה מפאוג</v>
      </c>
      <c r="D42" s="111" t="s">
        <v>6</v>
      </c>
      <c r="E42" s="111" t="s">
        <v>7</v>
      </c>
      <c r="F42" s="90" t="s">
        <v>208</v>
      </c>
      <c r="G42" s="84">
        <v>43101</v>
      </c>
      <c r="H42" s="90" t="s">
        <v>85</v>
      </c>
      <c r="I42" s="80"/>
      <c r="J42" s="195"/>
      <c r="K42" s="196"/>
      <c r="L42" s="196"/>
      <c r="M42" s="196"/>
      <c r="N42" s="194">
        <f>J42*3+L42</f>
        <v>0</v>
      </c>
      <c r="O42" s="194">
        <f>K42*3+M42</f>
        <v>0</v>
      </c>
      <c r="P42" s="49">
        <f>O42+N42</f>
        <v>0</v>
      </c>
      <c r="Q42" s="77"/>
      <c r="R42" s="79"/>
      <c r="S42" s="79"/>
      <c r="T42" s="79"/>
      <c r="U42" s="48">
        <f>Q42*3+S42</f>
        <v>0</v>
      </c>
      <c r="V42" s="48">
        <f>R42*3+T42</f>
        <v>0</v>
      </c>
      <c r="W42" s="50">
        <f>V42+U42</f>
        <v>0</v>
      </c>
      <c r="X42" s="44"/>
      <c r="Y42" s="46"/>
      <c r="Z42" s="46"/>
      <c r="AA42" s="46"/>
      <c r="AB42" s="51">
        <f>X42*3+Z42</f>
        <v>0</v>
      </c>
      <c r="AC42" s="51">
        <f>Y42*3+AA42</f>
        <v>0</v>
      </c>
      <c r="AD42" s="52">
        <f>AC42+AB42</f>
        <v>0</v>
      </c>
      <c r="AE42" s="77"/>
      <c r="AF42" s="79"/>
      <c r="AG42" s="79"/>
      <c r="AH42" s="79"/>
      <c r="AI42" s="48">
        <f>AE42*3+AG42</f>
        <v>0</v>
      </c>
      <c r="AJ42" s="48">
        <f>AF42*3+AH42</f>
        <v>0</v>
      </c>
      <c r="AK42" s="50">
        <f>AJ42+AI42</f>
        <v>0</v>
      </c>
      <c r="AL42" s="77"/>
      <c r="AM42" s="79"/>
      <c r="AN42" s="79"/>
      <c r="AO42" s="79"/>
      <c r="AP42" s="48">
        <f>AL42*3+AN42</f>
        <v>0</v>
      </c>
      <c r="AQ42" s="48">
        <f>AM42*3+AO42</f>
        <v>0</v>
      </c>
      <c r="AR42" s="50">
        <f>AQ42+AP42</f>
        <v>0</v>
      </c>
      <c r="AS42" s="77"/>
      <c r="AT42" s="79"/>
      <c r="AU42" s="79"/>
      <c r="AV42" s="79"/>
      <c r="AW42" s="48">
        <f>AS42*3+AU42</f>
        <v>0</v>
      </c>
      <c r="AX42" s="48">
        <f>AT42*3+AV42</f>
        <v>0</v>
      </c>
      <c r="AY42" s="50">
        <f>AX42+AW42</f>
        <v>0</v>
      </c>
      <c r="AZ42" s="77"/>
      <c r="BA42" s="79"/>
      <c r="BB42" s="79"/>
      <c r="BC42" s="79"/>
      <c r="BD42" s="48">
        <f>AZ42*3+BB42</f>
        <v>0</v>
      </c>
      <c r="BE42" s="48">
        <f>BA42*3+BC42</f>
        <v>0</v>
      </c>
      <c r="BF42" s="50">
        <f>BE42+BD42</f>
        <v>0</v>
      </c>
      <c r="BG42" s="159"/>
      <c r="BH42" s="204"/>
      <c r="BI42" s="204">
        <v>2</v>
      </c>
      <c r="BJ42" s="79"/>
      <c r="BK42" s="48">
        <f>BG42*3+BI42</f>
        <v>2</v>
      </c>
      <c r="BL42" s="48">
        <f>BH42*3+BJ42</f>
        <v>0</v>
      </c>
      <c r="BM42" s="123">
        <f>BL42+BK42</f>
        <v>2</v>
      </c>
      <c r="BN42" s="91">
        <v>1</v>
      </c>
      <c r="BO42" s="124"/>
      <c r="BP42" s="124">
        <v>2</v>
      </c>
      <c r="BQ42" s="124"/>
      <c r="BR42" s="48">
        <f>BN42*3+BP42</f>
        <v>5</v>
      </c>
      <c r="BS42" s="48">
        <f>BO42*3+BQ42</f>
        <v>0</v>
      </c>
      <c r="BT42" s="123">
        <f>BS42+BR42</f>
        <v>5</v>
      </c>
      <c r="BU42" s="91"/>
      <c r="BV42" s="124"/>
      <c r="BW42" s="124"/>
      <c r="BX42" s="124"/>
      <c r="BY42" s="48">
        <f>BU42*3+BW42</f>
        <v>0</v>
      </c>
      <c r="BZ42" s="48">
        <f>BV42*3+BX42</f>
        <v>0</v>
      </c>
      <c r="CA42" s="123">
        <f>BZ42+BY42</f>
        <v>0</v>
      </c>
      <c r="CB42" s="135">
        <f>SUM(AP42,AI42,AB42,U42,N42,AW42,BD42,BK42,BR42,BY42)</f>
        <v>7</v>
      </c>
      <c r="CC42" s="87">
        <f ca="1">CB42/(TODAY()-G42)</f>
        <v>8.5365853658536592E-2</v>
      </c>
      <c r="CD42" s="53">
        <f>SUM(AQ42,AJ42,AC42,V42,O42,AX42,BE42,BL42,BS42,BZ42)</f>
        <v>0</v>
      </c>
      <c r="CE42" s="87">
        <f ca="1">CD42/(TODAY()-G42)</f>
        <v>0</v>
      </c>
      <c r="CF42" s="53">
        <f>CB42+CD42</f>
        <v>7</v>
      </c>
      <c r="CG42" s="87">
        <f ca="1">CE42+CC42</f>
        <v>8.5365853658536592E-2</v>
      </c>
      <c r="CH42" s="53">
        <f>SUM(AS42,AL42,AE42,X42,Q42,Q42,J42,AZ42,BG42,BN42,BU42)</f>
        <v>1</v>
      </c>
      <c r="CI42" s="53">
        <f>SUM(AT42,AM42,AF42,Y42,R42,R42,K42,BA42,BH42,BO42,BV42)</f>
        <v>0</v>
      </c>
      <c r="CJ42" s="53">
        <f>CI42+CH42</f>
        <v>1</v>
      </c>
    </row>
    <row r="43" spans="1:88" x14ac:dyDescent="0.25">
      <c r="A43" s="200" t="s">
        <v>17</v>
      </c>
      <c r="B43" s="147" t="s">
        <v>148</v>
      </c>
      <c r="C43" s="78" t="str">
        <f>B43&amp;" "&amp;A43</f>
        <v>רבקה מפאוג</v>
      </c>
      <c r="D43" s="111" t="s">
        <v>6</v>
      </c>
      <c r="E43" s="111" t="s">
        <v>7</v>
      </c>
      <c r="F43" s="203" t="s">
        <v>207</v>
      </c>
      <c r="G43" s="84">
        <v>43040</v>
      </c>
      <c r="H43" s="90" t="s">
        <v>85</v>
      </c>
      <c r="I43" s="80"/>
      <c r="J43" s="195"/>
      <c r="K43" s="196"/>
      <c r="L43" s="196"/>
      <c r="M43" s="196"/>
      <c r="N43" s="194">
        <f>J43*3+L43</f>
        <v>0</v>
      </c>
      <c r="O43" s="194">
        <f>K43*3+M43</f>
        <v>0</v>
      </c>
      <c r="P43" s="49">
        <f>O43+N43</f>
        <v>0</v>
      </c>
      <c r="Q43" s="77"/>
      <c r="R43" s="79"/>
      <c r="S43" s="79"/>
      <c r="T43" s="79"/>
      <c r="U43" s="48">
        <f>Q43*3+S43</f>
        <v>0</v>
      </c>
      <c r="V43" s="48">
        <f>R43*3+T43</f>
        <v>0</v>
      </c>
      <c r="W43" s="50">
        <f>V43+U43</f>
        <v>0</v>
      </c>
      <c r="X43" s="77"/>
      <c r="Y43" s="79"/>
      <c r="Z43" s="79"/>
      <c r="AA43" s="79"/>
      <c r="AB43" s="51">
        <f>X43*3+Z43</f>
        <v>0</v>
      </c>
      <c r="AC43" s="51">
        <f>Y43*3+AA43</f>
        <v>0</v>
      </c>
      <c r="AD43" s="52">
        <f>AC43+AB43</f>
        <v>0</v>
      </c>
      <c r="AE43" s="77"/>
      <c r="AF43" s="79"/>
      <c r="AG43" s="79"/>
      <c r="AH43" s="79"/>
      <c r="AI43" s="48">
        <f>AE43*3+AG43</f>
        <v>0</v>
      </c>
      <c r="AJ43" s="48">
        <f>AF43*3+AH43</f>
        <v>0</v>
      </c>
      <c r="AK43" s="50">
        <f>AJ43+AI43</f>
        <v>0</v>
      </c>
      <c r="AL43" s="77"/>
      <c r="AM43" s="79"/>
      <c r="AN43" s="79"/>
      <c r="AO43" s="79"/>
      <c r="AP43" s="48">
        <f>AL43*3+AN43</f>
        <v>0</v>
      </c>
      <c r="AQ43" s="48">
        <f>AM43*3+AO43</f>
        <v>0</v>
      </c>
      <c r="AR43" s="50">
        <f>AQ43+AP43</f>
        <v>0</v>
      </c>
      <c r="AS43" s="77"/>
      <c r="AT43" s="79"/>
      <c r="AU43" s="79">
        <v>1</v>
      </c>
      <c r="AV43" s="79"/>
      <c r="AW43" s="48">
        <f>AS43*3+AU43</f>
        <v>1</v>
      </c>
      <c r="AX43" s="48">
        <f>AT43*3+AV43</f>
        <v>0</v>
      </c>
      <c r="AY43" s="50">
        <f>AX43+AW43</f>
        <v>1</v>
      </c>
      <c r="AZ43" s="77">
        <v>1</v>
      </c>
      <c r="BA43" s="79"/>
      <c r="BB43" s="79">
        <v>2</v>
      </c>
      <c r="BC43" s="79"/>
      <c r="BD43" s="48">
        <f>AZ43*3+BB43</f>
        <v>5</v>
      </c>
      <c r="BE43" s="48">
        <f>BA43*3+BC43</f>
        <v>0</v>
      </c>
      <c r="BF43" s="50">
        <f>BE43+BD43</f>
        <v>5</v>
      </c>
      <c r="BG43" s="159"/>
      <c r="BH43" s="204"/>
      <c r="BI43" s="79">
        <v>3</v>
      </c>
      <c r="BJ43" s="79"/>
      <c r="BK43" s="48">
        <f>BG43*3+BI43</f>
        <v>3</v>
      </c>
      <c r="BL43" s="48">
        <f>BH43*3+BJ43</f>
        <v>0</v>
      </c>
      <c r="BM43" s="123">
        <f>BL43+BK43</f>
        <v>3</v>
      </c>
      <c r="BN43" s="159"/>
      <c r="BO43" s="204"/>
      <c r="BP43" s="204">
        <v>4</v>
      </c>
      <c r="BQ43" s="204"/>
      <c r="BR43" s="48">
        <f>BN43*3+BP43</f>
        <v>4</v>
      </c>
      <c r="BS43" s="48">
        <f>BO43*3+BQ43</f>
        <v>0</v>
      </c>
      <c r="BT43" s="123">
        <f>BS43+BR43</f>
        <v>4</v>
      </c>
      <c r="BU43" s="159">
        <v>1</v>
      </c>
      <c r="BV43" s="204"/>
      <c r="BW43" s="204"/>
      <c r="BX43" s="204"/>
      <c r="BY43" s="48">
        <f>BU43*3+BW43</f>
        <v>3</v>
      </c>
      <c r="BZ43" s="48">
        <f>BV43*3+BX43</f>
        <v>0</v>
      </c>
      <c r="CA43" s="123">
        <f>BZ43+BY43</f>
        <v>3</v>
      </c>
      <c r="CB43" s="135">
        <f>SUM(AP43,AI43,AB43,U43,N43,AW43,BD43,BK43,BR43,BY43)</f>
        <v>16</v>
      </c>
      <c r="CC43" s="87">
        <f ca="1">CB43/(TODAY()-G43)</f>
        <v>0.11188811188811189</v>
      </c>
      <c r="CD43" s="53">
        <f>SUM(AQ43,AJ43,AC43,V43,O43,AX43,BE43,BL43,BS43,BZ43)</f>
        <v>0</v>
      </c>
      <c r="CE43" s="87">
        <f ca="1">CD43/(TODAY()-G43)</f>
        <v>0</v>
      </c>
      <c r="CF43" s="53">
        <f>CB43+CD43</f>
        <v>16</v>
      </c>
      <c r="CG43" s="87">
        <f ca="1">CE43+CC43</f>
        <v>0.11188811188811189</v>
      </c>
      <c r="CH43" s="53">
        <f>SUM(AS43,AL43,AE43,X43,Q43,Q43,J43,AZ43,BG43,BN43,BU43)</f>
        <v>2</v>
      </c>
      <c r="CI43" s="53">
        <f>SUM(AT43,AM43,AF43,Y43,R43,R43,K43,BA43,BH43,BO43,BV43)</f>
        <v>0</v>
      </c>
      <c r="CJ43" s="53">
        <f>CI43+CH43</f>
        <v>2</v>
      </c>
    </row>
    <row r="44" spans="1:88" ht="15.75" thickBot="1" x14ac:dyDescent="0.3">
      <c r="A44" s="116" t="s">
        <v>17</v>
      </c>
      <c r="B44" s="112" t="s">
        <v>16</v>
      </c>
      <c r="C44" s="112" t="str">
        <f>B44&amp;" "&amp;A44</f>
        <v>שיר מפאוג</v>
      </c>
      <c r="D44" s="117" t="s">
        <v>6</v>
      </c>
      <c r="E44" s="117" t="s">
        <v>7</v>
      </c>
      <c r="F44" s="137" t="s">
        <v>202</v>
      </c>
      <c r="G44" s="113">
        <v>42887</v>
      </c>
      <c r="H44" s="205">
        <v>43360</v>
      </c>
      <c r="I44" s="202"/>
      <c r="J44" s="197"/>
      <c r="K44" s="198"/>
      <c r="L44" s="198">
        <v>2</v>
      </c>
      <c r="M44" s="198"/>
      <c r="N44" s="199">
        <f>J44*3+L44</f>
        <v>2</v>
      </c>
      <c r="O44" s="199">
        <f>K44*3+M44</f>
        <v>0</v>
      </c>
      <c r="P44" s="115">
        <f>O44+N44</f>
        <v>2</v>
      </c>
      <c r="Q44" s="116">
        <v>1</v>
      </c>
      <c r="R44" s="117"/>
      <c r="S44" s="117"/>
      <c r="T44" s="117"/>
      <c r="U44" s="132">
        <f>Q44*3+S44</f>
        <v>3</v>
      </c>
      <c r="V44" s="132">
        <f>R44*3+T44</f>
        <v>0</v>
      </c>
      <c r="W44" s="155">
        <f>V44+U44</f>
        <v>3</v>
      </c>
      <c r="X44" s="116"/>
      <c r="Y44" s="117">
        <v>1</v>
      </c>
      <c r="Z44" s="117">
        <v>2</v>
      </c>
      <c r="AA44" s="117"/>
      <c r="AB44" s="114">
        <f>X44*3+Z44</f>
        <v>2</v>
      </c>
      <c r="AC44" s="114">
        <f>Y44*3+AA44</f>
        <v>3</v>
      </c>
      <c r="AD44" s="118">
        <f>AC44+AB44</f>
        <v>5</v>
      </c>
      <c r="AE44" s="116"/>
      <c r="AF44" s="117"/>
      <c r="AG44" s="117">
        <v>3</v>
      </c>
      <c r="AH44" s="117"/>
      <c r="AI44" s="132">
        <f>AE44*3+AG44</f>
        <v>3</v>
      </c>
      <c r="AJ44" s="132">
        <f>AF44*3+AH44</f>
        <v>0</v>
      </c>
      <c r="AK44" s="155">
        <f>AJ44+AI44</f>
        <v>3</v>
      </c>
      <c r="AL44" s="116"/>
      <c r="AM44" s="117"/>
      <c r="AN44" s="117">
        <v>2</v>
      </c>
      <c r="AO44" s="117">
        <v>1</v>
      </c>
      <c r="AP44" s="132">
        <f>AL44*3+AN44</f>
        <v>2</v>
      </c>
      <c r="AQ44" s="132">
        <f>AM44*3+AO44</f>
        <v>1</v>
      </c>
      <c r="AR44" s="155">
        <f>AQ44+AP44</f>
        <v>3</v>
      </c>
      <c r="AS44" s="116">
        <v>1</v>
      </c>
      <c r="AT44" s="117"/>
      <c r="AU44" s="117">
        <v>2</v>
      </c>
      <c r="AV44" s="117"/>
      <c r="AW44" s="132">
        <f>AS44*3+AU44</f>
        <v>5</v>
      </c>
      <c r="AX44" s="132">
        <f>AT44*3+AV44</f>
        <v>0</v>
      </c>
      <c r="AY44" s="155">
        <f>AX44+AW44</f>
        <v>5</v>
      </c>
      <c r="AZ44" s="116"/>
      <c r="BA44" s="117"/>
      <c r="BB44" s="117">
        <v>2</v>
      </c>
      <c r="BC44" s="117"/>
      <c r="BD44" s="132">
        <f>AZ44*3+BB44</f>
        <v>2</v>
      </c>
      <c r="BE44" s="132">
        <f>BA44*3+BC44</f>
        <v>0</v>
      </c>
      <c r="BF44" s="155">
        <f>BE44+BD44</f>
        <v>2</v>
      </c>
      <c r="BG44" s="152"/>
      <c r="BH44" s="127"/>
      <c r="BI44" s="127">
        <v>2</v>
      </c>
      <c r="BJ44" s="117">
        <v>1</v>
      </c>
      <c r="BK44" s="132">
        <f>BG44*3+BI44</f>
        <v>2</v>
      </c>
      <c r="BL44" s="132">
        <f>BH44*3+BJ44</f>
        <v>1</v>
      </c>
      <c r="BM44" s="133">
        <f>BL44+BK44</f>
        <v>3</v>
      </c>
      <c r="BN44" s="152">
        <v>1</v>
      </c>
      <c r="BO44" s="127"/>
      <c r="BP44" s="127">
        <v>1</v>
      </c>
      <c r="BQ44" s="127"/>
      <c r="BR44" s="132">
        <f>BN44*3+BP44</f>
        <v>4</v>
      </c>
      <c r="BS44" s="132">
        <f>BO44*3+BQ44</f>
        <v>0</v>
      </c>
      <c r="BT44" s="133">
        <f>BS44+BR44</f>
        <v>4</v>
      </c>
      <c r="BU44" s="152"/>
      <c r="BV44" s="127"/>
      <c r="BW44" s="127"/>
      <c r="BX44" s="127"/>
      <c r="BY44" s="132">
        <f>BU44*3+BW44</f>
        <v>0</v>
      </c>
      <c r="BZ44" s="132">
        <f>BV44*3+BX44</f>
        <v>0</v>
      </c>
      <c r="CA44" s="133">
        <f>BZ44+BY44</f>
        <v>0</v>
      </c>
      <c r="CB44" s="156">
        <f>SUM(AP44,AI44,AB44,U44,N44,AW44,BD44,BK44,BR44,BY44)</f>
        <v>25</v>
      </c>
      <c r="CC44" s="157">
        <f ca="1">CB44/(TODAY()-G44)</f>
        <v>8.4459459459459457E-2</v>
      </c>
      <c r="CD44" s="158">
        <f>SUM(AQ44,AJ44,AC44,V44,O44,AX44,BE44,BL44,BS44,BZ44)</f>
        <v>5</v>
      </c>
      <c r="CE44" s="157">
        <f ca="1">CD44/(TODAY()-G44)</f>
        <v>1.6891891891891893E-2</v>
      </c>
      <c r="CF44" s="158">
        <f>CB44+CD44</f>
        <v>30</v>
      </c>
      <c r="CG44" s="157">
        <f ca="1">CE44+CC44</f>
        <v>0.10135135135135134</v>
      </c>
      <c r="CH44" s="158">
        <f>SUM(AS44,AL44,AE44,X44,Q44,Q44,J44,AZ44,BG44,BN44,BU44)</f>
        <v>4</v>
      </c>
      <c r="CI44" s="158">
        <f>SUM(AT44,AM44,AF44,Y44,R44,R44,K44,BA44,BH44,BO44,BV44)</f>
        <v>1</v>
      </c>
      <c r="CJ44" s="158">
        <f>CI44+CH44</f>
        <v>5</v>
      </c>
    </row>
    <row r="45" spans="1:88" x14ac:dyDescent="0.25">
      <c r="A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121"/>
      <c r="BO45" s="121"/>
      <c r="BP45" s="121"/>
      <c r="BQ45" s="121"/>
      <c r="BR45" s="121"/>
      <c r="BS45" s="43"/>
      <c r="BT45" s="43"/>
      <c r="BU45" s="121"/>
      <c r="BV45" s="121"/>
      <c r="BW45" s="121"/>
      <c r="BX45" s="121"/>
      <c r="BY45" s="121"/>
      <c r="BZ45" s="43"/>
      <c r="CA45" s="43"/>
    </row>
    <row r="46" spans="1:88" x14ac:dyDescent="0.25">
      <c r="A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121"/>
      <c r="BO46" s="121"/>
      <c r="BP46" s="121"/>
      <c r="BQ46" s="121"/>
      <c r="BR46" s="121"/>
      <c r="BS46" s="43"/>
      <c r="BT46" s="43"/>
      <c r="BU46" s="121"/>
      <c r="BV46" s="121"/>
      <c r="BW46" s="121"/>
      <c r="BX46" s="121"/>
      <c r="BY46" s="121"/>
      <c r="BZ46" s="43"/>
      <c r="CA46" s="43"/>
    </row>
    <row r="47" spans="1:88" ht="33.75" x14ac:dyDescent="0.5">
      <c r="A47" s="43"/>
      <c r="C47" s="153" t="s">
        <v>227</v>
      </c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88" x14ac:dyDescent="0.25">
      <c r="A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79" x14ac:dyDescent="0.25">
      <c r="A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79" x14ac:dyDescent="0.25">
      <c r="A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121"/>
      <c r="BO50" s="121"/>
      <c r="BP50" s="121"/>
      <c r="BQ50" s="121"/>
      <c r="BR50" s="121"/>
      <c r="BS50" s="43"/>
      <c r="BT50" s="43"/>
      <c r="BU50" s="121"/>
      <c r="BV50" s="121"/>
      <c r="BW50" s="121"/>
      <c r="BX50" s="121"/>
      <c r="BY50" s="121"/>
      <c r="BZ50" s="43"/>
      <c r="CA50" s="43"/>
    </row>
    <row r="51" spans="1:79" x14ac:dyDescent="0.25">
      <c r="A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121"/>
      <c r="BO51" s="121"/>
      <c r="BP51" s="121"/>
      <c r="BQ51" s="121"/>
      <c r="BR51" s="121"/>
      <c r="BS51" s="43"/>
      <c r="BT51" s="43"/>
      <c r="BU51" s="121"/>
      <c r="BV51" s="121"/>
      <c r="BW51" s="121"/>
      <c r="BX51" s="121"/>
      <c r="BY51" s="121"/>
      <c r="BZ51" s="43"/>
      <c r="CA51" s="43"/>
    </row>
    <row r="52" spans="1:79" x14ac:dyDescent="0.25">
      <c r="A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121"/>
      <c r="BO52" s="121"/>
      <c r="BP52" s="121"/>
      <c r="BQ52" s="121"/>
      <c r="BR52" s="121"/>
      <c r="BS52" s="43"/>
      <c r="BT52" s="43"/>
      <c r="BU52" s="121"/>
      <c r="BV52" s="121"/>
      <c r="BW52" s="121"/>
      <c r="BX52" s="121"/>
      <c r="BY52" s="121"/>
      <c r="BZ52" s="43"/>
      <c r="CA52" s="43"/>
    </row>
    <row r="53" spans="1:79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121"/>
      <c r="BO53" s="121"/>
      <c r="BP53" s="121"/>
      <c r="BQ53" s="121"/>
      <c r="BR53" s="121"/>
      <c r="BS53" s="43"/>
      <c r="BT53" s="43"/>
      <c r="BU53" s="121"/>
      <c r="BV53" s="121"/>
      <c r="BW53" s="121"/>
      <c r="BX53" s="121"/>
      <c r="BY53" s="121"/>
      <c r="BZ53" s="43"/>
      <c r="CA53" s="43"/>
    </row>
    <row r="54" spans="1:79" x14ac:dyDescent="0.25">
      <c r="A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121"/>
      <c r="BO54" s="121"/>
      <c r="BP54" s="121"/>
      <c r="BQ54" s="121"/>
      <c r="BR54" s="121"/>
      <c r="BS54" s="43"/>
      <c r="BT54" s="43"/>
      <c r="BU54" s="121"/>
      <c r="BV54" s="121"/>
      <c r="BW54" s="121"/>
      <c r="BX54" s="121"/>
      <c r="BY54" s="121"/>
      <c r="BZ54" s="43"/>
      <c r="CA54" s="43"/>
    </row>
    <row r="55" spans="1:79" x14ac:dyDescent="0.25">
      <c r="A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121"/>
      <c r="BO55" s="121"/>
      <c r="BP55" s="121"/>
      <c r="BQ55" s="121"/>
      <c r="BR55" s="121"/>
      <c r="BS55" s="43"/>
      <c r="BT55" s="43"/>
      <c r="BU55" s="121"/>
      <c r="BV55" s="121"/>
      <c r="BW55" s="121"/>
      <c r="BX55" s="121"/>
      <c r="BY55" s="121"/>
      <c r="BZ55" s="43"/>
      <c r="CA55" s="43"/>
    </row>
    <row r="56" spans="1:79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21"/>
      <c r="BO56" s="121"/>
      <c r="BP56" s="121"/>
      <c r="BQ56" s="121"/>
      <c r="BR56" s="121"/>
      <c r="BS56" s="43"/>
      <c r="BT56" s="43"/>
      <c r="BU56" s="121"/>
      <c r="BV56" s="121"/>
      <c r="BW56" s="121"/>
      <c r="BX56" s="121"/>
      <c r="BY56" s="121"/>
      <c r="BZ56" s="43"/>
      <c r="CA56" s="43"/>
    </row>
    <row r="57" spans="1:79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21"/>
      <c r="BO57" s="121"/>
      <c r="BP57" s="121"/>
      <c r="BQ57" s="121"/>
      <c r="BR57" s="121"/>
      <c r="BS57" s="43"/>
      <c r="BT57" s="43"/>
      <c r="BU57" s="121"/>
      <c r="BV57" s="121"/>
      <c r="BW57" s="121"/>
      <c r="BX57" s="121"/>
      <c r="BY57" s="121"/>
      <c r="BZ57" s="43"/>
      <c r="CA57" s="43"/>
    </row>
    <row r="58" spans="1:79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21"/>
      <c r="BO58" s="121"/>
      <c r="BP58" s="121"/>
      <c r="BQ58" s="121"/>
      <c r="BR58" s="121"/>
      <c r="BS58" s="43"/>
      <c r="BT58" s="43"/>
      <c r="BU58" s="121"/>
      <c r="BV58" s="121"/>
      <c r="BW58" s="121"/>
      <c r="BX58" s="121"/>
      <c r="BY58" s="121"/>
      <c r="BZ58" s="43"/>
      <c r="CA58" s="43"/>
    </row>
    <row r="59" spans="1:79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21"/>
      <c r="BO59" s="121"/>
      <c r="BP59" s="121"/>
      <c r="BQ59" s="121"/>
      <c r="BR59" s="121"/>
      <c r="BS59" s="43"/>
      <c r="BT59" s="43"/>
      <c r="BU59" s="121"/>
      <c r="BV59" s="121"/>
      <c r="BW59" s="121"/>
      <c r="BX59" s="121"/>
      <c r="BY59" s="121"/>
      <c r="BZ59" s="43"/>
      <c r="CA59" s="43"/>
    </row>
    <row r="60" spans="1:79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21"/>
      <c r="BO60" s="121"/>
      <c r="BP60" s="121"/>
      <c r="BQ60" s="121"/>
      <c r="BR60" s="121"/>
      <c r="BS60" s="43"/>
      <c r="BT60" s="43"/>
      <c r="BU60" s="121"/>
      <c r="BV60" s="121"/>
      <c r="BW60" s="121"/>
      <c r="BX60" s="121"/>
      <c r="BY60" s="121"/>
      <c r="BZ60" s="43"/>
      <c r="CA60" s="43"/>
    </row>
    <row r="61" spans="1:79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21"/>
      <c r="BO61" s="121"/>
      <c r="BP61" s="121"/>
      <c r="BQ61" s="121"/>
      <c r="BR61" s="121"/>
      <c r="BS61" s="43"/>
      <c r="BT61" s="43"/>
      <c r="BU61" s="121"/>
      <c r="BV61" s="121"/>
      <c r="BW61" s="121"/>
      <c r="BX61" s="121"/>
      <c r="BY61" s="121"/>
      <c r="BZ61" s="43"/>
      <c r="CA61" s="43"/>
    </row>
    <row r="62" spans="1:79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21"/>
      <c r="BO62" s="121"/>
      <c r="BP62" s="121"/>
      <c r="BQ62" s="121"/>
      <c r="BR62" s="121"/>
      <c r="BS62" s="43"/>
      <c r="BT62" s="43"/>
      <c r="BU62" s="121"/>
      <c r="BV62" s="121"/>
      <c r="BW62" s="121"/>
      <c r="BX62" s="121"/>
      <c r="BY62" s="121"/>
      <c r="BZ62" s="43"/>
      <c r="CA62" s="43"/>
    </row>
    <row r="63" spans="1:79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21"/>
      <c r="BO63" s="121"/>
      <c r="BP63" s="121"/>
      <c r="BQ63" s="121"/>
      <c r="BR63" s="121"/>
      <c r="BS63" s="43"/>
      <c r="BT63" s="43"/>
      <c r="BU63" s="121"/>
      <c r="BV63" s="121"/>
      <c r="BW63" s="121"/>
      <c r="BX63" s="121"/>
      <c r="BY63" s="121"/>
      <c r="BZ63" s="43"/>
      <c r="CA63" s="43"/>
    </row>
    <row r="64" spans="1:79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21"/>
      <c r="BO64" s="121"/>
      <c r="BP64" s="121"/>
      <c r="BQ64" s="121"/>
      <c r="BR64" s="121"/>
      <c r="BS64" s="43"/>
      <c r="BT64" s="43"/>
      <c r="BU64" s="121"/>
      <c r="BV64" s="121"/>
      <c r="BW64" s="121"/>
      <c r="BX64" s="121"/>
      <c r="BY64" s="121"/>
      <c r="BZ64" s="43"/>
      <c r="CA64" s="43"/>
    </row>
    <row r="65" spans="1:79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21"/>
      <c r="BO65" s="121"/>
      <c r="BP65" s="121"/>
      <c r="BQ65" s="121"/>
      <c r="BR65" s="121"/>
      <c r="BS65" s="43"/>
      <c r="BT65" s="43"/>
      <c r="BU65" s="121"/>
      <c r="BV65" s="121"/>
      <c r="BW65" s="121"/>
      <c r="BX65" s="121"/>
      <c r="BY65" s="121"/>
      <c r="BZ65" s="43"/>
      <c r="CA65" s="43"/>
    </row>
    <row r="66" spans="1:79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21"/>
      <c r="BO66" s="121"/>
      <c r="BP66" s="121"/>
      <c r="BQ66" s="121"/>
      <c r="BR66" s="121"/>
      <c r="BS66" s="43"/>
      <c r="BT66" s="43"/>
      <c r="BU66" s="121"/>
      <c r="BV66" s="121"/>
      <c r="BW66" s="121"/>
      <c r="BX66" s="121"/>
      <c r="BY66" s="121"/>
      <c r="BZ66" s="43"/>
      <c r="CA66" s="43"/>
    </row>
    <row r="67" spans="1:79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21"/>
      <c r="BO67" s="121"/>
      <c r="BP67" s="121"/>
      <c r="BQ67" s="121"/>
      <c r="BR67" s="121"/>
      <c r="BS67" s="43"/>
      <c r="BT67" s="43"/>
      <c r="BU67" s="121"/>
      <c r="BV67" s="121"/>
      <c r="BW67" s="121"/>
      <c r="BX67" s="121"/>
      <c r="BY67" s="121"/>
      <c r="BZ67" s="43"/>
      <c r="CA67" s="43"/>
    </row>
    <row r="68" spans="1:79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21"/>
      <c r="BO68" s="121"/>
      <c r="BP68" s="121"/>
      <c r="BQ68" s="121"/>
      <c r="BR68" s="121"/>
      <c r="BS68" s="43"/>
      <c r="BT68" s="43"/>
      <c r="BU68" s="121"/>
      <c r="BV68" s="121"/>
      <c r="BW68" s="121"/>
      <c r="BX68" s="121"/>
      <c r="BY68" s="121"/>
      <c r="BZ68" s="43"/>
      <c r="CA68" s="43"/>
    </row>
    <row r="69" spans="1:79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21"/>
      <c r="BO69" s="121"/>
      <c r="BP69" s="121"/>
      <c r="BQ69" s="121"/>
      <c r="BR69" s="121"/>
      <c r="BS69" s="43"/>
      <c r="BT69" s="43"/>
      <c r="BU69" s="121"/>
      <c r="BV69" s="121"/>
      <c r="BW69" s="121"/>
      <c r="BX69" s="121"/>
      <c r="BY69" s="121"/>
      <c r="BZ69" s="43"/>
      <c r="CA69" s="43"/>
    </row>
    <row r="70" spans="1:79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21"/>
      <c r="BO70" s="121"/>
      <c r="BP70" s="121"/>
      <c r="BQ70" s="121"/>
      <c r="BR70" s="121"/>
      <c r="BS70" s="43"/>
      <c r="BT70" s="43"/>
      <c r="BU70" s="121"/>
      <c r="BV70" s="121"/>
      <c r="BW70" s="121"/>
      <c r="BX70" s="121"/>
      <c r="BY70" s="121"/>
      <c r="BZ70" s="43"/>
      <c r="CA70" s="43"/>
    </row>
    <row r="71" spans="1:79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21"/>
      <c r="BO71" s="121"/>
      <c r="BP71" s="121"/>
      <c r="BQ71" s="121"/>
      <c r="BR71" s="121"/>
      <c r="BS71" s="43"/>
      <c r="BT71" s="43"/>
      <c r="BU71" s="121"/>
      <c r="BV71" s="121"/>
      <c r="BW71" s="121"/>
      <c r="BX71" s="121"/>
      <c r="BY71" s="121"/>
      <c r="BZ71" s="43"/>
      <c r="CA71" s="43"/>
    </row>
    <row r="72" spans="1:79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21"/>
      <c r="BO72" s="121"/>
      <c r="BP72" s="121"/>
      <c r="BQ72" s="121"/>
      <c r="BR72" s="121"/>
      <c r="BS72" s="43"/>
      <c r="BT72" s="43"/>
      <c r="BU72" s="121"/>
      <c r="BV72" s="121"/>
      <c r="BW72" s="121"/>
      <c r="BX72" s="121"/>
      <c r="BY72" s="121"/>
      <c r="BZ72" s="43"/>
      <c r="CA72" s="43"/>
    </row>
    <row r="73" spans="1:79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21"/>
      <c r="BO73" s="121"/>
      <c r="BP73" s="121"/>
      <c r="BQ73" s="121"/>
      <c r="BR73" s="121"/>
      <c r="BS73" s="43"/>
      <c r="BT73" s="43"/>
      <c r="BU73" s="121"/>
      <c r="BV73" s="121"/>
      <c r="BW73" s="121"/>
      <c r="BX73" s="121"/>
      <c r="BY73" s="121"/>
      <c r="BZ73" s="43"/>
      <c r="CA73" s="43"/>
    </row>
    <row r="74" spans="1:79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21"/>
      <c r="BO74" s="121"/>
      <c r="BP74" s="121"/>
      <c r="BQ74" s="121"/>
      <c r="BR74" s="121"/>
      <c r="BS74" s="43"/>
      <c r="BT74" s="43"/>
      <c r="BU74" s="121"/>
      <c r="BV74" s="121"/>
      <c r="BW74" s="121"/>
      <c r="BX74" s="121"/>
      <c r="BY74" s="121"/>
      <c r="BZ74" s="43"/>
      <c r="CA74" s="43"/>
    </row>
    <row r="75" spans="1:79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21"/>
      <c r="BO75" s="121"/>
      <c r="BP75" s="121"/>
      <c r="BQ75" s="121"/>
      <c r="BR75" s="121"/>
      <c r="BS75" s="43"/>
      <c r="BT75" s="43"/>
      <c r="BU75" s="121"/>
      <c r="BV75" s="121"/>
      <c r="BW75" s="121"/>
      <c r="BX75" s="121"/>
      <c r="BY75" s="121"/>
      <c r="BZ75" s="43"/>
      <c r="CA75" s="43"/>
    </row>
    <row r="76" spans="1:79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21"/>
      <c r="BO76" s="121"/>
      <c r="BP76" s="121"/>
      <c r="BQ76" s="121"/>
      <c r="BR76" s="121"/>
      <c r="BS76" s="43"/>
      <c r="BT76" s="43"/>
      <c r="BU76" s="121"/>
      <c r="BV76" s="121"/>
      <c r="BW76" s="121"/>
      <c r="BX76" s="121"/>
      <c r="BY76" s="121"/>
      <c r="BZ76" s="43"/>
      <c r="CA76" s="43"/>
    </row>
    <row r="77" spans="1:79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21"/>
      <c r="BO77" s="121"/>
      <c r="BP77" s="121"/>
      <c r="BQ77" s="121"/>
      <c r="BR77" s="121"/>
      <c r="BS77" s="43"/>
      <c r="BT77" s="43"/>
      <c r="BU77" s="121"/>
      <c r="BV77" s="121"/>
      <c r="BW77" s="121"/>
      <c r="BX77" s="121"/>
      <c r="BY77" s="121"/>
      <c r="BZ77" s="43"/>
      <c r="CA77" s="43"/>
    </row>
    <row r="78" spans="1:79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21"/>
      <c r="BO78" s="121"/>
      <c r="BP78" s="121"/>
      <c r="BQ78" s="121"/>
      <c r="BR78" s="121"/>
      <c r="BS78" s="43"/>
      <c r="BT78" s="43"/>
      <c r="BU78" s="121"/>
      <c r="BV78" s="121"/>
      <c r="BW78" s="121"/>
      <c r="BX78" s="121"/>
      <c r="BY78" s="121"/>
      <c r="BZ78" s="43"/>
      <c r="CA78" s="43"/>
    </row>
    <row r="79" spans="1:79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21"/>
      <c r="BO79" s="121"/>
      <c r="BP79" s="121"/>
      <c r="BQ79" s="121"/>
      <c r="BR79" s="121"/>
      <c r="BS79" s="43"/>
      <c r="BT79" s="43"/>
      <c r="BU79" s="121"/>
      <c r="BV79" s="121"/>
      <c r="BW79" s="121"/>
      <c r="BX79" s="121"/>
      <c r="BY79" s="121"/>
      <c r="BZ79" s="43"/>
      <c r="CA79" s="43"/>
    </row>
  </sheetData>
  <conditionalFormatting sqref="E108:H1048576 H24:H27 H30:H31 G8:H8 G15:G18 E44:H44 E2:H7 E9:H9 E12:E14 E32:H33 H10:H22 E15:F31 E34:G42 E43:F43">
    <cfRule type="cellIs" dxfId="38" priority="77" operator="equal">
      <formula>"לא"</formula>
    </cfRule>
  </conditionalFormatting>
  <conditionalFormatting sqref="D108:D1048576 D12:D19 D2:D9 D22:D32 D37:D44">
    <cfRule type="cellIs" dxfId="37" priority="76" operator="equal">
      <formula>"כן"</formula>
    </cfRule>
  </conditionalFormatting>
  <conditionalFormatting sqref="Q45:W65">
    <cfRule type="cellIs" dxfId="36" priority="70" operator="notEqual">
      <formula>0</formula>
    </cfRule>
  </conditionalFormatting>
  <conditionalFormatting sqref="E11:F11 E10">
    <cfRule type="cellIs" dxfId="35" priority="62" operator="equal">
      <formula>"לא"</formula>
    </cfRule>
  </conditionalFormatting>
  <conditionalFormatting sqref="D10:D11">
    <cfRule type="cellIs" dxfId="34" priority="61" operator="equal">
      <formula>"כן"</formula>
    </cfRule>
  </conditionalFormatting>
  <conditionalFormatting sqref="H23 H29">
    <cfRule type="cellIs" dxfId="33" priority="58" operator="equal">
      <formula>"לא"</formula>
    </cfRule>
  </conditionalFormatting>
  <conditionalFormatting sqref="H28">
    <cfRule type="cellIs" dxfId="32" priority="56" operator="equal">
      <formula>"לא"</formula>
    </cfRule>
  </conditionalFormatting>
  <conditionalFormatting sqref="G19 G28 G23:G24">
    <cfRule type="cellIs" dxfId="31" priority="45" operator="equal">
      <formula>"לא"</formula>
    </cfRule>
  </conditionalFormatting>
  <conditionalFormatting sqref="D35:D36">
    <cfRule type="cellIs" dxfId="30" priority="39" operator="equal">
      <formula>"כן"</formula>
    </cfRule>
  </conditionalFormatting>
  <conditionalFormatting sqref="E8">
    <cfRule type="cellIs" dxfId="29" priority="43" operator="equal">
      <formula>"לא"</formula>
    </cfRule>
  </conditionalFormatting>
  <conditionalFormatting sqref="D20">
    <cfRule type="cellIs" dxfId="28" priority="42" operator="equal">
      <formula>"כן"</formula>
    </cfRule>
  </conditionalFormatting>
  <conditionalFormatting sqref="D21">
    <cfRule type="cellIs" dxfId="27" priority="41" operator="equal">
      <formula>"כן"</formula>
    </cfRule>
  </conditionalFormatting>
  <conditionalFormatting sqref="D33:D34">
    <cfRule type="cellIs" dxfId="26" priority="40" operator="equal">
      <formula>"כן"</formula>
    </cfRule>
  </conditionalFormatting>
  <conditionalFormatting sqref="G10">
    <cfRule type="cellIs" dxfId="25" priority="30" operator="equal">
      <formula>"לא"</formula>
    </cfRule>
  </conditionalFormatting>
  <conditionalFormatting sqref="G11">
    <cfRule type="cellIs" dxfId="24" priority="29" operator="equal">
      <formula>"לא"</formula>
    </cfRule>
  </conditionalFormatting>
  <conditionalFormatting sqref="G12">
    <cfRule type="cellIs" dxfId="23" priority="28" operator="equal">
      <formula>"לא"</formula>
    </cfRule>
  </conditionalFormatting>
  <conditionalFormatting sqref="G13">
    <cfRule type="cellIs" dxfId="22" priority="27" operator="equal">
      <formula>"לא"</formula>
    </cfRule>
  </conditionalFormatting>
  <conditionalFormatting sqref="G14">
    <cfRule type="cellIs" dxfId="21" priority="26" operator="equal">
      <formula>"לא"</formula>
    </cfRule>
  </conditionalFormatting>
  <conditionalFormatting sqref="G20">
    <cfRule type="cellIs" dxfId="20" priority="24" operator="equal">
      <formula>"לא"</formula>
    </cfRule>
  </conditionalFormatting>
  <conditionalFormatting sqref="G21">
    <cfRule type="cellIs" dxfId="19" priority="23" operator="equal">
      <formula>"לא"</formula>
    </cfRule>
  </conditionalFormatting>
  <conditionalFormatting sqref="G22">
    <cfRule type="cellIs" dxfId="18" priority="22" operator="equal">
      <formula>"לא"</formula>
    </cfRule>
  </conditionalFormatting>
  <conditionalFormatting sqref="G25:G27">
    <cfRule type="cellIs" dxfId="17" priority="21" operator="equal">
      <formula>"לא"</formula>
    </cfRule>
  </conditionalFormatting>
  <conditionalFormatting sqref="G29">
    <cfRule type="cellIs" dxfId="16" priority="20" operator="equal">
      <formula>"לא"</formula>
    </cfRule>
  </conditionalFormatting>
  <conditionalFormatting sqref="G30">
    <cfRule type="cellIs" dxfId="15" priority="19" operator="equal">
      <formula>"לא"</formula>
    </cfRule>
  </conditionalFormatting>
  <conditionalFormatting sqref="G31">
    <cfRule type="cellIs" dxfId="14" priority="18" operator="equal">
      <formula>"לא"</formula>
    </cfRule>
  </conditionalFormatting>
  <conditionalFormatting sqref="H34">
    <cfRule type="cellIs" dxfId="13" priority="17" operator="equal">
      <formula>"לא"</formula>
    </cfRule>
  </conditionalFormatting>
  <conditionalFormatting sqref="H35:H36">
    <cfRule type="cellIs" dxfId="12" priority="16" operator="equal">
      <formula>"לא"</formula>
    </cfRule>
  </conditionalFormatting>
  <conditionalFormatting sqref="H37">
    <cfRule type="cellIs" dxfId="11" priority="15" operator="equal">
      <formula>"לא"</formula>
    </cfRule>
  </conditionalFormatting>
  <conditionalFormatting sqref="H38">
    <cfRule type="cellIs" dxfId="10" priority="14" operator="equal">
      <formula>"לא"</formula>
    </cfRule>
  </conditionalFormatting>
  <conditionalFormatting sqref="F8">
    <cfRule type="cellIs" dxfId="9" priority="10" operator="equal">
      <formula>"לא"</formula>
    </cfRule>
  </conditionalFormatting>
  <conditionalFormatting sqref="F10">
    <cfRule type="cellIs" dxfId="8" priority="9" operator="equal">
      <formula>"לא"</formula>
    </cfRule>
  </conditionalFormatting>
  <conditionalFormatting sqref="F12">
    <cfRule type="cellIs" dxfId="7" priority="8" operator="equal">
      <formula>"לא"</formula>
    </cfRule>
  </conditionalFormatting>
  <conditionalFormatting sqref="F13">
    <cfRule type="cellIs" dxfId="6" priority="7" operator="equal">
      <formula>"לא"</formula>
    </cfRule>
  </conditionalFormatting>
  <conditionalFormatting sqref="F14">
    <cfRule type="cellIs" dxfId="5" priority="6" operator="equal">
      <formula>"לא"</formula>
    </cfRule>
  </conditionalFormatting>
  <conditionalFormatting sqref="H39">
    <cfRule type="cellIs" dxfId="4" priority="5" operator="equal">
      <formula>"לא"</formula>
    </cfRule>
  </conditionalFormatting>
  <conditionalFormatting sqref="H40">
    <cfRule type="cellIs" dxfId="3" priority="4" operator="equal">
      <formula>"לא"</formula>
    </cfRule>
  </conditionalFormatting>
  <conditionalFormatting sqref="H41">
    <cfRule type="cellIs" dxfId="2" priority="3" operator="equal">
      <formula>"לא"</formula>
    </cfRule>
  </conditionalFormatting>
  <conditionalFormatting sqref="H42:H43">
    <cfRule type="cellIs" dxfId="1" priority="2" operator="equal">
      <formula>"לא"</formula>
    </cfRule>
  </conditionalFormatting>
  <conditionalFormatting sqref="G4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45" zoomScaleNormal="145" workbookViewId="0">
      <selection activeCell="D24" sqref="D24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9">
        <v>1</v>
      </c>
      <c r="C1" s="139">
        <f>B1+1</f>
        <v>2</v>
      </c>
      <c r="D1" s="139">
        <f t="shared" ref="D1:G1" si="0">C1+1</f>
        <v>3</v>
      </c>
      <c r="E1" s="139">
        <f t="shared" si="0"/>
        <v>4</v>
      </c>
      <c r="F1" s="139">
        <f t="shared" si="0"/>
        <v>5</v>
      </c>
      <c r="G1" s="139">
        <f t="shared" si="0"/>
        <v>6</v>
      </c>
      <c r="H1" s="140">
        <f>G1+1</f>
        <v>7</v>
      </c>
    </row>
    <row r="2" spans="1:11" x14ac:dyDescent="0.25">
      <c r="A2" s="8" t="s">
        <v>30</v>
      </c>
      <c r="B2" s="148">
        <v>3</v>
      </c>
      <c r="C2" s="60">
        <v>3</v>
      </c>
      <c r="D2" s="148">
        <v>3</v>
      </c>
      <c r="E2" s="60">
        <v>3</v>
      </c>
      <c r="F2" s="161" t="s">
        <v>198</v>
      </c>
      <c r="G2" s="161"/>
      <c r="H2" s="162"/>
    </row>
    <row r="3" spans="1:11" x14ac:dyDescent="0.25">
      <c r="A3" s="8" t="s">
        <v>27</v>
      </c>
      <c r="B3" s="149" t="s">
        <v>91</v>
      </c>
      <c r="C3" s="149" t="s">
        <v>142</v>
      </c>
      <c r="D3" s="151" t="s">
        <v>90</v>
      </c>
      <c r="E3" s="60" t="s">
        <v>101</v>
      </c>
      <c r="F3" s="163" t="s">
        <v>79</v>
      </c>
      <c r="G3" s="163"/>
      <c r="H3" s="164"/>
    </row>
    <row r="4" spans="1:11" x14ac:dyDescent="0.25">
      <c r="A4" s="8" t="s">
        <v>28</v>
      </c>
      <c r="B4" s="148" t="s">
        <v>82</v>
      </c>
      <c r="C4" s="60" t="s">
        <v>165</v>
      </c>
      <c r="D4" s="148" t="s">
        <v>182</v>
      </c>
      <c r="E4" s="148" t="s">
        <v>105</v>
      </c>
      <c r="F4" s="161" t="s">
        <v>180</v>
      </c>
      <c r="G4" s="161"/>
      <c r="H4" s="162"/>
    </row>
    <row r="5" spans="1:11" x14ac:dyDescent="0.25">
      <c r="A5" s="8" t="s">
        <v>29</v>
      </c>
      <c r="B5" s="60" t="s">
        <v>104</v>
      </c>
      <c r="C5" s="148" t="s">
        <v>181</v>
      </c>
      <c r="D5" s="60" t="s">
        <v>104</v>
      </c>
      <c r="E5" s="151" t="s">
        <v>96</v>
      </c>
      <c r="F5" s="161" t="s">
        <v>116</v>
      </c>
      <c r="G5" s="161"/>
      <c r="H5" s="162"/>
    </row>
    <row r="6" spans="1:11" ht="15.75" thickBot="1" x14ac:dyDescent="0.3">
      <c r="A6" s="8" t="s">
        <v>124</v>
      </c>
      <c r="B6" s="99" t="s">
        <v>201</v>
      </c>
      <c r="C6" s="150" t="s">
        <v>141</v>
      </c>
      <c r="D6" s="150" t="s">
        <v>162</v>
      </c>
      <c r="E6" s="99" t="s">
        <v>85</v>
      </c>
      <c r="F6" s="165" t="s">
        <v>80</v>
      </c>
      <c r="G6" s="165"/>
      <c r="H6" s="166"/>
    </row>
    <row r="7" spans="1:11" x14ac:dyDescent="0.25">
      <c r="A7" s="5"/>
      <c r="B7" s="139">
        <f>B1+7</f>
        <v>8</v>
      </c>
      <c r="C7" s="139">
        <f>B7+1</f>
        <v>9</v>
      </c>
      <c r="D7" s="139">
        <f t="shared" ref="D7:H7" si="1">C7+1</f>
        <v>10</v>
      </c>
      <c r="E7" s="139">
        <f t="shared" si="1"/>
        <v>11</v>
      </c>
      <c r="F7" s="139">
        <f t="shared" si="1"/>
        <v>12</v>
      </c>
      <c r="G7" s="139">
        <f t="shared" si="1"/>
        <v>13</v>
      </c>
      <c r="H7" s="140">
        <f t="shared" si="1"/>
        <v>14</v>
      </c>
    </row>
    <row r="8" spans="1:11" x14ac:dyDescent="0.25">
      <c r="A8" s="8" t="s">
        <v>30</v>
      </c>
      <c r="B8" s="148">
        <v>3</v>
      </c>
      <c r="C8" s="60">
        <v>3</v>
      </c>
      <c r="D8" s="148">
        <v>3</v>
      </c>
      <c r="E8" s="60">
        <v>3</v>
      </c>
      <c r="F8" s="161">
        <v>3</v>
      </c>
      <c r="G8" s="161"/>
      <c r="H8" s="162"/>
    </row>
    <row r="9" spans="1:11" x14ac:dyDescent="0.25">
      <c r="A9" s="8" t="s">
        <v>27</v>
      </c>
      <c r="B9" s="151"/>
      <c r="C9" s="148"/>
      <c r="D9" s="60"/>
      <c r="E9" s="60"/>
      <c r="F9" s="161" t="s">
        <v>105</v>
      </c>
      <c r="G9" s="161"/>
      <c r="H9" s="162"/>
    </row>
    <row r="10" spans="1:11" x14ac:dyDescent="0.25">
      <c r="A10" s="8" t="s">
        <v>28</v>
      </c>
      <c r="B10" s="148"/>
      <c r="C10" s="148"/>
      <c r="D10" s="149" t="s">
        <v>93</v>
      </c>
      <c r="E10" s="148"/>
      <c r="F10" s="161" t="s">
        <v>101</v>
      </c>
      <c r="G10" s="161"/>
      <c r="H10" s="162"/>
    </row>
    <row r="11" spans="1:11" x14ac:dyDescent="0.25">
      <c r="A11" s="8" t="s">
        <v>29</v>
      </c>
      <c r="B11" s="148"/>
      <c r="C11" s="149"/>
      <c r="D11" s="148"/>
      <c r="E11" s="148"/>
      <c r="F11" s="163" t="s">
        <v>90</v>
      </c>
      <c r="G11" s="163"/>
      <c r="H11" s="164"/>
    </row>
    <row r="12" spans="1:11" ht="15.75" thickBot="1" x14ac:dyDescent="0.3">
      <c r="A12" s="8" t="s">
        <v>124</v>
      </c>
      <c r="B12" s="148"/>
      <c r="C12" s="148"/>
      <c r="D12" s="82"/>
      <c r="E12" s="149"/>
      <c r="F12" s="161"/>
      <c r="G12" s="161"/>
      <c r="H12" s="162"/>
    </row>
    <row r="13" spans="1:11" x14ac:dyDescent="0.25">
      <c r="A13" s="5"/>
      <c r="B13" s="139">
        <f>B7+7</f>
        <v>15</v>
      </c>
      <c r="C13" s="139">
        <f>B13+1</f>
        <v>16</v>
      </c>
      <c r="D13" s="139">
        <f t="shared" ref="D13:H13" si="2">C13+1</f>
        <v>17</v>
      </c>
      <c r="E13" s="139">
        <f t="shared" si="2"/>
        <v>18</v>
      </c>
      <c r="F13" s="139">
        <f t="shared" si="2"/>
        <v>19</v>
      </c>
      <c r="G13" s="139">
        <f>F13+1</f>
        <v>20</v>
      </c>
      <c r="H13" s="140">
        <f t="shared" si="2"/>
        <v>21</v>
      </c>
    </row>
    <row r="14" spans="1:11" x14ac:dyDescent="0.25">
      <c r="A14" s="8" t="s">
        <v>30</v>
      </c>
      <c r="B14" s="148">
        <v>3</v>
      </c>
      <c r="C14" s="60">
        <v>3</v>
      </c>
      <c r="D14" s="148">
        <v>3</v>
      </c>
      <c r="E14" s="167">
        <v>2</v>
      </c>
      <c r="F14" s="168"/>
      <c r="G14" s="168"/>
      <c r="H14" s="169"/>
    </row>
    <row r="15" spans="1:11" x14ac:dyDescent="0.25">
      <c r="A15" s="8" t="s">
        <v>27</v>
      </c>
      <c r="B15" s="151"/>
      <c r="C15" s="148"/>
      <c r="D15" s="148"/>
      <c r="E15" s="167" t="s">
        <v>182</v>
      </c>
      <c r="F15" s="168"/>
      <c r="G15" s="168"/>
      <c r="H15" s="169"/>
      <c r="I15" s="97" t="s">
        <v>181</v>
      </c>
    </row>
    <row r="16" spans="1:11" x14ac:dyDescent="0.25">
      <c r="A16" s="8" t="s">
        <v>28</v>
      </c>
      <c r="B16" s="60"/>
      <c r="C16" s="60"/>
      <c r="D16" s="60"/>
      <c r="E16" s="170" t="s">
        <v>82</v>
      </c>
      <c r="F16" s="171"/>
      <c r="G16" s="171"/>
      <c r="H16" s="172"/>
      <c r="I16" s="81" t="s">
        <v>226</v>
      </c>
      <c r="K16" s="97"/>
    </row>
    <row r="17" spans="1:9" x14ac:dyDescent="0.25">
      <c r="A17" s="8" t="s">
        <v>29</v>
      </c>
      <c r="B17" s="148"/>
      <c r="C17" s="151"/>
      <c r="D17" s="151"/>
      <c r="E17" s="170" t="s">
        <v>99</v>
      </c>
      <c r="F17" s="171"/>
      <c r="G17" s="171"/>
      <c r="H17" s="172"/>
      <c r="I17" s="81" t="s">
        <v>112</v>
      </c>
    </row>
    <row r="18" spans="1:9" ht="15.75" thickBot="1" x14ac:dyDescent="0.3">
      <c r="A18" s="8" t="s">
        <v>124</v>
      </c>
      <c r="B18" s="148"/>
      <c r="C18" s="148"/>
      <c r="D18" s="148"/>
      <c r="E18" s="167" t="s">
        <v>200</v>
      </c>
      <c r="F18" s="168"/>
      <c r="G18" s="168"/>
      <c r="H18" s="169"/>
      <c r="I18" s="97" t="s">
        <v>105</v>
      </c>
    </row>
    <row r="19" spans="1:9" x14ac:dyDescent="0.25">
      <c r="A19" s="5"/>
      <c r="B19" s="139">
        <f>B13+7</f>
        <v>22</v>
      </c>
      <c r="C19" s="139">
        <f>B19+1</f>
        <v>23</v>
      </c>
      <c r="D19" s="139">
        <f t="shared" ref="D19:E19" si="3">C19+1</f>
        <v>24</v>
      </c>
      <c r="E19" s="139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48">
        <v>3</v>
      </c>
      <c r="C20" s="60">
        <v>3</v>
      </c>
      <c r="D20" s="148">
        <v>3</v>
      </c>
      <c r="E20" s="60">
        <v>3</v>
      </c>
      <c r="F20" s="161">
        <v>3</v>
      </c>
      <c r="G20" s="173"/>
      <c r="H20" s="174"/>
    </row>
    <row r="21" spans="1:9" x14ac:dyDescent="0.25">
      <c r="A21" s="8" t="s">
        <v>27</v>
      </c>
      <c r="B21" s="148"/>
      <c r="C21" s="148"/>
      <c r="D21" s="151"/>
      <c r="E21" s="151"/>
      <c r="F21" s="163" t="s">
        <v>127</v>
      </c>
      <c r="G21" s="163"/>
      <c r="H21" s="164"/>
    </row>
    <row r="22" spans="1:9" x14ac:dyDescent="0.25">
      <c r="A22" s="8" t="s">
        <v>28</v>
      </c>
      <c r="B22" s="60"/>
      <c r="C22" s="60"/>
      <c r="D22" s="148"/>
      <c r="E22" s="148"/>
      <c r="F22" s="167"/>
      <c r="G22" s="168"/>
      <c r="H22" s="169"/>
    </row>
    <row r="23" spans="1:9" x14ac:dyDescent="0.25">
      <c r="A23" s="8" t="s">
        <v>29</v>
      </c>
      <c r="B23" s="151"/>
      <c r="C23" s="149"/>
      <c r="D23" s="148"/>
      <c r="E23" s="60"/>
      <c r="F23" s="167" t="s">
        <v>185</v>
      </c>
      <c r="G23" s="168"/>
      <c r="H23" s="169"/>
    </row>
    <row r="24" spans="1:9" ht="15.75" thickBot="1" x14ac:dyDescent="0.3">
      <c r="A24" s="8" t="s">
        <v>124</v>
      </c>
      <c r="B24" s="107"/>
      <c r="C24" s="82"/>
      <c r="D24" s="82"/>
      <c r="E24" s="107"/>
      <c r="F24" s="161" t="s">
        <v>218</v>
      </c>
      <c r="G24" s="161"/>
      <c r="H24" s="162"/>
    </row>
    <row r="25" spans="1:9" x14ac:dyDescent="0.25">
      <c r="A25" s="5"/>
      <c r="B25" s="139">
        <v>29</v>
      </c>
      <c r="C25" s="139">
        <f>B25+1</f>
        <v>30</v>
      </c>
      <c r="D25" s="139">
        <v>1</v>
      </c>
      <c r="E25" s="139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48">
        <v>3</v>
      </c>
      <c r="C26" s="60">
        <v>3</v>
      </c>
      <c r="D26" s="148">
        <v>3</v>
      </c>
      <c r="E26" s="60">
        <v>3</v>
      </c>
      <c r="F26" s="161">
        <v>3</v>
      </c>
      <c r="G26" s="173"/>
      <c r="H26" s="174"/>
    </row>
    <row r="27" spans="1:9" x14ac:dyDescent="0.25">
      <c r="A27" s="8" t="s">
        <v>27</v>
      </c>
      <c r="B27" s="149"/>
      <c r="C27" s="149"/>
      <c r="D27" s="151"/>
      <c r="E27" s="60"/>
      <c r="F27" s="163"/>
      <c r="G27" s="163"/>
      <c r="H27" s="164"/>
    </row>
    <row r="28" spans="1:9" x14ac:dyDescent="0.25">
      <c r="A28" s="8" t="s">
        <v>28</v>
      </c>
      <c r="B28" s="148"/>
      <c r="C28" s="60"/>
      <c r="D28" s="148"/>
      <c r="E28" s="148"/>
      <c r="F28" s="161"/>
      <c r="G28" s="161"/>
      <c r="H28" s="162"/>
    </row>
    <row r="29" spans="1:9" x14ac:dyDescent="0.25">
      <c r="A29" s="8" t="s">
        <v>29</v>
      </c>
      <c r="B29" s="60"/>
      <c r="C29" s="148"/>
      <c r="D29" s="60"/>
      <c r="E29" s="151"/>
      <c r="F29" s="161"/>
      <c r="G29" s="161"/>
      <c r="H29" s="162"/>
    </row>
    <row r="30" spans="1:9" ht="15.75" thickBot="1" x14ac:dyDescent="0.3">
      <c r="A30" s="15" t="s">
        <v>124</v>
      </c>
      <c r="B30" s="99"/>
      <c r="C30" s="150"/>
      <c r="D30" s="150"/>
      <c r="E30" s="99"/>
      <c r="F30" s="165"/>
      <c r="G30" s="165"/>
      <c r="H30" s="166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1" zoomScaleNormal="100" workbookViewId="0">
      <selection activeCell="I39" sqref="I39:I4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08"/>
      <c r="C2" s="108"/>
      <c r="D2" s="108"/>
      <c r="E2" s="10"/>
      <c r="F2" s="173">
        <v>3</v>
      </c>
      <c r="G2" s="173"/>
      <c r="H2" s="174"/>
    </row>
    <row r="3" spans="1:8" x14ac:dyDescent="0.25">
      <c r="A3" s="8" t="s">
        <v>27</v>
      </c>
      <c r="B3" s="110"/>
      <c r="C3" s="110"/>
      <c r="D3" s="12"/>
      <c r="E3" s="12"/>
      <c r="F3" s="163" t="s">
        <v>79</v>
      </c>
      <c r="G3" s="163"/>
      <c r="H3" s="164"/>
    </row>
    <row r="4" spans="1:8" x14ac:dyDescent="0.25">
      <c r="A4" s="8" t="s">
        <v>28</v>
      </c>
      <c r="B4" s="110"/>
      <c r="C4" s="10"/>
      <c r="D4" s="10"/>
      <c r="E4" s="108"/>
      <c r="F4" s="161" t="s">
        <v>184</v>
      </c>
      <c r="G4" s="161"/>
      <c r="H4" s="162"/>
    </row>
    <row r="5" spans="1:8" x14ac:dyDescent="0.25">
      <c r="A5" s="8" t="s">
        <v>29</v>
      </c>
      <c r="B5" s="10"/>
      <c r="C5" s="110"/>
      <c r="D5" s="108"/>
      <c r="E5" s="10"/>
      <c r="F5" s="161" t="s">
        <v>82</v>
      </c>
      <c r="G5" s="161"/>
      <c r="H5" s="162"/>
    </row>
    <row r="6" spans="1:8" ht="15.75" thickBot="1" x14ac:dyDescent="0.3">
      <c r="A6" s="15" t="s">
        <v>124</v>
      </c>
      <c r="B6" s="109"/>
      <c r="C6" s="109"/>
      <c r="D6" s="109"/>
      <c r="E6" s="14"/>
      <c r="F6" s="165" t="s">
        <v>182</v>
      </c>
      <c r="G6" s="175"/>
      <c r="H6" s="176"/>
    </row>
    <row r="7" spans="1:8" x14ac:dyDescent="0.25">
      <c r="A7" s="5"/>
      <c r="B7" s="139">
        <v>4</v>
      </c>
      <c r="C7" s="139">
        <f>B7+1</f>
        <v>5</v>
      </c>
      <c r="D7" s="139">
        <f t="shared" ref="D7:G7" si="1">C7+1</f>
        <v>6</v>
      </c>
      <c r="E7" s="139">
        <f t="shared" si="1"/>
        <v>7</v>
      </c>
      <c r="F7" s="139">
        <f t="shared" si="1"/>
        <v>8</v>
      </c>
      <c r="G7" s="139">
        <f t="shared" si="1"/>
        <v>9</v>
      </c>
      <c r="H7" s="140">
        <f>G7+1</f>
        <v>10</v>
      </c>
    </row>
    <row r="8" spans="1:8" x14ac:dyDescent="0.25">
      <c r="A8" s="8" t="s">
        <v>30</v>
      </c>
      <c r="B8" s="120">
        <v>3</v>
      </c>
      <c r="C8" s="60">
        <v>3</v>
      </c>
      <c r="D8" s="120">
        <v>3</v>
      </c>
      <c r="E8" s="60">
        <v>3</v>
      </c>
      <c r="F8" s="161">
        <v>3</v>
      </c>
      <c r="G8" s="161"/>
      <c r="H8" s="162"/>
    </row>
    <row r="9" spans="1:8" x14ac:dyDescent="0.25">
      <c r="A9" s="8" t="s">
        <v>27</v>
      </c>
      <c r="B9" s="141" t="s">
        <v>181</v>
      </c>
      <c r="C9" s="141" t="s">
        <v>109</v>
      </c>
      <c r="D9" s="143" t="s">
        <v>91</v>
      </c>
      <c r="E9" s="143" t="s">
        <v>103</v>
      </c>
      <c r="F9" s="161" t="s">
        <v>128</v>
      </c>
      <c r="G9" s="161"/>
      <c r="H9" s="162"/>
    </row>
    <row r="10" spans="1:8" x14ac:dyDescent="0.25">
      <c r="A10" s="8" t="s">
        <v>28</v>
      </c>
      <c r="B10" s="60" t="s">
        <v>137</v>
      </c>
      <c r="C10" s="143" t="s">
        <v>90</v>
      </c>
      <c r="D10" s="60" t="s">
        <v>101</v>
      </c>
      <c r="E10" s="144" t="s">
        <v>82</v>
      </c>
      <c r="F10" s="163" t="s">
        <v>142</v>
      </c>
      <c r="G10" s="163"/>
      <c r="H10" s="164"/>
    </row>
    <row r="11" spans="1:8" x14ac:dyDescent="0.25">
      <c r="A11" s="8" t="s">
        <v>29</v>
      </c>
      <c r="B11" s="143" t="s">
        <v>96</v>
      </c>
      <c r="C11" s="120" t="s">
        <v>183</v>
      </c>
      <c r="D11" s="120" t="s">
        <v>105</v>
      </c>
      <c r="E11" s="60" t="s">
        <v>164</v>
      </c>
      <c r="F11" s="161" t="s">
        <v>111</v>
      </c>
      <c r="G11" s="161"/>
      <c r="H11" s="162"/>
    </row>
    <row r="12" spans="1:8" ht="15.75" thickBot="1" x14ac:dyDescent="0.3">
      <c r="A12" s="8" t="s">
        <v>124</v>
      </c>
      <c r="B12" s="120" t="s">
        <v>163</v>
      </c>
      <c r="C12" s="120" t="s">
        <v>94</v>
      </c>
      <c r="D12" s="82" t="s">
        <v>126</v>
      </c>
      <c r="E12" s="60" t="s">
        <v>162</v>
      </c>
      <c r="F12" s="161" t="s">
        <v>200</v>
      </c>
      <c r="G12" s="161"/>
      <c r="H12" s="162"/>
    </row>
    <row r="13" spans="1:8" x14ac:dyDescent="0.25">
      <c r="A13" s="5"/>
      <c r="B13" s="139">
        <f>B7+7</f>
        <v>11</v>
      </c>
      <c r="C13" s="139">
        <f>B13+1</f>
        <v>12</v>
      </c>
      <c r="D13" s="139">
        <f t="shared" ref="D13:H13" si="2">C13+1</f>
        <v>13</v>
      </c>
      <c r="E13" s="139">
        <f t="shared" si="2"/>
        <v>14</v>
      </c>
      <c r="F13" s="139">
        <f t="shared" si="2"/>
        <v>15</v>
      </c>
      <c r="G13" s="139">
        <f t="shared" si="2"/>
        <v>16</v>
      </c>
      <c r="H13" s="140">
        <f t="shared" si="2"/>
        <v>17</v>
      </c>
    </row>
    <row r="14" spans="1:8" x14ac:dyDescent="0.25">
      <c r="A14" s="8" t="s">
        <v>30</v>
      </c>
      <c r="B14" s="120">
        <v>3</v>
      </c>
      <c r="C14" s="60">
        <v>3</v>
      </c>
      <c r="D14" s="120">
        <v>3</v>
      </c>
      <c r="E14" s="60">
        <v>3</v>
      </c>
      <c r="F14" s="161">
        <v>3</v>
      </c>
      <c r="G14" s="161"/>
      <c r="H14" s="162"/>
    </row>
    <row r="15" spans="1:8" x14ac:dyDescent="0.25">
      <c r="A15" s="8" t="s">
        <v>27</v>
      </c>
      <c r="B15" s="143" t="s">
        <v>127</v>
      </c>
      <c r="C15" s="120" t="s">
        <v>165</v>
      </c>
      <c r="D15" s="60" t="s">
        <v>163</v>
      </c>
      <c r="E15" s="60" t="s">
        <v>164</v>
      </c>
      <c r="F15" s="161" t="s">
        <v>109</v>
      </c>
      <c r="G15" s="161"/>
      <c r="H15" s="162"/>
    </row>
    <row r="16" spans="1:8" x14ac:dyDescent="0.25">
      <c r="A16" s="8" t="s">
        <v>28</v>
      </c>
      <c r="B16" s="120" t="s">
        <v>182</v>
      </c>
      <c r="C16" s="141" t="s">
        <v>181</v>
      </c>
      <c r="D16" s="145" t="s">
        <v>137</v>
      </c>
      <c r="E16" s="120" t="s">
        <v>184</v>
      </c>
      <c r="F16" s="163" t="s">
        <v>94</v>
      </c>
      <c r="G16" s="163"/>
      <c r="H16" s="164"/>
    </row>
    <row r="17" spans="1:9" x14ac:dyDescent="0.25">
      <c r="A17" s="8" t="s">
        <v>29</v>
      </c>
      <c r="B17" s="144" t="s">
        <v>80</v>
      </c>
      <c r="C17" s="142" t="s">
        <v>90</v>
      </c>
      <c r="D17" s="120" t="s">
        <v>187</v>
      </c>
      <c r="E17" s="120" t="s">
        <v>82</v>
      </c>
      <c r="F17" s="161" t="s">
        <v>112</v>
      </c>
      <c r="G17" s="161"/>
      <c r="H17" s="162"/>
    </row>
    <row r="18" spans="1:9" ht="15.75" thickBot="1" x14ac:dyDescent="0.3">
      <c r="A18" s="8" t="s">
        <v>124</v>
      </c>
      <c r="B18" s="120" t="s">
        <v>201</v>
      </c>
      <c r="C18" s="120" t="s">
        <v>162</v>
      </c>
      <c r="D18" s="82" t="s">
        <v>186</v>
      </c>
      <c r="E18" s="142" t="s">
        <v>79</v>
      </c>
      <c r="F18" s="161" t="s">
        <v>141</v>
      </c>
      <c r="G18" s="161"/>
      <c r="H18" s="162"/>
    </row>
    <row r="19" spans="1:9" x14ac:dyDescent="0.25">
      <c r="A19" s="5"/>
      <c r="B19" s="139">
        <f>B13+7</f>
        <v>18</v>
      </c>
      <c r="C19" s="139">
        <f>B19+1</f>
        <v>19</v>
      </c>
      <c r="D19" s="139">
        <f t="shared" ref="D19:H19" si="3">C19+1</f>
        <v>20</v>
      </c>
      <c r="E19" s="139">
        <f t="shared" si="3"/>
        <v>21</v>
      </c>
      <c r="F19" s="139">
        <f t="shared" si="3"/>
        <v>22</v>
      </c>
      <c r="G19" s="139">
        <f>F19+1</f>
        <v>23</v>
      </c>
      <c r="H19" s="140">
        <f t="shared" si="3"/>
        <v>24</v>
      </c>
    </row>
    <row r="20" spans="1:9" x14ac:dyDescent="0.25">
      <c r="A20" s="8" t="s">
        <v>30</v>
      </c>
      <c r="B20" s="120">
        <v>3</v>
      </c>
      <c r="C20" s="60">
        <v>3</v>
      </c>
      <c r="D20" s="120">
        <v>3</v>
      </c>
      <c r="E20" s="60">
        <v>3</v>
      </c>
      <c r="F20" s="161">
        <v>3</v>
      </c>
      <c r="G20" s="161"/>
      <c r="H20" s="162"/>
    </row>
    <row r="21" spans="1:9" x14ac:dyDescent="0.25">
      <c r="A21" s="8" t="s">
        <v>27</v>
      </c>
      <c r="B21" s="143" t="s">
        <v>90</v>
      </c>
      <c r="C21" s="141" t="s">
        <v>165</v>
      </c>
      <c r="D21" s="141" t="s">
        <v>182</v>
      </c>
      <c r="E21" s="60" t="s">
        <v>105</v>
      </c>
      <c r="F21" s="161" t="s">
        <v>187</v>
      </c>
      <c r="G21" s="161"/>
      <c r="H21" s="162"/>
    </row>
    <row r="22" spans="1:9" x14ac:dyDescent="0.25">
      <c r="A22" s="8" t="s">
        <v>28</v>
      </c>
      <c r="B22" s="60" t="s">
        <v>181</v>
      </c>
      <c r="C22" s="60" t="s">
        <v>186</v>
      </c>
      <c r="D22" s="60" t="s">
        <v>164</v>
      </c>
      <c r="E22" s="141" t="s">
        <v>112</v>
      </c>
      <c r="F22" s="163" t="s">
        <v>127</v>
      </c>
      <c r="G22" s="163"/>
      <c r="H22" s="164"/>
    </row>
    <row r="23" spans="1:9" x14ac:dyDescent="0.25">
      <c r="A23" s="8" t="s">
        <v>29</v>
      </c>
      <c r="B23" s="141" t="s">
        <v>126</v>
      </c>
      <c r="C23" s="143" t="s">
        <v>82</v>
      </c>
      <c r="D23" s="143" t="s">
        <v>96</v>
      </c>
      <c r="E23" s="143" t="s">
        <v>77</v>
      </c>
      <c r="F23" s="161" t="s">
        <v>104</v>
      </c>
      <c r="G23" s="161"/>
      <c r="H23" s="162"/>
    </row>
    <row r="24" spans="1:9" ht="15.75" thickBot="1" x14ac:dyDescent="0.3">
      <c r="A24" s="8" t="s">
        <v>124</v>
      </c>
      <c r="B24" s="120" t="s">
        <v>137</v>
      </c>
      <c r="C24" s="120" t="s">
        <v>200</v>
      </c>
      <c r="D24" s="120" t="s">
        <v>163</v>
      </c>
      <c r="E24" s="60" t="s">
        <v>101</v>
      </c>
      <c r="F24" s="161" t="s">
        <v>201</v>
      </c>
      <c r="G24" s="161"/>
      <c r="H24" s="162"/>
    </row>
    <row r="25" spans="1:9" x14ac:dyDescent="0.25">
      <c r="A25" s="5"/>
      <c r="B25" s="139">
        <f>B19+7</f>
        <v>25</v>
      </c>
      <c r="C25" s="139">
        <f>B25+1</f>
        <v>26</v>
      </c>
      <c r="D25" s="139">
        <f t="shared" ref="D25:E25" si="4">C25+1</f>
        <v>27</v>
      </c>
      <c r="E25" s="139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20">
        <v>3</v>
      </c>
      <c r="C26" s="60">
        <v>3</v>
      </c>
      <c r="D26" s="120">
        <v>3</v>
      </c>
      <c r="E26" s="60">
        <v>3</v>
      </c>
      <c r="F26" s="161" t="s">
        <v>197</v>
      </c>
      <c r="G26" s="173"/>
      <c r="H26" s="174"/>
    </row>
    <row r="27" spans="1:9" x14ac:dyDescent="0.25">
      <c r="A27" s="8" t="s">
        <v>27</v>
      </c>
      <c r="B27" s="141" t="s">
        <v>182</v>
      </c>
      <c r="C27" s="141" t="s">
        <v>165</v>
      </c>
      <c r="D27" s="143" t="s">
        <v>126</v>
      </c>
      <c r="E27" s="143" t="s">
        <v>164</v>
      </c>
      <c r="F27" s="161" t="s">
        <v>99</v>
      </c>
      <c r="G27" s="161"/>
      <c r="H27" s="162"/>
      <c r="I27" s="97" t="s">
        <v>163</v>
      </c>
    </row>
    <row r="28" spans="1:9" x14ac:dyDescent="0.25">
      <c r="A28" s="8" t="s">
        <v>28</v>
      </c>
      <c r="B28" s="60" t="s">
        <v>77</v>
      </c>
      <c r="C28" s="60" t="s">
        <v>111</v>
      </c>
      <c r="D28" s="141" t="s">
        <v>101</v>
      </c>
      <c r="E28" s="144" t="s">
        <v>112</v>
      </c>
      <c r="F28" s="170" t="s">
        <v>184</v>
      </c>
      <c r="G28" s="171"/>
      <c r="H28" s="172"/>
      <c r="I28" s="81" t="s">
        <v>142</v>
      </c>
    </row>
    <row r="29" spans="1:9" x14ac:dyDescent="0.25">
      <c r="A29" s="8" t="s">
        <v>29</v>
      </c>
      <c r="B29" s="143" t="s">
        <v>163</v>
      </c>
      <c r="C29" s="142" t="s">
        <v>80</v>
      </c>
      <c r="D29" s="120" t="s">
        <v>180</v>
      </c>
      <c r="E29" s="60" t="s">
        <v>77</v>
      </c>
      <c r="F29" s="161" t="s">
        <v>186</v>
      </c>
      <c r="G29" s="161"/>
      <c r="H29" s="162"/>
      <c r="I29" s="97" t="s">
        <v>94</v>
      </c>
    </row>
    <row r="30" spans="1:9" ht="15.75" thickBot="1" x14ac:dyDescent="0.3">
      <c r="A30" s="8" t="s">
        <v>124</v>
      </c>
      <c r="B30" s="107" t="s">
        <v>184</v>
      </c>
      <c r="C30" s="82" t="s">
        <v>200</v>
      </c>
      <c r="D30" s="82" t="s">
        <v>162</v>
      </c>
      <c r="E30" s="107" t="s">
        <v>94</v>
      </c>
      <c r="F30" s="161" t="s">
        <v>183</v>
      </c>
      <c r="G30" s="161"/>
      <c r="H30" s="162"/>
      <c r="I30" s="97" t="s">
        <v>201</v>
      </c>
    </row>
    <row r="31" spans="1:9" x14ac:dyDescent="0.25">
      <c r="A31" s="5"/>
      <c r="B31" s="139">
        <v>1</v>
      </c>
      <c r="C31" s="139">
        <f>B31+1</f>
        <v>2</v>
      </c>
      <c r="D31" s="139">
        <f t="shared" ref="D31" si="6">C31+1</f>
        <v>3</v>
      </c>
      <c r="E31" s="139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20">
        <v>3</v>
      </c>
      <c r="C32" s="60">
        <v>3</v>
      </c>
      <c r="D32" s="120">
        <v>3</v>
      </c>
      <c r="E32" s="60">
        <v>3</v>
      </c>
      <c r="F32" s="161" t="s">
        <v>198</v>
      </c>
      <c r="G32" s="173"/>
      <c r="H32" s="174"/>
    </row>
    <row r="33" spans="1:9" x14ac:dyDescent="0.25">
      <c r="A33" s="8" t="s">
        <v>27</v>
      </c>
      <c r="B33" s="142" t="s">
        <v>91</v>
      </c>
      <c r="C33" s="142" t="s">
        <v>142</v>
      </c>
      <c r="D33" s="143" t="s">
        <v>90</v>
      </c>
      <c r="E33" s="60" t="s">
        <v>101</v>
      </c>
      <c r="F33" s="163" t="s">
        <v>79</v>
      </c>
      <c r="G33" s="163"/>
      <c r="H33" s="164"/>
      <c r="I33" s="81" t="s">
        <v>165</v>
      </c>
    </row>
    <row r="34" spans="1:9" x14ac:dyDescent="0.25">
      <c r="A34" s="8" t="s">
        <v>28</v>
      </c>
      <c r="B34" s="141" t="s">
        <v>82</v>
      </c>
      <c r="C34" s="60" t="s">
        <v>165</v>
      </c>
      <c r="D34" s="141" t="s">
        <v>182</v>
      </c>
      <c r="E34" s="120" t="s">
        <v>105</v>
      </c>
      <c r="F34" s="161" t="s">
        <v>180</v>
      </c>
      <c r="G34" s="161"/>
      <c r="H34" s="162"/>
      <c r="I34" s="97" t="s">
        <v>164</v>
      </c>
    </row>
    <row r="35" spans="1:9" x14ac:dyDescent="0.25">
      <c r="A35" s="8" t="s">
        <v>29</v>
      </c>
      <c r="B35" s="60" t="s">
        <v>104</v>
      </c>
      <c r="C35" s="141" t="s">
        <v>181</v>
      </c>
      <c r="D35" s="60" t="s">
        <v>104</v>
      </c>
      <c r="E35" s="143" t="s">
        <v>96</v>
      </c>
      <c r="F35" s="161" t="s">
        <v>116</v>
      </c>
      <c r="G35" s="161"/>
      <c r="H35" s="162"/>
      <c r="I35" s="97" t="s">
        <v>77</v>
      </c>
    </row>
    <row r="36" spans="1:9" ht="15.75" thickBot="1" x14ac:dyDescent="0.3">
      <c r="A36" s="15" t="s">
        <v>124</v>
      </c>
      <c r="B36" s="99" t="s">
        <v>201</v>
      </c>
      <c r="C36" s="146" t="s">
        <v>141</v>
      </c>
      <c r="D36" s="119" t="s">
        <v>162</v>
      </c>
      <c r="E36" s="99" t="s">
        <v>187</v>
      </c>
      <c r="F36" s="165" t="s">
        <v>80</v>
      </c>
      <c r="G36" s="165"/>
      <c r="H36" s="166"/>
      <c r="I36" s="97" t="s">
        <v>109</v>
      </c>
    </row>
    <row r="38" spans="1:9" x14ac:dyDescent="0.25">
      <c r="F38" s="161" t="s">
        <v>199</v>
      </c>
      <c r="G38" s="173"/>
      <c r="H38" s="174"/>
    </row>
    <row r="39" spans="1:9" x14ac:dyDescent="0.25">
      <c r="F39" s="161" t="s">
        <v>182</v>
      </c>
      <c r="G39" s="161"/>
      <c r="H39" s="162"/>
      <c r="I39" s="97" t="s">
        <v>181</v>
      </c>
    </row>
    <row r="40" spans="1:9" x14ac:dyDescent="0.25">
      <c r="F40" s="161" t="s">
        <v>187</v>
      </c>
      <c r="G40" s="161"/>
      <c r="H40" s="162"/>
      <c r="I40" s="97" t="s">
        <v>82</v>
      </c>
    </row>
    <row r="41" spans="1:9" x14ac:dyDescent="0.25">
      <c r="F41" s="163" t="s">
        <v>99</v>
      </c>
      <c r="G41" s="163"/>
      <c r="H41" s="164"/>
      <c r="I41" s="81" t="s">
        <v>112</v>
      </c>
    </row>
    <row r="42" spans="1:9" ht="15.75" thickBot="1" x14ac:dyDescent="0.3">
      <c r="F42" s="165" t="s">
        <v>200</v>
      </c>
      <c r="G42" s="165"/>
      <c r="H42" s="166"/>
      <c r="I42" s="97" t="s">
        <v>105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H8" sqref="H8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8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34</v>
      </c>
      <c r="F3" t="s">
        <v>56</v>
      </c>
      <c r="G3">
        <f>SUM(חיילים!BW:BW)</f>
        <v>0</v>
      </c>
      <c r="H3">
        <f>I3-G3</f>
        <v>47</v>
      </c>
      <c r="I3">
        <v>47</v>
      </c>
    </row>
    <row r="4" spans="2:9" x14ac:dyDescent="0.25">
      <c r="B4" s="1" t="s">
        <v>22</v>
      </c>
      <c r="C4" s="2">
        <f>C3+C2</f>
        <v>42</v>
      </c>
      <c r="F4" t="s">
        <v>57</v>
      </c>
      <c r="G4">
        <f>SUM(חיילים!BX:BX)</f>
        <v>0</v>
      </c>
      <c r="H4">
        <f>I4-G4</f>
        <v>17</v>
      </c>
      <c r="I4">
        <v>17</v>
      </c>
    </row>
    <row r="5" spans="2:9" x14ac:dyDescent="0.25">
      <c r="F5" t="s">
        <v>58</v>
      </c>
      <c r="G5">
        <f>SUM(חיילים!BU:BU)</f>
        <v>10</v>
      </c>
      <c r="H5">
        <f t="shared" ref="H5:H6" si="0">I5-G5</f>
        <v>1</v>
      </c>
      <c r="I5">
        <v>11</v>
      </c>
    </row>
    <row r="6" spans="2:9" x14ac:dyDescent="0.25">
      <c r="F6" t="s">
        <v>59</v>
      </c>
      <c r="G6">
        <f>SUM(חיילים!BV:BV)</f>
        <v>5</v>
      </c>
      <c r="H6">
        <f t="shared" si="0"/>
        <v>0</v>
      </c>
      <c r="I6">
        <v>5</v>
      </c>
    </row>
    <row r="7" spans="2:9" x14ac:dyDescent="0.25">
      <c r="B7" s="1" t="s">
        <v>25</v>
      </c>
      <c r="C7" s="1">
        <f>COUNTIF(חיילים!E:E,"=כן")</f>
        <v>35</v>
      </c>
    </row>
    <row r="8" spans="2:9" x14ac:dyDescent="0.25">
      <c r="B8" s="3" t="s">
        <v>26</v>
      </c>
      <c r="C8" s="3">
        <f>COUNTIF(חיילים!E:E,"=לא")</f>
        <v>8</v>
      </c>
    </row>
    <row r="9" spans="2:9" x14ac:dyDescent="0.25">
      <c r="B9" s="1" t="s">
        <v>22</v>
      </c>
      <c r="C9" s="2">
        <f>C8+C7</f>
        <v>43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1"/>
  <sheetViews>
    <sheetView rightToLeft="1" zoomScale="130" zoomScaleNormal="130" workbookViewId="0"/>
  </sheetViews>
  <sheetFormatPr defaultRowHeight="15" x14ac:dyDescent="0.25"/>
  <cols>
    <col min="1" max="1" width="9.140625" style="57"/>
    <col min="2" max="2" width="9.140625" style="43"/>
    <col min="3" max="6" width="9.140625" style="56"/>
  </cols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3" zoomScale="145" zoomScaleNormal="145" workbookViewId="0">
      <selection activeCell="E28" sqref="E28:E32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3"/>
      <c r="C2" s="63"/>
      <c r="D2" s="63"/>
      <c r="E2" s="10"/>
      <c r="F2" s="173">
        <v>2</v>
      </c>
      <c r="G2" s="173"/>
      <c r="H2" s="174"/>
    </row>
    <row r="3" spans="1:8" x14ac:dyDescent="0.25">
      <c r="A3" s="8" t="s">
        <v>27</v>
      </c>
      <c r="B3" s="64"/>
      <c r="C3" s="64"/>
      <c r="D3" s="12"/>
      <c r="E3" s="12"/>
      <c r="F3" s="161" t="s">
        <v>91</v>
      </c>
      <c r="G3" s="173"/>
      <c r="H3" s="174"/>
    </row>
    <row r="4" spans="1:8" x14ac:dyDescent="0.25">
      <c r="A4" s="8" t="s">
        <v>28</v>
      </c>
      <c r="B4" s="64"/>
      <c r="C4" s="10"/>
      <c r="D4" s="10"/>
      <c r="E4" s="63"/>
      <c r="F4" s="163" t="s">
        <v>142</v>
      </c>
      <c r="G4" s="163"/>
      <c r="H4" s="164"/>
    </row>
    <row r="5" spans="1:8" x14ac:dyDescent="0.25">
      <c r="A5" s="8" t="s">
        <v>29</v>
      </c>
      <c r="B5" s="10"/>
      <c r="C5" s="64"/>
      <c r="D5" s="63"/>
      <c r="E5" s="10"/>
      <c r="F5" s="163" t="s">
        <v>103</v>
      </c>
      <c r="G5" s="177"/>
      <c r="H5" s="178"/>
    </row>
    <row r="6" spans="1:8" ht="15.75" thickBot="1" x14ac:dyDescent="0.3">
      <c r="A6" s="15" t="s">
        <v>124</v>
      </c>
      <c r="B6" s="65"/>
      <c r="C6" s="65"/>
      <c r="D6" s="65"/>
      <c r="E6" s="14"/>
      <c r="F6" s="165" t="s">
        <v>126</v>
      </c>
      <c r="G6" s="175"/>
      <c r="H6" s="176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173">
        <v>3</v>
      </c>
      <c r="G8" s="173"/>
      <c r="H8" s="174"/>
    </row>
    <row r="9" spans="1:8" x14ac:dyDescent="0.25">
      <c r="A9" s="8" t="s">
        <v>27</v>
      </c>
      <c r="B9" s="103" t="s">
        <v>109</v>
      </c>
      <c r="C9" s="101" t="s">
        <v>105</v>
      </c>
      <c r="D9" s="60" t="s">
        <v>104</v>
      </c>
      <c r="E9" s="60" t="s">
        <v>112</v>
      </c>
      <c r="F9" s="161" t="s">
        <v>77</v>
      </c>
      <c r="G9" s="173"/>
      <c r="H9" s="174"/>
    </row>
    <row r="10" spans="1:8" x14ac:dyDescent="0.25">
      <c r="A10" s="8" t="s">
        <v>28</v>
      </c>
      <c r="B10" s="60" t="s">
        <v>111</v>
      </c>
      <c r="C10" s="60" t="s">
        <v>94</v>
      </c>
      <c r="D10" s="103" t="s">
        <v>103</v>
      </c>
      <c r="E10" s="102" t="s">
        <v>185</v>
      </c>
      <c r="F10" s="161" t="s">
        <v>164</v>
      </c>
      <c r="G10" s="173"/>
      <c r="H10" s="174"/>
    </row>
    <row r="11" spans="1:8" x14ac:dyDescent="0.25">
      <c r="A11" s="8" t="s">
        <v>29</v>
      </c>
      <c r="B11" s="101" t="s">
        <v>96</v>
      </c>
      <c r="C11" s="101" t="s">
        <v>80</v>
      </c>
      <c r="D11" s="102" t="s">
        <v>163</v>
      </c>
      <c r="E11" s="101" t="s">
        <v>96</v>
      </c>
      <c r="F11" s="163" t="s">
        <v>127</v>
      </c>
      <c r="G11" s="177"/>
      <c r="H11" s="178"/>
    </row>
    <row r="12" spans="1:8" ht="15.75" thickBot="1" x14ac:dyDescent="0.3">
      <c r="A12" s="8" t="s">
        <v>124</v>
      </c>
      <c r="B12" s="102" t="s">
        <v>141</v>
      </c>
      <c r="C12" s="102" t="s">
        <v>162</v>
      </c>
      <c r="D12" s="82" t="s">
        <v>99</v>
      </c>
      <c r="E12" s="60" t="s">
        <v>109</v>
      </c>
      <c r="F12" s="161" t="s">
        <v>93</v>
      </c>
      <c r="G12" s="173"/>
      <c r="H12" s="174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173">
        <v>2</v>
      </c>
      <c r="G14" s="173"/>
      <c r="H14" s="174"/>
    </row>
    <row r="15" spans="1:8" x14ac:dyDescent="0.25">
      <c r="A15" s="8" t="s">
        <v>27</v>
      </c>
      <c r="B15" s="60" t="s">
        <v>109</v>
      </c>
      <c r="C15" s="102" t="s">
        <v>82</v>
      </c>
      <c r="D15" s="103" t="s">
        <v>79</v>
      </c>
      <c r="E15" s="60" t="s">
        <v>94</v>
      </c>
      <c r="F15" s="163" t="s">
        <v>128</v>
      </c>
      <c r="G15" s="177"/>
      <c r="H15" s="178"/>
    </row>
    <row r="16" spans="1:8" x14ac:dyDescent="0.25">
      <c r="A16" s="8" t="s">
        <v>28</v>
      </c>
      <c r="B16" s="101" t="s">
        <v>142</v>
      </c>
      <c r="C16" s="103" t="s">
        <v>111</v>
      </c>
      <c r="D16" s="60" t="s">
        <v>137</v>
      </c>
      <c r="E16" s="101" t="s">
        <v>142</v>
      </c>
      <c r="F16" s="161" t="s">
        <v>112</v>
      </c>
      <c r="G16" s="173"/>
      <c r="H16" s="174"/>
    </row>
    <row r="17" spans="1:8" x14ac:dyDescent="0.25">
      <c r="A17" s="8" t="s">
        <v>29</v>
      </c>
      <c r="B17" s="103" t="s">
        <v>90</v>
      </c>
      <c r="C17" s="101" t="s">
        <v>96</v>
      </c>
      <c r="D17" s="102" t="s">
        <v>80</v>
      </c>
      <c r="E17" s="102" t="s">
        <v>101</v>
      </c>
      <c r="F17" s="163" t="s">
        <v>99</v>
      </c>
      <c r="G17" s="177"/>
      <c r="H17" s="178"/>
    </row>
    <row r="18" spans="1:8" ht="15.75" thickBot="1" x14ac:dyDescent="0.3">
      <c r="A18" s="8" t="s">
        <v>124</v>
      </c>
      <c r="B18" s="102" t="s">
        <v>126</v>
      </c>
      <c r="C18" s="102" t="s">
        <v>163</v>
      </c>
      <c r="D18" s="82" t="s">
        <v>162</v>
      </c>
      <c r="E18" s="102" t="s">
        <v>105</v>
      </c>
      <c r="F18" s="161" t="s">
        <v>180</v>
      </c>
      <c r="G18" s="173"/>
      <c r="H18" s="174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173">
        <v>3</v>
      </c>
      <c r="G20" s="173"/>
      <c r="H20" s="174"/>
    </row>
    <row r="21" spans="1:8" x14ac:dyDescent="0.25">
      <c r="A21" s="8" t="s">
        <v>27</v>
      </c>
      <c r="B21" s="103" t="s">
        <v>103</v>
      </c>
      <c r="C21" s="103" t="s">
        <v>90</v>
      </c>
      <c r="D21" s="103" t="s">
        <v>94</v>
      </c>
      <c r="E21" s="103" t="s">
        <v>105</v>
      </c>
      <c r="F21" s="161" t="s">
        <v>116</v>
      </c>
      <c r="G21" s="173"/>
      <c r="H21" s="174"/>
    </row>
    <row r="22" spans="1:8" x14ac:dyDescent="0.25">
      <c r="A22" s="8" t="s">
        <v>28</v>
      </c>
      <c r="B22" s="101" t="s">
        <v>77</v>
      </c>
      <c r="C22" s="102" t="s">
        <v>142</v>
      </c>
      <c r="D22" s="60" t="s">
        <v>80</v>
      </c>
      <c r="E22" s="102" t="s">
        <v>77</v>
      </c>
      <c r="F22" s="163" t="s">
        <v>185</v>
      </c>
      <c r="G22" s="163"/>
      <c r="H22" s="164"/>
    </row>
    <row r="23" spans="1:8" x14ac:dyDescent="0.25">
      <c r="A23" s="8" t="s">
        <v>29</v>
      </c>
      <c r="B23" s="60" t="s">
        <v>91</v>
      </c>
      <c r="C23" s="103" t="s">
        <v>127</v>
      </c>
      <c r="D23" s="60" t="s">
        <v>109</v>
      </c>
      <c r="E23" s="103" t="s">
        <v>101</v>
      </c>
      <c r="F23" s="163" t="s">
        <v>91</v>
      </c>
      <c r="G23" s="177"/>
      <c r="H23" s="178"/>
    </row>
    <row r="24" spans="1:8" x14ac:dyDescent="0.25">
      <c r="A24" s="83" t="s">
        <v>73</v>
      </c>
      <c r="B24" s="102" t="s">
        <v>141</v>
      </c>
      <c r="C24" s="102" t="s">
        <v>126</v>
      </c>
      <c r="D24" s="102" t="s">
        <v>186</v>
      </c>
      <c r="E24" s="60" t="s">
        <v>187</v>
      </c>
      <c r="F24" s="161" t="s">
        <v>181</v>
      </c>
      <c r="G24" s="161"/>
      <c r="H24" s="162"/>
    </row>
    <row r="25" spans="1:8" ht="15.75" thickBot="1" x14ac:dyDescent="0.3">
      <c r="A25" s="83" t="s">
        <v>72</v>
      </c>
      <c r="B25" s="104" t="s">
        <v>74</v>
      </c>
      <c r="C25" s="104" t="s">
        <v>74</v>
      </c>
      <c r="D25" s="104" t="s">
        <v>74</v>
      </c>
      <c r="E25" s="104" t="s">
        <v>162</v>
      </c>
      <c r="F25" s="165" t="s">
        <v>183</v>
      </c>
      <c r="G25" s="175"/>
      <c r="H25" s="176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3">
        <v>2</v>
      </c>
      <c r="C27" s="63">
        <v>2</v>
      </c>
      <c r="D27" s="63">
        <v>3</v>
      </c>
      <c r="E27" s="10">
        <v>3</v>
      </c>
      <c r="F27" s="173">
        <v>2</v>
      </c>
      <c r="G27" s="173"/>
      <c r="H27" s="174"/>
    </row>
    <row r="28" spans="1:8" x14ac:dyDescent="0.25">
      <c r="A28" s="8" t="s">
        <v>27</v>
      </c>
      <c r="B28" s="101" t="s">
        <v>164</v>
      </c>
      <c r="C28" s="101" t="s">
        <v>137</v>
      </c>
      <c r="D28" s="102" t="s">
        <v>104</v>
      </c>
      <c r="E28" s="103" t="s">
        <v>116</v>
      </c>
      <c r="F28" s="163" t="s">
        <v>79</v>
      </c>
      <c r="G28" s="163"/>
      <c r="H28" s="164"/>
    </row>
    <row r="29" spans="1:8" x14ac:dyDescent="0.25">
      <c r="A29" s="8" t="s">
        <v>28</v>
      </c>
      <c r="B29" s="102" t="s">
        <v>142</v>
      </c>
      <c r="C29" s="60" t="s">
        <v>91</v>
      </c>
      <c r="D29" s="60" t="s">
        <v>111</v>
      </c>
      <c r="E29" s="101" t="s">
        <v>93</v>
      </c>
      <c r="F29" s="163" t="s">
        <v>90</v>
      </c>
      <c r="G29" s="163"/>
      <c r="H29" s="164"/>
    </row>
    <row r="30" spans="1:8" x14ac:dyDescent="0.25">
      <c r="A30" s="8" t="s">
        <v>29</v>
      </c>
      <c r="B30" s="103" t="s">
        <v>163</v>
      </c>
      <c r="C30" s="103" t="s">
        <v>127</v>
      </c>
      <c r="D30" s="101" t="s">
        <v>109</v>
      </c>
      <c r="E30" s="60" t="s">
        <v>112</v>
      </c>
      <c r="F30" s="163" t="s">
        <v>82</v>
      </c>
      <c r="G30" s="177"/>
      <c r="H30" s="178"/>
    </row>
    <row r="31" spans="1:8" x14ac:dyDescent="0.25">
      <c r="A31" s="106" t="s">
        <v>73</v>
      </c>
      <c r="B31" s="107" t="s">
        <v>186</v>
      </c>
      <c r="C31" s="82" t="s">
        <v>141</v>
      </c>
      <c r="D31" s="82" t="s">
        <v>180</v>
      </c>
      <c r="E31" s="107" t="s">
        <v>187</v>
      </c>
      <c r="F31" s="161" t="s">
        <v>182</v>
      </c>
      <c r="G31" s="161"/>
      <c r="H31" s="162"/>
    </row>
    <row r="32" spans="1:8" ht="15.75" thickBot="1" x14ac:dyDescent="0.3">
      <c r="A32" s="105" t="s">
        <v>72</v>
      </c>
      <c r="B32" s="104" t="s">
        <v>74</v>
      </c>
      <c r="C32" s="104" t="s">
        <v>74</v>
      </c>
      <c r="D32" s="104" t="s">
        <v>74</v>
      </c>
      <c r="E32" s="104" t="s">
        <v>126</v>
      </c>
      <c r="F32" s="165" t="s">
        <v>184</v>
      </c>
      <c r="G32" s="175"/>
      <c r="H32" s="176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3">
        <v>2</v>
      </c>
      <c r="C2" s="63">
        <v>2</v>
      </c>
      <c r="D2" s="63">
        <v>3</v>
      </c>
      <c r="E2" s="10">
        <v>3</v>
      </c>
      <c r="F2" s="173">
        <v>2</v>
      </c>
      <c r="G2" s="173"/>
      <c r="H2" s="174"/>
    </row>
    <row r="3" spans="1:8" x14ac:dyDescent="0.25">
      <c r="A3" s="8" t="s">
        <v>27</v>
      </c>
      <c r="B3" s="64"/>
      <c r="C3" s="64"/>
      <c r="D3" s="12"/>
      <c r="E3" s="12"/>
      <c r="F3" s="163" t="s">
        <v>95</v>
      </c>
      <c r="G3" s="177"/>
      <c r="H3" s="178"/>
    </row>
    <row r="4" spans="1:8" x14ac:dyDescent="0.25">
      <c r="A4" s="8" t="s">
        <v>28</v>
      </c>
      <c r="B4" s="64"/>
      <c r="C4" s="10"/>
      <c r="D4" s="10"/>
      <c r="E4" s="63"/>
      <c r="F4" s="163" t="s">
        <v>127</v>
      </c>
      <c r="G4" s="177"/>
      <c r="H4" s="178"/>
    </row>
    <row r="5" spans="1:8" x14ac:dyDescent="0.25">
      <c r="A5" s="8" t="s">
        <v>29</v>
      </c>
      <c r="B5" s="10"/>
      <c r="C5" s="64"/>
      <c r="D5" s="63"/>
      <c r="E5" s="10"/>
      <c r="F5" s="161" t="s">
        <v>78</v>
      </c>
      <c r="G5" s="173"/>
      <c r="H5" s="174"/>
    </row>
    <row r="6" spans="1:8" ht="15.75" thickBot="1" x14ac:dyDescent="0.3">
      <c r="A6" s="8" t="s">
        <v>124</v>
      </c>
      <c r="B6" s="63"/>
      <c r="C6" s="63"/>
      <c r="D6" s="82" t="s">
        <v>163</v>
      </c>
      <c r="E6" s="10"/>
      <c r="F6" s="161" t="s">
        <v>111</v>
      </c>
      <c r="G6" s="173"/>
      <c r="H6" s="174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173">
        <v>3</v>
      </c>
      <c r="G8" s="173"/>
      <c r="H8" s="174"/>
    </row>
    <row r="9" spans="1:8" x14ac:dyDescent="0.25">
      <c r="A9" s="8" t="s">
        <v>27</v>
      </c>
      <c r="B9" s="94" t="s">
        <v>89</v>
      </c>
      <c r="C9" s="94" t="s">
        <v>142</v>
      </c>
      <c r="D9" s="60" t="s">
        <v>82</v>
      </c>
      <c r="E9" s="95" t="s">
        <v>106</v>
      </c>
      <c r="F9" s="161" t="s">
        <v>105</v>
      </c>
      <c r="G9" s="161"/>
      <c r="H9" s="162"/>
    </row>
    <row r="10" spans="1:8" x14ac:dyDescent="0.25">
      <c r="A10" s="8" t="s">
        <v>28</v>
      </c>
      <c r="B10" s="95" t="s">
        <v>106</v>
      </c>
      <c r="C10" s="94" t="s">
        <v>80</v>
      </c>
      <c r="D10" s="95" t="s">
        <v>104</v>
      </c>
      <c r="E10" s="94" t="s">
        <v>110</v>
      </c>
      <c r="F10" s="163" t="s">
        <v>89</v>
      </c>
      <c r="G10" s="163"/>
      <c r="H10" s="164"/>
    </row>
    <row r="11" spans="1:8" x14ac:dyDescent="0.25">
      <c r="A11" s="8" t="s">
        <v>29</v>
      </c>
      <c r="B11" s="61" t="s">
        <v>110</v>
      </c>
      <c r="C11" s="95" t="s">
        <v>116</v>
      </c>
      <c r="D11" s="96" t="s">
        <v>79</v>
      </c>
      <c r="E11" s="95" t="s">
        <v>116</v>
      </c>
      <c r="F11" s="161" t="s">
        <v>112</v>
      </c>
      <c r="G11" s="161"/>
      <c r="H11" s="162"/>
    </row>
    <row r="12" spans="1:8" ht="15.75" thickBot="1" x14ac:dyDescent="0.3">
      <c r="A12" s="8" t="s">
        <v>124</v>
      </c>
      <c r="B12" s="98" t="s">
        <v>141</v>
      </c>
      <c r="C12" s="89" t="s">
        <v>137</v>
      </c>
      <c r="D12" s="82" t="s">
        <v>164</v>
      </c>
      <c r="E12" s="60" t="s">
        <v>163</v>
      </c>
      <c r="F12" s="161" t="s">
        <v>101</v>
      </c>
      <c r="G12" s="173"/>
      <c r="H12" s="174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173">
        <v>2</v>
      </c>
      <c r="G14" s="173"/>
      <c r="H14" s="174"/>
    </row>
    <row r="15" spans="1:8" x14ac:dyDescent="0.25">
      <c r="A15" s="8" t="s">
        <v>27</v>
      </c>
      <c r="B15" s="94" t="s">
        <v>98</v>
      </c>
      <c r="C15" s="95" t="s">
        <v>91</v>
      </c>
      <c r="D15" s="60" t="s">
        <v>111</v>
      </c>
      <c r="E15" s="94" t="s">
        <v>98</v>
      </c>
      <c r="F15" s="163" t="s">
        <v>79</v>
      </c>
      <c r="G15" s="177"/>
      <c r="H15" s="178"/>
    </row>
    <row r="16" spans="1:8" x14ac:dyDescent="0.25">
      <c r="A16" s="8" t="s">
        <v>28</v>
      </c>
      <c r="B16" s="95" t="s">
        <v>165</v>
      </c>
      <c r="C16" s="96" t="s">
        <v>90</v>
      </c>
      <c r="D16" s="94" t="s">
        <v>89</v>
      </c>
      <c r="E16" s="95" t="s">
        <v>99</v>
      </c>
      <c r="F16" s="161" t="s">
        <v>77</v>
      </c>
      <c r="G16" s="161"/>
      <c r="H16" s="162"/>
    </row>
    <row r="17" spans="1:9" x14ac:dyDescent="0.25">
      <c r="A17" s="8" t="s">
        <v>29</v>
      </c>
      <c r="B17" s="94" t="s">
        <v>104</v>
      </c>
      <c r="C17" s="61" t="s">
        <v>110</v>
      </c>
      <c r="D17" s="95" t="s">
        <v>104</v>
      </c>
      <c r="E17" s="60" t="s">
        <v>113</v>
      </c>
      <c r="F17" s="170" t="s">
        <v>140</v>
      </c>
      <c r="G17" s="171"/>
      <c r="H17" s="172"/>
    </row>
    <row r="18" spans="1:9" ht="15.75" thickBot="1" x14ac:dyDescent="0.3">
      <c r="A18" s="8" t="s">
        <v>124</v>
      </c>
      <c r="B18" s="95" t="s">
        <v>141</v>
      </c>
      <c r="C18" s="95" t="s">
        <v>137</v>
      </c>
      <c r="D18" s="82" t="s">
        <v>164</v>
      </c>
      <c r="E18" s="60" t="s">
        <v>162</v>
      </c>
      <c r="F18" s="161" t="s">
        <v>163</v>
      </c>
      <c r="G18" s="173"/>
      <c r="H18" s="174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173">
        <v>3</v>
      </c>
      <c r="G20" s="173"/>
      <c r="H20" s="174"/>
    </row>
    <row r="21" spans="1:9" x14ac:dyDescent="0.25">
      <c r="A21" s="8" t="s">
        <v>27</v>
      </c>
      <c r="B21" s="96" t="s">
        <v>127</v>
      </c>
      <c r="C21" s="95" t="s">
        <v>165</v>
      </c>
      <c r="D21" s="96" t="s">
        <v>90</v>
      </c>
      <c r="E21" s="60" t="s">
        <v>111</v>
      </c>
      <c r="F21" s="161" t="s">
        <v>94</v>
      </c>
      <c r="G21" s="173"/>
      <c r="H21" s="174"/>
    </row>
    <row r="22" spans="1:9" x14ac:dyDescent="0.25">
      <c r="A22" s="8" t="s">
        <v>28</v>
      </c>
      <c r="B22" s="95" t="s">
        <v>128</v>
      </c>
      <c r="C22" s="96" t="s">
        <v>94</v>
      </c>
      <c r="D22" s="60" t="s">
        <v>113</v>
      </c>
      <c r="E22" s="95" t="s">
        <v>112</v>
      </c>
      <c r="F22" s="163" t="s">
        <v>142</v>
      </c>
      <c r="G22" s="177"/>
      <c r="H22" s="178"/>
    </row>
    <row r="23" spans="1:9" x14ac:dyDescent="0.25">
      <c r="A23" s="8" t="s">
        <v>29</v>
      </c>
      <c r="B23" s="96" t="s">
        <v>98</v>
      </c>
      <c r="C23" s="96" t="s">
        <v>142</v>
      </c>
      <c r="D23" s="95" t="s">
        <v>77</v>
      </c>
      <c r="E23" s="96" t="s">
        <v>127</v>
      </c>
      <c r="F23" s="161" t="s">
        <v>80</v>
      </c>
      <c r="G23" s="161"/>
      <c r="H23" s="162"/>
    </row>
    <row r="24" spans="1:9" ht="15.75" thickBot="1" x14ac:dyDescent="0.3">
      <c r="A24" s="8" t="s">
        <v>124</v>
      </c>
      <c r="B24" s="93" t="s">
        <v>126</v>
      </c>
      <c r="C24" s="95" t="s">
        <v>137</v>
      </c>
      <c r="D24" s="82" t="s">
        <v>164</v>
      </c>
      <c r="E24" s="99" t="s">
        <v>141</v>
      </c>
      <c r="F24" s="165" t="s">
        <v>162</v>
      </c>
      <c r="G24" s="175"/>
      <c r="H24" s="176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3">
        <v>2</v>
      </c>
      <c r="C26" s="63">
        <v>2</v>
      </c>
      <c r="D26" s="63">
        <v>3</v>
      </c>
      <c r="E26" s="10">
        <v>3</v>
      </c>
      <c r="F26" s="173">
        <v>2</v>
      </c>
      <c r="G26" s="173"/>
      <c r="H26" s="174"/>
    </row>
    <row r="27" spans="1:9" x14ac:dyDescent="0.25">
      <c r="A27" s="8" t="s">
        <v>27</v>
      </c>
      <c r="B27" s="94" t="s">
        <v>82</v>
      </c>
      <c r="C27" s="94" t="s">
        <v>137</v>
      </c>
      <c r="D27" s="60" t="s">
        <v>101</v>
      </c>
      <c r="E27" s="95" t="s">
        <v>99</v>
      </c>
      <c r="F27" s="161" t="s">
        <v>91</v>
      </c>
      <c r="G27" s="173"/>
      <c r="H27" s="174"/>
      <c r="I27" s="97"/>
    </row>
    <row r="28" spans="1:9" x14ac:dyDescent="0.25">
      <c r="A28" s="8" t="s">
        <v>28</v>
      </c>
      <c r="B28" s="95" t="s">
        <v>106</v>
      </c>
      <c r="C28" s="95" t="s">
        <v>112</v>
      </c>
      <c r="D28" s="96" t="s">
        <v>79</v>
      </c>
      <c r="E28" s="94" t="s">
        <v>116</v>
      </c>
      <c r="F28" s="163" t="s">
        <v>90</v>
      </c>
      <c r="G28" s="163"/>
      <c r="H28" s="164"/>
    </row>
    <row r="29" spans="1:9" x14ac:dyDescent="0.25">
      <c r="A29" s="8" t="s">
        <v>29</v>
      </c>
      <c r="B29" s="96" t="s">
        <v>96</v>
      </c>
      <c r="C29" s="96" t="s">
        <v>127</v>
      </c>
      <c r="D29" s="95" t="s">
        <v>128</v>
      </c>
      <c r="E29" s="60" t="s">
        <v>82</v>
      </c>
      <c r="F29" s="163" t="s">
        <v>103</v>
      </c>
      <c r="G29" s="177"/>
      <c r="H29" s="178"/>
    </row>
    <row r="30" spans="1:9" ht="15.75" thickBot="1" x14ac:dyDescent="0.3">
      <c r="A30" s="15" t="s">
        <v>124</v>
      </c>
      <c r="B30" s="93" t="s">
        <v>141</v>
      </c>
      <c r="C30" s="65" t="s">
        <v>165</v>
      </c>
      <c r="D30" s="93" t="s">
        <v>163</v>
      </c>
      <c r="E30" s="99" t="s">
        <v>162</v>
      </c>
      <c r="F30" s="165" t="s">
        <v>126</v>
      </c>
      <c r="G30" s="175"/>
      <c r="H30" s="176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73">
        <v>3</v>
      </c>
      <c r="H3" s="173"/>
      <c r="I3" s="174"/>
    </row>
    <row r="4" spans="2:11" x14ac:dyDescent="0.25">
      <c r="B4" s="8" t="s">
        <v>27</v>
      </c>
      <c r="C4" s="11"/>
      <c r="D4" s="11"/>
      <c r="E4" s="12"/>
      <c r="F4" s="60"/>
      <c r="G4" s="161" t="s">
        <v>95</v>
      </c>
      <c r="H4" s="179"/>
      <c r="I4" s="180"/>
    </row>
    <row r="5" spans="2:11" x14ac:dyDescent="0.25">
      <c r="B5" s="8" t="s">
        <v>28</v>
      </c>
      <c r="C5" s="11"/>
      <c r="D5" s="10"/>
      <c r="E5" s="10"/>
      <c r="F5" s="32"/>
      <c r="G5" s="161" t="s">
        <v>100</v>
      </c>
      <c r="H5" s="179"/>
      <c r="I5" s="180"/>
    </row>
    <row r="6" spans="2:11" x14ac:dyDescent="0.25">
      <c r="B6" s="8" t="s">
        <v>29</v>
      </c>
      <c r="C6" s="10"/>
      <c r="D6" s="11"/>
      <c r="E6" s="9"/>
      <c r="F6" s="61"/>
      <c r="G6" s="163" t="s">
        <v>127</v>
      </c>
      <c r="H6" s="181"/>
      <c r="I6" s="182"/>
    </row>
    <row r="7" spans="2:11" ht="15.75" thickBot="1" x14ac:dyDescent="0.3">
      <c r="B7" s="8" t="s">
        <v>124</v>
      </c>
      <c r="C7" s="9"/>
      <c r="D7" s="9"/>
      <c r="E7" s="13"/>
      <c r="F7" s="59"/>
      <c r="G7" s="161" t="s">
        <v>79</v>
      </c>
      <c r="H7" s="179"/>
      <c r="I7" s="180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73">
        <v>2</v>
      </c>
      <c r="H9" s="173"/>
      <c r="I9" s="174"/>
    </row>
    <row r="10" spans="2:11" x14ac:dyDescent="0.25">
      <c r="B10" s="8" t="s">
        <v>27</v>
      </c>
      <c r="C10" s="61" t="s">
        <v>88</v>
      </c>
      <c r="D10" s="71" t="s">
        <v>98</v>
      </c>
      <c r="E10" s="60" t="s">
        <v>82</v>
      </c>
      <c r="F10" s="60" t="s">
        <v>77</v>
      </c>
      <c r="G10" s="163" t="s">
        <v>110</v>
      </c>
      <c r="H10" s="163"/>
      <c r="I10" s="164"/>
      <c r="K10" s="81"/>
    </row>
    <row r="11" spans="2:11" x14ac:dyDescent="0.25">
      <c r="B11" s="8" t="s">
        <v>28</v>
      </c>
      <c r="C11" s="61" t="s">
        <v>90</v>
      </c>
      <c r="D11" s="61" t="s">
        <v>96</v>
      </c>
      <c r="E11" s="61" t="s">
        <v>75</v>
      </c>
      <c r="F11" s="71" t="s">
        <v>99</v>
      </c>
      <c r="G11" s="161" t="s">
        <v>99</v>
      </c>
      <c r="H11" s="161"/>
      <c r="I11" s="162"/>
    </row>
    <row r="12" spans="2:11" x14ac:dyDescent="0.25">
      <c r="B12" s="83" t="s">
        <v>29</v>
      </c>
      <c r="C12" s="60" t="s">
        <v>77</v>
      </c>
      <c r="D12" s="60" t="s">
        <v>76</v>
      </c>
      <c r="E12" s="60" t="s">
        <v>91</v>
      </c>
      <c r="F12" s="60" t="s">
        <v>101</v>
      </c>
      <c r="G12" s="163" t="s">
        <v>78</v>
      </c>
      <c r="H12" s="163"/>
      <c r="I12" s="164"/>
    </row>
    <row r="13" spans="2:11" ht="15.75" thickBot="1" x14ac:dyDescent="0.3">
      <c r="B13" s="8" t="s">
        <v>124</v>
      </c>
      <c r="C13" s="70" t="s">
        <v>109</v>
      </c>
      <c r="D13" s="74" t="s">
        <v>112</v>
      </c>
      <c r="E13" s="60" t="s">
        <v>126</v>
      </c>
      <c r="F13" s="60" t="s">
        <v>109</v>
      </c>
      <c r="G13" s="161" t="s">
        <v>105</v>
      </c>
      <c r="H13" s="173"/>
      <c r="I13" s="174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73">
        <v>3</v>
      </c>
      <c r="H15" s="173"/>
      <c r="I15" s="174"/>
    </row>
    <row r="16" spans="2:11" x14ac:dyDescent="0.25">
      <c r="B16" s="8" t="s">
        <v>27</v>
      </c>
      <c r="C16" s="71" t="s">
        <v>103</v>
      </c>
      <c r="D16" s="61" t="s">
        <v>90</v>
      </c>
      <c r="E16" s="61" t="s">
        <v>79</v>
      </c>
      <c r="F16" s="61" t="s">
        <v>89</v>
      </c>
      <c r="G16" s="161" t="s">
        <v>75</v>
      </c>
      <c r="H16" s="173"/>
      <c r="I16" s="174"/>
    </row>
    <row r="17" spans="2:9" x14ac:dyDescent="0.25">
      <c r="B17" s="8" t="s">
        <v>28</v>
      </c>
      <c r="C17" s="61" t="s">
        <v>89</v>
      </c>
      <c r="D17" s="61" t="s">
        <v>127</v>
      </c>
      <c r="E17" s="60" t="s">
        <v>82</v>
      </c>
      <c r="F17" s="60" t="s">
        <v>142</v>
      </c>
      <c r="G17" s="163" t="s">
        <v>88</v>
      </c>
      <c r="H17" s="163"/>
      <c r="I17" s="164"/>
    </row>
    <row r="18" spans="2:9" x14ac:dyDescent="0.25">
      <c r="B18" s="8" t="s">
        <v>29</v>
      </c>
      <c r="C18" s="60" t="s">
        <v>111</v>
      </c>
      <c r="D18" s="60" t="s">
        <v>101</v>
      </c>
      <c r="E18" s="74" t="s">
        <v>91</v>
      </c>
      <c r="F18" s="60" t="s">
        <v>78</v>
      </c>
      <c r="G18" s="161" t="s">
        <v>106</v>
      </c>
      <c r="H18" s="161"/>
      <c r="I18" s="162"/>
    </row>
    <row r="19" spans="2:9" ht="15.75" thickBot="1" x14ac:dyDescent="0.3">
      <c r="B19" s="8" t="s">
        <v>124</v>
      </c>
      <c r="C19" s="70" t="s">
        <v>80</v>
      </c>
      <c r="D19" s="74" t="s">
        <v>137</v>
      </c>
      <c r="E19" s="82" t="s">
        <v>83</v>
      </c>
      <c r="F19" s="74" t="s">
        <v>80</v>
      </c>
      <c r="G19" s="161" t="s">
        <v>109</v>
      </c>
      <c r="H19" s="173"/>
      <c r="I19" s="174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73">
        <v>2</v>
      </c>
      <c r="H21" s="173"/>
      <c r="I21" s="174"/>
    </row>
    <row r="22" spans="2:9" x14ac:dyDescent="0.25">
      <c r="B22" s="8" t="s">
        <v>27</v>
      </c>
      <c r="C22" s="71" t="s">
        <v>89</v>
      </c>
      <c r="D22" s="71" t="s">
        <v>81</v>
      </c>
      <c r="E22" s="61" t="s">
        <v>79</v>
      </c>
      <c r="F22" s="74" t="s">
        <v>102</v>
      </c>
      <c r="G22" s="163" t="s">
        <v>96</v>
      </c>
      <c r="H22" s="177"/>
      <c r="I22" s="178"/>
    </row>
    <row r="23" spans="2:9" x14ac:dyDescent="0.25">
      <c r="B23" s="8" t="s">
        <v>28</v>
      </c>
      <c r="C23" s="61" t="s">
        <v>90</v>
      </c>
      <c r="D23" s="61" t="s">
        <v>127</v>
      </c>
      <c r="E23" s="60" t="s">
        <v>82</v>
      </c>
      <c r="F23" s="71" t="s">
        <v>109</v>
      </c>
      <c r="G23" s="163" t="s">
        <v>98</v>
      </c>
      <c r="H23" s="163"/>
      <c r="I23" s="164"/>
    </row>
    <row r="24" spans="2:9" x14ac:dyDescent="0.25">
      <c r="B24" s="8" t="s">
        <v>29</v>
      </c>
      <c r="C24" s="60" t="s">
        <v>142</v>
      </c>
      <c r="D24" s="74" t="s">
        <v>100</v>
      </c>
      <c r="E24" s="74" t="s">
        <v>80</v>
      </c>
      <c r="F24" s="60" t="s">
        <v>78</v>
      </c>
      <c r="G24" s="161" t="s">
        <v>111</v>
      </c>
      <c r="H24" s="173"/>
      <c r="I24" s="174"/>
    </row>
    <row r="25" spans="2:9" ht="15.75" thickBot="1" x14ac:dyDescent="0.3">
      <c r="B25" s="8" t="s">
        <v>124</v>
      </c>
      <c r="C25" s="82" t="s">
        <v>83</v>
      </c>
      <c r="D25" s="72" t="s">
        <v>126</v>
      </c>
      <c r="E25" s="82" t="s">
        <v>116</v>
      </c>
      <c r="F25" s="60" t="s">
        <v>142</v>
      </c>
      <c r="G25" s="161" t="s">
        <v>128</v>
      </c>
      <c r="H25" s="161"/>
      <c r="I25" s="162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73">
        <v>3</v>
      </c>
      <c r="H27" s="173"/>
      <c r="I27" s="174"/>
    </row>
    <row r="28" spans="2:9" x14ac:dyDescent="0.25">
      <c r="B28" s="8" t="s">
        <v>27</v>
      </c>
      <c r="C28" s="74" t="s">
        <v>77</v>
      </c>
      <c r="D28" s="75" t="s">
        <v>109</v>
      </c>
      <c r="E28" s="60" t="s">
        <v>116</v>
      </c>
      <c r="F28" s="61" t="s">
        <v>89</v>
      </c>
      <c r="G28" s="161" t="s">
        <v>113</v>
      </c>
      <c r="H28" s="173"/>
      <c r="I28" s="174"/>
    </row>
    <row r="29" spans="2:9" x14ac:dyDescent="0.25">
      <c r="B29" s="8" t="s">
        <v>28</v>
      </c>
      <c r="C29" s="71" t="s">
        <v>110</v>
      </c>
      <c r="D29" s="61" t="s">
        <v>96</v>
      </c>
      <c r="E29" s="61" t="s">
        <v>79</v>
      </c>
      <c r="F29" s="70" t="s">
        <v>76</v>
      </c>
      <c r="G29" s="161" t="s">
        <v>93</v>
      </c>
      <c r="H29" s="161"/>
      <c r="I29" s="162"/>
    </row>
    <row r="30" spans="2:9" x14ac:dyDescent="0.25">
      <c r="B30" s="8" t="s">
        <v>29</v>
      </c>
      <c r="C30" s="61" t="s">
        <v>127</v>
      </c>
      <c r="D30" s="60" t="s">
        <v>142</v>
      </c>
      <c r="E30" s="74" t="s">
        <v>80</v>
      </c>
      <c r="F30" s="60" t="s">
        <v>78</v>
      </c>
      <c r="G30" s="163" t="s">
        <v>103</v>
      </c>
      <c r="H30" s="163"/>
      <c r="I30" s="164"/>
    </row>
    <row r="31" spans="2:9" ht="15.75" thickBot="1" x14ac:dyDescent="0.3">
      <c r="B31" s="8" t="s">
        <v>124</v>
      </c>
      <c r="C31" s="60" t="s">
        <v>94</v>
      </c>
      <c r="D31" s="70" t="s">
        <v>141</v>
      </c>
      <c r="E31" s="72" t="s">
        <v>126</v>
      </c>
      <c r="F31" s="60" t="s">
        <v>109</v>
      </c>
      <c r="G31" s="165" t="s">
        <v>137</v>
      </c>
      <c r="H31" s="175"/>
      <c r="I31" s="176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73">
        <v>2</v>
      </c>
      <c r="H33" s="173"/>
      <c r="I33" s="174"/>
    </row>
    <row r="34" spans="2:9" x14ac:dyDescent="0.25">
      <c r="B34" s="8" t="s">
        <v>27</v>
      </c>
      <c r="C34" s="70" t="s">
        <v>99</v>
      </c>
      <c r="D34" s="71" t="s">
        <v>101</v>
      </c>
      <c r="E34" s="60" t="s">
        <v>102</v>
      </c>
      <c r="F34" s="60" t="s">
        <v>91</v>
      </c>
      <c r="G34" s="163" t="s">
        <v>95</v>
      </c>
      <c r="H34" s="163"/>
      <c r="I34" s="164"/>
    </row>
    <row r="35" spans="2:9" x14ac:dyDescent="0.25">
      <c r="B35" s="8" t="s">
        <v>28</v>
      </c>
      <c r="C35" s="71" t="s">
        <v>98</v>
      </c>
      <c r="D35" s="71" t="s">
        <v>110</v>
      </c>
      <c r="E35" s="61" t="s">
        <v>79</v>
      </c>
      <c r="F35" s="71" t="s">
        <v>140</v>
      </c>
      <c r="G35" s="163" t="s">
        <v>127</v>
      </c>
      <c r="H35" s="163"/>
      <c r="I35" s="164"/>
    </row>
    <row r="36" spans="2:9" x14ac:dyDescent="0.25">
      <c r="B36" s="8" t="s">
        <v>29</v>
      </c>
      <c r="C36" s="61" t="s">
        <v>127</v>
      </c>
      <c r="D36" s="74" t="s">
        <v>100</v>
      </c>
      <c r="E36" s="60" t="s">
        <v>116</v>
      </c>
      <c r="F36" s="60" t="s">
        <v>105</v>
      </c>
      <c r="G36" s="161" t="s">
        <v>78</v>
      </c>
      <c r="H36" s="161"/>
      <c r="I36" s="162"/>
    </row>
    <row r="37" spans="2:9" ht="15.75" thickBot="1" x14ac:dyDescent="0.3">
      <c r="B37" s="15" t="s">
        <v>124</v>
      </c>
      <c r="C37" s="76" t="s">
        <v>83</v>
      </c>
      <c r="D37" s="72" t="s">
        <v>141</v>
      </c>
      <c r="E37" s="72" t="s">
        <v>76</v>
      </c>
      <c r="F37" s="72" t="s">
        <v>126</v>
      </c>
      <c r="G37" s="165" t="s">
        <v>112</v>
      </c>
      <c r="H37" s="175"/>
      <c r="I37" s="176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79">
        <v>3</v>
      </c>
      <c r="G2" s="179"/>
      <c r="H2" s="180"/>
    </row>
    <row r="3" spans="1:8" x14ac:dyDescent="0.25">
      <c r="A3" s="27" t="s">
        <v>27</v>
      </c>
      <c r="B3" s="31"/>
      <c r="C3" s="31"/>
      <c r="D3" s="32"/>
      <c r="E3" s="32" t="s">
        <v>89</v>
      </c>
      <c r="F3" s="179" t="s">
        <v>97</v>
      </c>
      <c r="G3" s="179"/>
      <c r="H3" s="180"/>
    </row>
    <row r="4" spans="1:8" x14ac:dyDescent="0.25">
      <c r="A4" s="27" t="s">
        <v>28</v>
      </c>
      <c r="B4" s="31"/>
      <c r="C4" s="29"/>
      <c r="D4" s="29"/>
      <c r="E4" s="28" t="s">
        <v>112</v>
      </c>
      <c r="F4" s="187" t="s">
        <v>76</v>
      </c>
      <c r="G4" s="188"/>
      <c r="H4" s="189"/>
    </row>
    <row r="5" spans="1:8" x14ac:dyDescent="0.25">
      <c r="A5" s="27" t="s">
        <v>29</v>
      </c>
      <c r="B5" s="29"/>
      <c r="C5" s="31"/>
      <c r="D5" s="28"/>
      <c r="E5" s="29" t="s">
        <v>105</v>
      </c>
      <c r="F5" s="190" t="s">
        <v>108</v>
      </c>
      <c r="G5" s="190"/>
      <c r="H5" s="191"/>
    </row>
    <row r="6" spans="1:8" ht="15.75" thickBot="1" x14ac:dyDescent="0.3">
      <c r="A6" s="27" t="s">
        <v>73</v>
      </c>
      <c r="B6" s="28"/>
      <c r="C6" s="28"/>
      <c r="D6" s="33"/>
      <c r="E6" s="29" t="s">
        <v>116</v>
      </c>
      <c r="F6" s="161" t="s">
        <v>115</v>
      </c>
      <c r="G6" s="179"/>
      <c r="H6" s="180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79">
        <v>2</v>
      </c>
      <c r="G8" s="179"/>
      <c r="H8" s="180"/>
    </row>
    <row r="9" spans="1:8" x14ac:dyDescent="0.25">
      <c r="A9" s="27" t="s">
        <v>27</v>
      </c>
      <c r="B9" s="17" t="s">
        <v>105</v>
      </c>
      <c r="C9" s="18" t="s">
        <v>93</v>
      </c>
      <c r="D9" s="19" t="s">
        <v>111</v>
      </c>
      <c r="E9" s="18" t="s">
        <v>105</v>
      </c>
      <c r="F9" s="181" t="s">
        <v>96</v>
      </c>
      <c r="G9" s="181"/>
      <c r="H9" s="182"/>
    </row>
    <row r="10" spans="1:8" x14ac:dyDescent="0.25">
      <c r="A10" s="27" t="s">
        <v>28</v>
      </c>
      <c r="B10" s="18" t="s">
        <v>89</v>
      </c>
      <c r="C10" s="21" t="s">
        <v>81</v>
      </c>
      <c r="D10" s="31" t="s">
        <v>88</v>
      </c>
      <c r="E10" s="28" t="s">
        <v>91</v>
      </c>
      <c r="F10" s="181" t="s">
        <v>110</v>
      </c>
      <c r="G10" s="181"/>
      <c r="H10" s="182"/>
    </row>
    <row r="11" spans="1:8" x14ac:dyDescent="0.25">
      <c r="A11" s="27" t="s">
        <v>29</v>
      </c>
      <c r="B11" s="22" t="s">
        <v>111</v>
      </c>
      <c r="C11" s="18" t="s">
        <v>100</v>
      </c>
      <c r="D11" s="21" t="s">
        <v>76</v>
      </c>
      <c r="E11" s="30" t="s">
        <v>94</v>
      </c>
      <c r="F11" s="179" t="s">
        <v>92</v>
      </c>
      <c r="G11" s="179"/>
      <c r="H11" s="180"/>
    </row>
    <row r="12" spans="1:8" ht="15.75" thickBot="1" x14ac:dyDescent="0.3">
      <c r="A12" s="27" t="s">
        <v>73</v>
      </c>
      <c r="B12" s="28" t="s">
        <v>109</v>
      </c>
      <c r="C12" s="28" t="s">
        <v>80</v>
      </c>
      <c r="D12" s="33" t="s">
        <v>83</v>
      </c>
      <c r="E12" s="28" t="s">
        <v>115</v>
      </c>
      <c r="F12" s="179" t="s">
        <v>116</v>
      </c>
      <c r="G12" s="179"/>
      <c r="H12" s="180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79">
        <v>3</v>
      </c>
      <c r="G14" s="179"/>
      <c r="H14" s="180"/>
    </row>
    <row r="15" spans="1:8" x14ac:dyDescent="0.25">
      <c r="A15" s="27" t="s">
        <v>27</v>
      </c>
      <c r="B15" s="19" t="s">
        <v>105</v>
      </c>
      <c r="C15" s="31" t="s">
        <v>101</v>
      </c>
      <c r="D15" s="19" t="s">
        <v>91</v>
      </c>
      <c r="E15" s="17" t="s">
        <v>94</v>
      </c>
      <c r="F15" s="179" t="s">
        <v>102</v>
      </c>
      <c r="G15" s="179"/>
      <c r="H15" s="180"/>
    </row>
    <row r="16" spans="1:8" x14ac:dyDescent="0.25">
      <c r="A16" s="27" t="s">
        <v>28</v>
      </c>
      <c r="B16" s="31" t="s">
        <v>94</v>
      </c>
      <c r="C16" s="18" t="s">
        <v>98</v>
      </c>
      <c r="D16" s="29" t="s">
        <v>128</v>
      </c>
      <c r="E16" s="29" t="s">
        <v>128</v>
      </c>
      <c r="F16" s="179" t="s">
        <v>77</v>
      </c>
      <c r="G16" s="179"/>
      <c r="H16" s="180"/>
    </row>
    <row r="17" spans="1:8" x14ac:dyDescent="0.25">
      <c r="A17" s="27" t="s">
        <v>29</v>
      </c>
      <c r="B17" s="18" t="s">
        <v>81</v>
      </c>
      <c r="C17" s="19" t="s">
        <v>93</v>
      </c>
      <c r="D17" s="31" t="s">
        <v>78</v>
      </c>
      <c r="E17" s="18" t="s">
        <v>113</v>
      </c>
      <c r="F17" s="181" t="s">
        <v>90</v>
      </c>
      <c r="G17" s="181"/>
      <c r="H17" s="182"/>
    </row>
    <row r="18" spans="1:8" ht="15.75" thickBot="1" x14ac:dyDescent="0.3">
      <c r="A18" s="27" t="s">
        <v>73</v>
      </c>
      <c r="B18" s="28" t="s">
        <v>115</v>
      </c>
      <c r="C18" s="28" t="s">
        <v>80</v>
      </c>
      <c r="D18" s="28" t="s">
        <v>109</v>
      </c>
      <c r="E18" s="28" t="s">
        <v>83</v>
      </c>
      <c r="F18" s="179" t="s">
        <v>126</v>
      </c>
      <c r="G18" s="179"/>
      <c r="H18" s="180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79">
        <v>2</v>
      </c>
      <c r="G20" s="179"/>
      <c r="H20" s="180"/>
    </row>
    <row r="21" spans="1:8" x14ac:dyDescent="0.25">
      <c r="A21" s="27" t="s">
        <v>27</v>
      </c>
      <c r="B21" s="18" t="s">
        <v>76</v>
      </c>
      <c r="C21" s="31" t="s">
        <v>112</v>
      </c>
      <c r="D21" s="28" t="s">
        <v>92</v>
      </c>
      <c r="E21" s="31" t="s">
        <v>99</v>
      </c>
      <c r="F21" s="181" t="s">
        <v>106</v>
      </c>
      <c r="G21" s="181"/>
      <c r="H21" s="182"/>
    </row>
    <row r="22" spans="1:8" x14ac:dyDescent="0.25">
      <c r="A22" s="27" t="s">
        <v>28</v>
      </c>
      <c r="B22" s="18" t="s">
        <v>110</v>
      </c>
      <c r="C22" s="61" t="s">
        <v>103</v>
      </c>
      <c r="D22" s="18" t="s">
        <v>100</v>
      </c>
      <c r="E22" s="19" t="s">
        <v>101</v>
      </c>
      <c r="F22" s="163" t="s">
        <v>89</v>
      </c>
      <c r="G22" s="181"/>
      <c r="H22" s="182"/>
    </row>
    <row r="23" spans="1:8" x14ac:dyDescent="0.25">
      <c r="A23" s="27" t="s">
        <v>29</v>
      </c>
      <c r="B23" s="29" t="s">
        <v>99</v>
      </c>
      <c r="C23" s="29" t="s">
        <v>78</v>
      </c>
      <c r="D23" s="19" t="s">
        <v>113</v>
      </c>
      <c r="E23" s="31" t="s">
        <v>81</v>
      </c>
      <c r="F23" s="179" t="s">
        <v>104</v>
      </c>
      <c r="G23" s="179"/>
      <c r="H23" s="180"/>
    </row>
    <row r="24" spans="1:8" x14ac:dyDescent="0.25">
      <c r="A24" s="27" t="s">
        <v>73</v>
      </c>
      <c r="B24" s="28" t="s">
        <v>116</v>
      </c>
      <c r="C24" s="28" t="s">
        <v>75</v>
      </c>
      <c r="D24" s="28" t="s">
        <v>80</v>
      </c>
      <c r="E24" s="36" t="s">
        <v>109</v>
      </c>
      <c r="F24" s="179" t="s">
        <v>82</v>
      </c>
      <c r="G24" s="179"/>
      <c r="H24" s="180"/>
    </row>
    <row r="25" spans="1:8" ht="15.75" thickBot="1" x14ac:dyDescent="0.3">
      <c r="A25" s="27" t="s">
        <v>72</v>
      </c>
      <c r="B25" s="20" t="s">
        <v>74</v>
      </c>
      <c r="C25" s="20" t="s">
        <v>74</v>
      </c>
      <c r="D25" s="20" t="s">
        <v>74</v>
      </c>
      <c r="E25" s="37" t="s">
        <v>116</v>
      </c>
      <c r="F25" s="185" t="s">
        <v>74</v>
      </c>
      <c r="G25" s="185"/>
      <c r="H25" s="186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79">
        <v>3</v>
      </c>
      <c r="G27" s="179"/>
      <c r="H27" s="180"/>
    </row>
    <row r="28" spans="1:8" x14ac:dyDescent="0.25">
      <c r="A28" s="27" t="s">
        <v>27</v>
      </c>
      <c r="B28" s="31" t="s">
        <v>110</v>
      </c>
      <c r="C28" s="19" t="s">
        <v>111</v>
      </c>
      <c r="D28" s="19" t="s">
        <v>101</v>
      </c>
      <c r="E28" s="19" t="s">
        <v>113</v>
      </c>
      <c r="F28" s="179" t="s">
        <v>95</v>
      </c>
      <c r="G28" s="179"/>
      <c r="H28" s="180"/>
    </row>
    <row r="29" spans="1:8" x14ac:dyDescent="0.25">
      <c r="A29" s="27" t="s">
        <v>28</v>
      </c>
      <c r="B29" s="19" t="s">
        <v>93</v>
      </c>
      <c r="C29" s="22" t="s">
        <v>98</v>
      </c>
      <c r="D29" s="31" t="s">
        <v>88</v>
      </c>
      <c r="E29" s="32" t="s">
        <v>76</v>
      </c>
      <c r="F29" s="179" t="s">
        <v>100</v>
      </c>
      <c r="G29" s="179"/>
      <c r="H29" s="180"/>
    </row>
    <row r="30" spans="1:8" x14ac:dyDescent="0.25">
      <c r="A30" s="27" t="s">
        <v>29</v>
      </c>
      <c r="B30" s="18" t="s">
        <v>90</v>
      </c>
      <c r="C30" s="22" t="s">
        <v>112</v>
      </c>
      <c r="D30" s="16" t="s">
        <v>81</v>
      </c>
      <c r="E30" s="18" t="s">
        <v>91</v>
      </c>
      <c r="F30" s="181" t="s">
        <v>127</v>
      </c>
      <c r="G30" s="181"/>
      <c r="H30" s="182"/>
    </row>
    <row r="31" spans="1:8" x14ac:dyDescent="0.25">
      <c r="A31" s="27" t="s">
        <v>73</v>
      </c>
      <c r="B31" s="28" t="s">
        <v>84</v>
      </c>
      <c r="C31" s="28" t="s">
        <v>75</v>
      </c>
      <c r="D31" s="28" t="s">
        <v>83</v>
      </c>
      <c r="E31" s="28" t="s">
        <v>80</v>
      </c>
      <c r="F31" s="179" t="s">
        <v>79</v>
      </c>
      <c r="G31" s="179"/>
      <c r="H31" s="180"/>
    </row>
    <row r="32" spans="1:8" ht="15.75" thickBot="1" x14ac:dyDescent="0.3">
      <c r="A32" s="35" t="s">
        <v>72</v>
      </c>
      <c r="B32" s="20" t="s">
        <v>74</v>
      </c>
      <c r="C32" s="20" t="s">
        <v>74</v>
      </c>
      <c r="D32" s="20" t="s">
        <v>126</v>
      </c>
      <c r="E32" s="34" t="s">
        <v>109</v>
      </c>
      <c r="F32" s="183" t="s">
        <v>74</v>
      </c>
      <c r="G32" s="183"/>
      <c r="H32" s="184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חיילים</vt:lpstr>
      <vt:lpstr>לוח אפריל</vt:lpstr>
      <vt:lpstr>לוח מרץ</vt:lpstr>
      <vt:lpstr>סטטיסטיקה</vt:lpstr>
      <vt:lpstr>סתם</vt:lpstr>
      <vt:lpstr>לוח פברואר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2018-03-24T17:31:14Z</dcterms:modified>
</cp:coreProperties>
</file>