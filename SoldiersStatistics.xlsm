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מרץ" sheetId="13" r:id="rId2"/>
    <sheet name="סטטיסטיקה" sheetId="3" r:id="rId3"/>
    <sheet name="סתם" sheetId="9" r:id="rId4"/>
    <sheet name="לוח פברואר" sheetId="12" r:id="rId5"/>
    <sheet name="לוח ינואר" sheetId="11" r:id="rId6"/>
    <sheet name="לוח דצמבר" sheetId="10" r:id="rId7"/>
    <sheet name="לוח נובמבר" sheetId="8" r:id="rId8"/>
  </sheets>
  <definedNames>
    <definedName name="_xlnm._FilterDatabase" localSheetId="0" hidden="1">חיילים!$A$1:$CB$38</definedName>
    <definedName name="_xlnm._FilterDatabase" localSheetId="3" hidden="1">סתם!$A$1:$H$30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G6" i="3"/>
  <c r="G5" i="3"/>
  <c r="G4" i="3"/>
  <c r="G3" i="3"/>
  <c r="CA24" i="1"/>
  <c r="CA26" i="1"/>
  <c r="CA22" i="1"/>
  <c r="CA12" i="1"/>
  <c r="CA4" i="1"/>
  <c r="CA11" i="1"/>
  <c r="CA5" i="1"/>
  <c r="CA23" i="1"/>
  <c r="CA17" i="1"/>
  <c r="CA16" i="1"/>
  <c r="CA25" i="1"/>
  <c r="CA27" i="1"/>
  <c r="CA7" i="1"/>
  <c r="CA29" i="1"/>
  <c r="CA28" i="1"/>
  <c r="CA14" i="1"/>
  <c r="CA30" i="1"/>
  <c r="CA10" i="1"/>
  <c r="CA18" i="1"/>
  <c r="CA31" i="1"/>
  <c r="CA32" i="1"/>
  <c r="CA13" i="1"/>
  <c r="CA6" i="1"/>
  <c r="CA20" i="1"/>
  <c r="CA19" i="1"/>
  <c r="CA3" i="1"/>
  <c r="CA15" i="1"/>
  <c r="CA33" i="1"/>
  <c r="CA34" i="1"/>
  <c r="CA35" i="1"/>
  <c r="CA2" i="1"/>
  <c r="CA21" i="1"/>
  <c r="CA37" i="1"/>
  <c r="CA36" i="1"/>
  <c r="CA8" i="1"/>
  <c r="CA9" i="1"/>
  <c r="CA38" i="1"/>
  <c r="BZ24" i="1"/>
  <c r="BZ26" i="1"/>
  <c r="BZ22" i="1"/>
  <c r="BZ12" i="1"/>
  <c r="BZ4" i="1"/>
  <c r="BZ11" i="1"/>
  <c r="BZ5" i="1"/>
  <c r="BZ23" i="1"/>
  <c r="BZ17" i="1"/>
  <c r="BZ16" i="1"/>
  <c r="BZ25" i="1"/>
  <c r="BZ27" i="1"/>
  <c r="BZ7" i="1"/>
  <c r="BZ29" i="1"/>
  <c r="BZ28" i="1"/>
  <c r="BZ14" i="1"/>
  <c r="BZ30" i="1"/>
  <c r="BZ10" i="1"/>
  <c r="BZ18" i="1"/>
  <c r="BZ31" i="1"/>
  <c r="BZ32" i="1"/>
  <c r="BZ13" i="1"/>
  <c r="BZ6" i="1"/>
  <c r="BZ20" i="1"/>
  <c r="BZ19" i="1"/>
  <c r="BZ3" i="1"/>
  <c r="BZ15" i="1"/>
  <c r="BZ33" i="1"/>
  <c r="BZ34" i="1"/>
  <c r="BZ35" i="1"/>
  <c r="BZ2" i="1"/>
  <c r="BZ21" i="1"/>
  <c r="BZ37" i="1"/>
  <c r="BZ36" i="1"/>
  <c r="BZ8" i="1"/>
  <c r="BZ9" i="1"/>
  <c r="BZ38" i="1"/>
  <c r="BQ24" i="1"/>
  <c r="BR24" i="1"/>
  <c r="BS24" i="1" s="1"/>
  <c r="BQ26" i="1"/>
  <c r="BR26" i="1"/>
  <c r="BQ22" i="1"/>
  <c r="BR22" i="1"/>
  <c r="BS22" i="1" s="1"/>
  <c r="BQ12" i="1"/>
  <c r="BR12" i="1"/>
  <c r="BQ4" i="1"/>
  <c r="BR4" i="1"/>
  <c r="BQ11" i="1"/>
  <c r="BR11" i="1"/>
  <c r="BQ5" i="1"/>
  <c r="BR5" i="1"/>
  <c r="BQ23" i="1"/>
  <c r="BR23" i="1"/>
  <c r="BQ17" i="1"/>
  <c r="BR17" i="1"/>
  <c r="BQ16" i="1"/>
  <c r="BR16" i="1"/>
  <c r="BQ25" i="1"/>
  <c r="BR25" i="1"/>
  <c r="BQ27" i="1"/>
  <c r="BR27" i="1"/>
  <c r="BQ7" i="1"/>
  <c r="BR7" i="1"/>
  <c r="BQ29" i="1"/>
  <c r="BR29" i="1"/>
  <c r="BQ28" i="1"/>
  <c r="BR28" i="1"/>
  <c r="BQ14" i="1"/>
  <c r="BR14" i="1"/>
  <c r="BQ30" i="1"/>
  <c r="BR30" i="1"/>
  <c r="BQ10" i="1"/>
  <c r="BR10" i="1"/>
  <c r="BQ18" i="1"/>
  <c r="BR18" i="1"/>
  <c r="BQ31" i="1"/>
  <c r="BR31" i="1"/>
  <c r="BQ32" i="1"/>
  <c r="BR32" i="1"/>
  <c r="BQ13" i="1"/>
  <c r="BR13" i="1"/>
  <c r="BQ6" i="1"/>
  <c r="BR6" i="1"/>
  <c r="BQ20" i="1"/>
  <c r="BR20" i="1"/>
  <c r="BQ19" i="1"/>
  <c r="BR19" i="1"/>
  <c r="BQ3" i="1"/>
  <c r="BR3" i="1"/>
  <c r="BQ15" i="1"/>
  <c r="BR15" i="1"/>
  <c r="BQ33" i="1"/>
  <c r="BR33" i="1"/>
  <c r="BQ34" i="1"/>
  <c r="BR34" i="1"/>
  <c r="BQ35" i="1"/>
  <c r="BR35" i="1"/>
  <c r="BQ2" i="1"/>
  <c r="BR2" i="1"/>
  <c r="BQ21" i="1"/>
  <c r="BR21" i="1"/>
  <c r="BQ37" i="1"/>
  <c r="BR37" i="1"/>
  <c r="BQ36" i="1"/>
  <c r="BR36" i="1"/>
  <c r="BQ8" i="1"/>
  <c r="BR8" i="1"/>
  <c r="BQ9" i="1"/>
  <c r="BR9" i="1"/>
  <c r="BR38" i="1"/>
  <c r="BQ38" i="1"/>
  <c r="BS36" i="1" l="1"/>
  <c r="BS3" i="1"/>
  <c r="BS38" i="1"/>
  <c r="BS13" i="1"/>
  <c r="BS31" i="1"/>
  <c r="BS11" i="1"/>
  <c r="BS27" i="1"/>
  <c r="BS9" i="1"/>
  <c r="BS35" i="1"/>
  <c r="BS33" i="1"/>
  <c r="BS10" i="1"/>
  <c r="BS29" i="1"/>
  <c r="BS16" i="1"/>
  <c r="BS8" i="1"/>
  <c r="BS2" i="1"/>
  <c r="BS15" i="1"/>
  <c r="BS6" i="1"/>
  <c r="BS26" i="1"/>
  <c r="BS18" i="1"/>
  <c r="BS28" i="1"/>
  <c r="BS25" i="1"/>
  <c r="BS5" i="1"/>
  <c r="BS34" i="1"/>
  <c r="BS7" i="1"/>
  <c r="BS32" i="1"/>
  <c r="BS4" i="1"/>
  <c r="BS21" i="1"/>
  <c r="BS20" i="1"/>
  <c r="BS14" i="1"/>
  <c r="BS23" i="1"/>
  <c r="BS37" i="1"/>
  <c r="BS19" i="1"/>
  <c r="BS30" i="1"/>
  <c r="BS17" i="1"/>
  <c r="BS12" i="1"/>
  <c r="BJ27" i="1"/>
  <c r="BK27" i="1"/>
  <c r="T27" i="1"/>
  <c r="U27" i="1"/>
  <c r="AA27" i="1"/>
  <c r="AB27" i="1"/>
  <c r="AH27" i="1"/>
  <c r="AI27" i="1"/>
  <c r="AO27" i="1"/>
  <c r="AP27" i="1"/>
  <c r="AV27" i="1"/>
  <c r="AW27" i="1"/>
  <c r="BC27" i="1"/>
  <c r="BD27" i="1"/>
  <c r="C27" i="1"/>
  <c r="BJ35" i="1"/>
  <c r="BK35" i="1"/>
  <c r="O35" i="1"/>
  <c r="T35" i="1"/>
  <c r="U35" i="1"/>
  <c r="AA35" i="1"/>
  <c r="AB35" i="1"/>
  <c r="AH35" i="1"/>
  <c r="AI35" i="1"/>
  <c r="AO35" i="1"/>
  <c r="AP35" i="1"/>
  <c r="AV35" i="1"/>
  <c r="AW35" i="1"/>
  <c r="BC35" i="1"/>
  <c r="BD35" i="1"/>
  <c r="C35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BT35" i="1" l="1"/>
  <c r="BU35" i="1" s="1"/>
  <c r="BT27" i="1"/>
  <c r="BV35" i="1"/>
  <c r="BW35" i="1" s="1"/>
  <c r="BV27" i="1"/>
  <c r="BW27" i="1" s="1"/>
  <c r="AX35" i="1"/>
  <c r="V35" i="1"/>
  <c r="CB35" i="1"/>
  <c r="CB27" i="1"/>
  <c r="BE35" i="1"/>
  <c r="AQ35" i="1"/>
  <c r="AC35" i="1"/>
  <c r="AX27" i="1"/>
  <c r="BL27" i="1"/>
  <c r="BE27" i="1"/>
  <c r="AJ27" i="1"/>
  <c r="AJ35" i="1"/>
  <c r="BL35" i="1"/>
  <c r="AQ27" i="1"/>
  <c r="AC27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J21" i="1"/>
  <c r="B19" i="12"/>
  <c r="BJ23" i="1"/>
  <c r="BK23" i="1"/>
  <c r="BJ31" i="1"/>
  <c r="BK31" i="1"/>
  <c r="BJ32" i="1"/>
  <c r="BK32" i="1"/>
  <c r="BJ33" i="1"/>
  <c r="BK33" i="1"/>
  <c r="BJ34" i="1"/>
  <c r="BK34" i="1"/>
  <c r="BJ36" i="1"/>
  <c r="BK36" i="1"/>
  <c r="BC23" i="1"/>
  <c r="BD23" i="1"/>
  <c r="BC31" i="1"/>
  <c r="BD31" i="1"/>
  <c r="BC32" i="1"/>
  <c r="BD32" i="1"/>
  <c r="BC33" i="1"/>
  <c r="BD33" i="1"/>
  <c r="BC34" i="1"/>
  <c r="BD34" i="1"/>
  <c r="BC36" i="1"/>
  <c r="BD36" i="1"/>
  <c r="AV23" i="1"/>
  <c r="AW23" i="1"/>
  <c r="AV31" i="1"/>
  <c r="AW31" i="1"/>
  <c r="AV32" i="1"/>
  <c r="AW32" i="1"/>
  <c r="AV33" i="1"/>
  <c r="AW33" i="1"/>
  <c r="AV34" i="1"/>
  <c r="AW34" i="1"/>
  <c r="AV36" i="1"/>
  <c r="AW36" i="1"/>
  <c r="AO23" i="1"/>
  <c r="AP23" i="1"/>
  <c r="AO31" i="1"/>
  <c r="AP31" i="1"/>
  <c r="AO32" i="1"/>
  <c r="AP32" i="1"/>
  <c r="AO33" i="1"/>
  <c r="AP33" i="1"/>
  <c r="AO34" i="1"/>
  <c r="AP34" i="1"/>
  <c r="AO36" i="1"/>
  <c r="AP36" i="1"/>
  <c r="AH23" i="1"/>
  <c r="AI23" i="1"/>
  <c r="AH31" i="1"/>
  <c r="AI31" i="1"/>
  <c r="AH32" i="1"/>
  <c r="AI32" i="1"/>
  <c r="AH33" i="1"/>
  <c r="AI33" i="1"/>
  <c r="AH34" i="1"/>
  <c r="AI34" i="1"/>
  <c r="AH36" i="1"/>
  <c r="AI36" i="1"/>
  <c r="AA23" i="1"/>
  <c r="AB23" i="1"/>
  <c r="AA31" i="1"/>
  <c r="AB31" i="1"/>
  <c r="AA32" i="1"/>
  <c r="AB32" i="1"/>
  <c r="AA33" i="1"/>
  <c r="AB33" i="1"/>
  <c r="AA34" i="1"/>
  <c r="AB34" i="1"/>
  <c r="AA36" i="1"/>
  <c r="AB36" i="1"/>
  <c r="T23" i="1"/>
  <c r="U23" i="1"/>
  <c r="T31" i="1"/>
  <c r="U31" i="1"/>
  <c r="T32" i="1"/>
  <c r="U32" i="1"/>
  <c r="T33" i="1"/>
  <c r="U33" i="1"/>
  <c r="T34" i="1"/>
  <c r="U34" i="1"/>
  <c r="T36" i="1"/>
  <c r="U36" i="1"/>
  <c r="M23" i="1"/>
  <c r="N23" i="1"/>
  <c r="M31" i="1"/>
  <c r="N31" i="1"/>
  <c r="M32" i="1"/>
  <c r="N32" i="1"/>
  <c r="M33" i="1"/>
  <c r="N33" i="1"/>
  <c r="M34" i="1"/>
  <c r="N34" i="1"/>
  <c r="M36" i="1"/>
  <c r="N36" i="1"/>
  <c r="C22" i="1"/>
  <c r="C24" i="1"/>
  <c r="C25" i="1"/>
  <c r="C16" i="1"/>
  <c r="C17" i="1"/>
  <c r="C23" i="1"/>
  <c r="C26" i="1"/>
  <c r="C7" i="1"/>
  <c r="C4" i="1"/>
  <c r="C12" i="1"/>
  <c r="C28" i="1"/>
  <c r="C29" i="1"/>
  <c r="C30" i="1"/>
  <c r="C10" i="1"/>
  <c r="C14" i="1"/>
  <c r="C13" i="1"/>
  <c r="C31" i="1"/>
  <c r="C32" i="1"/>
  <c r="C18" i="1"/>
  <c r="C20" i="1"/>
  <c r="C19" i="1"/>
  <c r="C6" i="1"/>
  <c r="C3" i="1"/>
  <c r="C5" i="1"/>
  <c r="C11" i="1"/>
  <c r="C2" i="1"/>
  <c r="C21" i="1"/>
  <c r="C33" i="1"/>
  <c r="C34" i="1"/>
  <c r="C15" i="1"/>
  <c r="C9" i="1"/>
  <c r="C37" i="1"/>
  <c r="C36" i="1"/>
  <c r="BV32" i="1" l="1"/>
  <c r="BT34" i="1"/>
  <c r="BU34" i="1" s="1"/>
  <c r="BT32" i="1"/>
  <c r="BU32" i="1" s="1"/>
  <c r="BT23" i="1"/>
  <c r="BU23" i="1" s="1"/>
  <c r="BX27" i="1"/>
  <c r="BV23" i="1"/>
  <c r="BV36" i="1"/>
  <c r="BW36" i="1" s="1"/>
  <c r="BV33" i="1"/>
  <c r="BW33" i="1" s="1"/>
  <c r="BV31" i="1"/>
  <c r="BV34" i="1"/>
  <c r="BW34" i="1" s="1"/>
  <c r="BT36" i="1"/>
  <c r="BU36" i="1" s="1"/>
  <c r="BT33" i="1"/>
  <c r="BU33" i="1" s="1"/>
  <c r="BT31" i="1"/>
  <c r="BY35" i="1"/>
  <c r="BX35" i="1"/>
  <c r="BU27" i="1"/>
  <c r="BY27" i="1" s="1"/>
  <c r="V33" i="1"/>
  <c r="AC36" i="1"/>
  <c r="AJ33" i="1"/>
  <c r="AX36" i="1"/>
  <c r="AX33" i="1"/>
  <c r="AX31" i="1"/>
  <c r="CB32" i="1"/>
  <c r="AX32" i="1"/>
  <c r="BL36" i="1"/>
  <c r="BL33" i="1"/>
  <c r="BL23" i="1"/>
  <c r="AQ31" i="1"/>
  <c r="CB34" i="1"/>
  <c r="CB23" i="1"/>
  <c r="BL31" i="1"/>
  <c r="O33" i="1"/>
  <c r="O31" i="1"/>
  <c r="AC33" i="1"/>
  <c r="AC31" i="1"/>
  <c r="AQ33" i="1"/>
  <c r="BE32" i="1"/>
  <c r="O34" i="1"/>
  <c r="O23" i="1"/>
  <c r="V34" i="1"/>
  <c r="BU31" i="1"/>
  <c r="BE33" i="1"/>
  <c r="CB36" i="1"/>
  <c r="AC32" i="1"/>
  <c r="AC23" i="1"/>
  <c r="AJ34" i="1"/>
  <c r="AQ32" i="1"/>
  <c r="AQ23" i="1"/>
  <c r="CB33" i="1"/>
  <c r="CB31" i="1"/>
  <c r="O32" i="1"/>
  <c r="V36" i="1"/>
  <c r="V31" i="1"/>
  <c r="AJ32" i="1"/>
  <c r="AJ23" i="1"/>
  <c r="AQ34" i="1"/>
  <c r="AX23" i="1"/>
  <c r="BE34" i="1"/>
  <c r="BE31" i="1"/>
  <c r="BL34" i="1"/>
  <c r="BW32" i="1"/>
  <c r="BW31" i="1"/>
  <c r="BW23" i="1"/>
  <c r="O36" i="1"/>
  <c r="V32" i="1"/>
  <c r="V23" i="1"/>
  <c r="AC34" i="1"/>
  <c r="AJ36" i="1"/>
  <c r="AJ31" i="1"/>
  <c r="AQ36" i="1"/>
  <c r="AX34" i="1"/>
  <c r="BE36" i="1"/>
  <c r="BE23" i="1"/>
  <c r="BL32" i="1"/>
  <c r="BY36" i="1" l="1"/>
  <c r="BY33" i="1"/>
  <c r="BX36" i="1"/>
  <c r="BX33" i="1"/>
  <c r="BX34" i="1"/>
  <c r="BY34" i="1"/>
  <c r="BY31" i="1"/>
  <c r="BY32" i="1"/>
  <c r="BX31" i="1"/>
  <c r="BY23" i="1"/>
  <c r="BX32" i="1"/>
  <c r="BX23" i="1"/>
  <c r="BK22" i="1"/>
  <c r="BJ22" i="1"/>
  <c r="BC7" i="1"/>
  <c r="BD22" i="1"/>
  <c r="N22" i="1"/>
  <c r="BC24" i="1"/>
  <c r="BD24" i="1"/>
  <c r="BC25" i="1"/>
  <c r="BD25" i="1"/>
  <c r="BC16" i="1"/>
  <c r="BD16" i="1"/>
  <c r="BC17" i="1"/>
  <c r="BD17" i="1"/>
  <c r="BC26" i="1"/>
  <c r="BD26" i="1"/>
  <c r="BD7" i="1"/>
  <c r="BC4" i="1"/>
  <c r="BD4" i="1"/>
  <c r="BC12" i="1"/>
  <c r="BD12" i="1"/>
  <c r="BC28" i="1"/>
  <c r="BD28" i="1"/>
  <c r="BC29" i="1"/>
  <c r="BD29" i="1"/>
  <c r="BC30" i="1"/>
  <c r="BD30" i="1"/>
  <c r="BC10" i="1"/>
  <c r="BD10" i="1"/>
  <c r="BC14" i="1"/>
  <c r="BD14" i="1"/>
  <c r="BC13" i="1"/>
  <c r="BD13" i="1"/>
  <c r="AV24" i="1"/>
  <c r="AW24" i="1"/>
  <c r="AV25" i="1"/>
  <c r="AW25" i="1"/>
  <c r="AV16" i="1"/>
  <c r="AW16" i="1"/>
  <c r="AV17" i="1"/>
  <c r="AW17" i="1"/>
  <c r="AV26" i="1"/>
  <c r="AW26" i="1"/>
  <c r="AV7" i="1"/>
  <c r="AW7" i="1"/>
  <c r="AV4" i="1"/>
  <c r="AW4" i="1"/>
  <c r="AV12" i="1"/>
  <c r="AW12" i="1"/>
  <c r="AV28" i="1"/>
  <c r="AW28" i="1"/>
  <c r="AO24" i="1"/>
  <c r="AP24" i="1"/>
  <c r="AO25" i="1"/>
  <c r="AP25" i="1"/>
  <c r="AO16" i="1"/>
  <c r="AP16" i="1"/>
  <c r="AO17" i="1"/>
  <c r="AP17" i="1"/>
  <c r="AO26" i="1"/>
  <c r="AP26" i="1"/>
  <c r="AO7" i="1"/>
  <c r="AP7" i="1"/>
  <c r="AO4" i="1"/>
  <c r="AP4" i="1"/>
  <c r="AO12" i="1"/>
  <c r="AP12" i="1"/>
  <c r="AO28" i="1"/>
  <c r="AP28" i="1"/>
  <c r="AO29" i="1"/>
  <c r="AP29" i="1"/>
  <c r="AO30" i="1"/>
  <c r="AP30" i="1"/>
  <c r="AO10" i="1"/>
  <c r="AP10" i="1"/>
  <c r="AO14" i="1"/>
  <c r="AP14" i="1"/>
  <c r="AH24" i="1"/>
  <c r="AI24" i="1"/>
  <c r="AH25" i="1"/>
  <c r="AI25" i="1"/>
  <c r="AH16" i="1"/>
  <c r="AI16" i="1"/>
  <c r="AH17" i="1"/>
  <c r="AI17" i="1"/>
  <c r="AH26" i="1"/>
  <c r="AI26" i="1"/>
  <c r="AH7" i="1"/>
  <c r="AI7" i="1"/>
  <c r="AH4" i="1"/>
  <c r="AI4" i="1"/>
  <c r="AH12" i="1"/>
  <c r="AI12" i="1"/>
  <c r="AH28" i="1"/>
  <c r="AI28" i="1"/>
  <c r="AH29" i="1"/>
  <c r="AI29" i="1"/>
  <c r="AH30" i="1"/>
  <c r="AI30" i="1"/>
  <c r="AH10" i="1"/>
  <c r="AI10" i="1"/>
  <c r="AH14" i="1"/>
  <c r="AI14" i="1"/>
  <c r="AH13" i="1"/>
  <c r="AI13" i="1"/>
  <c r="AH18" i="1"/>
  <c r="AI18" i="1"/>
  <c r="AH20" i="1"/>
  <c r="AI20" i="1"/>
  <c r="AA24" i="1"/>
  <c r="AB24" i="1"/>
  <c r="AA25" i="1"/>
  <c r="AB25" i="1"/>
  <c r="AA16" i="1"/>
  <c r="AB16" i="1"/>
  <c r="AA17" i="1"/>
  <c r="AB17" i="1"/>
  <c r="AA26" i="1"/>
  <c r="AB26" i="1"/>
  <c r="AA7" i="1"/>
  <c r="AB7" i="1"/>
  <c r="AA4" i="1"/>
  <c r="AB4" i="1"/>
  <c r="AA12" i="1"/>
  <c r="AB12" i="1"/>
  <c r="AA28" i="1"/>
  <c r="AB28" i="1"/>
  <c r="AA29" i="1"/>
  <c r="AB29" i="1"/>
  <c r="AA30" i="1"/>
  <c r="AB30" i="1"/>
  <c r="AA10" i="1"/>
  <c r="AB10" i="1"/>
  <c r="AA14" i="1"/>
  <c r="AB14" i="1"/>
  <c r="T24" i="1"/>
  <c r="U24" i="1"/>
  <c r="T25" i="1"/>
  <c r="U25" i="1"/>
  <c r="T16" i="1"/>
  <c r="U16" i="1"/>
  <c r="T17" i="1"/>
  <c r="U17" i="1"/>
  <c r="T26" i="1"/>
  <c r="U26" i="1"/>
  <c r="T7" i="1"/>
  <c r="U7" i="1"/>
  <c r="T4" i="1"/>
  <c r="U4" i="1"/>
  <c r="T12" i="1"/>
  <c r="U12" i="1"/>
  <c r="T28" i="1"/>
  <c r="U28" i="1"/>
  <c r="T29" i="1"/>
  <c r="U29" i="1"/>
  <c r="T30" i="1"/>
  <c r="U30" i="1"/>
  <c r="T10" i="1"/>
  <c r="U10" i="1"/>
  <c r="T14" i="1"/>
  <c r="U14" i="1"/>
  <c r="M24" i="1"/>
  <c r="N24" i="1"/>
  <c r="M25" i="1"/>
  <c r="N25" i="1"/>
  <c r="M16" i="1"/>
  <c r="N16" i="1"/>
  <c r="M17" i="1"/>
  <c r="N17" i="1"/>
  <c r="M26" i="1"/>
  <c r="N26" i="1"/>
  <c r="M7" i="1"/>
  <c r="N7" i="1"/>
  <c r="M4" i="1"/>
  <c r="N4" i="1"/>
  <c r="M12" i="1"/>
  <c r="N12" i="1"/>
  <c r="M28" i="1"/>
  <c r="N28" i="1"/>
  <c r="M29" i="1"/>
  <c r="N29" i="1"/>
  <c r="M30" i="1"/>
  <c r="N30" i="1"/>
  <c r="M10" i="1"/>
  <c r="N10" i="1"/>
  <c r="M14" i="1"/>
  <c r="N14" i="1"/>
  <c r="M13" i="1"/>
  <c r="N13" i="1"/>
  <c r="BJ28" i="1"/>
  <c r="BK28" i="1"/>
  <c r="BK38" i="1"/>
  <c r="BJ38" i="1"/>
  <c r="BK8" i="1"/>
  <c r="BJ8" i="1"/>
  <c r="BK37" i="1"/>
  <c r="BJ37" i="1"/>
  <c r="BK9" i="1"/>
  <c r="BJ9" i="1"/>
  <c r="BK15" i="1"/>
  <c r="BJ15" i="1"/>
  <c r="BK21" i="1"/>
  <c r="BK2" i="1"/>
  <c r="BJ2" i="1"/>
  <c r="BK11" i="1"/>
  <c r="BJ11" i="1"/>
  <c r="BK5" i="1"/>
  <c r="BJ5" i="1"/>
  <c r="BK3" i="1"/>
  <c r="BJ3" i="1"/>
  <c r="BK6" i="1"/>
  <c r="BJ6" i="1"/>
  <c r="BK19" i="1"/>
  <c r="BJ19" i="1"/>
  <c r="BK20" i="1"/>
  <c r="BJ20" i="1"/>
  <c r="BK18" i="1"/>
  <c r="BJ18" i="1"/>
  <c r="BK13" i="1"/>
  <c r="BJ13" i="1"/>
  <c r="BK14" i="1"/>
  <c r="BJ14" i="1"/>
  <c r="BK10" i="1"/>
  <c r="BJ10" i="1"/>
  <c r="BK30" i="1"/>
  <c r="BJ30" i="1"/>
  <c r="BK29" i="1"/>
  <c r="BJ29" i="1"/>
  <c r="BK12" i="1"/>
  <c r="BJ12" i="1"/>
  <c r="BK4" i="1"/>
  <c r="BJ4" i="1"/>
  <c r="BK7" i="1"/>
  <c r="BJ7" i="1"/>
  <c r="BK26" i="1"/>
  <c r="BJ26" i="1"/>
  <c r="BK17" i="1"/>
  <c r="BJ17" i="1"/>
  <c r="BK16" i="1"/>
  <c r="BJ16" i="1"/>
  <c r="BK25" i="1"/>
  <c r="BJ25" i="1"/>
  <c r="BK24" i="1"/>
  <c r="BJ24" i="1"/>
  <c r="BV28" i="1" l="1"/>
  <c r="BV4" i="1"/>
  <c r="BV26" i="1"/>
  <c r="BV16" i="1"/>
  <c r="BV24" i="1"/>
  <c r="BT28" i="1"/>
  <c r="BU28" i="1" s="1"/>
  <c r="BT4" i="1"/>
  <c r="BT26" i="1"/>
  <c r="BT16" i="1"/>
  <c r="BT24" i="1"/>
  <c r="BU24" i="1" s="1"/>
  <c r="BV12" i="1"/>
  <c r="BV7" i="1"/>
  <c r="BV17" i="1"/>
  <c r="BV25" i="1"/>
  <c r="BT12" i="1"/>
  <c r="BT7" i="1"/>
  <c r="BT17" i="1"/>
  <c r="BT25" i="1"/>
  <c r="V26" i="1"/>
  <c r="AQ28" i="1"/>
  <c r="AQ24" i="1"/>
  <c r="AX28" i="1"/>
  <c r="AX26" i="1"/>
  <c r="O4" i="1"/>
  <c r="BE26" i="1"/>
  <c r="BL22" i="1"/>
  <c r="BL28" i="1"/>
  <c r="O14" i="1"/>
  <c r="O28" i="1"/>
  <c r="V10" i="1"/>
  <c r="V29" i="1"/>
  <c r="V12" i="1"/>
  <c r="V7" i="1"/>
  <c r="V24" i="1"/>
  <c r="AJ10" i="1"/>
  <c r="AJ12" i="1"/>
  <c r="AJ7" i="1"/>
  <c r="BW24" i="1"/>
  <c r="V14" i="1"/>
  <c r="V30" i="1"/>
  <c r="V4" i="1"/>
  <c r="BE17" i="1"/>
  <c r="AC16" i="1"/>
  <c r="AC24" i="1"/>
  <c r="AQ29" i="1"/>
  <c r="AQ26" i="1"/>
  <c r="AX17" i="1"/>
  <c r="BE10" i="1"/>
  <c r="O12" i="1"/>
  <c r="O17" i="1"/>
  <c r="AC12" i="1"/>
  <c r="AC17" i="1"/>
  <c r="AC25" i="1"/>
  <c r="AJ17" i="1"/>
  <c r="AQ30" i="1"/>
  <c r="BL24" i="1"/>
  <c r="BL16" i="1"/>
  <c r="BL26" i="1"/>
  <c r="BL4" i="1"/>
  <c r="BL29" i="1"/>
  <c r="BL10" i="1"/>
  <c r="BL13" i="1"/>
  <c r="BL20" i="1"/>
  <c r="BL6" i="1"/>
  <c r="BL3" i="1"/>
  <c r="BL11" i="1"/>
  <c r="BL21" i="1"/>
  <c r="BL9" i="1"/>
  <c r="BL8" i="1"/>
  <c r="BL38" i="1"/>
  <c r="O26" i="1"/>
  <c r="O24" i="1"/>
  <c r="V28" i="1"/>
  <c r="V16" i="1"/>
  <c r="AC10" i="1"/>
  <c r="BW28" i="1"/>
  <c r="AJ26" i="1"/>
  <c r="AQ14" i="1"/>
  <c r="AQ4" i="1"/>
  <c r="AQ16" i="1"/>
  <c r="AX24" i="1"/>
  <c r="BE14" i="1"/>
  <c r="BE4" i="1"/>
  <c r="BL25" i="1"/>
  <c r="BL17" i="1"/>
  <c r="BL7" i="1"/>
  <c r="BL12" i="1"/>
  <c r="BL14" i="1"/>
  <c r="BL19" i="1"/>
  <c r="BL5" i="1"/>
  <c r="BL15" i="1"/>
  <c r="O10" i="1"/>
  <c r="V17" i="1"/>
  <c r="V25" i="1"/>
  <c r="AC30" i="1"/>
  <c r="AC28" i="1"/>
  <c r="AJ20" i="1"/>
  <c r="AQ12" i="1"/>
  <c r="AQ7" i="1"/>
  <c r="AQ25" i="1"/>
  <c r="AX12" i="1"/>
  <c r="AX7" i="1"/>
  <c r="BE13" i="1"/>
  <c r="BE12" i="1"/>
  <c r="BE7" i="1"/>
  <c r="O13" i="1"/>
  <c r="O30" i="1"/>
  <c r="O7" i="1"/>
  <c r="O16" i="1"/>
  <c r="AC14" i="1"/>
  <c r="AC29" i="1"/>
  <c r="AC7" i="1"/>
  <c r="AJ18" i="1"/>
  <c r="AJ14" i="1"/>
  <c r="AJ29" i="1"/>
  <c r="AJ4" i="1"/>
  <c r="AJ25" i="1"/>
  <c r="AQ10" i="1"/>
  <c r="AQ17" i="1"/>
  <c r="AX4" i="1"/>
  <c r="AX25" i="1"/>
  <c r="BE30" i="1"/>
  <c r="BE28" i="1"/>
  <c r="BE25" i="1"/>
  <c r="BL30" i="1"/>
  <c r="BL18" i="1"/>
  <c r="BL2" i="1"/>
  <c r="BL37" i="1"/>
  <c r="O29" i="1"/>
  <c r="O25" i="1"/>
  <c r="AC4" i="1"/>
  <c r="AC26" i="1"/>
  <c r="AJ13" i="1"/>
  <c r="AJ30" i="1"/>
  <c r="AJ28" i="1"/>
  <c r="AJ16" i="1"/>
  <c r="AJ24" i="1"/>
  <c r="AX16" i="1"/>
  <c r="BE29" i="1"/>
  <c r="BE16" i="1"/>
  <c r="BE24" i="1"/>
  <c r="CB28" i="1"/>
  <c r="CB24" i="1"/>
  <c r="BX4" i="1" l="1"/>
  <c r="BX24" i="1"/>
  <c r="BX25" i="1"/>
  <c r="BX16" i="1"/>
  <c r="BX17" i="1"/>
  <c r="BY24" i="1"/>
  <c r="BX7" i="1"/>
  <c r="BY28" i="1"/>
  <c r="BX28" i="1"/>
  <c r="BX12" i="1"/>
  <c r="BX26" i="1"/>
  <c r="CB25" i="1" l="1"/>
  <c r="CB38" i="1"/>
  <c r="CB3" i="1"/>
  <c r="CB12" i="1"/>
  <c r="CB5" i="1"/>
  <c r="CB6" i="1"/>
  <c r="CB29" i="1"/>
  <c r="CB37" i="1"/>
  <c r="CB30" i="1"/>
  <c r="CB2" i="1"/>
  <c r="CB7" i="1"/>
  <c r="CB9" i="1"/>
  <c r="CB26" i="1"/>
  <c r="CB19" i="1"/>
  <c r="CB20" i="1"/>
  <c r="CB17" i="1"/>
  <c r="CB18" i="1"/>
  <c r="CB11" i="1"/>
  <c r="CB4" i="1"/>
  <c r="CB22" i="1"/>
  <c r="CB15" i="1"/>
  <c r="CB16" i="1"/>
  <c r="CB14" i="1"/>
  <c r="CB10" i="1"/>
  <c r="CB21" i="1"/>
  <c r="CB8" i="1"/>
  <c r="CB13" i="1"/>
  <c r="BD38" i="1"/>
  <c r="BC38" i="1"/>
  <c r="BD8" i="1"/>
  <c r="BC8" i="1"/>
  <c r="BD37" i="1"/>
  <c r="BC37" i="1"/>
  <c r="BD9" i="1"/>
  <c r="BC9" i="1"/>
  <c r="BD15" i="1"/>
  <c r="BC15" i="1"/>
  <c r="BD21" i="1"/>
  <c r="BC21" i="1"/>
  <c r="BD2" i="1"/>
  <c r="BC2" i="1"/>
  <c r="BD11" i="1"/>
  <c r="BC11" i="1"/>
  <c r="BD5" i="1"/>
  <c r="BC5" i="1"/>
  <c r="BD3" i="1"/>
  <c r="BC3" i="1"/>
  <c r="BD6" i="1"/>
  <c r="BC6" i="1"/>
  <c r="BD19" i="1"/>
  <c r="BC19" i="1"/>
  <c r="BD20" i="1"/>
  <c r="BC20" i="1"/>
  <c r="BD18" i="1"/>
  <c r="BC18" i="1"/>
  <c r="BC22" i="1"/>
  <c r="AV30" i="1"/>
  <c r="BT30" i="1" s="1"/>
  <c r="AW30" i="1"/>
  <c r="BV30" i="1" s="1"/>
  <c r="AV37" i="1"/>
  <c r="AW37" i="1"/>
  <c r="AO37" i="1"/>
  <c r="AP37" i="1"/>
  <c r="AH37" i="1"/>
  <c r="AI37" i="1"/>
  <c r="T37" i="1"/>
  <c r="U37" i="1"/>
  <c r="AA37" i="1"/>
  <c r="AB37" i="1"/>
  <c r="M37" i="1"/>
  <c r="N37" i="1"/>
  <c r="M38" i="1"/>
  <c r="N38" i="1"/>
  <c r="BV37" i="1" l="1"/>
  <c r="BW37" i="1" s="1"/>
  <c r="BT37" i="1"/>
  <c r="BX30" i="1"/>
  <c r="BU30" i="1"/>
  <c r="BW25" i="1"/>
  <c r="BU25" i="1"/>
  <c r="BW30" i="1"/>
  <c r="BE22" i="1"/>
  <c r="BE18" i="1"/>
  <c r="BE20" i="1"/>
  <c r="BE6" i="1"/>
  <c r="BE3" i="1"/>
  <c r="BE11" i="1"/>
  <c r="BE21" i="1"/>
  <c r="BE15" i="1"/>
  <c r="BE37" i="1"/>
  <c r="BE38" i="1"/>
  <c r="BE19" i="1"/>
  <c r="BE5" i="1"/>
  <c r="BE2" i="1"/>
  <c r="BE9" i="1"/>
  <c r="BE8" i="1"/>
  <c r="O38" i="1"/>
  <c r="AC37" i="1"/>
  <c r="V37" i="1"/>
  <c r="AJ37" i="1"/>
  <c r="AX37" i="1"/>
  <c r="O37" i="1"/>
  <c r="AQ37" i="1"/>
  <c r="AX30" i="1"/>
  <c r="BX37" i="1" l="1"/>
  <c r="BU37" i="1"/>
  <c r="BY37" i="1" s="1"/>
  <c r="BY30" i="1"/>
  <c r="BY25" i="1"/>
  <c r="AW29" i="1" l="1"/>
  <c r="BV29" i="1" s="1"/>
  <c r="AV29" i="1"/>
  <c r="BT29" i="1" s="1"/>
  <c r="AW2" i="1"/>
  <c r="AV2" i="1"/>
  <c r="AW20" i="1"/>
  <c r="AV20" i="1"/>
  <c r="AW19" i="1"/>
  <c r="AV19" i="1"/>
  <c r="AW21" i="1"/>
  <c r="AV21" i="1"/>
  <c r="AW18" i="1"/>
  <c r="AV18" i="1"/>
  <c r="AW15" i="1"/>
  <c r="AV15" i="1"/>
  <c r="AW38" i="1"/>
  <c r="AV38" i="1"/>
  <c r="AW14" i="1"/>
  <c r="BV14" i="1" s="1"/>
  <c r="AV14" i="1"/>
  <c r="BT14" i="1" s="1"/>
  <c r="AW11" i="1"/>
  <c r="AV11" i="1"/>
  <c r="AW13" i="1"/>
  <c r="AV13" i="1"/>
  <c r="AW8" i="1"/>
  <c r="AV8" i="1"/>
  <c r="AW10" i="1"/>
  <c r="BV10" i="1" s="1"/>
  <c r="AV10" i="1"/>
  <c r="BT10" i="1" s="1"/>
  <c r="AW5" i="1"/>
  <c r="AV5" i="1"/>
  <c r="AW22" i="1"/>
  <c r="AV22" i="1"/>
  <c r="AW6" i="1"/>
  <c r="AV6" i="1"/>
  <c r="AW9" i="1"/>
  <c r="AV9" i="1"/>
  <c r="AW3" i="1"/>
  <c r="AV3" i="1"/>
  <c r="BX10" i="1" l="1"/>
  <c r="BX14" i="1"/>
  <c r="BX29" i="1"/>
  <c r="AX9" i="1"/>
  <c r="AX6" i="1"/>
  <c r="AX22" i="1"/>
  <c r="AX5" i="1"/>
  <c r="AX8" i="1"/>
  <c r="AX13" i="1"/>
  <c r="AX11" i="1"/>
  <c r="AX15" i="1"/>
  <c r="AX18" i="1"/>
  <c r="AX21" i="1"/>
  <c r="AX20" i="1"/>
  <c r="AX2" i="1"/>
  <c r="AX3" i="1"/>
  <c r="AX10" i="1"/>
  <c r="AX14" i="1"/>
  <c r="AX38" i="1"/>
  <c r="AX19" i="1"/>
  <c r="AX29" i="1"/>
  <c r="G1" i="12"/>
  <c r="H1" i="12" s="1"/>
  <c r="G26" i="12"/>
  <c r="H26" i="12" s="1"/>
  <c r="B13" i="12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2" i="1" l="1"/>
  <c r="AP2" i="1"/>
  <c r="AH2" i="1"/>
  <c r="AI2" i="1"/>
  <c r="AA2" i="1"/>
  <c r="AB2" i="1"/>
  <c r="T2" i="1"/>
  <c r="U2" i="1"/>
  <c r="M2" i="1"/>
  <c r="N2" i="1"/>
  <c r="BT2" i="1" l="1"/>
  <c r="BU2" i="1" s="1"/>
  <c r="BV2" i="1"/>
  <c r="BW2" i="1" s="1"/>
  <c r="V2" i="1"/>
  <c r="AJ2" i="1"/>
  <c r="O2" i="1"/>
  <c r="AC2" i="1"/>
  <c r="AQ2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X2" i="1" l="1"/>
  <c r="BY2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22" i="1"/>
  <c r="AP22" i="1"/>
  <c r="AO18" i="1"/>
  <c r="AP18" i="1"/>
  <c r="AO13" i="1"/>
  <c r="AP13" i="1"/>
  <c r="AO5" i="1"/>
  <c r="AP5" i="1"/>
  <c r="AO6" i="1"/>
  <c r="AP6" i="1"/>
  <c r="AO3" i="1"/>
  <c r="AP3" i="1"/>
  <c r="AO11" i="1"/>
  <c r="AP11" i="1"/>
  <c r="AO19" i="1"/>
  <c r="AP19" i="1"/>
  <c r="AO20" i="1"/>
  <c r="AP20" i="1"/>
  <c r="AO15" i="1"/>
  <c r="AP15" i="1"/>
  <c r="AO21" i="1"/>
  <c r="AP21" i="1"/>
  <c r="AO8" i="1"/>
  <c r="AP8" i="1"/>
  <c r="AO9" i="1"/>
  <c r="AP9" i="1"/>
  <c r="AO38" i="1"/>
  <c r="AP38" i="1"/>
  <c r="BW29" i="1" l="1"/>
  <c r="BU29" i="1"/>
  <c r="AQ21" i="1"/>
  <c r="AQ3" i="1"/>
  <c r="AQ8" i="1"/>
  <c r="AQ19" i="1"/>
  <c r="AQ6" i="1"/>
  <c r="AQ13" i="1"/>
  <c r="AQ38" i="1"/>
  <c r="AQ9" i="1"/>
  <c r="AQ15" i="1"/>
  <c r="AQ20" i="1"/>
  <c r="AQ11" i="1"/>
  <c r="AQ5" i="1"/>
  <c r="AQ18" i="1"/>
  <c r="AQ2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Y29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18" i="1"/>
  <c r="N18" i="1"/>
  <c r="M20" i="1"/>
  <c r="N20" i="1"/>
  <c r="M19" i="1"/>
  <c r="N19" i="1"/>
  <c r="M6" i="1"/>
  <c r="N6" i="1"/>
  <c r="M3" i="1"/>
  <c r="N3" i="1"/>
  <c r="M5" i="1"/>
  <c r="N5" i="1"/>
  <c r="M11" i="1"/>
  <c r="N11" i="1"/>
  <c r="M21" i="1"/>
  <c r="N21" i="1"/>
  <c r="M15" i="1"/>
  <c r="N15" i="1"/>
  <c r="M9" i="1"/>
  <c r="N9" i="1"/>
  <c r="M8" i="1"/>
  <c r="N8" i="1"/>
  <c r="T13" i="1"/>
  <c r="U13" i="1"/>
  <c r="T18" i="1"/>
  <c r="U18" i="1"/>
  <c r="T20" i="1"/>
  <c r="U20" i="1"/>
  <c r="T19" i="1"/>
  <c r="U19" i="1"/>
  <c r="T6" i="1"/>
  <c r="U6" i="1"/>
  <c r="T3" i="1"/>
  <c r="U3" i="1"/>
  <c r="T5" i="1"/>
  <c r="U5" i="1"/>
  <c r="T11" i="1"/>
  <c r="U11" i="1"/>
  <c r="T21" i="1"/>
  <c r="U21" i="1"/>
  <c r="T15" i="1"/>
  <c r="U15" i="1"/>
  <c r="T9" i="1"/>
  <c r="U9" i="1"/>
  <c r="T8" i="1"/>
  <c r="U8" i="1"/>
  <c r="T38" i="1"/>
  <c r="U38" i="1"/>
  <c r="AA13" i="1"/>
  <c r="BT13" i="1" s="1"/>
  <c r="AB13" i="1"/>
  <c r="AA18" i="1"/>
  <c r="AB18" i="1"/>
  <c r="BV18" i="1" s="1"/>
  <c r="AA20" i="1"/>
  <c r="BT20" i="1" s="1"/>
  <c r="AB20" i="1"/>
  <c r="AA19" i="1"/>
  <c r="AB19" i="1"/>
  <c r="AA6" i="1"/>
  <c r="AB6" i="1"/>
  <c r="AA3" i="1"/>
  <c r="AB3" i="1"/>
  <c r="AA5" i="1"/>
  <c r="AB5" i="1"/>
  <c r="AA11" i="1"/>
  <c r="AB11" i="1"/>
  <c r="AA21" i="1"/>
  <c r="AB21" i="1"/>
  <c r="AA15" i="1"/>
  <c r="AB15" i="1"/>
  <c r="AA9" i="1"/>
  <c r="AB9" i="1"/>
  <c r="AA8" i="1"/>
  <c r="AB8" i="1"/>
  <c r="AA38" i="1"/>
  <c r="AB38" i="1"/>
  <c r="AH19" i="1"/>
  <c r="AI19" i="1"/>
  <c r="BV19" i="1" s="1"/>
  <c r="AH6" i="1"/>
  <c r="BT6" i="1" s="1"/>
  <c r="AI6" i="1"/>
  <c r="AH3" i="1"/>
  <c r="AI3" i="1"/>
  <c r="AH5" i="1"/>
  <c r="BT5" i="1" s="1"/>
  <c r="AI5" i="1"/>
  <c r="AH11" i="1"/>
  <c r="AI11" i="1"/>
  <c r="BV11" i="1" s="1"/>
  <c r="AH21" i="1"/>
  <c r="BT21" i="1" s="1"/>
  <c r="AI21" i="1"/>
  <c r="AH15" i="1"/>
  <c r="AI15" i="1"/>
  <c r="BV15" i="1" s="1"/>
  <c r="AH9" i="1"/>
  <c r="BT9" i="1" s="1"/>
  <c r="AI9" i="1"/>
  <c r="AH8" i="1"/>
  <c r="AI8" i="1"/>
  <c r="AH38" i="1"/>
  <c r="BT38" i="1" s="1"/>
  <c r="AI38" i="1"/>
  <c r="BV38" i="1" l="1"/>
  <c r="BV9" i="1"/>
  <c r="BV21" i="1"/>
  <c r="BW21" i="1" s="1"/>
  <c r="BV5" i="1"/>
  <c r="BW5" i="1" s="1"/>
  <c r="BV8" i="1"/>
  <c r="BW8" i="1" s="1"/>
  <c r="BV3" i="1"/>
  <c r="BV6" i="1"/>
  <c r="BW6" i="1" s="1"/>
  <c r="BV20" i="1"/>
  <c r="BW20" i="1" s="1"/>
  <c r="BV13" i="1"/>
  <c r="BW13" i="1" s="1"/>
  <c r="BT8" i="1"/>
  <c r="BU8" i="1" s="1"/>
  <c r="BT15" i="1"/>
  <c r="BT11" i="1"/>
  <c r="BU11" i="1" s="1"/>
  <c r="BT3" i="1"/>
  <c r="BU3" i="1" s="1"/>
  <c r="BT19" i="1"/>
  <c r="BU19" i="1" s="1"/>
  <c r="BT18" i="1"/>
  <c r="BX38" i="1"/>
  <c r="BU38" i="1"/>
  <c r="O8" i="1"/>
  <c r="BU15" i="1"/>
  <c r="BW38" i="1"/>
  <c r="BW19" i="1"/>
  <c r="BW9" i="1"/>
  <c r="BW18" i="1"/>
  <c r="BW15" i="1"/>
  <c r="BW11" i="1"/>
  <c r="BW3" i="1"/>
  <c r="BU5" i="1"/>
  <c r="BW14" i="1"/>
  <c r="BW10" i="1"/>
  <c r="BW12" i="1"/>
  <c r="BW26" i="1"/>
  <c r="BW17" i="1"/>
  <c r="BU20" i="1"/>
  <c r="BU14" i="1"/>
  <c r="BU10" i="1"/>
  <c r="BU12" i="1"/>
  <c r="BU26" i="1"/>
  <c r="BU17" i="1"/>
  <c r="BU13" i="1"/>
  <c r="BU4" i="1"/>
  <c r="BU7" i="1"/>
  <c r="BU16" i="1"/>
  <c r="BW4" i="1"/>
  <c r="BW7" i="1"/>
  <c r="BW16" i="1"/>
  <c r="O19" i="1"/>
  <c r="V15" i="1"/>
  <c r="AC5" i="1"/>
  <c r="AC19" i="1"/>
  <c r="O15" i="1"/>
  <c r="AJ6" i="1"/>
  <c r="AJ8" i="1"/>
  <c r="AJ9" i="1"/>
  <c r="O21" i="1"/>
  <c r="V8" i="1"/>
  <c r="AC21" i="1"/>
  <c r="AJ3" i="1"/>
  <c r="V3" i="1"/>
  <c r="O20" i="1"/>
  <c r="AJ38" i="1"/>
  <c r="AC13" i="1"/>
  <c r="AJ15" i="1"/>
  <c r="AC15" i="1"/>
  <c r="V9" i="1"/>
  <c r="AC18" i="1"/>
  <c r="V21" i="1"/>
  <c r="V20" i="1"/>
  <c r="AJ11" i="1"/>
  <c r="AC20" i="1"/>
  <c r="V11" i="1"/>
  <c r="V5" i="1"/>
  <c r="V18" i="1"/>
  <c r="O3" i="1"/>
  <c r="O6" i="1"/>
  <c r="AJ21" i="1"/>
  <c r="AC9" i="1"/>
  <c r="V19" i="1"/>
  <c r="O18" i="1"/>
  <c r="V13" i="1"/>
  <c r="AJ5" i="1"/>
  <c r="AJ19" i="1"/>
  <c r="AC38" i="1"/>
  <c r="AC8" i="1"/>
  <c r="AC11" i="1"/>
  <c r="AC6" i="1"/>
  <c r="V38" i="1"/>
  <c r="V6" i="1"/>
  <c r="O9" i="1"/>
  <c r="O11" i="1"/>
  <c r="O5" i="1"/>
  <c r="AC3" i="1"/>
  <c r="BX20" i="1" l="1"/>
  <c r="BX8" i="1"/>
  <c r="BX21" i="1"/>
  <c r="BX11" i="1"/>
  <c r="BX6" i="1"/>
  <c r="BX15" i="1"/>
  <c r="BU6" i="1"/>
  <c r="BY6" i="1" s="1"/>
  <c r="BX13" i="1"/>
  <c r="BX3" i="1"/>
  <c r="BX18" i="1"/>
  <c r="BX9" i="1"/>
  <c r="BY38" i="1"/>
  <c r="BX19" i="1"/>
  <c r="BU21" i="1"/>
  <c r="BY21" i="1" s="1"/>
  <c r="BU18" i="1"/>
  <c r="BY18" i="1" s="1"/>
  <c r="BU9" i="1"/>
  <c r="BY9" i="1" s="1"/>
  <c r="BX5" i="1"/>
  <c r="BY20" i="1"/>
  <c r="BY8" i="1"/>
  <c r="BY12" i="1"/>
  <c r="BY26" i="1"/>
  <c r="BY14" i="1"/>
  <c r="BY3" i="1"/>
  <c r="BY11" i="1"/>
  <c r="BY17" i="1"/>
  <c r="BY10" i="1"/>
  <c r="BY7" i="1"/>
  <c r="BY13" i="1"/>
  <c r="BY5" i="1"/>
  <c r="BY19" i="1"/>
  <c r="BY16" i="1"/>
  <c r="BY4" i="1"/>
  <c r="BY15" i="1"/>
  <c r="C7" i="3"/>
  <c r="C3" i="3"/>
  <c r="H5" i="3" l="1"/>
  <c r="H4" i="3"/>
  <c r="H3" i="3"/>
  <c r="C8" i="1"/>
  <c r="C38" i="1"/>
  <c r="H6" i="3" l="1"/>
  <c r="AI22" i="1"/>
  <c r="AH22" i="1"/>
  <c r="AJ22" i="1" l="1"/>
  <c r="C8" i="3"/>
  <c r="C9" i="3" s="1"/>
  <c r="C2" i="3"/>
  <c r="C4" i="3" s="1"/>
  <c r="AB22" i="1" l="1"/>
  <c r="AA22" i="1"/>
  <c r="U22" i="1"/>
  <c r="T22" i="1"/>
  <c r="M22" i="1"/>
  <c r="BT22" i="1" l="1"/>
  <c r="BU22" i="1" s="1"/>
  <c r="BV22" i="1"/>
  <c r="O22" i="1"/>
  <c r="V22" i="1"/>
  <c r="AC22" i="1"/>
  <c r="BX22" i="1" l="1"/>
  <c r="BW22" i="1"/>
  <c r="BY22" i="1" s="1"/>
</calcChain>
</file>

<file path=xl/sharedStrings.xml><?xml version="1.0" encoding="utf-8"?>
<sst xmlns="http://schemas.openxmlformats.org/spreadsheetml/2006/main" count="802" uniqueCount="203">
  <si>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</si>
  <si>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</si>
  <si>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</si>
  <si>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</si>
  <si>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</si>
  <si>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</si>
  <si>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</si>
  <si>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</si>
  <si>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</si>
  <si>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</si>
  <si>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</si>
  <si>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</si>
  <si>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</si>
  <si>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</si>
  <si>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</si>
  <si>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</si>
  <si>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</si>
  <si>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</si>
  <si>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</si>
  <si>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</si>
  <si>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</si>
  <si>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</si>
  <si>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</si>
  <si>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</si>
  <si>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</si>
  <si>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</si>
  <si>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</si>
  <si>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</si>
  <si>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</si>
  <si>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</si>
  <si>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</si>
  <si>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</si>
  <si>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</si>
  <si>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</si>
  <si>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</si>
  <si>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</si>
  <si>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</si>
  <si>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</si>
  <si>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</si>
  <si>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</si>
  <si>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</si>
  <si>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</si>
  <si>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</si>
  <si>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</si>
  <si>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</si>
  <si>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</si>
  <si>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</si>
  <si>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</si>
  <si>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</si>
  <si>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</si>
  <si>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</si>
  <si>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</si>
  <si>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</si>
  <si>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</si>
  <si>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</si>
  <si>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</si>
  <si>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</si>
  <si>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</si>
  <si>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</si>
  <si>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</si>
  <si>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</si>
  <si>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</si>
  <si>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</si>
  <si>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</si>
  <si>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</si>
  <si>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</si>
  <si>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</si>
  <si>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</si>
  <si>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</si>
  <si>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</si>
  <si>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</si>
  <si>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</si>
  <si>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</si>
  <si>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</si>
  <si>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</si>
  <si>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</si>
  <si>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</si>
  <si>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</si>
  <si>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</si>
  <si>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</si>
  <si>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</si>
  <si>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</si>
  <si>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</si>
  <si>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</si>
  <si>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</si>
  <si>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</si>
  <si>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</si>
  <si>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</si>
  <si>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</si>
  <si>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</si>
  <si>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</si>
  <si>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</si>
  <si>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</si>
  <si>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</si>
  <si>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</si>
  <si>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</si>
  <si>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</si>
  <si>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</si>
  <si>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</si>
  <si>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</si>
  <si>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</si>
  <si>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</si>
  <si>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</si>
  <si>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</si>
  <si>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</si>
  <si>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</si>
  <si>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</si>
  <si>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</si>
  <si>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</si>
  <si>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</si>
  <si>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</si>
  <si>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</si>
  <si>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</si>
  <si>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</si>
  <si>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</si>
  <si>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</si>
  <si>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</si>
  <si>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</si>
  <si>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</si>
  <si>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</si>
  <si>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</si>
  <si>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</si>
  <si>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</si>
  <si>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</si>
  <si>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</si>
  <si>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</si>
  <si>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</si>
  <si>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</si>
  <si>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</si>
  <si>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</si>
  <si>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</si>
  <si>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</si>
  <si>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</si>
  <si>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</si>
  <si>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</si>
  <si>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</si>
  <si>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</si>
  <si>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</si>
  <si>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</si>
  <si>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</si>
  <si>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</si>
  <si>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</si>
  <si>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</si>
  <si>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</si>
  <si>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</si>
  <si>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</si>
  <si>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</si>
  <si>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</si>
  <si>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</si>
  <si>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</si>
  <si>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</si>
  <si>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</si>
  <si>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</si>
  <si>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</si>
  <si>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</si>
  <si>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</si>
  <si>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</si>
  <si>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</si>
  <si>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</si>
  <si>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</si>
  <si>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</si>
  <si>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</si>
  <si>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</si>
  <si>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</si>
  <si>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</si>
  <si>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</si>
  <si>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</si>
  <si>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</si>
  <si>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</si>
  <si>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</si>
  <si>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</si>
  <si>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</si>
  <si>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שמירה</t>
  </si>
  <si>
    <t>פברואר לילות בלי שמירה</t>
  </si>
  <si>
    <t>סה"כ פברואר</t>
  </si>
  <si>
    <t>פברואר סה"כ בלי שמירה</t>
  </si>
  <si>
    <t>פברואר סה"כ שמירה</t>
  </si>
  <si>
    <t>בלי שמירה באמת</t>
  </si>
  <si>
    <t>שמירה באמת</t>
  </si>
  <si>
    <t>אתי</t>
  </si>
  <si>
    <t>שובל</t>
  </si>
  <si>
    <t>אור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</si>
  <si>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</si>
  <si>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</si>
  <si>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</si>
  <si>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</si>
  <si>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</si>
  <si>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</si>
  <si>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</si>
  <si>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</si>
  <si>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</si>
  <si>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</si>
  <si>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</si>
  <si>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</si>
  <si>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</si>
  <si>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תש 5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</si>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</sst>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10" fontId="8" fillId="2" borderId="10" xfId="0" applyNumberFormat="1" applyFont="1" applyFill="1" applyBorder="1" applyAlignment="1">
      <alignment horizontal="center"/>
    </xf>
    <xf numFmtId="0" fontId="0" fillId="0" borderId="4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2" fillId="0" borderId="1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7" fillId="0" borderId="21" xfId="0" applyFont="1" applyFill="1" applyBorder="1" applyAlignment="1">
      <alignment horizontal="center" vertical="center"/>
    </xf>
    <xf numFmtId="0" fontId="0" fillId="0" borderId="1" xfId="0" applyFill="1" applyBorder="1"/>
    <xf numFmtId="0" fontId="0" fillId="0" borderId="24" xfId="0" applyBorder="1"/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0" borderId="6" xfId="0" applyFont="1" applyBorder="1"/>
    <xf numFmtId="0" fontId="8" fillId="0" borderId="7" xfId="0" applyFont="1" applyBorder="1"/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0" fillId="0" borderId="25" xfId="0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8" xfId="0" applyFont="1" applyBorder="1"/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 vertical="center" wrapText="1"/>
    </xf>
    <xf numFmtId="0" fontId="8" fillId="2" borderId="34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/>
    </xf>
  </cellXfs>
  <cellStyles count="1">
    <cellStyle name="Normal" xfId="0" builtinId="0"/>
  </cellStyles>
  <dxfs count="3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CB73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E46" sqref="E46"/>
    </sheetView>
  </sheetViews>
  <sheetFormatPr defaultRowHeight="15" x14ac:dyDescent="0.25"/>
  <cols>
    <col min="1" max="1" width="7.140625" style="60" customWidth="1"/>
    <col min="2" max="2" width="8" style="44" bestFit="1" customWidth="1"/>
    <col min="3" max="3" width="12.140625" style="44" customWidth="1"/>
    <col min="4" max="4" width="8" style="44" customWidth="1"/>
    <col min="5" max="5" width="9.5703125" style="44" customWidth="1"/>
    <col min="6" max="7" width="11.28515625" style="44" customWidth="1"/>
    <col min="8" max="8" width="6.85546875" style="61" customWidth="1"/>
    <col min="9" max="10" width="8.5703125" style="61" hidden="1" customWidth="1"/>
    <col min="11" max="12" width="9.28515625" style="61" hidden="1" customWidth="1"/>
    <col min="13" max="14" width="12.140625" style="61" hidden="1" customWidth="1"/>
    <col min="15" max="15" width="6.7109375" style="61" customWidth="1"/>
    <col min="16" max="16" width="13" style="59" hidden="1" customWidth="1"/>
    <col min="17" max="17" width="15.85546875" style="59" hidden="1" customWidth="1"/>
    <col min="18" max="18" width="13" style="59" hidden="1" customWidth="1"/>
    <col min="19" max="19" width="16.28515625" style="59" hidden="1" customWidth="1"/>
    <col min="20" max="21" width="9.28515625" style="59" hidden="1" customWidth="1"/>
    <col min="22" max="22" width="6.42578125" style="59" customWidth="1"/>
    <col min="23" max="23" width="13" style="59" hidden="1" customWidth="1"/>
    <col min="24" max="24" width="13.7109375" style="59" hidden="1" customWidth="1"/>
    <col min="25" max="25" width="13" style="59" hidden="1" customWidth="1"/>
    <col min="26" max="26" width="8.85546875" style="59" hidden="1" customWidth="1"/>
    <col min="27" max="27" width="7.5703125" style="59" hidden="1" customWidth="1"/>
    <col min="28" max="28" width="8.85546875" style="59" hidden="1" customWidth="1"/>
    <col min="29" max="29" width="8.42578125" style="59" customWidth="1"/>
    <col min="30" max="32" width="8.42578125" style="59" hidden="1" customWidth="1"/>
    <col min="33" max="33" width="13" style="59" hidden="1" customWidth="1"/>
    <col min="34" max="35" width="8.42578125" style="59" hidden="1" customWidth="1"/>
    <col min="36" max="36" width="8.42578125" style="59" customWidth="1"/>
    <col min="37" max="42" width="8.42578125" style="59" hidden="1" customWidth="1"/>
    <col min="43" max="43" width="8.42578125" style="59" customWidth="1"/>
    <col min="44" max="49" width="8.42578125" style="59" hidden="1" customWidth="1"/>
    <col min="50" max="50" width="8.42578125" style="59" customWidth="1"/>
    <col min="51" max="53" width="8.42578125" style="59" hidden="1" customWidth="1"/>
    <col min="54" max="54" width="13" style="59" hidden="1" customWidth="1"/>
    <col min="55" max="60" width="8.42578125" style="59" hidden="1" customWidth="1"/>
    <col min="61" max="61" width="13" style="59" hidden="1" customWidth="1"/>
    <col min="62" max="63" width="8.42578125" style="59" hidden="1" customWidth="1"/>
    <col min="64" max="64" width="8.42578125" style="59" customWidth="1"/>
    <col min="65" max="69" width="8.42578125" style="176" customWidth="1"/>
    <col min="70" max="71" width="8.42578125" style="59" customWidth="1"/>
    <col min="72" max="72" width="9.140625" style="44" customWidth="1"/>
    <col min="73" max="73" width="11" style="44" bestFit="1" customWidth="1"/>
    <col min="74" max="16384" width="9.140625" style="44"/>
  </cols>
  <sheetData>
    <row r="1" spans="1:80" ht="60.75" thickBot="1" x14ac:dyDescent="0.3">
      <c r="A1" s="38" t="s">
        <v>0</v>
      </c>
      <c r="B1" s="70" t="s">
        <v>1</v>
      </c>
      <c r="C1" s="39" t="s">
        <v>87</v>
      </c>
      <c r="D1" s="70" t="s">
        <v>3</v>
      </c>
      <c r="E1" s="39" t="s">
        <v>4</v>
      </c>
      <c r="F1" s="92" t="s">
        <v>157</v>
      </c>
      <c r="G1" s="92" t="s">
        <v>55</v>
      </c>
      <c r="H1" s="40" t="s">
        <v>2</v>
      </c>
      <c r="I1" s="38" t="s">
        <v>40</v>
      </c>
      <c r="J1" s="39" t="s">
        <v>41</v>
      </c>
      <c r="K1" s="39" t="s">
        <v>42</v>
      </c>
      <c r="L1" s="39" t="s">
        <v>43</v>
      </c>
      <c r="M1" s="41" t="s">
        <v>53</v>
      </c>
      <c r="N1" s="41" t="s">
        <v>54</v>
      </c>
      <c r="O1" s="42" t="s">
        <v>52</v>
      </c>
      <c r="P1" s="38" t="s">
        <v>31</v>
      </c>
      <c r="Q1" s="39" t="s">
        <v>32</v>
      </c>
      <c r="R1" s="39" t="s">
        <v>33</v>
      </c>
      <c r="S1" s="39" t="s">
        <v>34</v>
      </c>
      <c r="T1" s="41" t="s">
        <v>35</v>
      </c>
      <c r="U1" s="41" t="s">
        <v>36</v>
      </c>
      <c r="V1" s="42" t="s">
        <v>51</v>
      </c>
      <c r="W1" s="38" t="s">
        <v>47</v>
      </c>
      <c r="X1" s="39" t="s">
        <v>48</v>
      </c>
      <c r="Y1" s="39" t="s">
        <v>49</v>
      </c>
      <c r="Z1" s="39" t="s">
        <v>50</v>
      </c>
      <c r="AA1" s="41" t="s">
        <v>44</v>
      </c>
      <c r="AB1" s="41" t="s">
        <v>45</v>
      </c>
      <c r="AC1" s="42" t="s">
        <v>46</v>
      </c>
      <c r="AD1" s="38" t="s">
        <v>66</v>
      </c>
      <c r="AE1" s="39" t="s">
        <v>67</v>
      </c>
      <c r="AF1" s="39" t="s">
        <v>68</v>
      </c>
      <c r="AG1" s="39" t="s">
        <v>69</v>
      </c>
      <c r="AH1" s="41" t="s">
        <v>70</v>
      </c>
      <c r="AI1" s="41" t="s">
        <v>71</v>
      </c>
      <c r="AJ1" s="42" t="s">
        <v>72</v>
      </c>
      <c r="AK1" s="38" t="s">
        <v>118</v>
      </c>
      <c r="AL1" s="39" t="s">
        <v>119</v>
      </c>
      <c r="AM1" s="39" t="s">
        <v>120</v>
      </c>
      <c r="AN1" s="39" t="s">
        <v>121</v>
      </c>
      <c r="AO1" s="41" t="s">
        <v>122</v>
      </c>
      <c r="AP1" s="41" t="s">
        <v>123</v>
      </c>
      <c r="AQ1" s="42" t="s">
        <v>124</v>
      </c>
      <c r="AR1" s="69" t="s">
        <v>131</v>
      </c>
      <c r="AS1" s="70" t="s">
        <v>132</v>
      </c>
      <c r="AT1" s="70" t="s">
        <v>133</v>
      </c>
      <c r="AU1" s="70" t="s">
        <v>134</v>
      </c>
      <c r="AV1" s="71" t="s">
        <v>135</v>
      </c>
      <c r="AW1" s="71" t="s">
        <v>136</v>
      </c>
      <c r="AX1" s="72" t="s">
        <v>137</v>
      </c>
      <c r="AY1" s="69" t="s">
        <v>150</v>
      </c>
      <c r="AZ1" s="70" t="s">
        <v>151</v>
      </c>
      <c r="BA1" s="70" t="s">
        <v>152</v>
      </c>
      <c r="BB1" s="70" t="s">
        <v>153</v>
      </c>
      <c r="BC1" s="71" t="s">
        <v>154</v>
      </c>
      <c r="BD1" s="71" t="s">
        <v>155</v>
      </c>
      <c r="BE1" s="72" t="s">
        <v>156</v>
      </c>
      <c r="BF1" s="69" t="s">
        <v>170</v>
      </c>
      <c r="BG1" s="70" t="s">
        <v>171</v>
      </c>
      <c r="BH1" s="70" t="s">
        <v>172</v>
      </c>
      <c r="BI1" s="70" t="s">
        <v>173</v>
      </c>
      <c r="BJ1" s="71" t="s">
        <v>176</v>
      </c>
      <c r="BK1" s="71" t="s">
        <v>175</v>
      </c>
      <c r="BL1" s="183" t="s">
        <v>174</v>
      </c>
      <c r="BM1" s="184" t="s">
        <v>196</v>
      </c>
      <c r="BN1" s="185" t="s">
        <v>197</v>
      </c>
      <c r="BO1" s="185" t="s">
        <v>198</v>
      </c>
      <c r="BP1" s="186" t="s">
        <v>199</v>
      </c>
      <c r="BQ1" s="191" t="s">
        <v>200</v>
      </c>
      <c r="BR1" s="71" t="s">
        <v>201</v>
      </c>
      <c r="BS1" s="72" t="s">
        <v>202</v>
      </c>
      <c r="BT1" s="189" t="s">
        <v>159</v>
      </c>
      <c r="BU1" s="91" t="s">
        <v>161</v>
      </c>
      <c r="BV1" s="91" t="s">
        <v>160</v>
      </c>
      <c r="BW1" s="91" t="s">
        <v>162</v>
      </c>
      <c r="BX1" s="43" t="s">
        <v>130</v>
      </c>
      <c r="BY1" s="91" t="s">
        <v>158</v>
      </c>
      <c r="BZ1" s="43" t="s">
        <v>144</v>
      </c>
      <c r="CA1" s="43" t="s">
        <v>145</v>
      </c>
      <c r="CB1" s="91" t="s">
        <v>146</v>
      </c>
    </row>
    <row r="2" spans="1:80" hidden="1" x14ac:dyDescent="0.25">
      <c r="A2" s="97" t="s">
        <v>88</v>
      </c>
      <c r="B2" s="98" t="s">
        <v>126</v>
      </c>
      <c r="C2" s="81" t="str">
        <f>B2&amp;" "&amp;A2</f>
        <v>דיאנה אחודה</v>
      </c>
      <c r="D2" s="47" t="s">
        <v>6</v>
      </c>
      <c r="E2" s="65" t="s">
        <v>7</v>
      </c>
      <c r="F2" s="90">
        <v>43009</v>
      </c>
      <c r="G2" s="58">
        <v>43291</v>
      </c>
      <c r="H2" s="48"/>
      <c r="I2" s="49"/>
      <c r="J2" s="50"/>
      <c r="K2" s="50"/>
      <c r="L2" s="50"/>
      <c r="M2" s="51">
        <f>I2*3+K2</f>
        <v>0</v>
      </c>
      <c r="N2" s="51">
        <f>J2*3+L2</f>
        <v>0</v>
      </c>
      <c r="O2" s="52">
        <f>N2+M2</f>
        <v>0</v>
      </c>
      <c r="P2" s="45"/>
      <c r="Q2" s="47"/>
      <c r="R2" s="47"/>
      <c r="S2" s="47"/>
      <c r="T2" s="51">
        <f>P2*3+R2</f>
        <v>0</v>
      </c>
      <c r="U2" s="51">
        <f>Q2*3+S2</f>
        <v>0</v>
      </c>
      <c r="V2" s="53">
        <f>U2+T2</f>
        <v>0</v>
      </c>
      <c r="W2" s="45"/>
      <c r="X2" s="47"/>
      <c r="Y2" s="47"/>
      <c r="Z2" s="47"/>
      <c r="AA2" s="54">
        <f>W2*3+Y2</f>
        <v>0</v>
      </c>
      <c r="AB2" s="54">
        <f>X2*3+Z2</f>
        <v>0</v>
      </c>
      <c r="AC2" s="55">
        <f>AB2+AA2</f>
        <v>0</v>
      </c>
      <c r="AD2" s="45"/>
      <c r="AE2" s="47"/>
      <c r="AF2" s="47"/>
      <c r="AG2" s="47"/>
      <c r="AH2" s="51">
        <f>AD2*3+AF2</f>
        <v>0</v>
      </c>
      <c r="AI2" s="51">
        <f>AE2*3+AG2</f>
        <v>0</v>
      </c>
      <c r="AJ2" s="53">
        <f>AI2+AH2</f>
        <v>0</v>
      </c>
      <c r="AK2" s="45">
        <v>1</v>
      </c>
      <c r="AL2" s="47"/>
      <c r="AM2" s="47">
        <v>1</v>
      </c>
      <c r="AN2" s="47"/>
      <c r="AO2" s="51">
        <f>AK2*3+AM2</f>
        <v>4</v>
      </c>
      <c r="AP2" s="51">
        <f>AL2*3+AN2</f>
        <v>0</v>
      </c>
      <c r="AQ2" s="53">
        <f>AP2+AO2</f>
        <v>4</v>
      </c>
      <c r="AR2" s="45"/>
      <c r="AS2" s="47"/>
      <c r="AT2" s="47">
        <v>4</v>
      </c>
      <c r="AU2" s="47"/>
      <c r="AV2" s="51">
        <f>AR2*3+AT2</f>
        <v>4</v>
      </c>
      <c r="AW2" s="51">
        <f>AS2*3+AU2</f>
        <v>0</v>
      </c>
      <c r="AX2" s="53">
        <f>AW2+AV2</f>
        <v>4</v>
      </c>
      <c r="AY2" s="45">
        <v>1</v>
      </c>
      <c r="AZ2" s="47"/>
      <c r="BA2" s="47">
        <v>1</v>
      </c>
      <c r="BB2" s="47"/>
      <c r="BC2" s="51">
        <f>AY2*3+BA2</f>
        <v>4</v>
      </c>
      <c r="BD2" s="51">
        <f>AZ2*3+BB2</f>
        <v>0</v>
      </c>
      <c r="BE2" s="53">
        <f>BD2+BC2</f>
        <v>4</v>
      </c>
      <c r="BF2" s="45"/>
      <c r="BG2" s="47"/>
      <c r="BH2" s="47">
        <v>3</v>
      </c>
      <c r="BI2" s="47"/>
      <c r="BJ2" s="51">
        <f>BF2*3+BH2</f>
        <v>3</v>
      </c>
      <c r="BK2" s="51">
        <f>BG2*3+BI2</f>
        <v>0</v>
      </c>
      <c r="BL2" s="177">
        <f>BK2+BJ2</f>
        <v>3</v>
      </c>
      <c r="BM2" s="180"/>
      <c r="BN2" s="181">
        <v>1</v>
      </c>
      <c r="BO2" s="181">
        <v>2</v>
      </c>
      <c r="BP2" s="181"/>
      <c r="BQ2" s="51">
        <f>BM2*3+BO2</f>
        <v>2</v>
      </c>
      <c r="BR2" s="51">
        <f>BN2*3+BP2</f>
        <v>3</v>
      </c>
      <c r="BS2" s="177">
        <f>BR2+BQ2</f>
        <v>5</v>
      </c>
      <c r="BT2" s="190">
        <f>SUM(AO2,AH2,AA2,T2,M2,AV2,BC2,BJ2,BQ2)</f>
        <v>17</v>
      </c>
      <c r="BU2" s="93">
        <f ca="1">BT2/(TODAY()-F2)</f>
        <v>0.11888111888111888</v>
      </c>
      <c r="BV2" s="56">
        <f>SUM(AP2,AI2,AB2,U2,N2,AW2,BD2,BK2,BR2)</f>
        <v>3</v>
      </c>
      <c r="BW2" s="93">
        <f ca="1">BV2/(TODAY()-F2)</f>
        <v>2.097902097902098E-2</v>
      </c>
      <c r="BX2" s="56">
        <f>BT2+BV2</f>
        <v>20</v>
      </c>
      <c r="BY2" s="93">
        <f ca="1">BW2+BU2</f>
        <v>0.13986013986013987</v>
      </c>
      <c r="BZ2" s="56">
        <f>SUM(AR2,AK2,AD2,W2,P2,P2,I2,AY2,BF2,BM2)</f>
        <v>2</v>
      </c>
      <c r="CA2" s="56">
        <f>SUM(AS2,AL2,AE2,X2,Q2,Q2,J2,AZ2,BG2,BN2)</f>
        <v>1</v>
      </c>
      <c r="CB2" s="56">
        <f>CA2+BZ2</f>
        <v>3</v>
      </c>
    </row>
    <row r="3" spans="1:80" x14ac:dyDescent="0.25">
      <c r="A3" s="45">
        <v>679</v>
      </c>
      <c r="B3" s="46" t="s">
        <v>11</v>
      </c>
      <c r="C3" s="81" t="str">
        <f>B3&amp;" "&amp;A3</f>
        <v>מירב 679</v>
      </c>
      <c r="D3" s="47" t="s">
        <v>6</v>
      </c>
      <c r="E3" s="47" t="s">
        <v>7</v>
      </c>
      <c r="F3" s="90">
        <v>42887</v>
      </c>
      <c r="G3" s="58">
        <v>43421</v>
      </c>
      <c r="H3" s="48"/>
      <c r="I3" s="49">
        <v>1</v>
      </c>
      <c r="J3" s="50"/>
      <c r="K3" s="50">
        <v>3</v>
      </c>
      <c r="L3" s="50">
        <v>1</v>
      </c>
      <c r="M3" s="51">
        <f>I3*3+K3</f>
        <v>6</v>
      </c>
      <c r="N3" s="51">
        <f>J3*3+L3</f>
        <v>1</v>
      </c>
      <c r="O3" s="52">
        <f>N3+M3</f>
        <v>7</v>
      </c>
      <c r="P3" s="45"/>
      <c r="Q3" s="47"/>
      <c r="R3" s="47">
        <v>1</v>
      </c>
      <c r="S3" s="47">
        <v>1</v>
      </c>
      <c r="T3" s="51">
        <f>P3*3+R3</f>
        <v>1</v>
      </c>
      <c r="U3" s="51">
        <f>Q3*3+S3</f>
        <v>1</v>
      </c>
      <c r="V3" s="53">
        <f>U3+T3</f>
        <v>2</v>
      </c>
      <c r="W3" s="45"/>
      <c r="X3" s="47"/>
      <c r="Y3" s="47">
        <v>3</v>
      </c>
      <c r="Z3" s="47"/>
      <c r="AA3" s="54">
        <f>W3*3+Y3</f>
        <v>3</v>
      </c>
      <c r="AB3" s="54">
        <f>X3*3+Z3</f>
        <v>0</v>
      </c>
      <c r="AC3" s="55">
        <f>AB3+AA3</f>
        <v>3</v>
      </c>
      <c r="AD3" s="45">
        <v>1</v>
      </c>
      <c r="AE3" s="47">
        <v>1</v>
      </c>
      <c r="AF3" s="47">
        <v>1</v>
      </c>
      <c r="AG3" s="47">
        <v>1</v>
      </c>
      <c r="AH3" s="51">
        <f>AD3*3+AF3</f>
        <v>4</v>
      </c>
      <c r="AI3" s="51">
        <f>AE3*3+AG3</f>
        <v>4</v>
      </c>
      <c r="AJ3" s="53">
        <f>AI3+AH3</f>
        <v>8</v>
      </c>
      <c r="AK3" s="45"/>
      <c r="AL3" s="47"/>
      <c r="AM3" s="47">
        <v>1</v>
      </c>
      <c r="AN3" s="47">
        <v>1</v>
      </c>
      <c r="AO3" s="51">
        <f>AK3*3+AM3</f>
        <v>1</v>
      </c>
      <c r="AP3" s="51">
        <f>AL3*3+AN3</f>
        <v>1</v>
      </c>
      <c r="AQ3" s="53">
        <f>AP3+AO3</f>
        <v>2</v>
      </c>
      <c r="AR3" s="45"/>
      <c r="AS3" s="47"/>
      <c r="AT3" s="47">
        <v>1</v>
      </c>
      <c r="AU3" s="47">
        <v>2</v>
      </c>
      <c r="AV3" s="51">
        <f>AR3*3+AT3</f>
        <v>1</v>
      </c>
      <c r="AW3" s="51">
        <f>AS3*3+AU3</f>
        <v>2</v>
      </c>
      <c r="AX3" s="53">
        <f>AW3+AV3</f>
        <v>3</v>
      </c>
      <c r="AY3" s="45"/>
      <c r="AZ3" s="47"/>
      <c r="BA3" s="47">
        <v>2</v>
      </c>
      <c r="BB3" s="47">
        <v>1</v>
      </c>
      <c r="BC3" s="51">
        <f>AY3*3+BA3</f>
        <v>2</v>
      </c>
      <c r="BD3" s="51">
        <f>AZ3*3+BB3</f>
        <v>1</v>
      </c>
      <c r="BE3" s="53">
        <f>BD3+BC3</f>
        <v>3</v>
      </c>
      <c r="BF3" s="45"/>
      <c r="BG3" s="47"/>
      <c r="BH3" s="47">
        <v>2</v>
      </c>
      <c r="BI3" s="47"/>
      <c r="BJ3" s="51">
        <f>BF3*3+BH3</f>
        <v>2</v>
      </c>
      <c r="BK3" s="51">
        <f>BG3*3+BI3</f>
        <v>0</v>
      </c>
      <c r="BL3" s="177">
        <f>BK3+BJ3</f>
        <v>2</v>
      </c>
      <c r="BM3" s="97"/>
      <c r="BN3" s="179"/>
      <c r="BO3" s="179"/>
      <c r="BP3" s="179"/>
      <c r="BQ3" s="51">
        <f>BM3*3+BO3</f>
        <v>0</v>
      </c>
      <c r="BR3" s="51">
        <f>BN3*3+BP3</f>
        <v>0</v>
      </c>
      <c r="BS3" s="177">
        <f>BR3+BQ3</f>
        <v>0</v>
      </c>
      <c r="BT3" s="190">
        <f>SUM(AO3,AH3,AA3,T3,M3,AV3,BC3,BJ3,BQ3)</f>
        <v>20</v>
      </c>
      <c r="BU3" s="93">
        <f ca="1">BT3/(TODAY()-F3)</f>
        <v>7.5471698113207544E-2</v>
      </c>
      <c r="BV3" s="56">
        <f>SUM(AP3,AI3,AB3,U3,N3,AW3,BD3,BK3,BR3)</f>
        <v>10</v>
      </c>
      <c r="BW3" s="93">
        <f ca="1">BV3/(TODAY()-F3)</f>
        <v>3.7735849056603772E-2</v>
      </c>
      <c r="BX3" s="56">
        <f>BT3+BV3</f>
        <v>30</v>
      </c>
      <c r="BY3" s="93">
        <f ca="1">BW3+BU3</f>
        <v>0.11320754716981132</v>
      </c>
      <c r="BZ3" s="56">
        <f>SUM(AR3,AK3,AD3,W3,P3,P3,I3,AY3,BF3,BM3)</f>
        <v>2</v>
      </c>
      <c r="CA3" s="56">
        <f>SUM(AS3,AL3,AE3,X3,Q3,Q3,J3,AZ3,BG3,BN3)</f>
        <v>1</v>
      </c>
      <c r="CB3" s="56">
        <f>CA3+BZ3</f>
        <v>3</v>
      </c>
    </row>
    <row r="4" spans="1:80" x14ac:dyDescent="0.25">
      <c r="A4" s="45">
        <v>11</v>
      </c>
      <c r="B4" s="46" t="s">
        <v>13</v>
      </c>
      <c r="C4" s="81" t="str">
        <f>B4&amp;" "&amp;A4</f>
        <v>עדן 11</v>
      </c>
      <c r="D4" s="47" t="s">
        <v>6</v>
      </c>
      <c r="E4" s="47" t="s">
        <v>7</v>
      </c>
      <c r="F4" s="90">
        <v>42887</v>
      </c>
      <c r="G4" s="58">
        <v>43490</v>
      </c>
      <c r="H4" s="106"/>
      <c r="I4" s="49">
        <v>1</v>
      </c>
      <c r="J4" s="50"/>
      <c r="K4" s="50">
        <v>4</v>
      </c>
      <c r="L4" s="50"/>
      <c r="M4" s="51">
        <f>I4*3+K4</f>
        <v>7</v>
      </c>
      <c r="N4" s="51">
        <f>J4*3+L4</f>
        <v>0</v>
      </c>
      <c r="O4" s="52">
        <f>N4+M4</f>
        <v>7</v>
      </c>
      <c r="P4" s="45"/>
      <c r="Q4" s="47"/>
      <c r="R4" s="47">
        <v>3</v>
      </c>
      <c r="S4" s="47"/>
      <c r="T4" s="51">
        <f>P4*3+R4</f>
        <v>3</v>
      </c>
      <c r="U4" s="51">
        <f>Q4*3+S4</f>
        <v>0</v>
      </c>
      <c r="V4" s="53">
        <f>U4+T4</f>
        <v>3</v>
      </c>
      <c r="W4" s="45">
        <v>1</v>
      </c>
      <c r="X4" s="47">
        <v>1</v>
      </c>
      <c r="Y4" s="47"/>
      <c r="Z4" s="47">
        <v>1</v>
      </c>
      <c r="AA4" s="54">
        <f>W4*3+Y4</f>
        <v>3</v>
      </c>
      <c r="AB4" s="54">
        <f>X4*3+Z4</f>
        <v>4</v>
      </c>
      <c r="AC4" s="55">
        <f>AB4+AA4</f>
        <v>7</v>
      </c>
      <c r="AD4" s="45"/>
      <c r="AE4" s="47"/>
      <c r="AF4" s="47">
        <v>1</v>
      </c>
      <c r="AG4" s="47"/>
      <c r="AH4" s="51">
        <f>AD4*3+AF4</f>
        <v>1</v>
      </c>
      <c r="AI4" s="51">
        <f>AE4*3+AG4</f>
        <v>0</v>
      </c>
      <c r="AJ4" s="53">
        <f>AI4+AH4</f>
        <v>1</v>
      </c>
      <c r="AK4" s="45"/>
      <c r="AL4" s="47"/>
      <c r="AM4" s="47">
        <v>2</v>
      </c>
      <c r="AN4" s="47"/>
      <c r="AO4" s="51">
        <f>AK4*3+AM4</f>
        <v>2</v>
      </c>
      <c r="AP4" s="51">
        <f>AL4*3+AN4</f>
        <v>0</v>
      </c>
      <c r="AQ4" s="53">
        <f>AP4+AO4</f>
        <v>2</v>
      </c>
      <c r="AR4" s="45">
        <v>1</v>
      </c>
      <c r="AS4" s="47"/>
      <c r="AT4" s="47"/>
      <c r="AU4" s="47"/>
      <c r="AV4" s="51">
        <f>AR4*3+AT4</f>
        <v>3</v>
      </c>
      <c r="AW4" s="51">
        <f>AS4*3+AU4</f>
        <v>0</v>
      </c>
      <c r="AX4" s="53">
        <f>AW4+AV4</f>
        <v>3</v>
      </c>
      <c r="AY4" s="45"/>
      <c r="AZ4" s="47"/>
      <c r="BA4" s="47">
        <v>3</v>
      </c>
      <c r="BB4" s="47"/>
      <c r="BC4" s="51">
        <f>AY4*3+BA4</f>
        <v>3</v>
      </c>
      <c r="BD4" s="51">
        <f>AZ4*3+BB4</f>
        <v>0</v>
      </c>
      <c r="BE4" s="53">
        <f>BD4+BC4</f>
        <v>3</v>
      </c>
      <c r="BF4" s="45"/>
      <c r="BG4" s="47">
        <v>1</v>
      </c>
      <c r="BH4" s="47"/>
      <c r="BI4" s="47"/>
      <c r="BJ4" s="51">
        <f>BF4*3+BH4</f>
        <v>0</v>
      </c>
      <c r="BK4" s="51">
        <f>BG4*3+BI4</f>
        <v>3</v>
      </c>
      <c r="BL4" s="177">
        <f>BK4+BJ4</f>
        <v>3</v>
      </c>
      <c r="BM4" s="97"/>
      <c r="BN4" s="179"/>
      <c r="BO4" s="179"/>
      <c r="BP4" s="179"/>
      <c r="BQ4" s="51">
        <f>BM4*3+BO4</f>
        <v>0</v>
      </c>
      <c r="BR4" s="51">
        <f>BN4*3+BP4</f>
        <v>0</v>
      </c>
      <c r="BS4" s="177">
        <f>BR4+BQ4</f>
        <v>0</v>
      </c>
      <c r="BT4" s="190">
        <f>SUM(AO4,AH4,AA4,T4,M4,AV4,BC4,BJ4,BQ4)</f>
        <v>22</v>
      </c>
      <c r="BU4" s="93">
        <f ca="1">BT4/(TODAY()-F4)</f>
        <v>8.3018867924528297E-2</v>
      </c>
      <c r="BV4" s="56">
        <f>SUM(AP4,AI4,AB4,U4,N4,AW4,BD4,BK4,BR4)</f>
        <v>7</v>
      </c>
      <c r="BW4" s="93">
        <f ca="1">BV4/(TODAY()-F4)</f>
        <v>2.6415094339622643E-2</v>
      </c>
      <c r="BX4" s="56">
        <f>BT4+BV4</f>
        <v>29</v>
      </c>
      <c r="BY4" s="93">
        <f ca="1">BW4+BU4</f>
        <v>0.10943396226415095</v>
      </c>
      <c r="BZ4" s="56">
        <f>SUM(AR4,AK4,AD4,W4,P4,P4,I4,AY4,BF4,BM4)</f>
        <v>3</v>
      </c>
      <c r="CA4" s="56">
        <f>SUM(AS4,AL4,AE4,X4,Q4,Q4,J4,AZ4,BG4,BN4)</f>
        <v>2</v>
      </c>
      <c r="CB4" s="56">
        <f>CA4+BZ4</f>
        <v>5</v>
      </c>
    </row>
    <row r="5" spans="1:80" x14ac:dyDescent="0.25">
      <c r="A5" s="45">
        <v>679</v>
      </c>
      <c r="B5" s="46" t="s">
        <v>12</v>
      </c>
      <c r="C5" s="81" t="str">
        <f>B5&amp;" "&amp;A5</f>
        <v>שגית 679</v>
      </c>
      <c r="D5" s="65" t="s">
        <v>7</v>
      </c>
      <c r="E5" s="47" t="s">
        <v>7</v>
      </c>
      <c r="F5" s="90">
        <v>42887</v>
      </c>
      <c r="G5" s="58">
        <v>43297</v>
      </c>
      <c r="H5" s="106" t="s">
        <v>195</v>
      </c>
      <c r="I5" s="49"/>
      <c r="J5" s="50">
        <v>1</v>
      </c>
      <c r="K5" s="50"/>
      <c r="L5" s="50">
        <v>1</v>
      </c>
      <c r="M5" s="51">
        <f>I5*3+K5</f>
        <v>0</v>
      </c>
      <c r="N5" s="51">
        <f>J5*3+L5</f>
        <v>4</v>
      </c>
      <c r="O5" s="52">
        <f>N5+M5</f>
        <v>4</v>
      </c>
      <c r="P5" s="45"/>
      <c r="Q5" s="47">
        <v>1</v>
      </c>
      <c r="R5" s="47"/>
      <c r="S5" s="47">
        <v>1</v>
      </c>
      <c r="T5" s="51">
        <f>P5*3+R5</f>
        <v>0</v>
      </c>
      <c r="U5" s="51">
        <f>Q5*3+S5</f>
        <v>4</v>
      </c>
      <c r="V5" s="53">
        <f>U5+T5</f>
        <v>4</v>
      </c>
      <c r="W5" s="45"/>
      <c r="X5" s="47"/>
      <c r="Y5" s="47"/>
      <c r="Z5" s="47">
        <v>2</v>
      </c>
      <c r="AA5" s="54">
        <f>W5*3+Y5</f>
        <v>0</v>
      </c>
      <c r="AB5" s="54">
        <f>X5*3+Z5</f>
        <v>2</v>
      </c>
      <c r="AC5" s="55">
        <f>AB5+AA5</f>
        <v>2</v>
      </c>
      <c r="AD5" s="45"/>
      <c r="AE5" s="47"/>
      <c r="AF5" s="47"/>
      <c r="AG5" s="47">
        <v>3</v>
      </c>
      <c r="AH5" s="51">
        <f>AD5*3+AF5</f>
        <v>0</v>
      </c>
      <c r="AI5" s="51">
        <f>AE5*3+AG5</f>
        <v>3</v>
      </c>
      <c r="AJ5" s="53">
        <f>AI5+AH5</f>
        <v>3</v>
      </c>
      <c r="AK5" s="45"/>
      <c r="AL5" s="47">
        <v>1</v>
      </c>
      <c r="AM5" s="47"/>
      <c r="AN5" s="47">
        <v>1</v>
      </c>
      <c r="AO5" s="51">
        <f>AK5*3+AM5</f>
        <v>0</v>
      </c>
      <c r="AP5" s="51">
        <f>AL5*3+AN5</f>
        <v>4</v>
      </c>
      <c r="AQ5" s="53">
        <f>AP5+AO5</f>
        <v>4</v>
      </c>
      <c r="AR5" s="45"/>
      <c r="AS5" s="47">
        <v>1</v>
      </c>
      <c r="AT5" s="47"/>
      <c r="AU5" s="47">
        <v>4</v>
      </c>
      <c r="AV5" s="51">
        <f>AR5*3+AT5</f>
        <v>0</v>
      </c>
      <c r="AW5" s="51">
        <f>AS5*3+AU5</f>
        <v>7</v>
      </c>
      <c r="AX5" s="53">
        <f>AW5+AV5</f>
        <v>7</v>
      </c>
      <c r="AY5" s="45"/>
      <c r="AZ5" s="47"/>
      <c r="BA5" s="47"/>
      <c r="BB5" s="47">
        <v>1</v>
      </c>
      <c r="BC5" s="51">
        <f>AY5*3+BA5</f>
        <v>0</v>
      </c>
      <c r="BD5" s="51">
        <f>AZ5*3+BB5</f>
        <v>1</v>
      </c>
      <c r="BE5" s="53">
        <f>BD5+BC5</f>
        <v>1</v>
      </c>
      <c r="BF5" s="45"/>
      <c r="BG5" s="47"/>
      <c r="BH5" s="47"/>
      <c r="BI5" s="47">
        <v>3</v>
      </c>
      <c r="BJ5" s="51">
        <f>BF5*3+BH5</f>
        <v>0</v>
      </c>
      <c r="BK5" s="51">
        <f>BG5*3+BI5</f>
        <v>3</v>
      </c>
      <c r="BL5" s="177">
        <f>BK5+BJ5</f>
        <v>3</v>
      </c>
      <c r="BM5" s="97"/>
      <c r="BN5" s="179"/>
      <c r="BO5" s="179"/>
      <c r="BP5" s="179">
        <v>1</v>
      </c>
      <c r="BQ5" s="51">
        <f>BM5*3+BO5</f>
        <v>0</v>
      </c>
      <c r="BR5" s="51">
        <f>BN5*3+BP5</f>
        <v>1</v>
      </c>
      <c r="BS5" s="177">
        <f>BR5+BQ5</f>
        <v>1</v>
      </c>
      <c r="BT5" s="190">
        <f>SUM(AO5,AH5,AA5,T5,M5,AV5,BC5,BJ5,BQ5)</f>
        <v>0</v>
      </c>
      <c r="BU5" s="93">
        <f ca="1">BT5/(TODAY()-F5)</f>
        <v>0</v>
      </c>
      <c r="BV5" s="56">
        <f>SUM(AP5,AI5,AB5,U5,N5,AW5,BD5,BK5,BR5)</f>
        <v>29</v>
      </c>
      <c r="BW5" s="93">
        <f ca="1">BV5/(TODAY()-F5)</f>
        <v>0.10943396226415095</v>
      </c>
      <c r="BX5" s="56">
        <f>BT5+BV5</f>
        <v>29</v>
      </c>
      <c r="BY5" s="93">
        <f ca="1">BW5+BU5</f>
        <v>0.10943396226415095</v>
      </c>
      <c r="BZ5" s="56">
        <f>SUM(AR5,AK5,AD5,W5,P5,P5,I5,AY5,BF5,BM5)</f>
        <v>0</v>
      </c>
      <c r="CA5" s="56">
        <f>SUM(AS5,AL5,AE5,X5,Q5,Q5,J5,AZ5,BG5,BN5)</f>
        <v>5</v>
      </c>
      <c r="CB5" s="56">
        <f>CA5+BZ5</f>
        <v>5</v>
      </c>
    </row>
    <row r="6" spans="1:80" x14ac:dyDescent="0.25">
      <c r="A6" s="45">
        <v>679</v>
      </c>
      <c r="B6" s="46" t="s">
        <v>20</v>
      </c>
      <c r="C6" s="81" t="str">
        <f>B6&amp;" "&amp;A6</f>
        <v>הדס 679</v>
      </c>
      <c r="D6" s="47" t="s">
        <v>7</v>
      </c>
      <c r="E6" s="47" t="s">
        <v>7</v>
      </c>
      <c r="F6" s="90">
        <v>42887</v>
      </c>
      <c r="G6" s="57">
        <v>43360</v>
      </c>
      <c r="H6" s="48"/>
      <c r="I6" s="49"/>
      <c r="J6" s="50"/>
      <c r="K6" s="50"/>
      <c r="L6" s="50">
        <v>1</v>
      </c>
      <c r="M6" s="51">
        <f>I6*3+K6</f>
        <v>0</v>
      </c>
      <c r="N6" s="51">
        <f>J6*3+L6</f>
        <v>1</v>
      </c>
      <c r="O6" s="52">
        <f>N6+M6</f>
        <v>1</v>
      </c>
      <c r="P6" s="45"/>
      <c r="Q6" s="47">
        <v>1</v>
      </c>
      <c r="R6" s="47"/>
      <c r="S6" s="47">
        <v>1</v>
      </c>
      <c r="T6" s="51">
        <f>P6*3+R6</f>
        <v>0</v>
      </c>
      <c r="U6" s="51">
        <f>Q6*3+S6</f>
        <v>4</v>
      </c>
      <c r="V6" s="53">
        <f>U6+T6</f>
        <v>4</v>
      </c>
      <c r="W6" s="45"/>
      <c r="X6" s="47">
        <v>1</v>
      </c>
      <c r="Y6" s="47"/>
      <c r="Z6" s="47">
        <v>4</v>
      </c>
      <c r="AA6" s="54">
        <f>W6*3+Y6</f>
        <v>0</v>
      </c>
      <c r="AB6" s="54">
        <f>X6*3+Z6</f>
        <v>7</v>
      </c>
      <c r="AC6" s="55">
        <f>AB6+AA6</f>
        <v>7</v>
      </c>
      <c r="AD6" s="45"/>
      <c r="AE6" s="47">
        <v>1</v>
      </c>
      <c r="AF6" s="47"/>
      <c r="AG6" s="47">
        <v>1</v>
      </c>
      <c r="AH6" s="51">
        <f>AD6*3+AF6</f>
        <v>0</v>
      </c>
      <c r="AI6" s="51">
        <f>AE6*3+AG6</f>
        <v>4</v>
      </c>
      <c r="AJ6" s="53">
        <f>AI6+AH6</f>
        <v>4</v>
      </c>
      <c r="AK6" s="45"/>
      <c r="AL6" s="47"/>
      <c r="AM6" s="47"/>
      <c r="AN6" s="47">
        <v>1</v>
      </c>
      <c r="AO6" s="51">
        <f>AK6*3+AM6</f>
        <v>0</v>
      </c>
      <c r="AP6" s="51">
        <f>AL6*3+AN6</f>
        <v>1</v>
      </c>
      <c r="AQ6" s="53">
        <f>AP6+AO6</f>
        <v>1</v>
      </c>
      <c r="AR6" s="45"/>
      <c r="AS6" s="47">
        <v>1</v>
      </c>
      <c r="AT6" s="47"/>
      <c r="AU6" s="47">
        <v>1</v>
      </c>
      <c r="AV6" s="51">
        <f>AR6*3+AT6</f>
        <v>0</v>
      </c>
      <c r="AW6" s="51">
        <f>AS6*3+AU6</f>
        <v>4</v>
      </c>
      <c r="AX6" s="53">
        <f>AW6+AV6</f>
        <v>4</v>
      </c>
      <c r="AY6" s="45"/>
      <c r="AZ6" s="47">
        <v>1</v>
      </c>
      <c r="BA6" s="47"/>
      <c r="BB6" s="47">
        <v>2</v>
      </c>
      <c r="BC6" s="51">
        <f>AY6*3+BA6</f>
        <v>0</v>
      </c>
      <c r="BD6" s="51">
        <f>AZ6*3+BB6</f>
        <v>5</v>
      </c>
      <c r="BE6" s="53">
        <f>BD6+BC6</f>
        <v>5</v>
      </c>
      <c r="BF6" s="45"/>
      <c r="BG6" s="47"/>
      <c r="BH6" s="47"/>
      <c r="BI6" s="47">
        <v>2</v>
      </c>
      <c r="BJ6" s="51">
        <f>BF6*3+BH6</f>
        <v>0</v>
      </c>
      <c r="BK6" s="51">
        <f>BG6*3+BI6</f>
        <v>2</v>
      </c>
      <c r="BL6" s="177">
        <f>BK6+BJ6</f>
        <v>2</v>
      </c>
      <c r="BM6" s="97"/>
      <c r="BN6" s="179"/>
      <c r="BO6" s="179"/>
      <c r="BP6" s="179">
        <v>1</v>
      </c>
      <c r="BQ6" s="51">
        <f>BM6*3+BO6</f>
        <v>0</v>
      </c>
      <c r="BR6" s="51">
        <f>BN6*3+BP6</f>
        <v>1</v>
      </c>
      <c r="BS6" s="177">
        <f>BR6+BQ6</f>
        <v>1</v>
      </c>
      <c r="BT6" s="190">
        <f>SUM(AO6,AH6,AA6,T6,M6,AV6,BC6,BJ6,BQ6)</f>
        <v>0</v>
      </c>
      <c r="BU6" s="93">
        <f ca="1">BT6/(TODAY()-F6)</f>
        <v>0</v>
      </c>
      <c r="BV6" s="56">
        <f>SUM(AP6,AI6,AB6,U6,N6,AW6,BD6,BK6,BR6)</f>
        <v>29</v>
      </c>
      <c r="BW6" s="93">
        <f ca="1">BV6/(TODAY()-F6)</f>
        <v>0.10943396226415095</v>
      </c>
      <c r="BX6" s="56">
        <f>BT6+BV6</f>
        <v>29</v>
      </c>
      <c r="BY6" s="93">
        <f ca="1">BW6+BU6</f>
        <v>0.10943396226415095</v>
      </c>
      <c r="BZ6" s="56">
        <f>SUM(AR6,AK6,AD6,W6,P6,P6,I6,AY6,BF6,BM6)</f>
        <v>0</v>
      </c>
      <c r="CA6" s="56">
        <f>SUM(AS6,AL6,AE6,X6,Q6,Q6,J6,AZ6,BG6,BN6)</f>
        <v>6</v>
      </c>
      <c r="CB6" s="56">
        <f>CA6+BZ6</f>
        <v>6</v>
      </c>
    </row>
    <row r="7" spans="1:80" x14ac:dyDescent="0.25">
      <c r="A7" s="45">
        <v>11</v>
      </c>
      <c r="B7" s="46" t="s">
        <v>10</v>
      </c>
      <c r="C7" s="81" t="str">
        <f>B7&amp;" "&amp;A7</f>
        <v>טאי 11</v>
      </c>
      <c r="D7" s="47" t="s">
        <v>6</v>
      </c>
      <c r="E7" s="47" t="s">
        <v>7</v>
      </c>
      <c r="F7" s="90">
        <v>42887</v>
      </c>
      <c r="G7" s="57">
        <v>43360</v>
      </c>
      <c r="H7" s="48"/>
      <c r="I7" s="49">
        <v>1</v>
      </c>
      <c r="J7" s="50"/>
      <c r="K7" s="50">
        <v>1</v>
      </c>
      <c r="L7" s="50">
        <v>1</v>
      </c>
      <c r="M7" s="51">
        <f>I7*3+K7</f>
        <v>4</v>
      </c>
      <c r="N7" s="51">
        <f>J7*3+L7</f>
        <v>1</v>
      </c>
      <c r="O7" s="52">
        <f>N7+M7</f>
        <v>5</v>
      </c>
      <c r="P7" s="45">
        <v>1</v>
      </c>
      <c r="Q7" s="47"/>
      <c r="R7" s="47"/>
      <c r="S7" s="47">
        <v>1</v>
      </c>
      <c r="T7" s="51">
        <f>P7*3+R7</f>
        <v>3</v>
      </c>
      <c r="U7" s="51">
        <f>Q7*3+S7</f>
        <v>1</v>
      </c>
      <c r="V7" s="53">
        <f>U7+T7</f>
        <v>4</v>
      </c>
      <c r="W7" s="45"/>
      <c r="X7" s="47"/>
      <c r="Y7" s="47">
        <v>2</v>
      </c>
      <c r="Z7" s="47"/>
      <c r="AA7" s="54">
        <f>W7*3+Y7</f>
        <v>2</v>
      </c>
      <c r="AB7" s="54">
        <f>X7*3+Z7</f>
        <v>0</v>
      </c>
      <c r="AC7" s="55">
        <f>AB7+AA7</f>
        <v>2</v>
      </c>
      <c r="AD7" s="45">
        <v>1</v>
      </c>
      <c r="AE7" s="47"/>
      <c r="AF7" s="47">
        <v>1</v>
      </c>
      <c r="AG7" s="47"/>
      <c r="AH7" s="51">
        <f>AD7*3+AF7</f>
        <v>4</v>
      </c>
      <c r="AI7" s="51">
        <f>AE7*3+AG7</f>
        <v>0</v>
      </c>
      <c r="AJ7" s="53">
        <f>AI7+AH7</f>
        <v>4</v>
      </c>
      <c r="AK7" s="45"/>
      <c r="AL7" s="47"/>
      <c r="AM7" s="47">
        <v>2</v>
      </c>
      <c r="AN7" s="47"/>
      <c r="AO7" s="51">
        <f>AK7*3+AM7</f>
        <v>2</v>
      </c>
      <c r="AP7" s="51">
        <f>AL7*3+AN7</f>
        <v>0</v>
      </c>
      <c r="AQ7" s="53">
        <f>AP7+AO7</f>
        <v>2</v>
      </c>
      <c r="AR7" s="45"/>
      <c r="AS7" s="47"/>
      <c r="AT7" s="47">
        <v>2</v>
      </c>
      <c r="AU7" s="47">
        <v>1</v>
      </c>
      <c r="AV7" s="51">
        <f>AR7*3+AT7</f>
        <v>2</v>
      </c>
      <c r="AW7" s="51">
        <f>AS7*3+AU7</f>
        <v>1</v>
      </c>
      <c r="AX7" s="53">
        <f>AW7+AV7</f>
        <v>3</v>
      </c>
      <c r="AY7" s="45">
        <v>1</v>
      </c>
      <c r="AZ7" s="47"/>
      <c r="BA7" s="47">
        <v>1</v>
      </c>
      <c r="BB7" s="47"/>
      <c r="BC7" s="51">
        <f>AY7*3+BA7</f>
        <v>4</v>
      </c>
      <c r="BD7" s="51">
        <f>AZ7*3+BB7</f>
        <v>0</v>
      </c>
      <c r="BE7" s="53">
        <f>BD7+BC7</f>
        <v>4</v>
      </c>
      <c r="BF7" s="45"/>
      <c r="BG7" s="47"/>
      <c r="BH7" s="47">
        <v>1</v>
      </c>
      <c r="BI7" s="47">
        <v>1</v>
      </c>
      <c r="BJ7" s="51">
        <f>BF7*3+BH7</f>
        <v>1</v>
      </c>
      <c r="BK7" s="51">
        <f>BG7*3+BI7</f>
        <v>1</v>
      </c>
      <c r="BL7" s="177">
        <f>BK7+BJ7</f>
        <v>2</v>
      </c>
      <c r="BM7" s="97"/>
      <c r="BN7" s="179"/>
      <c r="BO7" s="179"/>
      <c r="BP7" s="179"/>
      <c r="BQ7" s="51">
        <f>BM7*3+BO7</f>
        <v>0</v>
      </c>
      <c r="BR7" s="51">
        <f>BN7*3+BP7</f>
        <v>0</v>
      </c>
      <c r="BS7" s="177">
        <f>BR7+BQ7</f>
        <v>0</v>
      </c>
      <c r="BT7" s="190">
        <f>SUM(AO7,AH7,AA7,T7,M7,AV7,BC7,BJ7,BQ7)</f>
        <v>22</v>
      </c>
      <c r="BU7" s="93">
        <f ca="1">BT7/(TODAY()-F7)</f>
        <v>8.3018867924528297E-2</v>
      </c>
      <c r="BV7" s="56">
        <f>SUM(AP7,AI7,AB7,U7,N7,AW7,BD7,BK7,BR7)</f>
        <v>4</v>
      </c>
      <c r="BW7" s="93">
        <f ca="1">BV7/(TODAY()-F7)</f>
        <v>1.509433962264151E-2</v>
      </c>
      <c r="BX7" s="56">
        <f>BT7+BV7</f>
        <v>26</v>
      </c>
      <c r="BY7" s="93">
        <f ca="1">BW7+BU7</f>
        <v>9.8113207547169803E-2</v>
      </c>
      <c r="BZ7" s="56">
        <f>SUM(AR7,AK7,AD7,W7,P7,P7,I7,AY7,BF7,BM7)</f>
        <v>5</v>
      </c>
      <c r="CA7" s="56">
        <f>SUM(AS7,AL7,AE7,X7,Q7,Q7,J7,AZ7,BG7,BN7)</f>
        <v>0</v>
      </c>
      <c r="CB7" s="56">
        <f>CA7+BZ7</f>
        <v>5</v>
      </c>
    </row>
    <row r="8" spans="1:80" x14ac:dyDescent="0.25">
      <c r="A8" s="45" t="s">
        <v>17</v>
      </c>
      <c r="B8" s="46" t="s">
        <v>16</v>
      </c>
      <c r="C8" s="81" t="str">
        <f>B8&amp;" "&amp;A8</f>
        <v>שיר מפאוג</v>
      </c>
      <c r="D8" s="47" t="s">
        <v>6</v>
      </c>
      <c r="E8" s="47" t="s">
        <v>7</v>
      </c>
      <c r="F8" s="90">
        <v>42887</v>
      </c>
      <c r="G8" s="57">
        <v>43360</v>
      </c>
      <c r="H8" s="48"/>
      <c r="I8" s="49"/>
      <c r="J8" s="50"/>
      <c r="K8" s="50">
        <v>2</v>
      </c>
      <c r="L8" s="50"/>
      <c r="M8" s="51">
        <f>I8*3+K8</f>
        <v>2</v>
      </c>
      <c r="N8" s="51">
        <f>J8*3+L8</f>
        <v>0</v>
      </c>
      <c r="O8" s="52">
        <f>N8+M8</f>
        <v>2</v>
      </c>
      <c r="P8" s="45">
        <v>1</v>
      </c>
      <c r="Q8" s="47"/>
      <c r="R8" s="47"/>
      <c r="S8" s="47"/>
      <c r="T8" s="51">
        <f>P8*3+R8</f>
        <v>3</v>
      </c>
      <c r="U8" s="51">
        <f>Q8*3+S8</f>
        <v>0</v>
      </c>
      <c r="V8" s="53">
        <f>U8+T8</f>
        <v>3</v>
      </c>
      <c r="W8" s="45"/>
      <c r="X8" s="47">
        <v>1</v>
      </c>
      <c r="Y8" s="47">
        <v>2</v>
      </c>
      <c r="Z8" s="47"/>
      <c r="AA8" s="54">
        <f>W8*3+Y8</f>
        <v>2</v>
      </c>
      <c r="AB8" s="54">
        <f>X8*3+Z8</f>
        <v>3</v>
      </c>
      <c r="AC8" s="55">
        <f>AB8+AA8</f>
        <v>5</v>
      </c>
      <c r="AD8" s="45"/>
      <c r="AE8" s="47"/>
      <c r="AF8" s="47">
        <v>3</v>
      </c>
      <c r="AG8" s="47"/>
      <c r="AH8" s="51">
        <f>AD8*3+AF8</f>
        <v>3</v>
      </c>
      <c r="AI8" s="51">
        <f>AE8*3+AG8</f>
        <v>0</v>
      </c>
      <c r="AJ8" s="53">
        <f>AI8+AH8</f>
        <v>3</v>
      </c>
      <c r="AK8" s="45"/>
      <c r="AL8" s="47"/>
      <c r="AM8" s="47">
        <v>2</v>
      </c>
      <c r="AN8" s="47">
        <v>1</v>
      </c>
      <c r="AO8" s="51">
        <f>AK8*3+AM8</f>
        <v>2</v>
      </c>
      <c r="AP8" s="51">
        <f>AL8*3+AN8</f>
        <v>1</v>
      </c>
      <c r="AQ8" s="53">
        <f>AP8+AO8</f>
        <v>3</v>
      </c>
      <c r="AR8" s="45">
        <v>1</v>
      </c>
      <c r="AS8" s="47"/>
      <c r="AT8" s="47">
        <v>2</v>
      </c>
      <c r="AU8" s="47"/>
      <c r="AV8" s="51">
        <f>AR8*3+AT8</f>
        <v>5</v>
      </c>
      <c r="AW8" s="51">
        <f>AS8*3+AU8</f>
        <v>0</v>
      </c>
      <c r="AX8" s="53">
        <f>AW8+AV8</f>
        <v>5</v>
      </c>
      <c r="AY8" s="45"/>
      <c r="AZ8" s="47"/>
      <c r="BA8" s="47">
        <v>2</v>
      </c>
      <c r="BB8" s="47"/>
      <c r="BC8" s="51">
        <f>AY8*3+BA8</f>
        <v>2</v>
      </c>
      <c r="BD8" s="51">
        <f>AZ8*3+BB8</f>
        <v>0</v>
      </c>
      <c r="BE8" s="53">
        <f>BD8+BC8</f>
        <v>2</v>
      </c>
      <c r="BF8" s="45"/>
      <c r="BG8" s="47"/>
      <c r="BH8" s="47">
        <v>2</v>
      </c>
      <c r="BI8" s="47">
        <v>1</v>
      </c>
      <c r="BJ8" s="51">
        <f>BF8*3+BH8</f>
        <v>2</v>
      </c>
      <c r="BK8" s="51">
        <f>BG8*3+BI8</f>
        <v>1</v>
      </c>
      <c r="BL8" s="177">
        <f>BK8+BJ8</f>
        <v>3</v>
      </c>
      <c r="BM8" s="97"/>
      <c r="BN8" s="179"/>
      <c r="BO8" s="179"/>
      <c r="BP8" s="179"/>
      <c r="BQ8" s="51">
        <f>BM8*3+BO8</f>
        <v>0</v>
      </c>
      <c r="BR8" s="51">
        <f>BN8*3+BP8</f>
        <v>0</v>
      </c>
      <c r="BS8" s="177">
        <f>BR8+BQ8</f>
        <v>0</v>
      </c>
      <c r="BT8" s="190">
        <f>SUM(AO8,AH8,AA8,T8,M8,AV8,BC8,BJ8,BQ8)</f>
        <v>21</v>
      </c>
      <c r="BU8" s="93">
        <f ca="1">BT8/(TODAY()-F8)</f>
        <v>7.9245283018867921E-2</v>
      </c>
      <c r="BV8" s="56">
        <f>SUM(AP8,AI8,AB8,U8,N8,AW8,BD8,BK8,BR8)</f>
        <v>5</v>
      </c>
      <c r="BW8" s="93">
        <f ca="1">BV8/(TODAY()-F8)</f>
        <v>1.8867924528301886E-2</v>
      </c>
      <c r="BX8" s="56">
        <f>BT8+BV8</f>
        <v>26</v>
      </c>
      <c r="BY8" s="93">
        <f ca="1">BW8+BU8</f>
        <v>9.8113207547169803E-2</v>
      </c>
      <c r="BZ8" s="56">
        <f>SUM(AR8,AK8,AD8,W8,P8,P8,I8,AY8,BF8,BM8)</f>
        <v>3</v>
      </c>
      <c r="CA8" s="56">
        <f>SUM(AS8,AL8,AE8,X8,Q8,Q8,J8,AZ8,BG8,BN8)</f>
        <v>1</v>
      </c>
      <c r="CB8" s="56">
        <f>CA8+BZ8</f>
        <v>4</v>
      </c>
    </row>
    <row r="9" spans="1:80" x14ac:dyDescent="0.25">
      <c r="A9" s="45" t="s">
        <v>17</v>
      </c>
      <c r="B9" s="46" t="s">
        <v>21</v>
      </c>
      <c r="C9" s="81" t="str">
        <f>B9&amp;" "&amp;A9</f>
        <v>מורז מפאוג</v>
      </c>
      <c r="D9" s="47" t="s">
        <v>6</v>
      </c>
      <c r="E9" s="47" t="s">
        <v>7</v>
      </c>
      <c r="F9" s="90">
        <v>42887</v>
      </c>
      <c r="G9" s="57">
        <v>43416</v>
      </c>
      <c r="H9" s="48"/>
      <c r="I9" s="49">
        <v>1</v>
      </c>
      <c r="J9" s="50"/>
      <c r="K9" s="50">
        <v>1</v>
      </c>
      <c r="L9" s="50"/>
      <c r="M9" s="51">
        <f>I9*3+K9</f>
        <v>4</v>
      </c>
      <c r="N9" s="51">
        <f>J9*3+L9</f>
        <v>0</v>
      </c>
      <c r="O9" s="52">
        <f>N9+M9</f>
        <v>4</v>
      </c>
      <c r="P9" s="45">
        <v>1</v>
      </c>
      <c r="Q9" s="47"/>
      <c r="R9" s="47">
        <v>2</v>
      </c>
      <c r="S9" s="47"/>
      <c r="T9" s="51">
        <f>P9*3+R9</f>
        <v>5</v>
      </c>
      <c r="U9" s="51">
        <f>Q9*3+S9</f>
        <v>0</v>
      </c>
      <c r="V9" s="53">
        <f>U9+T9</f>
        <v>5</v>
      </c>
      <c r="W9" s="45"/>
      <c r="X9" s="47"/>
      <c r="Y9" s="47">
        <v>1</v>
      </c>
      <c r="Z9" s="47">
        <v>2</v>
      </c>
      <c r="AA9" s="54">
        <f>W9*3+Y9</f>
        <v>1</v>
      </c>
      <c r="AB9" s="54">
        <f>X9*3+Z9</f>
        <v>2</v>
      </c>
      <c r="AC9" s="55">
        <f>AB9+AA9</f>
        <v>3</v>
      </c>
      <c r="AD9" s="45">
        <v>1</v>
      </c>
      <c r="AE9" s="47"/>
      <c r="AF9" s="47"/>
      <c r="AG9" s="47"/>
      <c r="AH9" s="51">
        <f>AD9*3+AF9</f>
        <v>3</v>
      </c>
      <c r="AI9" s="51">
        <f>AE9*3+AG9</f>
        <v>0</v>
      </c>
      <c r="AJ9" s="53">
        <f>AI9+AH9</f>
        <v>3</v>
      </c>
      <c r="AK9" s="45"/>
      <c r="AL9" s="47"/>
      <c r="AM9" s="47"/>
      <c r="AN9" s="47"/>
      <c r="AO9" s="51">
        <f>AK9*3+AM9</f>
        <v>0</v>
      </c>
      <c r="AP9" s="51">
        <f>AL9*3+AN9</f>
        <v>0</v>
      </c>
      <c r="AQ9" s="53">
        <f>AP9+AO9</f>
        <v>0</v>
      </c>
      <c r="AR9" s="45"/>
      <c r="AS9" s="47"/>
      <c r="AT9" s="47">
        <v>1</v>
      </c>
      <c r="AU9" s="47"/>
      <c r="AV9" s="51">
        <f>AR9*3+AT9</f>
        <v>1</v>
      </c>
      <c r="AW9" s="51">
        <f>AS9*3+AU9</f>
        <v>0</v>
      </c>
      <c r="AX9" s="53">
        <f>AW9+AV9</f>
        <v>1</v>
      </c>
      <c r="AY9" s="45">
        <v>1</v>
      </c>
      <c r="AZ9" s="47"/>
      <c r="BA9" s="47"/>
      <c r="BB9" s="47">
        <v>1</v>
      </c>
      <c r="BC9" s="51">
        <f>AY9*3+BA9</f>
        <v>3</v>
      </c>
      <c r="BD9" s="51">
        <f>AZ9*3+BB9</f>
        <v>1</v>
      </c>
      <c r="BE9" s="53">
        <f>BD9+BC9</f>
        <v>4</v>
      </c>
      <c r="BF9" s="45"/>
      <c r="BG9" s="47"/>
      <c r="BH9" s="47">
        <v>2</v>
      </c>
      <c r="BI9" s="47">
        <v>1</v>
      </c>
      <c r="BJ9" s="51">
        <f>BF9*3+BH9</f>
        <v>2</v>
      </c>
      <c r="BK9" s="51">
        <f>BG9*3+BI9</f>
        <v>1</v>
      </c>
      <c r="BL9" s="177">
        <f>BK9+BJ9</f>
        <v>3</v>
      </c>
      <c r="BM9" s="97"/>
      <c r="BN9" s="179"/>
      <c r="BO9" s="179"/>
      <c r="BP9" s="179"/>
      <c r="BQ9" s="51">
        <f>BM9*3+BO9</f>
        <v>0</v>
      </c>
      <c r="BR9" s="51">
        <f>BN9*3+BP9</f>
        <v>0</v>
      </c>
      <c r="BS9" s="177">
        <f>BR9+BQ9</f>
        <v>0</v>
      </c>
      <c r="BT9" s="190">
        <f>SUM(AO9,AH9,AA9,T9,M9,AV9,BC9,BJ9,BQ9)</f>
        <v>19</v>
      </c>
      <c r="BU9" s="93">
        <f ca="1">BT9/(TODAY()-F9)</f>
        <v>7.1698113207547168E-2</v>
      </c>
      <c r="BV9" s="56">
        <f>SUM(AP9,AI9,AB9,U9,N9,AW9,BD9,BK9,BR9)</f>
        <v>4</v>
      </c>
      <c r="BW9" s="93">
        <f ca="1">BV9/(TODAY()-F9)</f>
        <v>1.509433962264151E-2</v>
      </c>
      <c r="BX9" s="56">
        <f>BT9+BV9</f>
        <v>23</v>
      </c>
      <c r="BY9" s="93">
        <f ca="1">BW9+BU9</f>
        <v>8.6792452830188674E-2</v>
      </c>
      <c r="BZ9" s="56">
        <f>SUM(AR9,AK9,AD9,W9,P9,P9,I9,AY9,BF9,BM9)</f>
        <v>5</v>
      </c>
      <c r="CA9" s="56">
        <f>SUM(AS9,AL9,AE9,X9,Q9,Q9,J9,AZ9,BG9,BN9)</f>
        <v>0</v>
      </c>
      <c r="CB9" s="56">
        <f>CA9+BZ9</f>
        <v>5</v>
      </c>
    </row>
    <row r="10" spans="1:80" x14ac:dyDescent="0.25">
      <c r="A10" s="45">
        <v>209</v>
      </c>
      <c r="B10" s="46" t="s">
        <v>8</v>
      </c>
      <c r="C10" s="46" t="str">
        <f>B10&amp;" "&amp;A10</f>
        <v>יובל 209</v>
      </c>
      <c r="D10" s="47" t="s">
        <v>6</v>
      </c>
      <c r="E10" s="47" t="s">
        <v>7</v>
      </c>
      <c r="F10" s="90">
        <v>42887</v>
      </c>
      <c r="G10" s="57">
        <v>43437</v>
      </c>
      <c r="H10" s="48"/>
      <c r="I10" s="49"/>
      <c r="J10" s="50"/>
      <c r="K10" s="50">
        <v>2</v>
      </c>
      <c r="L10" s="50">
        <v>1</v>
      </c>
      <c r="M10" s="51">
        <f>I10*3+K10</f>
        <v>2</v>
      </c>
      <c r="N10" s="51">
        <f>J10*3+L10</f>
        <v>1</v>
      </c>
      <c r="O10" s="52">
        <f>N10+M10</f>
        <v>3</v>
      </c>
      <c r="P10" s="45"/>
      <c r="Q10" s="47">
        <v>1</v>
      </c>
      <c r="R10" s="47">
        <v>2</v>
      </c>
      <c r="S10" s="47"/>
      <c r="T10" s="51">
        <f>P10*3+R10</f>
        <v>2</v>
      </c>
      <c r="U10" s="51">
        <f>Q10*3+S10</f>
        <v>3</v>
      </c>
      <c r="V10" s="53">
        <f>U10+T10</f>
        <v>5</v>
      </c>
      <c r="W10" s="45">
        <v>1</v>
      </c>
      <c r="X10" s="47"/>
      <c r="Y10" s="47"/>
      <c r="Z10" s="47"/>
      <c r="AA10" s="54">
        <f>W10*3+Y10</f>
        <v>3</v>
      </c>
      <c r="AB10" s="54">
        <f>X10*3+Z10</f>
        <v>0</v>
      </c>
      <c r="AC10" s="55">
        <f>AB10+AA10</f>
        <v>3</v>
      </c>
      <c r="AD10" s="45"/>
      <c r="AE10" s="47"/>
      <c r="AF10" s="47">
        <v>3</v>
      </c>
      <c r="AG10" s="47"/>
      <c r="AH10" s="51">
        <f>AD10*3+AF10</f>
        <v>3</v>
      </c>
      <c r="AI10" s="51">
        <f>AE10*3+AG10</f>
        <v>0</v>
      </c>
      <c r="AJ10" s="53">
        <f>AI10+AH10</f>
        <v>3</v>
      </c>
      <c r="AK10" s="45"/>
      <c r="AL10" s="47"/>
      <c r="AM10" s="47"/>
      <c r="AN10" s="47">
        <v>1</v>
      </c>
      <c r="AO10" s="51">
        <f>AK10*3+AM10</f>
        <v>0</v>
      </c>
      <c r="AP10" s="51">
        <f>AL10*3+AN10</f>
        <v>1</v>
      </c>
      <c r="AQ10" s="53">
        <f>AP10+AO10</f>
        <v>1</v>
      </c>
      <c r="AR10" s="45"/>
      <c r="AS10" s="47"/>
      <c r="AT10" s="47">
        <v>1</v>
      </c>
      <c r="AU10" s="47"/>
      <c r="AV10" s="51">
        <f>AR10*3+AT10</f>
        <v>1</v>
      </c>
      <c r="AW10" s="51">
        <f>AS10*3+AU10</f>
        <v>0</v>
      </c>
      <c r="AX10" s="53">
        <f>AW10+AV10</f>
        <v>1</v>
      </c>
      <c r="AY10" s="45"/>
      <c r="AZ10" s="47"/>
      <c r="BA10" s="47">
        <v>2</v>
      </c>
      <c r="BB10" s="47"/>
      <c r="BC10" s="51">
        <f>AY10*3+BA10</f>
        <v>2</v>
      </c>
      <c r="BD10" s="51">
        <f>AZ10*3+BB10</f>
        <v>0</v>
      </c>
      <c r="BE10" s="53">
        <f>BD10+BC10</f>
        <v>2</v>
      </c>
      <c r="BF10" s="45">
        <v>1</v>
      </c>
      <c r="BG10" s="47"/>
      <c r="BH10" s="47">
        <v>2</v>
      </c>
      <c r="BI10" s="47"/>
      <c r="BJ10" s="51">
        <f>BF10*3+BH10</f>
        <v>5</v>
      </c>
      <c r="BK10" s="51">
        <f>BG10*3+BI10</f>
        <v>0</v>
      </c>
      <c r="BL10" s="177">
        <f>BK10+BJ10</f>
        <v>5</v>
      </c>
      <c r="BM10" s="97"/>
      <c r="BN10" s="179"/>
      <c r="BO10" s="179"/>
      <c r="BP10" s="179"/>
      <c r="BQ10" s="51">
        <f>BM10*3+BO10</f>
        <v>0</v>
      </c>
      <c r="BR10" s="51">
        <f>BN10*3+BP10</f>
        <v>0</v>
      </c>
      <c r="BS10" s="177">
        <f>BR10+BQ10</f>
        <v>0</v>
      </c>
      <c r="BT10" s="190">
        <f>SUM(AO10,AH10,AA10,T10,M10,AV10,BC10,BJ10,BQ10)</f>
        <v>18</v>
      </c>
      <c r="BU10" s="93">
        <f ca="1">BT10/(TODAY()-F10)</f>
        <v>6.7924528301886791E-2</v>
      </c>
      <c r="BV10" s="56">
        <f>SUM(AP10,AI10,AB10,U10,N10,AW10,BD10,BK10,BR10)</f>
        <v>5</v>
      </c>
      <c r="BW10" s="93">
        <f ca="1">BV10/(TODAY()-F10)</f>
        <v>1.8867924528301886E-2</v>
      </c>
      <c r="BX10" s="56">
        <f>BT10+BV10</f>
        <v>23</v>
      </c>
      <c r="BY10" s="93">
        <f ca="1">BW10+BU10</f>
        <v>8.6792452830188674E-2</v>
      </c>
      <c r="BZ10" s="56">
        <f>SUM(AR10,AK10,AD10,W10,P10,P10,I10,AY10,BF10,BM10)</f>
        <v>2</v>
      </c>
      <c r="CA10" s="56">
        <f>SUM(AS10,AL10,AE10,X10,Q10,Q10,J10,AZ10,BG10,BN10)</f>
        <v>2</v>
      </c>
      <c r="CB10" s="56">
        <f>CA10+BZ10</f>
        <v>4</v>
      </c>
    </row>
    <row r="11" spans="1:80" hidden="1" x14ac:dyDescent="0.25">
      <c r="A11" s="45">
        <v>679</v>
      </c>
      <c r="B11" s="46" t="s">
        <v>16</v>
      </c>
      <c r="C11" s="81" t="str">
        <f>B11&amp;" "&amp;A11</f>
        <v>שיר 679</v>
      </c>
      <c r="D11" s="47" t="s">
        <v>6</v>
      </c>
      <c r="E11" s="47" t="s">
        <v>7</v>
      </c>
      <c r="F11" s="90">
        <v>42917</v>
      </c>
      <c r="G11" s="57">
        <v>43558</v>
      </c>
      <c r="H11" s="48" t="s">
        <v>56</v>
      </c>
      <c r="I11" s="49"/>
      <c r="J11" s="50"/>
      <c r="K11" s="50"/>
      <c r="L11" s="50"/>
      <c r="M11" s="51">
        <f>I11*3+K11</f>
        <v>0</v>
      </c>
      <c r="N11" s="51">
        <f>J11*3+L11</f>
        <v>0</v>
      </c>
      <c r="O11" s="52">
        <f>N11+M11</f>
        <v>0</v>
      </c>
      <c r="P11" s="45">
        <v>1</v>
      </c>
      <c r="Q11" s="47"/>
      <c r="R11" s="47"/>
      <c r="S11" s="47"/>
      <c r="T11" s="51">
        <f>P11*3+R11</f>
        <v>3</v>
      </c>
      <c r="U11" s="51">
        <f>Q11*3+S11</f>
        <v>0</v>
      </c>
      <c r="V11" s="53">
        <f>U11+T11</f>
        <v>3</v>
      </c>
      <c r="W11" s="45">
        <v>1</v>
      </c>
      <c r="X11" s="47"/>
      <c r="Y11" s="47">
        <v>1</v>
      </c>
      <c r="Z11" s="47"/>
      <c r="AA11" s="54">
        <f>W11*3+Y11</f>
        <v>4</v>
      </c>
      <c r="AB11" s="54">
        <f>X11*3+Z11</f>
        <v>0</v>
      </c>
      <c r="AC11" s="55">
        <f>AB11+AA11</f>
        <v>4</v>
      </c>
      <c r="AD11" s="45"/>
      <c r="AE11" s="47"/>
      <c r="AF11" s="47">
        <v>1</v>
      </c>
      <c r="AG11" s="47">
        <v>2</v>
      </c>
      <c r="AH11" s="51">
        <f>AD11*3+AF11</f>
        <v>1</v>
      </c>
      <c r="AI11" s="51">
        <f>AE11*3+AG11</f>
        <v>2</v>
      </c>
      <c r="AJ11" s="53">
        <f>AI11+AH11</f>
        <v>3</v>
      </c>
      <c r="AK11" s="45"/>
      <c r="AL11" s="47"/>
      <c r="AM11" s="47">
        <v>2</v>
      </c>
      <c r="AN11" s="47"/>
      <c r="AO11" s="51">
        <f>AK11*3+AM11</f>
        <v>2</v>
      </c>
      <c r="AP11" s="51">
        <f>AL11*3+AN11</f>
        <v>0</v>
      </c>
      <c r="AQ11" s="53">
        <f>AP11+AO11</f>
        <v>2</v>
      </c>
      <c r="AR11" s="45"/>
      <c r="AS11" s="47"/>
      <c r="AT11" s="47">
        <v>3</v>
      </c>
      <c r="AU11" s="47"/>
      <c r="AV11" s="51">
        <f>AR11*3+AT11</f>
        <v>3</v>
      </c>
      <c r="AW11" s="51">
        <f>AS11*3+AU11</f>
        <v>0</v>
      </c>
      <c r="AX11" s="53">
        <f>AW11+AV11</f>
        <v>3</v>
      </c>
      <c r="AY11" s="45">
        <v>1</v>
      </c>
      <c r="AZ11" s="47"/>
      <c r="BA11" s="47">
        <v>1</v>
      </c>
      <c r="BB11" s="47">
        <v>1</v>
      </c>
      <c r="BC11" s="51">
        <f>AY11*3+BA11</f>
        <v>4</v>
      </c>
      <c r="BD11" s="51">
        <f>AZ11*3+BB11</f>
        <v>1</v>
      </c>
      <c r="BE11" s="53">
        <f>BD11+BC11</f>
        <v>5</v>
      </c>
      <c r="BF11" s="45">
        <v>1</v>
      </c>
      <c r="BG11" s="47"/>
      <c r="BH11" s="47">
        <v>2</v>
      </c>
      <c r="BI11" s="47"/>
      <c r="BJ11" s="51">
        <f>BF11*3+BH11</f>
        <v>5</v>
      </c>
      <c r="BK11" s="51">
        <f>BG11*3+BI11</f>
        <v>0</v>
      </c>
      <c r="BL11" s="177">
        <f>BK11+BJ11</f>
        <v>5</v>
      </c>
      <c r="BM11" s="97"/>
      <c r="BN11" s="179"/>
      <c r="BO11" s="179"/>
      <c r="BP11" s="179"/>
      <c r="BQ11" s="51">
        <f>BM11*3+BO11</f>
        <v>0</v>
      </c>
      <c r="BR11" s="51">
        <f>BN11*3+BP11</f>
        <v>0</v>
      </c>
      <c r="BS11" s="177">
        <f>BR11+BQ11</f>
        <v>0</v>
      </c>
      <c r="BT11" s="190">
        <f>SUM(AO11,AH11,AA11,T11,M11,AV11,BC11,BJ11,BQ11)</f>
        <v>22</v>
      </c>
      <c r="BU11" s="93">
        <f ca="1">BT11/(TODAY()-F11)</f>
        <v>9.3617021276595741E-2</v>
      </c>
      <c r="BV11" s="56">
        <f>SUM(AP11,AI11,AB11,U11,N11,AW11,BD11,BK11,BR11)</f>
        <v>3</v>
      </c>
      <c r="BW11" s="93">
        <f ca="1">BV11/(TODAY()-F11)</f>
        <v>1.276595744680851E-2</v>
      </c>
      <c r="BX11" s="56">
        <f>BT11+BV11</f>
        <v>25</v>
      </c>
      <c r="BY11" s="93">
        <f ca="1">BW11+BU11</f>
        <v>0.10638297872340426</v>
      </c>
      <c r="BZ11" s="56">
        <f>SUM(AR11,AK11,AD11,W11,P11,P11,I11,AY11,BF11,BM11)</f>
        <v>5</v>
      </c>
      <c r="CA11" s="56">
        <f>SUM(AS11,AL11,AE11,X11,Q11,Q11,J11,AZ11,BG11,BN11)</f>
        <v>0</v>
      </c>
      <c r="CB11" s="56">
        <f>CA11+BZ11</f>
        <v>5</v>
      </c>
    </row>
    <row r="12" spans="1:80" hidden="1" x14ac:dyDescent="0.25">
      <c r="A12" s="45">
        <v>11</v>
      </c>
      <c r="B12" s="46" t="s">
        <v>9</v>
      </c>
      <c r="C12" s="81" t="str">
        <f>B12&amp;" "&amp;A12</f>
        <v>שחר 11</v>
      </c>
      <c r="D12" s="47" t="s">
        <v>6</v>
      </c>
      <c r="E12" s="47" t="s">
        <v>7</v>
      </c>
      <c r="F12" s="90">
        <v>42917</v>
      </c>
      <c r="G12" s="57">
        <v>43560</v>
      </c>
      <c r="H12" s="106" t="s">
        <v>168</v>
      </c>
      <c r="I12" s="49"/>
      <c r="J12" s="50"/>
      <c r="K12" s="50">
        <v>1</v>
      </c>
      <c r="L12" s="50"/>
      <c r="M12" s="51">
        <f>I12*3+K12</f>
        <v>1</v>
      </c>
      <c r="N12" s="51">
        <f>J12*3+L12</f>
        <v>0</v>
      </c>
      <c r="O12" s="52">
        <f>N12+M12</f>
        <v>1</v>
      </c>
      <c r="P12" s="45">
        <v>1</v>
      </c>
      <c r="Q12" s="47"/>
      <c r="R12" s="47">
        <v>2</v>
      </c>
      <c r="S12" s="47"/>
      <c r="T12" s="51">
        <f>P12*3+R12</f>
        <v>5</v>
      </c>
      <c r="U12" s="51">
        <f>Q12*3+S12</f>
        <v>0</v>
      </c>
      <c r="V12" s="53">
        <f>U12+T12</f>
        <v>5</v>
      </c>
      <c r="W12" s="45">
        <v>1</v>
      </c>
      <c r="X12" s="47"/>
      <c r="Y12" s="47">
        <v>1</v>
      </c>
      <c r="Z12" s="47"/>
      <c r="AA12" s="54">
        <f>W12*3+Y12</f>
        <v>4</v>
      </c>
      <c r="AB12" s="54">
        <f>X12*3+Z12</f>
        <v>0</v>
      </c>
      <c r="AC12" s="55">
        <f>AB12+AA12</f>
        <v>4</v>
      </c>
      <c r="AD12" s="45"/>
      <c r="AE12" s="47"/>
      <c r="AF12" s="47">
        <v>2</v>
      </c>
      <c r="AG12" s="47"/>
      <c r="AH12" s="51">
        <f>AD12*3+AF12</f>
        <v>2</v>
      </c>
      <c r="AI12" s="51">
        <f>AE12*3+AG12</f>
        <v>0</v>
      </c>
      <c r="AJ12" s="53">
        <f>AI12+AH12</f>
        <v>2</v>
      </c>
      <c r="AK12" s="45"/>
      <c r="AL12" s="47"/>
      <c r="AM12" s="47">
        <v>2</v>
      </c>
      <c r="AN12" s="47">
        <v>1</v>
      </c>
      <c r="AO12" s="51">
        <f>AK12*3+AM12</f>
        <v>2</v>
      </c>
      <c r="AP12" s="51">
        <f>AL12*3+AN12</f>
        <v>1</v>
      </c>
      <c r="AQ12" s="53">
        <f>AP12+AO12</f>
        <v>3</v>
      </c>
      <c r="AR12" s="45">
        <v>1</v>
      </c>
      <c r="AS12" s="47"/>
      <c r="AT12" s="47">
        <v>1</v>
      </c>
      <c r="AU12" s="47"/>
      <c r="AV12" s="51">
        <f>AR12*3+AT12</f>
        <v>4</v>
      </c>
      <c r="AW12" s="51">
        <f>AS12*3+AU12</f>
        <v>0</v>
      </c>
      <c r="AX12" s="53">
        <f>AW12+AV12</f>
        <v>4</v>
      </c>
      <c r="AY12" s="45">
        <v>1</v>
      </c>
      <c r="AZ12" s="47"/>
      <c r="BA12" s="47"/>
      <c r="BB12" s="47">
        <v>1</v>
      </c>
      <c r="BC12" s="51">
        <f>AY12*3+BA12</f>
        <v>3</v>
      </c>
      <c r="BD12" s="51">
        <f>AZ12*3+BB12</f>
        <v>1</v>
      </c>
      <c r="BE12" s="53">
        <f>BD12+BC12</f>
        <v>4</v>
      </c>
      <c r="BF12" s="45"/>
      <c r="BG12" s="47"/>
      <c r="BH12" s="47">
        <v>1</v>
      </c>
      <c r="BI12" s="47">
        <v>2</v>
      </c>
      <c r="BJ12" s="51">
        <f>BF12*3+BH12</f>
        <v>1</v>
      </c>
      <c r="BK12" s="51">
        <f>BG12*3+BI12</f>
        <v>2</v>
      </c>
      <c r="BL12" s="177">
        <f>BK12+BJ12</f>
        <v>3</v>
      </c>
      <c r="BM12" s="97"/>
      <c r="BN12" s="179"/>
      <c r="BO12" s="179"/>
      <c r="BP12" s="179"/>
      <c r="BQ12" s="51">
        <f>BM12*3+BO12</f>
        <v>0</v>
      </c>
      <c r="BR12" s="51">
        <f>BN12*3+BP12</f>
        <v>0</v>
      </c>
      <c r="BS12" s="177">
        <f>BR12+BQ12</f>
        <v>0</v>
      </c>
      <c r="BT12" s="190">
        <f>SUM(AO12,AH12,AA12,T12,M12,AV12,BC12,BJ12,BQ12)</f>
        <v>22</v>
      </c>
      <c r="BU12" s="93">
        <f ca="1">BT12/(TODAY()-F12)</f>
        <v>9.3617021276595741E-2</v>
      </c>
      <c r="BV12" s="56">
        <f>SUM(AP12,AI12,AB12,U12,N12,AW12,BD12,BK12,BR12)</f>
        <v>4</v>
      </c>
      <c r="BW12" s="93">
        <f ca="1">BV12/(TODAY()-F12)</f>
        <v>1.7021276595744681E-2</v>
      </c>
      <c r="BX12" s="56">
        <f>BT12+BV12</f>
        <v>26</v>
      </c>
      <c r="BY12" s="93">
        <f ca="1">BW12+BU12</f>
        <v>0.11063829787234042</v>
      </c>
      <c r="BZ12" s="56">
        <f>SUM(AR12,AK12,AD12,W12,P12,P12,I12,AY12,BF12,BM12)</f>
        <v>5</v>
      </c>
      <c r="CA12" s="56">
        <f>SUM(AS12,AL12,AE12,X12,Q12,Q12,J12,AZ12,BG12,BN12)</f>
        <v>0</v>
      </c>
      <c r="CB12" s="56">
        <f>CA12+BZ12</f>
        <v>5</v>
      </c>
    </row>
    <row r="13" spans="1:80" hidden="1" x14ac:dyDescent="0.25">
      <c r="A13" s="45">
        <v>474</v>
      </c>
      <c r="B13" s="46" t="s">
        <v>108</v>
      </c>
      <c r="C13" s="81" t="str">
        <f>B13&amp;" "&amp;A13</f>
        <v>יהל אור 474</v>
      </c>
      <c r="D13" s="47" t="s">
        <v>6</v>
      </c>
      <c r="E13" s="47" t="s">
        <v>7</v>
      </c>
      <c r="F13" s="90">
        <v>42917</v>
      </c>
      <c r="G13" s="57">
        <v>43748</v>
      </c>
      <c r="H13" s="48"/>
      <c r="I13" s="49"/>
      <c r="J13" s="50"/>
      <c r="K13" s="50"/>
      <c r="L13" s="50"/>
      <c r="M13" s="51">
        <f>I13*3+K13</f>
        <v>0</v>
      </c>
      <c r="N13" s="51">
        <f>J13*3+L13</f>
        <v>0</v>
      </c>
      <c r="O13" s="52">
        <f>N13+M13</f>
        <v>0</v>
      </c>
      <c r="P13" s="45"/>
      <c r="Q13" s="47"/>
      <c r="R13" s="47">
        <v>4</v>
      </c>
      <c r="S13" s="47"/>
      <c r="T13" s="51">
        <f>P13*3+R13</f>
        <v>4</v>
      </c>
      <c r="U13" s="51">
        <f>Q13*3+S13</f>
        <v>0</v>
      </c>
      <c r="V13" s="53">
        <f>U13+T13</f>
        <v>4</v>
      </c>
      <c r="W13" s="45">
        <v>1</v>
      </c>
      <c r="X13" s="47"/>
      <c r="Y13" s="47">
        <v>1</v>
      </c>
      <c r="Z13" s="47"/>
      <c r="AA13" s="54">
        <f>W13*3+Y13</f>
        <v>4</v>
      </c>
      <c r="AB13" s="54">
        <f>X13*3+Z13</f>
        <v>0</v>
      </c>
      <c r="AC13" s="55">
        <f>AB13+AA13</f>
        <v>4</v>
      </c>
      <c r="AD13" s="45"/>
      <c r="AE13" s="47"/>
      <c r="AF13" s="47">
        <v>2</v>
      </c>
      <c r="AG13" s="47">
        <v>2</v>
      </c>
      <c r="AH13" s="51">
        <f>AD13*3+AF13</f>
        <v>2</v>
      </c>
      <c r="AI13" s="51">
        <f>AE13*3+AG13</f>
        <v>2</v>
      </c>
      <c r="AJ13" s="53">
        <f>AI13+AH13</f>
        <v>4</v>
      </c>
      <c r="AK13" s="45"/>
      <c r="AL13" s="47"/>
      <c r="AM13" s="47">
        <v>2</v>
      </c>
      <c r="AN13" s="47">
        <v>1</v>
      </c>
      <c r="AO13" s="51">
        <f>AK13*3+AM13</f>
        <v>2</v>
      </c>
      <c r="AP13" s="51">
        <f>AL13*3+AN13</f>
        <v>1</v>
      </c>
      <c r="AQ13" s="53">
        <f>AP13+AO13</f>
        <v>3</v>
      </c>
      <c r="AR13" s="45">
        <v>1</v>
      </c>
      <c r="AS13" s="47"/>
      <c r="AT13" s="47"/>
      <c r="AU13" s="47"/>
      <c r="AV13" s="51">
        <f>AR13*3+AT13</f>
        <v>3</v>
      </c>
      <c r="AW13" s="51">
        <f>AS13*3+AU13</f>
        <v>0</v>
      </c>
      <c r="AX13" s="53">
        <f>AW13+AV13</f>
        <v>3</v>
      </c>
      <c r="AY13" s="45"/>
      <c r="AZ13" s="47"/>
      <c r="BA13" s="47">
        <v>3</v>
      </c>
      <c r="BB13" s="47"/>
      <c r="BC13" s="51">
        <f>AY13*3+BA13</f>
        <v>3</v>
      </c>
      <c r="BD13" s="51">
        <f>AZ13*3+BB13</f>
        <v>0</v>
      </c>
      <c r="BE13" s="53">
        <f>BD13+BC13</f>
        <v>3</v>
      </c>
      <c r="BF13" s="45">
        <v>1</v>
      </c>
      <c r="BG13" s="47"/>
      <c r="BH13" s="47"/>
      <c r="BI13" s="47">
        <v>1</v>
      </c>
      <c r="BJ13" s="51">
        <f>BF13*3+BH13</f>
        <v>3</v>
      </c>
      <c r="BK13" s="51">
        <f>BG13*3+BI13</f>
        <v>1</v>
      </c>
      <c r="BL13" s="177">
        <f>BK13+BJ13</f>
        <v>4</v>
      </c>
      <c r="BM13" s="97"/>
      <c r="BN13" s="179"/>
      <c r="BO13" s="179"/>
      <c r="BP13" s="179"/>
      <c r="BQ13" s="51">
        <f>BM13*3+BO13</f>
        <v>0</v>
      </c>
      <c r="BR13" s="51">
        <f>BN13*3+BP13</f>
        <v>0</v>
      </c>
      <c r="BS13" s="177">
        <f>BR13+BQ13</f>
        <v>0</v>
      </c>
      <c r="BT13" s="190">
        <f>SUM(AO13,AH13,AA13,T13,M13,AV13,BC13,BJ13,BQ13)</f>
        <v>21</v>
      </c>
      <c r="BU13" s="93">
        <f ca="1">BT13/(TODAY()-F13)</f>
        <v>8.9361702127659579E-2</v>
      </c>
      <c r="BV13" s="56">
        <f>SUM(AP13,AI13,AB13,U13,N13,AW13,BD13,BK13,BR13)</f>
        <v>4</v>
      </c>
      <c r="BW13" s="93">
        <f ca="1">BV13/(TODAY()-F13)</f>
        <v>1.7021276595744681E-2</v>
      </c>
      <c r="BX13" s="56">
        <f>BT13+BV13</f>
        <v>25</v>
      </c>
      <c r="BY13" s="93">
        <f ca="1">BW13+BU13</f>
        <v>0.10638297872340426</v>
      </c>
      <c r="BZ13" s="56">
        <f>SUM(AR13,AK13,AD13,W13,P13,P13,I13,AY13,BF13,BM13)</f>
        <v>3</v>
      </c>
      <c r="CA13" s="56">
        <f>SUM(AS13,AL13,AE13,X13,Q13,Q13,J13,AZ13,BG13,BN13)</f>
        <v>0</v>
      </c>
      <c r="CB13" s="56">
        <f>CA13+BZ13</f>
        <v>3</v>
      </c>
    </row>
    <row r="14" spans="1:80" hidden="1" x14ac:dyDescent="0.25">
      <c r="A14" s="45">
        <v>209</v>
      </c>
      <c r="B14" s="46" t="s">
        <v>61</v>
      </c>
      <c r="C14" s="81" t="str">
        <f>B14&amp;" "&amp;A14</f>
        <v>שי 209</v>
      </c>
      <c r="D14" s="47" t="s">
        <v>6</v>
      </c>
      <c r="E14" s="47" t="s">
        <v>7</v>
      </c>
      <c r="F14" s="90">
        <v>42948</v>
      </c>
      <c r="G14" s="57">
        <v>43659</v>
      </c>
      <c r="H14" s="48"/>
      <c r="I14" s="49"/>
      <c r="J14" s="50"/>
      <c r="K14" s="50"/>
      <c r="L14" s="50"/>
      <c r="M14" s="51">
        <f>I14*3+K14</f>
        <v>0</v>
      </c>
      <c r="N14" s="51">
        <f>J14*3+L14</f>
        <v>0</v>
      </c>
      <c r="O14" s="52">
        <f>N14+M14</f>
        <v>0</v>
      </c>
      <c r="P14" s="45"/>
      <c r="Q14" s="47"/>
      <c r="R14" s="47"/>
      <c r="S14" s="47"/>
      <c r="T14" s="51">
        <f>P14*3+R14</f>
        <v>0</v>
      </c>
      <c r="U14" s="51">
        <f>Q14*3+S14</f>
        <v>0</v>
      </c>
      <c r="V14" s="53">
        <f>U14+T14</f>
        <v>0</v>
      </c>
      <c r="W14" s="45">
        <v>1</v>
      </c>
      <c r="X14" s="47"/>
      <c r="Y14" s="47">
        <v>1</v>
      </c>
      <c r="Z14" s="47"/>
      <c r="AA14" s="54">
        <f>W14*3+Y14</f>
        <v>4</v>
      </c>
      <c r="AB14" s="54">
        <f>X14*3+Z14</f>
        <v>0</v>
      </c>
      <c r="AC14" s="55">
        <f>AB14+AA14</f>
        <v>4</v>
      </c>
      <c r="AD14" s="45"/>
      <c r="AE14" s="47"/>
      <c r="AF14" s="47">
        <v>3</v>
      </c>
      <c r="AG14" s="47">
        <v>1</v>
      </c>
      <c r="AH14" s="51">
        <f>AD14*3+AF14</f>
        <v>3</v>
      </c>
      <c r="AI14" s="51">
        <f>AE14*3+AG14</f>
        <v>1</v>
      </c>
      <c r="AJ14" s="53">
        <f>AI14+AH14</f>
        <v>4</v>
      </c>
      <c r="AK14" s="45"/>
      <c r="AL14" s="47"/>
      <c r="AM14" s="47">
        <v>1</v>
      </c>
      <c r="AN14" s="47">
        <v>1</v>
      </c>
      <c r="AO14" s="51">
        <f>AK14*3+AM14</f>
        <v>1</v>
      </c>
      <c r="AP14" s="51">
        <f>AL14*3+AN14</f>
        <v>1</v>
      </c>
      <c r="AQ14" s="53">
        <f>AP14+AO14</f>
        <v>2</v>
      </c>
      <c r="AR14" s="45">
        <v>1</v>
      </c>
      <c r="AS14" s="47"/>
      <c r="AT14" s="47">
        <v>1</v>
      </c>
      <c r="AU14" s="47">
        <v>1</v>
      </c>
      <c r="AV14" s="51">
        <f>AR14*3+AT14</f>
        <v>4</v>
      </c>
      <c r="AW14" s="51">
        <f>AS14*3+AU14</f>
        <v>1</v>
      </c>
      <c r="AX14" s="53">
        <f>AW14+AV14</f>
        <v>5</v>
      </c>
      <c r="AY14" s="45"/>
      <c r="AZ14" s="47"/>
      <c r="BA14" s="47">
        <v>3</v>
      </c>
      <c r="BB14" s="47"/>
      <c r="BC14" s="51">
        <f>AY14*3+BA14</f>
        <v>3</v>
      </c>
      <c r="BD14" s="51">
        <f>AZ14*3+BB14</f>
        <v>0</v>
      </c>
      <c r="BE14" s="53">
        <f>BD14+BC14</f>
        <v>3</v>
      </c>
      <c r="BF14" s="45"/>
      <c r="BG14" s="47">
        <v>1</v>
      </c>
      <c r="BH14" s="47">
        <v>1</v>
      </c>
      <c r="BI14" s="47"/>
      <c r="BJ14" s="51">
        <f>BF14*3+BH14</f>
        <v>1</v>
      </c>
      <c r="BK14" s="51">
        <f>BG14*3+BI14</f>
        <v>3</v>
      </c>
      <c r="BL14" s="177">
        <f>BK14+BJ14</f>
        <v>4</v>
      </c>
      <c r="BM14" s="97"/>
      <c r="BN14" s="179"/>
      <c r="BO14" s="179"/>
      <c r="BP14" s="179"/>
      <c r="BQ14" s="51">
        <f>BM14*3+BO14</f>
        <v>0</v>
      </c>
      <c r="BR14" s="51">
        <f>BN14*3+BP14</f>
        <v>0</v>
      </c>
      <c r="BS14" s="177">
        <f>BR14+BQ14</f>
        <v>0</v>
      </c>
      <c r="BT14" s="190">
        <f>SUM(AO14,AH14,AA14,T14,M14,AV14,BC14,BJ14,BQ14)</f>
        <v>16</v>
      </c>
      <c r="BU14" s="93">
        <f ca="1">BT14/(TODAY()-F14)</f>
        <v>7.8431372549019607E-2</v>
      </c>
      <c r="BV14" s="56">
        <f>SUM(AP14,AI14,AB14,U14,N14,AW14,BD14,BK14,BR14)</f>
        <v>6</v>
      </c>
      <c r="BW14" s="93">
        <f ca="1">BV14/(TODAY()-F14)</f>
        <v>2.9411764705882353E-2</v>
      </c>
      <c r="BX14" s="56">
        <f>BT14+BV14</f>
        <v>22</v>
      </c>
      <c r="BY14" s="93">
        <f ca="1">BW14+BU14</f>
        <v>0.10784313725490197</v>
      </c>
      <c r="BZ14" s="56">
        <f>SUM(AR14,AK14,AD14,W14,P14,P14,I14,AY14,BF14,BM14)</f>
        <v>2</v>
      </c>
      <c r="CA14" s="56">
        <f>SUM(AS14,AL14,AE14,X14,Q14,Q14,J14,AZ14,BG14,BN14)</f>
        <v>1</v>
      </c>
      <c r="CB14" s="56">
        <f>CA14+BZ14</f>
        <v>3</v>
      </c>
    </row>
    <row r="15" spans="1:80" hidden="1" x14ac:dyDescent="0.25">
      <c r="A15" s="45" t="s">
        <v>88</v>
      </c>
      <c r="B15" s="46" t="s">
        <v>63</v>
      </c>
      <c r="C15" s="81" t="str">
        <f>B15&amp;" "&amp;A15</f>
        <v>סופיה אחודה</v>
      </c>
      <c r="D15" s="47" t="s">
        <v>7</v>
      </c>
      <c r="E15" s="47" t="s">
        <v>7</v>
      </c>
      <c r="F15" s="90">
        <v>42948</v>
      </c>
      <c r="G15" s="57">
        <v>43659</v>
      </c>
      <c r="H15" s="48"/>
      <c r="I15" s="49"/>
      <c r="J15" s="50"/>
      <c r="K15" s="50"/>
      <c r="L15" s="50"/>
      <c r="M15" s="51">
        <f>I15*3+K15</f>
        <v>0</v>
      </c>
      <c r="N15" s="51">
        <f>J15*3+L15</f>
        <v>0</v>
      </c>
      <c r="O15" s="52">
        <f>N15+M15</f>
        <v>0</v>
      </c>
      <c r="P15" s="45"/>
      <c r="Q15" s="47"/>
      <c r="R15" s="47"/>
      <c r="S15" s="47"/>
      <c r="T15" s="51">
        <f>P15*3+R15</f>
        <v>0</v>
      </c>
      <c r="U15" s="51">
        <f>Q15*3+S15</f>
        <v>0</v>
      </c>
      <c r="V15" s="53">
        <f>U15+T15</f>
        <v>0</v>
      </c>
      <c r="W15" s="45"/>
      <c r="X15" s="47"/>
      <c r="Y15" s="47"/>
      <c r="Z15" s="47"/>
      <c r="AA15" s="54">
        <f>W15*3+Y15</f>
        <v>0</v>
      </c>
      <c r="AB15" s="54">
        <f>X15*3+Z15</f>
        <v>0</v>
      </c>
      <c r="AC15" s="55">
        <f>AB15+AA15</f>
        <v>0</v>
      </c>
      <c r="AD15" s="45"/>
      <c r="AE15" s="47">
        <v>1</v>
      </c>
      <c r="AF15" s="47"/>
      <c r="AG15" s="47">
        <v>1</v>
      </c>
      <c r="AH15" s="51">
        <f>AD15*3+AF15</f>
        <v>0</v>
      </c>
      <c r="AI15" s="51">
        <f>AE15*3+AG15</f>
        <v>4</v>
      </c>
      <c r="AJ15" s="53">
        <f>AI15+AH15</f>
        <v>4</v>
      </c>
      <c r="AK15" s="45"/>
      <c r="AL15" s="47">
        <v>1</v>
      </c>
      <c r="AM15" s="47"/>
      <c r="AN15" s="47">
        <v>1</v>
      </c>
      <c r="AO15" s="51">
        <f>AK15*3+AM15</f>
        <v>0</v>
      </c>
      <c r="AP15" s="51">
        <f>AL15*3+AN15</f>
        <v>4</v>
      </c>
      <c r="AQ15" s="53">
        <f>AP15+AO15</f>
        <v>4</v>
      </c>
      <c r="AR15" s="45"/>
      <c r="AS15" s="47"/>
      <c r="AT15" s="47"/>
      <c r="AU15" s="47">
        <v>3</v>
      </c>
      <c r="AV15" s="51">
        <f>AR15*3+AT15</f>
        <v>0</v>
      </c>
      <c r="AW15" s="51">
        <f>AS15*3+AU15</f>
        <v>3</v>
      </c>
      <c r="AX15" s="53">
        <f>AW15+AV15</f>
        <v>3</v>
      </c>
      <c r="AY15" s="45"/>
      <c r="AZ15" s="47">
        <v>1</v>
      </c>
      <c r="BA15" s="47"/>
      <c r="BB15" s="47">
        <v>1</v>
      </c>
      <c r="BC15" s="51">
        <f>AY15*3+BA15</f>
        <v>0</v>
      </c>
      <c r="BD15" s="51">
        <f>AZ15*3+BB15</f>
        <v>4</v>
      </c>
      <c r="BE15" s="53">
        <f>BD15+BC15</f>
        <v>4</v>
      </c>
      <c r="BF15" s="45"/>
      <c r="BG15" s="47">
        <v>1</v>
      </c>
      <c r="BH15" s="47"/>
      <c r="BI15" s="47">
        <v>2</v>
      </c>
      <c r="BJ15" s="51">
        <f>BF15*3+BH15</f>
        <v>0</v>
      </c>
      <c r="BK15" s="51">
        <f>BG15*3+BI15</f>
        <v>5</v>
      </c>
      <c r="BL15" s="177">
        <f>BK15+BJ15</f>
        <v>5</v>
      </c>
      <c r="BM15" s="97"/>
      <c r="BN15" s="179"/>
      <c r="BO15" s="179"/>
      <c r="BP15" s="179"/>
      <c r="BQ15" s="51">
        <f>BM15*3+BO15</f>
        <v>0</v>
      </c>
      <c r="BR15" s="51">
        <f>BN15*3+BP15</f>
        <v>0</v>
      </c>
      <c r="BS15" s="177">
        <f>BR15+BQ15</f>
        <v>0</v>
      </c>
      <c r="BT15" s="190">
        <f>SUM(AO15,AH15,AA15,T15,M15,AV15,BC15,BJ15,BQ15)</f>
        <v>0</v>
      </c>
      <c r="BU15" s="93">
        <f ca="1">BT15/(TODAY()-F15)</f>
        <v>0</v>
      </c>
      <c r="BV15" s="56">
        <f>SUM(AP15,AI15,AB15,U15,N15,AW15,BD15,BK15,BR15)</f>
        <v>20</v>
      </c>
      <c r="BW15" s="93">
        <f ca="1">BV15/(TODAY()-F15)</f>
        <v>9.8039215686274508E-2</v>
      </c>
      <c r="BX15" s="56">
        <f>BT15+BV15</f>
        <v>20</v>
      </c>
      <c r="BY15" s="93">
        <f ca="1">BW15+BU15</f>
        <v>9.8039215686274508E-2</v>
      </c>
      <c r="BZ15" s="56">
        <f>SUM(AR15,AK15,AD15,W15,P15,P15,I15,AY15,BF15,BM15)</f>
        <v>0</v>
      </c>
      <c r="CA15" s="56">
        <f>SUM(AS15,AL15,AE15,X15,Q15,Q15,J15,AZ15,BG15,BN15)</f>
        <v>4</v>
      </c>
      <c r="CB15" s="56">
        <f>CA15+BZ15</f>
        <v>4</v>
      </c>
    </row>
    <row r="16" spans="1:80" hidden="1" x14ac:dyDescent="0.25">
      <c r="A16" s="45">
        <v>9</v>
      </c>
      <c r="B16" s="46" t="s">
        <v>64</v>
      </c>
      <c r="C16" s="81" t="str">
        <f>B16&amp;" "&amp;A16</f>
        <v>כלנית 9</v>
      </c>
      <c r="D16" s="47" t="s">
        <v>6</v>
      </c>
      <c r="E16" s="65" t="s">
        <v>7</v>
      </c>
      <c r="F16" s="90">
        <v>42979</v>
      </c>
      <c r="G16" s="57">
        <v>43661</v>
      </c>
      <c r="H16" s="48"/>
      <c r="I16" s="49"/>
      <c r="J16" s="50"/>
      <c r="K16" s="50"/>
      <c r="L16" s="50"/>
      <c r="M16" s="51">
        <f>I16*3+K16</f>
        <v>0</v>
      </c>
      <c r="N16" s="51">
        <f>J16*3+L16</f>
        <v>0</v>
      </c>
      <c r="O16" s="52">
        <f>N16+M16</f>
        <v>0</v>
      </c>
      <c r="P16" s="45"/>
      <c r="Q16" s="47"/>
      <c r="R16" s="47"/>
      <c r="S16" s="47"/>
      <c r="T16" s="51">
        <f>P16*3+R16</f>
        <v>0</v>
      </c>
      <c r="U16" s="51">
        <f>Q16*3+S16</f>
        <v>0</v>
      </c>
      <c r="V16" s="53">
        <f>U16+T16</f>
        <v>0</v>
      </c>
      <c r="W16" s="45"/>
      <c r="X16" s="47"/>
      <c r="Y16" s="47"/>
      <c r="Z16" s="47"/>
      <c r="AA16" s="54">
        <f>W16*3+Y16</f>
        <v>0</v>
      </c>
      <c r="AB16" s="54">
        <f>X16*3+Z16</f>
        <v>0</v>
      </c>
      <c r="AC16" s="55">
        <f>AB16+AA16</f>
        <v>0</v>
      </c>
      <c r="AD16" s="45">
        <v>1</v>
      </c>
      <c r="AE16" s="47"/>
      <c r="AF16" s="47">
        <v>2</v>
      </c>
      <c r="AG16" s="47"/>
      <c r="AH16" s="51">
        <f>AD16*3+AF16</f>
        <v>5</v>
      </c>
      <c r="AI16" s="51">
        <f>AE16*3+AG16</f>
        <v>0</v>
      </c>
      <c r="AJ16" s="53">
        <f>AI16+AH16</f>
        <v>5</v>
      </c>
      <c r="AK16" s="45">
        <v>1</v>
      </c>
      <c r="AL16" s="47"/>
      <c r="AM16" s="47"/>
      <c r="AN16" s="47"/>
      <c r="AO16" s="51">
        <f>AK16*3+AM16</f>
        <v>3</v>
      </c>
      <c r="AP16" s="51">
        <f>AL16*3+AN16</f>
        <v>0</v>
      </c>
      <c r="AQ16" s="53">
        <f>AP16+AO16</f>
        <v>3</v>
      </c>
      <c r="AR16" s="45"/>
      <c r="AS16" s="47"/>
      <c r="AT16" s="47">
        <v>4</v>
      </c>
      <c r="AU16" s="47"/>
      <c r="AV16" s="51">
        <f>AR16*3+AT16</f>
        <v>4</v>
      </c>
      <c r="AW16" s="51">
        <f>AS16*3+AU16</f>
        <v>0</v>
      </c>
      <c r="AX16" s="53">
        <f>AW16+AV16</f>
        <v>4</v>
      </c>
      <c r="AY16" s="45"/>
      <c r="AZ16" s="47"/>
      <c r="BA16" s="47">
        <v>2</v>
      </c>
      <c r="BB16" s="47">
        <v>1</v>
      </c>
      <c r="BC16" s="51">
        <f>AY16*3+BA16</f>
        <v>2</v>
      </c>
      <c r="BD16" s="51">
        <f>AZ16*3+BB16</f>
        <v>1</v>
      </c>
      <c r="BE16" s="53">
        <f>BD16+BC16</f>
        <v>3</v>
      </c>
      <c r="BF16" s="45"/>
      <c r="BG16" s="47">
        <v>1</v>
      </c>
      <c r="BH16" s="47">
        <v>1</v>
      </c>
      <c r="BI16" s="47"/>
      <c r="BJ16" s="51">
        <f>BF16*3+BH16</f>
        <v>1</v>
      </c>
      <c r="BK16" s="51">
        <f>BG16*3+BI16</f>
        <v>3</v>
      </c>
      <c r="BL16" s="177">
        <f>BK16+BJ16</f>
        <v>4</v>
      </c>
      <c r="BM16" s="97"/>
      <c r="BN16" s="179"/>
      <c r="BO16" s="179"/>
      <c r="BP16" s="179"/>
      <c r="BQ16" s="51">
        <f>BM16*3+BO16</f>
        <v>0</v>
      </c>
      <c r="BR16" s="51">
        <f>BN16*3+BP16</f>
        <v>0</v>
      </c>
      <c r="BS16" s="177">
        <f>BR16+BQ16</f>
        <v>0</v>
      </c>
      <c r="BT16" s="190">
        <f>SUM(AO16,AH16,AA16,T16,M16,AV16,BC16,BJ16,BQ16)</f>
        <v>15</v>
      </c>
      <c r="BU16" s="93">
        <f ca="1">BT16/(TODAY()-F16)</f>
        <v>8.6705202312138727E-2</v>
      </c>
      <c r="BV16" s="56">
        <f>SUM(AP16,AI16,AB16,U16,N16,AW16,BD16,BK16,BR16)</f>
        <v>4</v>
      </c>
      <c r="BW16" s="93">
        <f ca="1">BV16/(TODAY()-F16)</f>
        <v>2.3121387283236993E-2</v>
      </c>
      <c r="BX16" s="56">
        <f>BT16+BV16</f>
        <v>19</v>
      </c>
      <c r="BY16" s="93">
        <f ca="1">BW16+BU16</f>
        <v>0.10982658959537572</v>
      </c>
      <c r="BZ16" s="56">
        <f>SUM(AR16,AK16,AD16,W16,P16,P16,I16,AY16,BF16,BM16)</f>
        <v>2</v>
      </c>
      <c r="CA16" s="56">
        <f>SUM(AS16,AL16,AE16,X16,Q16,Q16,J16,AZ16,BG16,BN16)</f>
        <v>1</v>
      </c>
      <c r="CB16" s="56">
        <f>CA16+BZ16</f>
        <v>3</v>
      </c>
    </row>
    <row r="17" spans="1:80" hidden="1" x14ac:dyDescent="0.25">
      <c r="A17" s="45">
        <v>9</v>
      </c>
      <c r="B17" s="76" t="s">
        <v>139</v>
      </c>
      <c r="C17" s="81" t="str">
        <f>B17&amp;" "&amp;A17</f>
        <v>מעין 9</v>
      </c>
      <c r="D17" s="47" t="s">
        <v>6</v>
      </c>
      <c r="E17" s="65" t="s">
        <v>7</v>
      </c>
      <c r="F17" s="90">
        <v>42979</v>
      </c>
      <c r="G17" s="57">
        <v>43661</v>
      </c>
      <c r="H17" s="48"/>
      <c r="I17" s="49"/>
      <c r="J17" s="50"/>
      <c r="K17" s="50"/>
      <c r="L17" s="50"/>
      <c r="M17" s="51">
        <f>I17*3+K17</f>
        <v>0</v>
      </c>
      <c r="N17" s="51">
        <f>J17*3+L17</f>
        <v>0</v>
      </c>
      <c r="O17" s="52">
        <f>N17+M17</f>
        <v>0</v>
      </c>
      <c r="P17" s="45"/>
      <c r="Q17" s="47"/>
      <c r="R17" s="47"/>
      <c r="S17" s="47"/>
      <c r="T17" s="51">
        <f>P17*3+R17</f>
        <v>0</v>
      </c>
      <c r="U17" s="51">
        <f>Q17*3+S17</f>
        <v>0</v>
      </c>
      <c r="V17" s="53">
        <f>U17+T17</f>
        <v>0</v>
      </c>
      <c r="W17" s="45"/>
      <c r="X17" s="47"/>
      <c r="Y17" s="47"/>
      <c r="Z17" s="47"/>
      <c r="AA17" s="54">
        <f>W17*3+Y17</f>
        <v>0</v>
      </c>
      <c r="AB17" s="54">
        <f>X17*3+Z17</f>
        <v>0</v>
      </c>
      <c r="AC17" s="55">
        <f>AB17+AA17</f>
        <v>0</v>
      </c>
      <c r="AD17" s="45">
        <v>1</v>
      </c>
      <c r="AE17" s="47"/>
      <c r="AF17" s="47">
        <v>3</v>
      </c>
      <c r="AG17" s="47"/>
      <c r="AH17" s="51">
        <f>AD17*3+AF17</f>
        <v>6</v>
      </c>
      <c r="AI17" s="51">
        <f>AE17*3+AG17</f>
        <v>0</v>
      </c>
      <c r="AJ17" s="53">
        <f>AI17+AH17</f>
        <v>6</v>
      </c>
      <c r="AK17" s="45"/>
      <c r="AL17" s="47"/>
      <c r="AM17" s="47">
        <v>1</v>
      </c>
      <c r="AN17" s="47"/>
      <c r="AO17" s="51">
        <f>AK17*3+AM17</f>
        <v>1</v>
      </c>
      <c r="AP17" s="51">
        <f>AL17*3+AN17</f>
        <v>0</v>
      </c>
      <c r="AQ17" s="53">
        <f>AP17+AO17</f>
        <v>1</v>
      </c>
      <c r="AR17" s="45">
        <v>1</v>
      </c>
      <c r="AS17" s="47"/>
      <c r="AT17" s="47">
        <v>1</v>
      </c>
      <c r="AU17" s="47"/>
      <c r="AV17" s="51">
        <f>AR17*3+AT17</f>
        <v>4</v>
      </c>
      <c r="AW17" s="51">
        <f>AS17*3+AU17</f>
        <v>0</v>
      </c>
      <c r="AX17" s="53">
        <f>AW17+AV17</f>
        <v>4</v>
      </c>
      <c r="AY17" s="45">
        <v>1</v>
      </c>
      <c r="AZ17" s="47"/>
      <c r="BA17" s="47">
        <v>3</v>
      </c>
      <c r="BB17" s="47">
        <v>1</v>
      </c>
      <c r="BC17" s="51">
        <f>AY17*3+BA17</f>
        <v>6</v>
      </c>
      <c r="BD17" s="51">
        <f>AZ17*3+BB17</f>
        <v>1</v>
      </c>
      <c r="BE17" s="53">
        <f>BD17+BC17</f>
        <v>7</v>
      </c>
      <c r="BF17" s="45"/>
      <c r="BG17" s="47"/>
      <c r="BH17" s="47">
        <v>1</v>
      </c>
      <c r="BI17" s="47">
        <v>1</v>
      </c>
      <c r="BJ17" s="51">
        <f>BF17*3+BH17</f>
        <v>1</v>
      </c>
      <c r="BK17" s="51">
        <f>BG17*3+BI17</f>
        <v>1</v>
      </c>
      <c r="BL17" s="177">
        <f>BK17+BJ17</f>
        <v>2</v>
      </c>
      <c r="BM17" s="97"/>
      <c r="BN17" s="179"/>
      <c r="BO17" s="179"/>
      <c r="BP17" s="179"/>
      <c r="BQ17" s="51">
        <f>BM17*3+BO17</f>
        <v>0</v>
      </c>
      <c r="BR17" s="51">
        <f>BN17*3+BP17</f>
        <v>0</v>
      </c>
      <c r="BS17" s="177">
        <f>BR17+BQ17</f>
        <v>0</v>
      </c>
      <c r="BT17" s="190">
        <f>SUM(AO17,AH17,AA17,T17,M17,AV17,BC17,BJ17,BQ17)</f>
        <v>18</v>
      </c>
      <c r="BU17" s="93">
        <f ca="1">BT17/(TODAY()-F17)</f>
        <v>0.10404624277456648</v>
      </c>
      <c r="BV17" s="56">
        <f>SUM(AP17,AI17,AB17,U17,N17,AW17,BD17,BK17,BR17)</f>
        <v>2</v>
      </c>
      <c r="BW17" s="93">
        <f ca="1">BV17/(TODAY()-F17)</f>
        <v>1.1560693641618497E-2</v>
      </c>
      <c r="BX17" s="56">
        <f>BT17+BV17</f>
        <v>20</v>
      </c>
      <c r="BY17" s="93">
        <f ca="1">BW17+BU17</f>
        <v>0.11560693641618497</v>
      </c>
      <c r="BZ17" s="56">
        <f>SUM(AR17,AK17,AD17,W17,P17,P17,I17,AY17,BF17,BM17)</f>
        <v>3</v>
      </c>
      <c r="CA17" s="56">
        <f>SUM(AS17,AL17,AE17,X17,Q17,Q17,J17,AZ17,BG17,BN17)</f>
        <v>0</v>
      </c>
      <c r="CB17" s="56">
        <f>CA17+BZ17</f>
        <v>3</v>
      </c>
    </row>
    <row r="18" spans="1:80" hidden="1" x14ac:dyDescent="0.25">
      <c r="A18" s="45">
        <v>474</v>
      </c>
      <c r="B18" s="46" t="s">
        <v>5</v>
      </c>
      <c r="C18" s="81" t="str">
        <f>B18&amp;" "&amp;A18</f>
        <v>מאי 474</v>
      </c>
      <c r="D18" s="65" t="s">
        <v>7</v>
      </c>
      <c r="E18" s="65" t="s">
        <v>7</v>
      </c>
      <c r="F18" s="90">
        <v>42979</v>
      </c>
      <c r="G18" s="57">
        <v>43661</v>
      </c>
      <c r="H18" s="48"/>
      <c r="I18" s="49"/>
      <c r="J18" s="50"/>
      <c r="K18" s="50"/>
      <c r="L18" s="50"/>
      <c r="M18" s="51">
        <f>I18*3+K18</f>
        <v>0</v>
      </c>
      <c r="N18" s="51">
        <f>J18*3+L18</f>
        <v>0</v>
      </c>
      <c r="O18" s="52">
        <f>N18+M18</f>
        <v>0</v>
      </c>
      <c r="P18" s="45"/>
      <c r="Q18" s="47"/>
      <c r="R18" s="47"/>
      <c r="S18" s="47"/>
      <c r="T18" s="51">
        <f>P18*3+R18</f>
        <v>0</v>
      </c>
      <c r="U18" s="51">
        <f>Q18*3+S18</f>
        <v>0</v>
      </c>
      <c r="V18" s="53">
        <f>U18+T18</f>
        <v>0</v>
      </c>
      <c r="W18" s="45"/>
      <c r="X18" s="47"/>
      <c r="Y18" s="47"/>
      <c r="Z18" s="47"/>
      <c r="AA18" s="54">
        <f>W18*3+Y18</f>
        <v>0</v>
      </c>
      <c r="AB18" s="54">
        <f>X18*3+Z18</f>
        <v>0</v>
      </c>
      <c r="AC18" s="55">
        <f>AB18+AA18</f>
        <v>0</v>
      </c>
      <c r="AD18" s="45">
        <v>1</v>
      </c>
      <c r="AE18" s="47"/>
      <c r="AF18" s="47">
        <v>2</v>
      </c>
      <c r="AG18" s="47"/>
      <c r="AH18" s="51">
        <f>AD18*3+AF18</f>
        <v>5</v>
      </c>
      <c r="AI18" s="51">
        <f>AE18*3+AG18</f>
        <v>0</v>
      </c>
      <c r="AJ18" s="53">
        <f>AI18+AH18</f>
        <v>5</v>
      </c>
      <c r="AK18" s="45">
        <v>1</v>
      </c>
      <c r="AL18" s="47"/>
      <c r="AM18" s="47"/>
      <c r="AN18" s="47"/>
      <c r="AO18" s="51">
        <f>AK18*3+AM18</f>
        <v>3</v>
      </c>
      <c r="AP18" s="51">
        <f>AL18*3+AN18</f>
        <v>0</v>
      </c>
      <c r="AQ18" s="53">
        <f>AP18+AO18</f>
        <v>3</v>
      </c>
      <c r="AR18" s="45"/>
      <c r="AS18" s="47"/>
      <c r="AT18" s="47"/>
      <c r="AU18" s="47">
        <v>2</v>
      </c>
      <c r="AV18" s="51">
        <f>AR18*3+AT18</f>
        <v>0</v>
      </c>
      <c r="AW18" s="51">
        <f>AS18*3+AU18</f>
        <v>2</v>
      </c>
      <c r="AX18" s="53">
        <f>AW18+AV18</f>
        <v>2</v>
      </c>
      <c r="AY18" s="45"/>
      <c r="AZ18" s="47">
        <v>1</v>
      </c>
      <c r="BA18" s="47"/>
      <c r="BB18" s="47">
        <v>2</v>
      </c>
      <c r="BC18" s="51">
        <f>AY18*3+BA18</f>
        <v>0</v>
      </c>
      <c r="BD18" s="51">
        <f>AZ18*3+BB18</f>
        <v>5</v>
      </c>
      <c r="BE18" s="53">
        <f>BD18+BC18</f>
        <v>5</v>
      </c>
      <c r="BF18" s="45"/>
      <c r="BG18" s="47">
        <v>1</v>
      </c>
      <c r="BH18" s="47"/>
      <c r="BI18" s="47">
        <v>1</v>
      </c>
      <c r="BJ18" s="51">
        <f>BF18*3+BH18</f>
        <v>0</v>
      </c>
      <c r="BK18" s="51">
        <f>BG18*3+BI18</f>
        <v>4</v>
      </c>
      <c r="BL18" s="177">
        <f>BK18+BJ18</f>
        <v>4</v>
      </c>
      <c r="BM18" s="97"/>
      <c r="BN18" s="179"/>
      <c r="BO18" s="179"/>
      <c r="BP18" s="179"/>
      <c r="BQ18" s="51">
        <f>BM18*3+BO18</f>
        <v>0</v>
      </c>
      <c r="BR18" s="51">
        <f>BN18*3+BP18</f>
        <v>0</v>
      </c>
      <c r="BS18" s="177">
        <f>BR18+BQ18</f>
        <v>0</v>
      </c>
      <c r="BT18" s="190">
        <f>SUM(AO18,AH18,AA18,T18,M18,AV18,BC18,BJ18,BQ18)</f>
        <v>8</v>
      </c>
      <c r="BU18" s="93">
        <f ca="1">BT18/(TODAY()-F18)</f>
        <v>4.6242774566473986E-2</v>
      </c>
      <c r="BV18" s="56">
        <f>SUM(AP18,AI18,AB18,U18,N18,AW18,BD18,BK18,BR18)</f>
        <v>11</v>
      </c>
      <c r="BW18" s="93">
        <f ca="1">BV18/(TODAY()-F18)</f>
        <v>6.358381502890173E-2</v>
      </c>
      <c r="BX18" s="56">
        <f>BT18+BV18</f>
        <v>19</v>
      </c>
      <c r="BY18" s="93">
        <f ca="1">BW18+BU18</f>
        <v>0.10982658959537572</v>
      </c>
      <c r="BZ18" s="56">
        <f>SUM(AR18,AK18,AD18,W18,P18,P18,I18,AY18,BF18,BM18)</f>
        <v>2</v>
      </c>
      <c r="CA18" s="56">
        <f>SUM(AS18,AL18,AE18,X18,Q18,Q18,J18,AZ18,BG18,BN18)</f>
        <v>2</v>
      </c>
      <c r="CB18" s="56">
        <f>CA18+BZ18</f>
        <v>4</v>
      </c>
    </row>
    <row r="19" spans="1:80" hidden="1" x14ac:dyDescent="0.25">
      <c r="A19" s="97">
        <v>679</v>
      </c>
      <c r="B19" s="98" t="s">
        <v>65</v>
      </c>
      <c r="C19" s="81" t="str">
        <f>B19&amp;" "&amp;A19</f>
        <v>אלכס 679</v>
      </c>
      <c r="D19" s="47" t="s">
        <v>6</v>
      </c>
      <c r="E19" s="65" t="s">
        <v>7</v>
      </c>
      <c r="F19" s="90">
        <v>42979</v>
      </c>
      <c r="G19" s="57">
        <v>43661</v>
      </c>
      <c r="H19" s="48"/>
      <c r="I19" s="49"/>
      <c r="J19" s="50"/>
      <c r="K19" s="50"/>
      <c r="L19" s="50"/>
      <c r="M19" s="51">
        <f>I19*3+K19</f>
        <v>0</v>
      </c>
      <c r="N19" s="51">
        <f>J19*3+L19</f>
        <v>0</v>
      </c>
      <c r="O19" s="52">
        <f>N19+M19</f>
        <v>0</v>
      </c>
      <c r="P19" s="45"/>
      <c r="Q19" s="47"/>
      <c r="R19" s="47"/>
      <c r="S19" s="47"/>
      <c r="T19" s="51">
        <f>P19*3+R19</f>
        <v>0</v>
      </c>
      <c r="U19" s="51">
        <f>Q19*3+S19</f>
        <v>0</v>
      </c>
      <c r="V19" s="53">
        <f>U19+T19</f>
        <v>0</v>
      </c>
      <c r="W19" s="45"/>
      <c r="X19" s="47"/>
      <c r="Y19" s="47"/>
      <c r="Z19" s="47"/>
      <c r="AA19" s="54">
        <f>W19*3+Y19</f>
        <v>0</v>
      </c>
      <c r="AB19" s="54">
        <f>X19*3+Z19</f>
        <v>0</v>
      </c>
      <c r="AC19" s="55">
        <f>AB19+AA19</f>
        <v>0</v>
      </c>
      <c r="AD19" s="45">
        <v>1</v>
      </c>
      <c r="AE19" s="47"/>
      <c r="AF19" s="47"/>
      <c r="AG19" s="47"/>
      <c r="AH19" s="51">
        <f>AD19*3+AF19</f>
        <v>3</v>
      </c>
      <c r="AI19" s="51">
        <f>AE19*3+AG19</f>
        <v>0</v>
      </c>
      <c r="AJ19" s="53">
        <f>AI19+AH19</f>
        <v>3</v>
      </c>
      <c r="AK19" s="45"/>
      <c r="AL19" s="47"/>
      <c r="AM19" s="47">
        <v>4</v>
      </c>
      <c r="AN19" s="47"/>
      <c r="AO19" s="51">
        <f>AK19*3+AM19</f>
        <v>4</v>
      </c>
      <c r="AP19" s="51">
        <f>AL19*3+AN19</f>
        <v>0</v>
      </c>
      <c r="AQ19" s="53">
        <f>AP19+AO19</f>
        <v>4</v>
      </c>
      <c r="AR19" s="45"/>
      <c r="AS19" s="47"/>
      <c r="AT19" s="47">
        <v>4</v>
      </c>
      <c r="AU19" s="47"/>
      <c r="AV19" s="51">
        <f>AR19*3+AT19</f>
        <v>4</v>
      </c>
      <c r="AW19" s="51">
        <f>AS19*3+AU19</f>
        <v>0</v>
      </c>
      <c r="AX19" s="53">
        <f>AW19+AV19</f>
        <v>4</v>
      </c>
      <c r="AY19" s="45">
        <v>1</v>
      </c>
      <c r="AZ19" s="47"/>
      <c r="BA19" s="47"/>
      <c r="BB19" s="47">
        <v>1</v>
      </c>
      <c r="BC19" s="51">
        <f>AY19*3+BA19</f>
        <v>3</v>
      </c>
      <c r="BD19" s="51">
        <f>AZ19*3+BB19</f>
        <v>1</v>
      </c>
      <c r="BE19" s="53">
        <f>BD19+BC19</f>
        <v>4</v>
      </c>
      <c r="BF19" s="45"/>
      <c r="BG19" s="47"/>
      <c r="BH19" s="47">
        <v>2</v>
      </c>
      <c r="BI19" s="47">
        <v>1</v>
      </c>
      <c r="BJ19" s="51">
        <f>BF19*3+BH19</f>
        <v>2</v>
      </c>
      <c r="BK19" s="51">
        <f>BG19*3+BI19</f>
        <v>1</v>
      </c>
      <c r="BL19" s="177">
        <f>BK19+BJ19</f>
        <v>3</v>
      </c>
      <c r="BM19" s="97"/>
      <c r="BN19" s="179"/>
      <c r="BO19" s="179"/>
      <c r="BP19" s="179"/>
      <c r="BQ19" s="51">
        <f>BM19*3+BO19</f>
        <v>0</v>
      </c>
      <c r="BR19" s="51">
        <f>BN19*3+BP19</f>
        <v>0</v>
      </c>
      <c r="BS19" s="177">
        <f>BR19+BQ19</f>
        <v>0</v>
      </c>
      <c r="BT19" s="190">
        <f>SUM(AO19,AH19,AA19,T19,M19,AV19,BC19,BJ19,BQ19)</f>
        <v>16</v>
      </c>
      <c r="BU19" s="93">
        <f ca="1">BT19/(TODAY()-F19)</f>
        <v>9.2485549132947972E-2</v>
      </c>
      <c r="BV19" s="56">
        <f>SUM(AP19,AI19,AB19,U19,N19,AW19,BD19,BK19,BR19)</f>
        <v>2</v>
      </c>
      <c r="BW19" s="93">
        <f ca="1">BV19/(TODAY()-F19)</f>
        <v>1.1560693641618497E-2</v>
      </c>
      <c r="BX19" s="56">
        <f>BT19+BV19</f>
        <v>18</v>
      </c>
      <c r="BY19" s="93">
        <f ca="1">BW19+BU19</f>
        <v>0.10404624277456646</v>
      </c>
      <c r="BZ19" s="56">
        <f>SUM(AR19,AK19,AD19,W19,P19,P19,I19,AY19,BF19,BM19)</f>
        <v>2</v>
      </c>
      <c r="CA19" s="56">
        <f>SUM(AS19,AL19,AE19,X19,Q19,Q19,J19,AZ19,BG19,BN19)</f>
        <v>0</v>
      </c>
      <c r="CB19" s="56">
        <f>CA19+BZ19</f>
        <v>2</v>
      </c>
    </row>
    <row r="20" spans="1:80" hidden="1" x14ac:dyDescent="0.25">
      <c r="A20" s="97">
        <v>679</v>
      </c>
      <c r="B20" s="98" t="s">
        <v>18</v>
      </c>
      <c r="C20" s="81" t="str">
        <f>B20&amp;" "&amp;A20</f>
        <v>אופיר 679</v>
      </c>
      <c r="D20" s="47" t="s">
        <v>6</v>
      </c>
      <c r="E20" s="65" t="s">
        <v>7</v>
      </c>
      <c r="F20" s="90">
        <v>42979</v>
      </c>
      <c r="G20" s="57">
        <v>43692</v>
      </c>
      <c r="H20" s="48"/>
      <c r="I20" s="49"/>
      <c r="J20" s="50"/>
      <c r="K20" s="50"/>
      <c r="L20" s="50"/>
      <c r="M20" s="51">
        <f>I20*3+K20</f>
        <v>0</v>
      </c>
      <c r="N20" s="51">
        <f>J20*3+L20</f>
        <v>0</v>
      </c>
      <c r="O20" s="52">
        <f>N20+M20</f>
        <v>0</v>
      </c>
      <c r="P20" s="45"/>
      <c r="Q20" s="47"/>
      <c r="R20" s="47"/>
      <c r="S20" s="47"/>
      <c r="T20" s="51">
        <f>P20*3+R20</f>
        <v>0</v>
      </c>
      <c r="U20" s="51">
        <f>Q20*3+S20</f>
        <v>0</v>
      </c>
      <c r="V20" s="53">
        <f>U20+T20</f>
        <v>0</v>
      </c>
      <c r="W20" s="45"/>
      <c r="X20" s="47"/>
      <c r="Y20" s="47"/>
      <c r="Z20" s="47"/>
      <c r="AA20" s="54">
        <f>W20*3+Y20</f>
        <v>0</v>
      </c>
      <c r="AB20" s="54">
        <f>X20*3+Z20</f>
        <v>0</v>
      </c>
      <c r="AC20" s="55">
        <f>AB20+AA20</f>
        <v>0</v>
      </c>
      <c r="AD20" s="45"/>
      <c r="AE20" s="47"/>
      <c r="AF20" s="47">
        <v>2</v>
      </c>
      <c r="AG20" s="47"/>
      <c r="AH20" s="51">
        <f>AD20*3+AF20</f>
        <v>2</v>
      </c>
      <c r="AI20" s="51">
        <f>AE20*3+AG20</f>
        <v>0</v>
      </c>
      <c r="AJ20" s="53">
        <f>AI20+AH20</f>
        <v>2</v>
      </c>
      <c r="AK20" s="45"/>
      <c r="AL20" s="47"/>
      <c r="AM20" s="47">
        <v>5</v>
      </c>
      <c r="AN20" s="47"/>
      <c r="AO20" s="51">
        <f>AK20*3+AM20</f>
        <v>5</v>
      </c>
      <c r="AP20" s="51">
        <f>AL20*3+AN20</f>
        <v>0</v>
      </c>
      <c r="AQ20" s="53">
        <f>AP20+AO20</f>
        <v>5</v>
      </c>
      <c r="AR20" s="45">
        <v>1</v>
      </c>
      <c r="AS20" s="47"/>
      <c r="AT20" s="47">
        <v>3</v>
      </c>
      <c r="AU20" s="47"/>
      <c r="AV20" s="51">
        <f>AR20*3+AT20</f>
        <v>6</v>
      </c>
      <c r="AW20" s="51">
        <f>AS20*3+AU20</f>
        <v>0</v>
      </c>
      <c r="AX20" s="53">
        <f>AW20+AV20</f>
        <v>6</v>
      </c>
      <c r="AY20" s="45"/>
      <c r="AZ20" s="47"/>
      <c r="BA20" s="47"/>
      <c r="BB20" s="47"/>
      <c r="BC20" s="51">
        <f>AY20*3+BA20</f>
        <v>0</v>
      </c>
      <c r="BD20" s="51">
        <f>AZ20*3+BB20</f>
        <v>0</v>
      </c>
      <c r="BE20" s="53">
        <f>BD20+BC20</f>
        <v>0</v>
      </c>
      <c r="BF20" s="45"/>
      <c r="BG20" s="47"/>
      <c r="BH20" s="47">
        <v>3</v>
      </c>
      <c r="BI20" s="47">
        <v>2</v>
      </c>
      <c r="BJ20" s="51">
        <f>BF20*3+BH20</f>
        <v>3</v>
      </c>
      <c r="BK20" s="51">
        <f>BG20*3+BI20</f>
        <v>2</v>
      </c>
      <c r="BL20" s="177">
        <f>BK20+BJ20</f>
        <v>5</v>
      </c>
      <c r="BM20" s="97"/>
      <c r="BN20" s="179"/>
      <c r="BO20" s="179"/>
      <c r="BP20" s="179"/>
      <c r="BQ20" s="51">
        <f>BM20*3+BO20</f>
        <v>0</v>
      </c>
      <c r="BR20" s="51">
        <f>BN20*3+BP20</f>
        <v>0</v>
      </c>
      <c r="BS20" s="177">
        <f>BR20+BQ20</f>
        <v>0</v>
      </c>
      <c r="BT20" s="190">
        <f>SUM(AO20,AH20,AA20,T20,M20,AV20,BC20,BJ20,BQ20)</f>
        <v>16</v>
      </c>
      <c r="BU20" s="93">
        <f ca="1">BT20/(TODAY()-F20)</f>
        <v>9.2485549132947972E-2</v>
      </c>
      <c r="BV20" s="56">
        <f>SUM(AP20,AI20,AB20,U20,N20,AW20,BD20,BK20,BR20)</f>
        <v>2</v>
      </c>
      <c r="BW20" s="93">
        <f ca="1">BV20/(TODAY()-F20)</f>
        <v>1.1560693641618497E-2</v>
      </c>
      <c r="BX20" s="56">
        <f>BT20+BV20</f>
        <v>18</v>
      </c>
      <c r="BY20" s="93">
        <f ca="1">BW20+BU20</f>
        <v>0.10404624277456646</v>
      </c>
      <c r="BZ20" s="56">
        <f>SUM(AR20,AK20,AD20,W20,P20,P20,I20,AY20,BF20,BM20)</f>
        <v>1</v>
      </c>
      <c r="CA20" s="56">
        <f>SUM(AS20,AL20,AE20,X20,Q20,Q20,J20,AZ20,BG20,BN20)</f>
        <v>0</v>
      </c>
      <c r="CB20" s="56">
        <f>CA20+BZ20</f>
        <v>1</v>
      </c>
    </row>
    <row r="21" spans="1:80" hidden="1" x14ac:dyDescent="0.25">
      <c r="A21" s="45" t="s">
        <v>88</v>
      </c>
      <c r="B21" s="46" t="s">
        <v>62</v>
      </c>
      <c r="C21" s="81" t="str">
        <f>B21&amp;" "&amp;A21</f>
        <v>דקל אחודה</v>
      </c>
      <c r="D21" s="65" t="s">
        <v>7</v>
      </c>
      <c r="E21" s="47" t="s">
        <v>7</v>
      </c>
      <c r="F21" s="90">
        <v>42948</v>
      </c>
      <c r="G21" s="57">
        <v>43692</v>
      </c>
      <c r="H21" s="48"/>
      <c r="I21" s="49"/>
      <c r="J21" s="50"/>
      <c r="K21" s="50"/>
      <c r="L21" s="50"/>
      <c r="M21" s="51">
        <f>I21*3+K21</f>
        <v>0</v>
      </c>
      <c r="N21" s="51">
        <f>J21*3+L21</f>
        <v>0</v>
      </c>
      <c r="O21" s="52">
        <f>N21+M21</f>
        <v>0</v>
      </c>
      <c r="P21" s="45"/>
      <c r="Q21" s="47"/>
      <c r="R21" s="47"/>
      <c r="S21" s="47"/>
      <c r="T21" s="51">
        <f>P21*3+R21</f>
        <v>0</v>
      </c>
      <c r="U21" s="51">
        <f>Q21*3+S21</f>
        <v>0</v>
      </c>
      <c r="V21" s="53">
        <f>U21+T21</f>
        <v>0</v>
      </c>
      <c r="W21" s="45">
        <v>1</v>
      </c>
      <c r="X21" s="47"/>
      <c r="Y21" s="47"/>
      <c r="Z21" s="47"/>
      <c r="AA21" s="54">
        <f>W21*3+Y21</f>
        <v>3</v>
      </c>
      <c r="AB21" s="54">
        <f>X21*3+Z21</f>
        <v>0</v>
      </c>
      <c r="AC21" s="55">
        <f>AB21+AA21</f>
        <v>3</v>
      </c>
      <c r="AD21" s="45">
        <v>1</v>
      </c>
      <c r="AE21" s="47"/>
      <c r="AF21" s="47">
        <v>1</v>
      </c>
      <c r="AG21" s="47"/>
      <c r="AH21" s="51">
        <f>AD21*3+AF21</f>
        <v>4</v>
      </c>
      <c r="AI21" s="51">
        <f>AE21*3+AG21</f>
        <v>0</v>
      </c>
      <c r="AJ21" s="53">
        <f>AI21+AH21</f>
        <v>4</v>
      </c>
      <c r="AK21" s="45"/>
      <c r="AL21" s="47"/>
      <c r="AM21" s="47"/>
      <c r="AN21" s="47">
        <v>1</v>
      </c>
      <c r="AO21" s="51">
        <f>AK21*3+AM21</f>
        <v>0</v>
      </c>
      <c r="AP21" s="51">
        <f>AL21*3+AN21</f>
        <v>1</v>
      </c>
      <c r="AQ21" s="53">
        <f>AP21+AO21</f>
        <v>1</v>
      </c>
      <c r="AR21" s="45"/>
      <c r="AS21" s="47"/>
      <c r="AT21" s="47">
        <v>4</v>
      </c>
      <c r="AU21" s="47"/>
      <c r="AV21" s="51">
        <f>AR21*3+AT21</f>
        <v>4</v>
      </c>
      <c r="AW21" s="51">
        <f>AS21*3+AU21</f>
        <v>0</v>
      </c>
      <c r="AX21" s="53">
        <f>AW21+AV21</f>
        <v>4</v>
      </c>
      <c r="AY21" s="45"/>
      <c r="AZ21" s="47">
        <v>1</v>
      </c>
      <c r="BA21" s="47"/>
      <c r="BB21" s="47">
        <v>2</v>
      </c>
      <c r="BC21" s="51">
        <f>AY21*3+BA21</f>
        <v>0</v>
      </c>
      <c r="BD21" s="51">
        <f>AZ21*3+BB21</f>
        <v>5</v>
      </c>
      <c r="BE21" s="53">
        <f>BD21+BC21</f>
        <v>5</v>
      </c>
      <c r="BF21" s="45"/>
      <c r="BG21" s="47"/>
      <c r="BH21" s="47">
        <v>2</v>
      </c>
      <c r="BI21" s="47">
        <v>2</v>
      </c>
      <c r="BJ21" s="51">
        <f>BF21*3+BH21</f>
        <v>2</v>
      </c>
      <c r="BK21" s="51">
        <f>BG21*3+BI21</f>
        <v>2</v>
      </c>
      <c r="BL21" s="177">
        <f>BK21+BJ21</f>
        <v>4</v>
      </c>
      <c r="BM21" s="97"/>
      <c r="BN21" s="179"/>
      <c r="BO21" s="179"/>
      <c r="BP21" s="179"/>
      <c r="BQ21" s="51">
        <f>BM21*3+BO21</f>
        <v>0</v>
      </c>
      <c r="BR21" s="51">
        <f>BN21*3+BP21</f>
        <v>0</v>
      </c>
      <c r="BS21" s="177">
        <f>BR21+BQ21</f>
        <v>0</v>
      </c>
      <c r="BT21" s="190">
        <f>SUM(AO21,AH21,AA21,T21,M21,AV21,BC21,BJ21,BQ21)</f>
        <v>13</v>
      </c>
      <c r="BU21" s="93">
        <f ca="1">BT21/(TODAY()-F21)</f>
        <v>6.3725490196078427E-2</v>
      </c>
      <c r="BV21" s="56">
        <f>SUM(AP21,AI21,AB21,U21,N21,AW21,BD21,BK21,BR21)</f>
        <v>8</v>
      </c>
      <c r="BW21" s="93">
        <f ca="1">BV21/(TODAY()-F21)</f>
        <v>3.9215686274509803E-2</v>
      </c>
      <c r="BX21" s="56">
        <f>BT21+BV21</f>
        <v>21</v>
      </c>
      <c r="BY21" s="93">
        <f ca="1">BW21+BU21</f>
        <v>0.10294117647058823</v>
      </c>
      <c r="BZ21" s="56">
        <f>SUM(AR21,AK21,AD21,W21,P21,P21,I21,AY21,BF21,BM21)</f>
        <v>2</v>
      </c>
      <c r="CA21" s="56">
        <f>SUM(AS21,AL21,AE21,X21,Q21,Q21,J21,AZ21,BG21,BN21)</f>
        <v>1</v>
      </c>
      <c r="CB21" s="56">
        <f>CA21+BZ21</f>
        <v>3</v>
      </c>
    </row>
    <row r="22" spans="1:80" hidden="1" x14ac:dyDescent="0.25">
      <c r="A22" s="45">
        <v>9</v>
      </c>
      <c r="B22" s="46" t="s">
        <v>14</v>
      </c>
      <c r="C22" s="46" t="str">
        <f>B22&amp;" "&amp;A22</f>
        <v>בר 9</v>
      </c>
      <c r="D22" s="47" t="s">
        <v>6</v>
      </c>
      <c r="E22" s="47" t="s">
        <v>7</v>
      </c>
      <c r="F22" s="90">
        <v>42917</v>
      </c>
      <c r="G22" s="57">
        <v>43560</v>
      </c>
      <c r="H22" s="106" t="s">
        <v>168</v>
      </c>
      <c r="I22" s="49"/>
      <c r="J22" s="50"/>
      <c r="K22" s="50"/>
      <c r="L22" s="50"/>
      <c r="M22" s="51">
        <f>I22*3+K22</f>
        <v>0</v>
      </c>
      <c r="N22" s="51">
        <f>J22*3+L22</f>
        <v>0</v>
      </c>
      <c r="O22" s="52">
        <f>N22+M22</f>
        <v>0</v>
      </c>
      <c r="P22" s="45">
        <v>1</v>
      </c>
      <c r="Q22" s="47"/>
      <c r="R22" s="47">
        <v>2</v>
      </c>
      <c r="S22" s="47"/>
      <c r="T22" s="51">
        <f>P22*3+R22</f>
        <v>5</v>
      </c>
      <c r="U22" s="51">
        <f>Q22*3+S22</f>
        <v>0</v>
      </c>
      <c r="V22" s="53">
        <f>U22+T22</f>
        <v>5</v>
      </c>
      <c r="W22" s="45"/>
      <c r="X22" s="47"/>
      <c r="Y22" s="47">
        <v>2</v>
      </c>
      <c r="Z22" s="47"/>
      <c r="AA22" s="54">
        <f>W22*3+Y22</f>
        <v>2</v>
      </c>
      <c r="AB22" s="54">
        <f>X22*3+Z22</f>
        <v>0</v>
      </c>
      <c r="AC22" s="55">
        <f>AB22+AA22</f>
        <v>2</v>
      </c>
      <c r="AD22" s="45"/>
      <c r="AE22" s="47">
        <v>1</v>
      </c>
      <c r="AF22" s="47">
        <v>2</v>
      </c>
      <c r="AG22" s="47">
        <v>1</v>
      </c>
      <c r="AH22" s="51">
        <f>AD22*3+AF22</f>
        <v>2</v>
      </c>
      <c r="AI22" s="51">
        <f>AE22*3+AG22</f>
        <v>4</v>
      </c>
      <c r="AJ22" s="53">
        <f>AI22+AH22</f>
        <v>6</v>
      </c>
      <c r="AK22" s="45">
        <v>1</v>
      </c>
      <c r="AL22" s="47"/>
      <c r="AM22" s="47"/>
      <c r="AN22" s="47"/>
      <c r="AO22" s="51">
        <f>AK22*3+AM22</f>
        <v>3</v>
      </c>
      <c r="AP22" s="51">
        <f>AL22*3+AN22</f>
        <v>0</v>
      </c>
      <c r="AQ22" s="53">
        <f>AP22+AO22</f>
        <v>3</v>
      </c>
      <c r="AR22" s="45"/>
      <c r="AS22" s="47"/>
      <c r="AT22" s="47">
        <v>2</v>
      </c>
      <c r="AU22" s="47"/>
      <c r="AV22" s="51">
        <f>AR22*3+AT22</f>
        <v>2</v>
      </c>
      <c r="AW22" s="51">
        <f>AS22*3+AU22</f>
        <v>0</v>
      </c>
      <c r="AX22" s="53">
        <f>AW22+AV22</f>
        <v>2</v>
      </c>
      <c r="AY22" s="45"/>
      <c r="AZ22" s="47"/>
      <c r="BA22" s="47">
        <v>1</v>
      </c>
      <c r="BB22" s="47"/>
      <c r="BC22" s="51">
        <f>AY22*3+BA22</f>
        <v>1</v>
      </c>
      <c r="BD22" s="51">
        <f>AZ22*3+BB22</f>
        <v>0</v>
      </c>
      <c r="BE22" s="53">
        <f>BD22+BC22</f>
        <v>1</v>
      </c>
      <c r="BF22" s="45">
        <v>1</v>
      </c>
      <c r="BG22" s="47"/>
      <c r="BH22" s="47">
        <v>1</v>
      </c>
      <c r="BI22" s="47">
        <v>1</v>
      </c>
      <c r="BJ22" s="51">
        <f>BF22*3+BH22</f>
        <v>4</v>
      </c>
      <c r="BK22" s="51">
        <f>BG22*3+BI22</f>
        <v>1</v>
      </c>
      <c r="BL22" s="177">
        <f>BK22+BJ22</f>
        <v>5</v>
      </c>
      <c r="BM22" s="97"/>
      <c r="BN22" s="179"/>
      <c r="BO22" s="179"/>
      <c r="BP22" s="179"/>
      <c r="BQ22" s="51">
        <f>BM22*3+BO22</f>
        <v>0</v>
      </c>
      <c r="BR22" s="51">
        <f>BN22*3+BP22</f>
        <v>0</v>
      </c>
      <c r="BS22" s="177">
        <f>BR22+BQ22</f>
        <v>0</v>
      </c>
      <c r="BT22" s="190">
        <f>SUM(AO22,AH22,AA22,T22,M22,AV22,BC22,BJ22,BQ22)</f>
        <v>19</v>
      </c>
      <c r="BU22" s="93">
        <f ca="1">BT22/(TODAY()-F22)</f>
        <v>8.085106382978724E-2</v>
      </c>
      <c r="BV22" s="56">
        <f>SUM(AP22,AI22,AB22,U22,N22,AW22,BD22,BK22,BR22)</f>
        <v>5</v>
      </c>
      <c r="BW22" s="93">
        <f ca="1">BV22/(TODAY()-F22)</f>
        <v>2.1276595744680851E-2</v>
      </c>
      <c r="BX22" s="56">
        <f>BT22+BV22</f>
        <v>24</v>
      </c>
      <c r="BY22" s="93">
        <f ca="1">BW22+BU22</f>
        <v>0.10212765957446809</v>
      </c>
      <c r="BZ22" s="56">
        <f>SUM(AR22,AK22,AD22,W22,P22,P22,I22,AY22,BF22,BM22)</f>
        <v>4</v>
      </c>
      <c r="CA22" s="56">
        <f>SUM(AS22,AL22,AE22,X22,Q22,Q22,J22,AZ22,BG22,BN22)</f>
        <v>1</v>
      </c>
      <c r="CB22" s="56">
        <f>CA22+BZ22</f>
        <v>5</v>
      </c>
    </row>
    <row r="23" spans="1:80" hidden="1" x14ac:dyDescent="0.25">
      <c r="A23" s="45">
        <v>9</v>
      </c>
      <c r="B23" s="76" t="s">
        <v>181</v>
      </c>
      <c r="C23" s="81" t="str">
        <f>B23&amp;" "&amp;A23</f>
        <v>אור 9</v>
      </c>
      <c r="D23" s="47" t="s">
        <v>6</v>
      </c>
      <c r="E23" s="65" t="s">
        <v>7</v>
      </c>
      <c r="F23" s="90">
        <v>43101</v>
      </c>
      <c r="G23" s="96" t="s">
        <v>86</v>
      </c>
      <c r="H23" s="48"/>
      <c r="I23" s="49"/>
      <c r="J23" s="50"/>
      <c r="K23" s="50"/>
      <c r="L23" s="50"/>
      <c r="M23" s="51">
        <f>I23*3+K23</f>
        <v>0</v>
      </c>
      <c r="N23" s="51">
        <f>J23*3+L23</f>
        <v>0</v>
      </c>
      <c r="O23" s="52">
        <f>N23+M23</f>
        <v>0</v>
      </c>
      <c r="P23" s="45"/>
      <c r="Q23" s="47"/>
      <c r="R23" s="47"/>
      <c r="S23" s="47"/>
      <c r="T23" s="51">
        <f>P23*3+R23</f>
        <v>0</v>
      </c>
      <c r="U23" s="51">
        <f>Q23*3+S23</f>
        <v>0</v>
      </c>
      <c r="V23" s="53">
        <f>U23+T23</f>
        <v>0</v>
      </c>
      <c r="W23" s="45"/>
      <c r="X23" s="47"/>
      <c r="Y23" s="47"/>
      <c r="Z23" s="47"/>
      <c r="AA23" s="54">
        <f>W23*3+Y23</f>
        <v>0</v>
      </c>
      <c r="AB23" s="54">
        <f>X23*3+Z23</f>
        <v>0</v>
      </c>
      <c r="AC23" s="55">
        <f>AB23+AA23</f>
        <v>0</v>
      </c>
      <c r="AD23" s="45"/>
      <c r="AE23" s="47"/>
      <c r="AF23" s="47"/>
      <c r="AG23" s="47"/>
      <c r="AH23" s="51">
        <f>AD23*3+AF23</f>
        <v>0</v>
      </c>
      <c r="AI23" s="51">
        <f>AE23*3+AG23</f>
        <v>0</v>
      </c>
      <c r="AJ23" s="53">
        <f>AI23+AH23</f>
        <v>0</v>
      </c>
      <c r="AK23" s="45"/>
      <c r="AL23" s="47"/>
      <c r="AM23" s="47"/>
      <c r="AN23" s="47"/>
      <c r="AO23" s="51">
        <f>AK23*3+AM23</f>
        <v>0</v>
      </c>
      <c r="AP23" s="51">
        <f>AL23*3+AN23</f>
        <v>0</v>
      </c>
      <c r="AQ23" s="53">
        <f>AP23+AO23</f>
        <v>0</v>
      </c>
      <c r="AR23" s="45"/>
      <c r="AS23" s="47"/>
      <c r="AT23" s="47"/>
      <c r="AU23" s="47"/>
      <c r="AV23" s="51">
        <f>AR23*3+AT23</f>
        <v>0</v>
      </c>
      <c r="AW23" s="51">
        <f>AS23*3+AU23</f>
        <v>0</v>
      </c>
      <c r="AX23" s="53">
        <f>AW23+AV23</f>
        <v>0</v>
      </c>
      <c r="AY23" s="45"/>
      <c r="AZ23" s="47"/>
      <c r="BA23" s="47"/>
      <c r="BB23" s="47"/>
      <c r="BC23" s="51">
        <f>AY23*3+BA23</f>
        <v>0</v>
      </c>
      <c r="BD23" s="51">
        <f>AZ23*3+BB23</f>
        <v>0</v>
      </c>
      <c r="BE23" s="53">
        <f>BD23+BC23</f>
        <v>0</v>
      </c>
      <c r="BF23" s="45"/>
      <c r="BG23" s="47"/>
      <c r="BH23" s="47">
        <v>2</v>
      </c>
      <c r="BI23" s="47"/>
      <c r="BJ23" s="51">
        <f>BF23*3+BH23</f>
        <v>2</v>
      </c>
      <c r="BK23" s="51">
        <f>BG23*3+BI23</f>
        <v>0</v>
      </c>
      <c r="BL23" s="177">
        <f>BK23+BJ23</f>
        <v>2</v>
      </c>
      <c r="BM23" s="97"/>
      <c r="BN23" s="179"/>
      <c r="BO23" s="179"/>
      <c r="BP23" s="179"/>
      <c r="BQ23" s="51">
        <f>BM23*3+BO23</f>
        <v>0</v>
      </c>
      <c r="BR23" s="51">
        <f>BN23*3+BP23</f>
        <v>0</v>
      </c>
      <c r="BS23" s="177">
        <f>BR23+BQ23</f>
        <v>0</v>
      </c>
      <c r="BT23" s="190">
        <f>SUM(AO23,AH23,AA23,T23,M23,AV23,BC23,BJ23,BQ23)</f>
        <v>2</v>
      </c>
      <c r="BU23" s="93">
        <f ca="1">BT23/(TODAY()-F23)</f>
        <v>3.9215686274509803E-2</v>
      </c>
      <c r="BV23" s="56">
        <f>SUM(AP23,AI23,AB23,U23,N23,AW23,BD23,BK23,BR23)</f>
        <v>0</v>
      </c>
      <c r="BW23" s="93">
        <f ca="1">BV23/(TODAY()-F23)</f>
        <v>0</v>
      </c>
      <c r="BX23" s="56">
        <f>BT23+BV23</f>
        <v>2</v>
      </c>
      <c r="BY23" s="93">
        <f ca="1">BW23+BU23</f>
        <v>3.9215686274509803E-2</v>
      </c>
      <c r="BZ23" s="56">
        <f>SUM(AR23,AK23,AD23,W23,P23,P23,I23,AY23,BF23,BM23)</f>
        <v>0</v>
      </c>
      <c r="CA23" s="56">
        <f>SUM(AS23,AL23,AE23,X23,Q23,Q23,J23,AZ23,BG23,BN23)</f>
        <v>0</v>
      </c>
      <c r="CB23" s="56">
        <f>CA23+BZ23</f>
        <v>0</v>
      </c>
    </row>
    <row r="24" spans="1:80" hidden="1" x14ac:dyDescent="0.25">
      <c r="A24" s="45">
        <v>9</v>
      </c>
      <c r="B24" s="76" t="s">
        <v>167</v>
      </c>
      <c r="C24" s="81" t="str">
        <f>B24&amp;" "&amp;A24</f>
        <v>יעל 9</v>
      </c>
      <c r="D24" s="65" t="s">
        <v>6</v>
      </c>
      <c r="E24" s="65" t="s">
        <v>7</v>
      </c>
      <c r="F24" s="90">
        <v>43101</v>
      </c>
      <c r="G24" s="96" t="s">
        <v>86</v>
      </c>
      <c r="H24" s="106" t="s">
        <v>168</v>
      </c>
      <c r="I24" s="49"/>
      <c r="J24" s="50"/>
      <c r="K24" s="50"/>
      <c r="L24" s="50"/>
      <c r="M24" s="51">
        <f>I24*3+K24</f>
        <v>0</v>
      </c>
      <c r="N24" s="51">
        <f>J24*3+L24</f>
        <v>0</v>
      </c>
      <c r="O24" s="52">
        <f>N24+M24</f>
        <v>0</v>
      </c>
      <c r="P24" s="45"/>
      <c r="Q24" s="47"/>
      <c r="R24" s="47"/>
      <c r="S24" s="47"/>
      <c r="T24" s="51">
        <f>P24*3+R24</f>
        <v>0</v>
      </c>
      <c r="U24" s="51">
        <f>Q24*3+S24</f>
        <v>0</v>
      </c>
      <c r="V24" s="53">
        <f>U24+T24</f>
        <v>0</v>
      </c>
      <c r="W24" s="45"/>
      <c r="X24" s="47"/>
      <c r="Y24" s="47"/>
      <c r="Z24" s="47"/>
      <c r="AA24" s="54">
        <f>W24*3+Y24</f>
        <v>0</v>
      </c>
      <c r="AB24" s="54">
        <f>X24*3+Z24</f>
        <v>0</v>
      </c>
      <c r="AC24" s="55">
        <f>AB24+AA24</f>
        <v>0</v>
      </c>
      <c r="AD24" s="45"/>
      <c r="AE24" s="47"/>
      <c r="AF24" s="47"/>
      <c r="AG24" s="47"/>
      <c r="AH24" s="51">
        <f>AD24*3+AF24</f>
        <v>0</v>
      </c>
      <c r="AI24" s="51">
        <f>AE24*3+AG24</f>
        <v>0</v>
      </c>
      <c r="AJ24" s="53">
        <f>AI24+AH24</f>
        <v>0</v>
      </c>
      <c r="AK24" s="45"/>
      <c r="AL24" s="47"/>
      <c r="AM24" s="47"/>
      <c r="AN24" s="47"/>
      <c r="AO24" s="51">
        <f>AK24*3+AM24</f>
        <v>0</v>
      </c>
      <c r="AP24" s="51">
        <f>AL24*3+AN24</f>
        <v>0</v>
      </c>
      <c r="AQ24" s="53">
        <f>AP24+AO24</f>
        <v>0</v>
      </c>
      <c r="AR24" s="45"/>
      <c r="AS24" s="47"/>
      <c r="AT24" s="47"/>
      <c r="AU24" s="47"/>
      <c r="AV24" s="51">
        <f>AR24*3+AT24</f>
        <v>0</v>
      </c>
      <c r="AW24" s="51">
        <f>AS24*3+AU24</f>
        <v>0</v>
      </c>
      <c r="AX24" s="53">
        <f>AW24+AV24</f>
        <v>0</v>
      </c>
      <c r="AY24" s="45"/>
      <c r="AZ24" s="47"/>
      <c r="BA24" s="47"/>
      <c r="BB24" s="47"/>
      <c r="BC24" s="51">
        <f>AY24*3+BA24</f>
        <v>0</v>
      </c>
      <c r="BD24" s="51">
        <f>AZ24*3+BB24</f>
        <v>0</v>
      </c>
      <c r="BE24" s="53">
        <f>BD24+BC24</f>
        <v>0</v>
      </c>
      <c r="BF24" s="45">
        <v>1</v>
      </c>
      <c r="BG24" s="47"/>
      <c r="BH24" s="47">
        <v>1</v>
      </c>
      <c r="BI24" s="47"/>
      <c r="BJ24" s="51">
        <f>BF24*3+BH24</f>
        <v>4</v>
      </c>
      <c r="BK24" s="51">
        <f>BG24*3+BI24</f>
        <v>0</v>
      </c>
      <c r="BL24" s="177">
        <f>BK24+BJ24</f>
        <v>4</v>
      </c>
      <c r="BM24" s="97"/>
      <c r="BN24" s="179"/>
      <c r="BO24" s="179"/>
      <c r="BP24" s="179"/>
      <c r="BQ24" s="51">
        <f>BM24*3+BO24</f>
        <v>0</v>
      </c>
      <c r="BR24" s="51">
        <f>BN24*3+BP24</f>
        <v>0</v>
      </c>
      <c r="BS24" s="177">
        <f>BR24+BQ24</f>
        <v>0</v>
      </c>
      <c r="BT24" s="190">
        <f>SUM(AO24,AH24,AA24,T24,M24,AV24,BC24,BJ24,BQ24)</f>
        <v>4</v>
      </c>
      <c r="BU24" s="93">
        <f ca="1">BT24/(TODAY()-F24)</f>
        <v>7.8431372549019607E-2</v>
      </c>
      <c r="BV24" s="56">
        <f>SUM(AP24,AI24,AB24,U24,N24,AW24,BD24,BK24,BR24)</f>
        <v>0</v>
      </c>
      <c r="BW24" s="93">
        <f ca="1">BV24/(TODAY()-F24)</f>
        <v>0</v>
      </c>
      <c r="BX24" s="56">
        <f>BT24+BV24</f>
        <v>4</v>
      </c>
      <c r="BY24" s="93">
        <f ca="1">BW24+BU24</f>
        <v>7.8431372549019607E-2</v>
      </c>
      <c r="BZ24" s="56">
        <f>SUM(AR24,AK24,AD24,W24,P24,P24,I24,AY24,BF24,BM24)</f>
        <v>1</v>
      </c>
      <c r="CA24" s="56">
        <f>SUM(AS24,AL24,AE24,X24,Q24,Q24,J24,AZ24,BG24,BN24)</f>
        <v>0</v>
      </c>
      <c r="CB24" s="56">
        <f>CA24+BZ24</f>
        <v>1</v>
      </c>
    </row>
    <row r="25" spans="1:80" hidden="1" x14ac:dyDescent="0.25">
      <c r="A25" s="45">
        <v>9</v>
      </c>
      <c r="B25" s="76" t="s">
        <v>147</v>
      </c>
      <c r="C25" s="81" t="str">
        <f>B25&amp;" "&amp;A25</f>
        <v>ירדן 9</v>
      </c>
      <c r="D25" s="65" t="s">
        <v>6</v>
      </c>
      <c r="E25" s="65" t="s">
        <v>7</v>
      </c>
      <c r="F25" s="90">
        <v>43040</v>
      </c>
      <c r="G25" s="96" t="s">
        <v>86</v>
      </c>
      <c r="H25" s="48"/>
      <c r="I25" s="49"/>
      <c r="J25" s="50"/>
      <c r="K25" s="50"/>
      <c r="L25" s="50"/>
      <c r="M25" s="51">
        <f>I25*3+K25</f>
        <v>0</v>
      </c>
      <c r="N25" s="51">
        <f>J25*3+L25</f>
        <v>0</v>
      </c>
      <c r="O25" s="52">
        <f>N25+M25</f>
        <v>0</v>
      </c>
      <c r="P25" s="45"/>
      <c r="Q25" s="47"/>
      <c r="R25" s="47"/>
      <c r="S25" s="47"/>
      <c r="T25" s="51">
        <f>P25*3+R25</f>
        <v>0</v>
      </c>
      <c r="U25" s="51">
        <f>Q25*3+S25</f>
        <v>0</v>
      </c>
      <c r="V25" s="53">
        <f>U25+T25</f>
        <v>0</v>
      </c>
      <c r="W25" s="45"/>
      <c r="X25" s="47"/>
      <c r="Y25" s="47"/>
      <c r="Z25" s="47"/>
      <c r="AA25" s="54">
        <f>W25*3+Y25</f>
        <v>0</v>
      </c>
      <c r="AB25" s="54">
        <f>X25*3+Z25</f>
        <v>0</v>
      </c>
      <c r="AC25" s="55">
        <f>AB25+AA25</f>
        <v>0</v>
      </c>
      <c r="AD25" s="45"/>
      <c r="AE25" s="47"/>
      <c r="AF25" s="47"/>
      <c r="AG25" s="47"/>
      <c r="AH25" s="51">
        <f>AD25*3+AF25</f>
        <v>0</v>
      </c>
      <c r="AI25" s="51">
        <f>AE25*3+AG25</f>
        <v>0</v>
      </c>
      <c r="AJ25" s="53">
        <f>AI25+AH25</f>
        <v>0</v>
      </c>
      <c r="AK25" s="45"/>
      <c r="AL25" s="47"/>
      <c r="AM25" s="47"/>
      <c r="AN25" s="47"/>
      <c r="AO25" s="51">
        <f>AK25*3+AM25</f>
        <v>0</v>
      </c>
      <c r="AP25" s="51">
        <f>AL25*3+AN25</f>
        <v>0</v>
      </c>
      <c r="AQ25" s="53">
        <f>AP25+AO25</f>
        <v>0</v>
      </c>
      <c r="AR25" s="45">
        <v>1</v>
      </c>
      <c r="AS25" s="47"/>
      <c r="AT25" s="47"/>
      <c r="AU25" s="47"/>
      <c r="AV25" s="51">
        <f>AR25*3+AT25</f>
        <v>3</v>
      </c>
      <c r="AW25" s="51">
        <f>AS25*3+AU25</f>
        <v>0</v>
      </c>
      <c r="AX25" s="53">
        <f>AW25+AV25</f>
        <v>3</v>
      </c>
      <c r="AY25" s="45"/>
      <c r="AZ25" s="47"/>
      <c r="BA25" s="47">
        <v>3</v>
      </c>
      <c r="BB25" s="47"/>
      <c r="BC25" s="51">
        <f>AY25*3+BA25</f>
        <v>3</v>
      </c>
      <c r="BD25" s="51">
        <f>AZ25*3+BB25</f>
        <v>0</v>
      </c>
      <c r="BE25" s="53">
        <f>BD25+BC25</f>
        <v>3</v>
      </c>
      <c r="BF25" s="45">
        <v>1</v>
      </c>
      <c r="BG25" s="47"/>
      <c r="BH25" s="47"/>
      <c r="BI25" s="47">
        <v>1</v>
      </c>
      <c r="BJ25" s="51">
        <f>BF25*3+BH25</f>
        <v>3</v>
      </c>
      <c r="BK25" s="51">
        <f>BG25*3+BI25</f>
        <v>1</v>
      </c>
      <c r="BL25" s="177">
        <f>BK25+BJ25</f>
        <v>4</v>
      </c>
      <c r="BM25" s="97"/>
      <c r="BN25" s="179"/>
      <c r="BO25" s="179">
        <v>2</v>
      </c>
      <c r="BP25" s="179">
        <v>1</v>
      </c>
      <c r="BQ25" s="51">
        <f>BM25*3+BO25</f>
        <v>2</v>
      </c>
      <c r="BR25" s="51">
        <f>BN25*3+BP25</f>
        <v>1</v>
      </c>
      <c r="BS25" s="177">
        <f>BR25+BQ25</f>
        <v>3</v>
      </c>
      <c r="BT25" s="190">
        <f>SUM(AO25,AH25,AA25,T25,M25,AV25,BC25,BJ25,BQ25)</f>
        <v>11</v>
      </c>
      <c r="BU25" s="93">
        <f ca="1">BT25/(TODAY()-F25)</f>
        <v>9.8214285714285712E-2</v>
      </c>
      <c r="BV25" s="56">
        <f>SUM(AP25,AI25,AB25,U25,N25,AW25,BD25,BK25,BR25)</f>
        <v>2</v>
      </c>
      <c r="BW25" s="93">
        <f ca="1">BV25/(TODAY()-F25)</f>
        <v>1.7857142857142856E-2</v>
      </c>
      <c r="BX25" s="56">
        <f>BT25+BV25</f>
        <v>13</v>
      </c>
      <c r="BY25" s="93">
        <f ca="1">BW25+BU25</f>
        <v>0.11607142857142858</v>
      </c>
      <c r="BZ25" s="56">
        <f>SUM(AR25,AK25,AD25,W25,P25,P25,I25,AY25,BF25,BM25)</f>
        <v>2</v>
      </c>
      <c r="CA25" s="56">
        <f>SUM(AS25,AL25,AE25,X25,Q25,Q25,J25,AZ25,BG25,BN25)</f>
        <v>0</v>
      </c>
      <c r="CB25" s="56">
        <f>CA25+BZ25</f>
        <v>2</v>
      </c>
    </row>
    <row r="26" spans="1:80" hidden="1" x14ac:dyDescent="0.25">
      <c r="A26" s="45">
        <v>9</v>
      </c>
      <c r="B26" s="46" t="s">
        <v>15</v>
      </c>
      <c r="C26" s="46" t="str">
        <f>B26&amp;" "&amp;A26</f>
        <v>שקד 9</v>
      </c>
      <c r="D26" s="47" t="s">
        <v>6</v>
      </c>
      <c r="E26" s="65" t="s">
        <v>7</v>
      </c>
      <c r="F26" s="90">
        <v>43009</v>
      </c>
      <c r="G26" s="96" t="s">
        <v>86</v>
      </c>
      <c r="H26" s="106" t="s">
        <v>168</v>
      </c>
      <c r="I26" s="49"/>
      <c r="J26" s="50"/>
      <c r="K26" s="50"/>
      <c r="L26" s="50"/>
      <c r="M26" s="51">
        <f>I26*3+K26</f>
        <v>0</v>
      </c>
      <c r="N26" s="51">
        <f>J26*3+L26</f>
        <v>0</v>
      </c>
      <c r="O26" s="52">
        <f>N26+M26</f>
        <v>0</v>
      </c>
      <c r="P26" s="45"/>
      <c r="Q26" s="47"/>
      <c r="R26" s="47"/>
      <c r="S26" s="47"/>
      <c r="T26" s="51">
        <f>P26*3+R26</f>
        <v>0</v>
      </c>
      <c r="U26" s="51">
        <f>Q26*3+S26</f>
        <v>0</v>
      </c>
      <c r="V26" s="53">
        <f>U26+T26</f>
        <v>0</v>
      </c>
      <c r="W26" s="45"/>
      <c r="X26" s="47"/>
      <c r="Y26" s="47"/>
      <c r="Z26" s="47"/>
      <c r="AA26" s="54">
        <f>W26*3+Y26</f>
        <v>0</v>
      </c>
      <c r="AB26" s="54">
        <f>X26*3+Z26</f>
        <v>0</v>
      </c>
      <c r="AC26" s="55">
        <f>AB26+AA26</f>
        <v>0</v>
      </c>
      <c r="AD26" s="45"/>
      <c r="AE26" s="47"/>
      <c r="AF26" s="47">
        <v>1</v>
      </c>
      <c r="AG26" s="47"/>
      <c r="AH26" s="51">
        <f>AD26*3+AF26</f>
        <v>1</v>
      </c>
      <c r="AI26" s="51">
        <f>AE26*3+AG26</f>
        <v>0</v>
      </c>
      <c r="AJ26" s="53">
        <f>AI26+AH26</f>
        <v>1</v>
      </c>
      <c r="AK26" s="45">
        <v>1</v>
      </c>
      <c r="AL26" s="47"/>
      <c r="AM26" s="47">
        <v>2</v>
      </c>
      <c r="AN26" s="47"/>
      <c r="AO26" s="51">
        <f>AK26*3+AM26</f>
        <v>5</v>
      </c>
      <c r="AP26" s="51">
        <f>AL26*3+AN26</f>
        <v>0</v>
      </c>
      <c r="AQ26" s="53">
        <f>AP26+AO26</f>
        <v>5</v>
      </c>
      <c r="AR26" s="45"/>
      <c r="AS26" s="47"/>
      <c r="AT26" s="47">
        <v>4</v>
      </c>
      <c r="AU26" s="47"/>
      <c r="AV26" s="51">
        <f>AR26*3+AT26</f>
        <v>4</v>
      </c>
      <c r="AW26" s="51">
        <f>AS26*3+AU26</f>
        <v>0</v>
      </c>
      <c r="AX26" s="53">
        <f>AW26+AV26</f>
        <v>4</v>
      </c>
      <c r="AY26" s="45"/>
      <c r="AZ26" s="47"/>
      <c r="BA26" s="47">
        <v>2</v>
      </c>
      <c r="BB26" s="47">
        <v>1</v>
      </c>
      <c r="BC26" s="51">
        <f>AY26*3+BA26</f>
        <v>2</v>
      </c>
      <c r="BD26" s="51">
        <f>AZ26*3+BB26</f>
        <v>1</v>
      </c>
      <c r="BE26" s="53">
        <f>BD26+BC26</f>
        <v>3</v>
      </c>
      <c r="BF26" s="45">
        <v>1</v>
      </c>
      <c r="BG26" s="47"/>
      <c r="BH26" s="47"/>
      <c r="BI26" s="47">
        <v>1</v>
      </c>
      <c r="BJ26" s="51">
        <f>BF26*3+BH26</f>
        <v>3</v>
      </c>
      <c r="BK26" s="51">
        <f>BG26*3+BI26</f>
        <v>1</v>
      </c>
      <c r="BL26" s="177">
        <f>BK26+BJ26</f>
        <v>4</v>
      </c>
      <c r="BM26" s="97">
        <v>1</v>
      </c>
      <c r="BN26" s="179"/>
      <c r="BO26" s="179"/>
      <c r="BP26" s="179"/>
      <c r="BQ26" s="51">
        <f>BM26*3+BO26</f>
        <v>3</v>
      </c>
      <c r="BR26" s="51">
        <f>BN26*3+BP26</f>
        <v>0</v>
      </c>
      <c r="BS26" s="177">
        <f>BR26+BQ26</f>
        <v>3</v>
      </c>
      <c r="BT26" s="190">
        <f>SUM(AO26,AH26,AA26,T26,M26,AV26,BC26,BJ26,BQ26)</f>
        <v>18</v>
      </c>
      <c r="BU26" s="93">
        <f ca="1">BT26/(TODAY()-F26)</f>
        <v>0.12587412587412589</v>
      </c>
      <c r="BV26" s="56">
        <f>SUM(AP26,AI26,AB26,U26,N26,AW26,BD26,BK26,BR26)</f>
        <v>2</v>
      </c>
      <c r="BW26" s="93">
        <f ca="1">BV26/(TODAY()-F26)</f>
        <v>1.3986013986013986E-2</v>
      </c>
      <c r="BX26" s="56">
        <f>BT26+BV26</f>
        <v>20</v>
      </c>
      <c r="BY26" s="93">
        <f ca="1">BW26+BU26</f>
        <v>0.13986013986013987</v>
      </c>
      <c r="BZ26" s="56">
        <f>SUM(AR26,AK26,AD26,W26,P26,P26,I26,AY26,BF26,BM26)</f>
        <v>3</v>
      </c>
      <c r="CA26" s="56">
        <f>SUM(AS26,AL26,AE26,X26,Q26,Q26,J26,AZ26,BG26,BN26)</f>
        <v>0</v>
      </c>
      <c r="CB26" s="56">
        <f>CA26+BZ26</f>
        <v>3</v>
      </c>
    </row>
    <row r="27" spans="1:80" hidden="1" x14ac:dyDescent="0.25">
      <c r="A27" s="45">
        <v>11</v>
      </c>
      <c r="B27" s="76" t="s">
        <v>194</v>
      </c>
      <c r="C27" s="81" t="str">
        <f>B27&amp;" "&amp;A27</f>
        <v>ניקול 11</v>
      </c>
      <c r="D27" s="65" t="s">
        <v>6</v>
      </c>
      <c r="E27" s="65" t="s">
        <v>6</v>
      </c>
      <c r="F27" s="90">
        <v>43132</v>
      </c>
      <c r="G27" s="129" t="s">
        <v>86</v>
      </c>
      <c r="H27" s="48"/>
      <c r="I27" s="49"/>
      <c r="J27" s="50"/>
      <c r="K27" s="50"/>
      <c r="L27" s="50"/>
      <c r="M27" s="51"/>
      <c r="N27" s="51"/>
      <c r="O27" s="52">
        <v>0</v>
      </c>
      <c r="P27" s="45"/>
      <c r="Q27" s="47"/>
      <c r="R27" s="47"/>
      <c r="S27" s="47"/>
      <c r="T27" s="51">
        <f>P27*3+R27</f>
        <v>0</v>
      </c>
      <c r="U27" s="51">
        <f>Q27*3+S27</f>
        <v>0</v>
      </c>
      <c r="V27" s="53">
        <v>0</v>
      </c>
      <c r="W27" s="45"/>
      <c r="X27" s="47"/>
      <c r="Y27" s="47"/>
      <c r="Z27" s="47"/>
      <c r="AA27" s="54">
        <f>W27*3+Y27</f>
        <v>0</v>
      </c>
      <c r="AB27" s="54">
        <f>X27*3+Z27</f>
        <v>0</v>
      </c>
      <c r="AC27" s="55">
        <f>AB27+AA27</f>
        <v>0</v>
      </c>
      <c r="AD27" s="45"/>
      <c r="AE27" s="47"/>
      <c r="AF27" s="47"/>
      <c r="AG27" s="47"/>
      <c r="AH27" s="51">
        <f>AD27*3+AF27</f>
        <v>0</v>
      </c>
      <c r="AI27" s="51">
        <f>AE27*3+AG27</f>
        <v>0</v>
      </c>
      <c r="AJ27" s="53">
        <f>AI27+AH27</f>
        <v>0</v>
      </c>
      <c r="AK27" s="45"/>
      <c r="AL27" s="47"/>
      <c r="AM27" s="47"/>
      <c r="AN27" s="47"/>
      <c r="AO27" s="51">
        <f>AK27*3+AM27</f>
        <v>0</v>
      </c>
      <c r="AP27" s="51">
        <f>AL27*3+AN27</f>
        <v>0</v>
      </c>
      <c r="AQ27" s="53">
        <f>AP27+AO27</f>
        <v>0</v>
      </c>
      <c r="AR27" s="45"/>
      <c r="AS27" s="47"/>
      <c r="AT27" s="47"/>
      <c r="AU27" s="47"/>
      <c r="AV27" s="51">
        <f>AR27*3+AT27</f>
        <v>0</v>
      </c>
      <c r="AW27" s="51">
        <f>AS27*3+AU27</f>
        <v>0</v>
      </c>
      <c r="AX27" s="53">
        <f>AW27+AV27</f>
        <v>0</v>
      </c>
      <c r="AY27" s="45"/>
      <c r="AZ27" s="47"/>
      <c r="BA27" s="47"/>
      <c r="BB27" s="47"/>
      <c r="BC27" s="51">
        <f>AY27*3+BA27</f>
        <v>0</v>
      </c>
      <c r="BD27" s="51">
        <f>AZ27*3+BB27</f>
        <v>0</v>
      </c>
      <c r="BE27" s="53">
        <f>BD27+BC27</f>
        <v>0</v>
      </c>
      <c r="BF27" s="45"/>
      <c r="BG27" s="47"/>
      <c r="BH27" s="47"/>
      <c r="BI27" s="47"/>
      <c r="BJ27" s="51">
        <f>BF27*3+BH27</f>
        <v>0</v>
      </c>
      <c r="BK27" s="51">
        <f>BG27*3+BI27</f>
        <v>0</v>
      </c>
      <c r="BL27" s="177">
        <f>BK27+BJ27</f>
        <v>0</v>
      </c>
      <c r="BM27" s="97">
        <v>1</v>
      </c>
      <c r="BN27" s="179"/>
      <c r="BO27" s="179">
        <v>2</v>
      </c>
      <c r="BP27" s="179"/>
      <c r="BQ27" s="51">
        <f>BM27*3+BO27</f>
        <v>5</v>
      </c>
      <c r="BR27" s="51">
        <f>BN27*3+BP27</f>
        <v>0</v>
      </c>
      <c r="BS27" s="177">
        <f>BR27+BQ27</f>
        <v>5</v>
      </c>
      <c r="BT27" s="190">
        <f>SUM(AO27,AH27,AA27,T27,M27,AV27,BC27,BJ27,BQ27)</f>
        <v>5</v>
      </c>
      <c r="BU27" s="93">
        <f ca="1">BT27/(TODAY()-F27)</f>
        <v>0.25</v>
      </c>
      <c r="BV27" s="56">
        <f>SUM(AP27,AI27,AB27,U27,N27,AW27,BD27,BK27,BR27)</f>
        <v>0</v>
      </c>
      <c r="BW27" s="93">
        <f ca="1">BV27/(TODAY()-F27)</f>
        <v>0</v>
      </c>
      <c r="BX27" s="56">
        <f>BT27+BV27</f>
        <v>5</v>
      </c>
      <c r="BY27" s="93">
        <f ca="1">BW27+BU27</f>
        <v>0.25</v>
      </c>
      <c r="BZ27" s="56">
        <f>SUM(AR27,AK27,AD27,W27,P27,P27,I27,AY27,BF27,BM27)</f>
        <v>1</v>
      </c>
      <c r="CA27" s="56">
        <f>SUM(AS27,AL27,AE27,X27,Q27,Q27,J27,AZ27,BG27,BN27)</f>
        <v>0</v>
      </c>
      <c r="CB27" s="56">
        <f>CA27+BZ27</f>
        <v>1</v>
      </c>
    </row>
    <row r="28" spans="1:80" hidden="1" x14ac:dyDescent="0.25">
      <c r="A28" s="45">
        <v>209</v>
      </c>
      <c r="B28" s="76" t="s">
        <v>169</v>
      </c>
      <c r="C28" s="81" t="str">
        <f>B28&amp;" "&amp;A28</f>
        <v>אלינה 209</v>
      </c>
      <c r="D28" s="65" t="s">
        <v>6</v>
      </c>
      <c r="E28" s="65" t="s">
        <v>7</v>
      </c>
      <c r="F28" s="90">
        <v>43101</v>
      </c>
      <c r="G28" s="94" t="s">
        <v>86</v>
      </c>
      <c r="H28" s="48"/>
      <c r="I28" s="49"/>
      <c r="J28" s="50"/>
      <c r="K28" s="50"/>
      <c r="L28" s="50"/>
      <c r="M28" s="51">
        <f>I28*3+K28</f>
        <v>0</v>
      </c>
      <c r="N28" s="51">
        <f>J28*3+L28</f>
        <v>0</v>
      </c>
      <c r="O28" s="52">
        <f>N28+M28</f>
        <v>0</v>
      </c>
      <c r="P28" s="45"/>
      <c r="Q28" s="47"/>
      <c r="R28" s="47"/>
      <c r="S28" s="47"/>
      <c r="T28" s="51">
        <f>P28*3+R28</f>
        <v>0</v>
      </c>
      <c r="U28" s="51">
        <f>Q28*3+S28</f>
        <v>0</v>
      </c>
      <c r="V28" s="53">
        <f>U28+T28</f>
        <v>0</v>
      </c>
      <c r="W28" s="45"/>
      <c r="X28" s="47"/>
      <c r="Y28" s="47"/>
      <c r="Z28" s="47"/>
      <c r="AA28" s="54">
        <f>W28*3+Y28</f>
        <v>0</v>
      </c>
      <c r="AB28" s="54">
        <f>X28*3+Z28</f>
        <v>0</v>
      </c>
      <c r="AC28" s="55">
        <f>AB28+AA28</f>
        <v>0</v>
      </c>
      <c r="AD28" s="45"/>
      <c r="AE28" s="47"/>
      <c r="AF28" s="47"/>
      <c r="AG28" s="47"/>
      <c r="AH28" s="51">
        <f>AD28*3+AF28</f>
        <v>0</v>
      </c>
      <c r="AI28" s="51">
        <f>AE28*3+AG28</f>
        <v>0</v>
      </c>
      <c r="AJ28" s="53">
        <f>AI28+AH28</f>
        <v>0</v>
      </c>
      <c r="AK28" s="45"/>
      <c r="AL28" s="47"/>
      <c r="AM28" s="47"/>
      <c r="AN28" s="47"/>
      <c r="AO28" s="51">
        <f>AK28*3+AM28</f>
        <v>0</v>
      </c>
      <c r="AP28" s="51">
        <f>AL28*3+AN28</f>
        <v>0</v>
      </c>
      <c r="AQ28" s="53">
        <f>AP28+AO28</f>
        <v>0</v>
      </c>
      <c r="AR28" s="45"/>
      <c r="AS28" s="47"/>
      <c r="AT28" s="47"/>
      <c r="AU28" s="47"/>
      <c r="AV28" s="51">
        <f>AR28*3+AT28</f>
        <v>0</v>
      </c>
      <c r="AW28" s="51">
        <f>AS28*3+AU28</f>
        <v>0</v>
      </c>
      <c r="AX28" s="53">
        <f>AW28+AV28</f>
        <v>0</v>
      </c>
      <c r="AY28" s="45">
        <v>1</v>
      </c>
      <c r="AZ28" s="47"/>
      <c r="BA28" s="47"/>
      <c r="BB28" s="47"/>
      <c r="BC28" s="51">
        <f>AY28*3+BA28</f>
        <v>3</v>
      </c>
      <c r="BD28" s="51">
        <f>AZ28*3+BB28</f>
        <v>0</v>
      </c>
      <c r="BE28" s="53">
        <f>BD28+BC28</f>
        <v>3</v>
      </c>
      <c r="BF28" s="45"/>
      <c r="BG28" s="47">
        <v>1</v>
      </c>
      <c r="BH28" s="47">
        <v>1</v>
      </c>
      <c r="BI28" s="47"/>
      <c r="BJ28" s="51">
        <f>BF28*3+BH28</f>
        <v>1</v>
      </c>
      <c r="BK28" s="51">
        <f>BG28*3+BI28</f>
        <v>3</v>
      </c>
      <c r="BL28" s="177">
        <f>BK28+BJ28</f>
        <v>4</v>
      </c>
      <c r="BM28" s="97"/>
      <c r="BN28" s="179"/>
      <c r="BO28" s="179">
        <v>1</v>
      </c>
      <c r="BP28" s="179"/>
      <c r="BQ28" s="51">
        <f>BM28*3+BO28</f>
        <v>1</v>
      </c>
      <c r="BR28" s="51">
        <f>BN28*3+BP28</f>
        <v>0</v>
      </c>
      <c r="BS28" s="177">
        <f>BR28+BQ28</f>
        <v>1</v>
      </c>
      <c r="BT28" s="190">
        <f>SUM(AO28,AH28,AA28,T28,M28,AV28,BC28,BJ28,BQ28)</f>
        <v>5</v>
      </c>
      <c r="BU28" s="93">
        <f ca="1">BT28/(TODAY()-F28)</f>
        <v>9.8039215686274508E-2</v>
      </c>
      <c r="BV28" s="56">
        <f>SUM(AP28,AI28,AB28,U28,N28,AW28,BD28,BK28,BR28)</f>
        <v>3</v>
      </c>
      <c r="BW28" s="93">
        <f ca="1">BV28/(TODAY()-F28)</f>
        <v>5.8823529411764705E-2</v>
      </c>
      <c r="BX28" s="56">
        <f>BT28+BV28</f>
        <v>8</v>
      </c>
      <c r="BY28" s="93">
        <f ca="1">BW28+BU28</f>
        <v>0.15686274509803921</v>
      </c>
      <c r="BZ28" s="56">
        <f>SUM(AR28,AK28,AD28,W28,P28,P28,I28,AY28,BF28,BM28)</f>
        <v>1</v>
      </c>
      <c r="CA28" s="56">
        <f>SUM(AS28,AL28,AE28,X28,Q28,Q28,J28,AZ28,BG28,BN28)</f>
        <v>1</v>
      </c>
      <c r="CB28" s="56">
        <f>CA28+BZ28</f>
        <v>2</v>
      </c>
    </row>
    <row r="29" spans="1:80" hidden="1" x14ac:dyDescent="0.25">
      <c r="A29" s="45">
        <v>209</v>
      </c>
      <c r="B29" s="46" t="s">
        <v>115</v>
      </c>
      <c r="C29" s="81" t="str">
        <f>B29&amp;" "&amp;A29</f>
        <v>גילי 209</v>
      </c>
      <c r="D29" s="47" t="s">
        <v>7</v>
      </c>
      <c r="E29" s="65" t="s">
        <v>7</v>
      </c>
      <c r="F29" s="90">
        <v>43009</v>
      </c>
      <c r="G29" s="58" t="s">
        <v>86</v>
      </c>
      <c r="H29" s="48"/>
      <c r="I29" s="49"/>
      <c r="J29" s="50"/>
      <c r="K29" s="50"/>
      <c r="L29" s="50"/>
      <c r="M29" s="51">
        <f>I29*3+K29</f>
        <v>0</v>
      </c>
      <c r="N29" s="51">
        <f>J29*3+L29</f>
        <v>0</v>
      </c>
      <c r="O29" s="52">
        <f>N29+M29</f>
        <v>0</v>
      </c>
      <c r="P29" s="45"/>
      <c r="Q29" s="47"/>
      <c r="R29" s="47"/>
      <c r="S29" s="47"/>
      <c r="T29" s="51">
        <f>P29*3+R29</f>
        <v>0</v>
      </c>
      <c r="U29" s="51">
        <f>Q29*3+S29</f>
        <v>0</v>
      </c>
      <c r="V29" s="53">
        <f>U29+T29</f>
        <v>0</v>
      </c>
      <c r="W29" s="45"/>
      <c r="X29" s="47"/>
      <c r="Y29" s="47"/>
      <c r="Z29" s="47"/>
      <c r="AA29" s="54">
        <f>W29*3+Y29</f>
        <v>0</v>
      </c>
      <c r="AB29" s="54">
        <f>X29*3+Z29</f>
        <v>0</v>
      </c>
      <c r="AC29" s="55">
        <f>AB29+AA29</f>
        <v>0</v>
      </c>
      <c r="AD29" s="45"/>
      <c r="AE29" s="47"/>
      <c r="AF29" s="47"/>
      <c r="AG29" s="47"/>
      <c r="AH29" s="51">
        <f>AD29*3+AF29</f>
        <v>0</v>
      </c>
      <c r="AI29" s="51">
        <f>AE29*3+AG29</f>
        <v>0</v>
      </c>
      <c r="AJ29" s="53">
        <f>AI29+AH29</f>
        <v>0</v>
      </c>
      <c r="AK29" s="45"/>
      <c r="AL29" s="47">
        <v>1</v>
      </c>
      <c r="AM29" s="47"/>
      <c r="AN29" s="47"/>
      <c r="AO29" s="51">
        <f>AK29*3+AM29</f>
        <v>0</v>
      </c>
      <c r="AP29" s="51">
        <f>AL29*3+AN29</f>
        <v>3</v>
      </c>
      <c r="AQ29" s="53">
        <f>AP29+AO29</f>
        <v>3</v>
      </c>
      <c r="AR29" s="45"/>
      <c r="AS29" s="47">
        <v>1</v>
      </c>
      <c r="AT29" s="47"/>
      <c r="AU29" s="47">
        <v>2</v>
      </c>
      <c r="AV29" s="51">
        <f>AR29*3+AT29</f>
        <v>0</v>
      </c>
      <c r="AW29" s="51">
        <f>AS29*3+AU29</f>
        <v>5</v>
      </c>
      <c r="AX29" s="53">
        <f>AW29+AV29</f>
        <v>5</v>
      </c>
      <c r="AY29" s="45"/>
      <c r="AZ29" s="47"/>
      <c r="BA29" s="47"/>
      <c r="BB29" s="47">
        <v>3</v>
      </c>
      <c r="BC29" s="51">
        <f>AY29*3+BA29</f>
        <v>0</v>
      </c>
      <c r="BD29" s="51">
        <f>AZ29*3+BB29</f>
        <v>3</v>
      </c>
      <c r="BE29" s="53">
        <f>BD29+BC29</f>
        <v>3</v>
      </c>
      <c r="BF29" s="45"/>
      <c r="BG29" s="47">
        <v>1</v>
      </c>
      <c r="BH29" s="47"/>
      <c r="BI29" s="47">
        <v>2</v>
      </c>
      <c r="BJ29" s="51">
        <f>BF29*3+BH29</f>
        <v>0</v>
      </c>
      <c r="BK29" s="51">
        <f>BG29*3+BI29</f>
        <v>5</v>
      </c>
      <c r="BL29" s="177">
        <f>BK29+BJ29</f>
        <v>5</v>
      </c>
      <c r="BM29" s="97"/>
      <c r="BN29" s="179"/>
      <c r="BO29" s="179"/>
      <c r="BP29" s="179">
        <v>4</v>
      </c>
      <c r="BQ29" s="51">
        <f>BM29*3+BO29</f>
        <v>0</v>
      </c>
      <c r="BR29" s="51">
        <f>BN29*3+BP29</f>
        <v>4</v>
      </c>
      <c r="BS29" s="177">
        <f>BR29+BQ29</f>
        <v>4</v>
      </c>
      <c r="BT29" s="190">
        <f>SUM(AO29,AH29,AA29,T29,M29,AV29,BC29,BJ29,BQ29)</f>
        <v>0</v>
      </c>
      <c r="BU29" s="93">
        <f ca="1">BT29/(TODAY()-F29)</f>
        <v>0</v>
      </c>
      <c r="BV29" s="56">
        <f>SUM(AP29,AI29,AB29,U29,N29,AW29,BD29,BK29,BR29)</f>
        <v>20</v>
      </c>
      <c r="BW29" s="93">
        <f ca="1">BV29/(TODAY()-F29)</f>
        <v>0.13986013986013987</v>
      </c>
      <c r="BX29" s="56">
        <f>BT29+BV29</f>
        <v>20</v>
      </c>
      <c r="BY29" s="93">
        <f ca="1">BW29+BU29</f>
        <v>0.13986013986013987</v>
      </c>
      <c r="BZ29" s="56">
        <f>SUM(AR29,AK29,AD29,W29,P29,P29,I29,AY29,BF29,BM29)</f>
        <v>0</v>
      </c>
      <c r="CA29" s="56">
        <f>SUM(AS29,AL29,AE29,X29,Q29,Q29,J29,AZ29,BG29,BN29)</f>
        <v>3</v>
      </c>
      <c r="CB29" s="56">
        <f>CA29+BZ29</f>
        <v>3</v>
      </c>
    </row>
    <row r="30" spans="1:80" hidden="1" x14ac:dyDescent="0.25">
      <c r="A30" s="45">
        <v>209</v>
      </c>
      <c r="B30" s="76" t="s">
        <v>148</v>
      </c>
      <c r="C30" s="81" t="str">
        <f>B30&amp;" "&amp;A30</f>
        <v>ולריה 209</v>
      </c>
      <c r="D30" s="65" t="s">
        <v>6</v>
      </c>
      <c r="E30" s="65" t="s">
        <v>7</v>
      </c>
      <c r="F30" s="90">
        <v>43040</v>
      </c>
      <c r="G30" s="94" t="s">
        <v>86</v>
      </c>
      <c r="H30" s="48"/>
      <c r="I30" s="49"/>
      <c r="J30" s="50"/>
      <c r="K30" s="50"/>
      <c r="L30" s="50"/>
      <c r="M30" s="51">
        <f>I30*3+K30</f>
        <v>0</v>
      </c>
      <c r="N30" s="51">
        <f>J30*3+L30</f>
        <v>0</v>
      </c>
      <c r="O30" s="52">
        <f>N30+M30</f>
        <v>0</v>
      </c>
      <c r="P30" s="45"/>
      <c r="Q30" s="47"/>
      <c r="R30" s="47"/>
      <c r="S30" s="47"/>
      <c r="T30" s="51">
        <f>P30*3+R30</f>
        <v>0</v>
      </c>
      <c r="U30" s="51">
        <f>Q30*3+S30</f>
        <v>0</v>
      </c>
      <c r="V30" s="53">
        <f>U30+T30</f>
        <v>0</v>
      </c>
      <c r="W30" s="45"/>
      <c r="X30" s="47"/>
      <c r="Y30" s="47"/>
      <c r="Z30" s="47"/>
      <c r="AA30" s="54">
        <f>W30*3+Y30</f>
        <v>0</v>
      </c>
      <c r="AB30" s="54">
        <f>X30*3+Z30</f>
        <v>0</v>
      </c>
      <c r="AC30" s="55">
        <f>AB30+AA30</f>
        <v>0</v>
      </c>
      <c r="AD30" s="45"/>
      <c r="AE30" s="47"/>
      <c r="AF30" s="47"/>
      <c r="AG30" s="47"/>
      <c r="AH30" s="51">
        <f>AD30*3+AF30</f>
        <v>0</v>
      </c>
      <c r="AI30" s="51">
        <f>AE30*3+AG30</f>
        <v>0</v>
      </c>
      <c r="AJ30" s="53">
        <f>AI30+AH30</f>
        <v>0</v>
      </c>
      <c r="AK30" s="45"/>
      <c r="AL30" s="47"/>
      <c r="AM30" s="47"/>
      <c r="AN30" s="47"/>
      <c r="AO30" s="51">
        <f>AK30*3+AM30</f>
        <v>0</v>
      </c>
      <c r="AP30" s="51">
        <f>AL30*3+AN30</f>
        <v>0</v>
      </c>
      <c r="AQ30" s="53">
        <f>AP30+AO30</f>
        <v>0</v>
      </c>
      <c r="AR30" s="45"/>
      <c r="AS30" s="47"/>
      <c r="AT30" s="47">
        <v>1</v>
      </c>
      <c r="AU30" s="47"/>
      <c r="AV30" s="51">
        <f>AR30*3+AT30</f>
        <v>1</v>
      </c>
      <c r="AW30" s="51">
        <f>AS30*3+AU30</f>
        <v>0</v>
      </c>
      <c r="AX30" s="53">
        <f>AW30+AV30</f>
        <v>1</v>
      </c>
      <c r="AY30" s="45">
        <v>1</v>
      </c>
      <c r="AZ30" s="47"/>
      <c r="BA30" s="47">
        <v>2</v>
      </c>
      <c r="BB30" s="47"/>
      <c r="BC30" s="51">
        <f>AY30*3+BA30</f>
        <v>5</v>
      </c>
      <c r="BD30" s="51">
        <f>AZ30*3+BB30</f>
        <v>0</v>
      </c>
      <c r="BE30" s="53">
        <f>BD30+BC30</f>
        <v>5</v>
      </c>
      <c r="BF30" s="45"/>
      <c r="BG30" s="47"/>
      <c r="BH30" s="47">
        <v>2</v>
      </c>
      <c r="BI30" s="47">
        <v>1</v>
      </c>
      <c r="BJ30" s="51">
        <f>BF30*3+BH30</f>
        <v>2</v>
      </c>
      <c r="BK30" s="51">
        <f>BG30*3+BI30</f>
        <v>1</v>
      </c>
      <c r="BL30" s="177">
        <f>BK30+BJ30</f>
        <v>3</v>
      </c>
      <c r="BM30" s="97"/>
      <c r="BN30" s="179"/>
      <c r="BO30" s="179">
        <v>3</v>
      </c>
      <c r="BP30" s="179">
        <v>1</v>
      </c>
      <c r="BQ30" s="51">
        <f>BM30*3+BO30</f>
        <v>3</v>
      </c>
      <c r="BR30" s="51">
        <f>BN30*3+BP30</f>
        <v>1</v>
      </c>
      <c r="BS30" s="177">
        <f>BR30+BQ30</f>
        <v>4</v>
      </c>
      <c r="BT30" s="190">
        <f>SUM(AO30,AH30,AA30,T30,M30,AV30,BC30,BJ30,BQ30)</f>
        <v>11</v>
      </c>
      <c r="BU30" s="93">
        <f ca="1">BT30/(TODAY()-F30)</f>
        <v>9.8214285714285712E-2</v>
      </c>
      <c r="BV30" s="56">
        <f>SUM(AP30,AI30,AB30,U30,N30,AW30,BD30,BK30,BR30)</f>
        <v>2</v>
      </c>
      <c r="BW30" s="93">
        <f ca="1">BV30/(TODAY()-F30)</f>
        <v>1.7857142857142856E-2</v>
      </c>
      <c r="BX30" s="56">
        <f>BT30+BV30</f>
        <v>13</v>
      </c>
      <c r="BY30" s="93">
        <f ca="1">BW30+BU30</f>
        <v>0.11607142857142858</v>
      </c>
      <c r="BZ30" s="56">
        <f>SUM(AR30,AK30,AD30,W30,P30,P30,I30,AY30,BF30,BM30)</f>
        <v>1</v>
      </c>
      <c r="CA30" s="56">
        <f>SUM(AS30,AL30,AE30,X30,Q30,Q30,J30,AZ30,BG30,BN30)</f>
        <v>0</v>
      </c>
      <c r="CB30" s="56">
        <f>CA30+BZ30</f>
        <v>1</v>
      </c>
    </row>
    <row r="31" spans="1:80" hidden="1" x14ac:dyDescent="0.25">
      <c r="A31" s="45">
        <v>474</v>
      </c>
      <c r="B31" s="76" t="s">
        <v>179</v>
      </c>
      <c r="C31" s="81" t="str">
        <f>B31&amp;" "&amp;A31</f>
        <v>אתי 474</v>
      </c>
      <c r="D31" s="47" t="s">
        <v>6</v>
      </c>
      <c r="E31" s="65" t="s">
        <v>7</v>
      </c>
      <c r="F31" s="90">
        <v>43101</v>
      </c>
      <c r="G31" s="96" t="s">
        <v>86</v>
      </c>
      <c r="H31" s="48"/>
      <c r="I31" s="49"/>
      <c r="J31" s="50"/>
      <c r="K31" s="50"/>
      <c r="L31" s="50"/>
      <c r="M31" s="51">
        <f>I31*3+K31</f>
        <v>0</v>
      </c>
      <c r="N31" s="51">
        <f>J31*3+L31</f>
        <v>0</v>
      </c>
      <c r="O31" s="52">
        <f>N31+M31</f>
        <v>0</v>
      </c>
      <c r="P31" s="45"/>
      <c r="Q31" s="47"/>
      <c r="R31" s="47"/>
      <c r="S31" s="47"/>
      <c r="T31" s="51">
        <f>P31*3+R31</f>
        <v>0</v>
      </c>
      <c r="U31" s="51">
        <f>Q31*3+S31</f>
        <v>0</v>
      </c>
      <c r="V31" s="53">
        <f>U31+T31</f>
        <v>0</v>
      </c>
      <c r="W31" s="45"/>
      <c r="X31" s="47"/>
      <c r="Y31" s="47"/>
      <c r="Z31" s="47"/>
      <c r="AA31" s="54">
        <f>W31*3+Y31</f>
        <v>0</v>
      </c>
      <c r="AB31" s="54">
        <f>X31*3+Z31</f>
        <v>0</v>
      </c>
      <c r="AC31" s="55">
        <f>AB31+AA31</f>
        <v>0</v>
      </c>
      <c r="AD31" s="45"/>
      <c r="AE31" s="47"/>
      <c r="AF31" s="47"/>
      <c r="AG31" s="47"/>
      <c r="AH31" s="51">
        <f>AD31*3+AF31</f>
        <v>0</v>
      </c>
      <c r="AI31" s="51">
        <f>AE31*3+AG31</f>
        <v>0</v>
      </c>
      <c r="AJ31" s="53">
        <f>AI31+AH31</f>
        <v>0</v>
      </c>
      <c r="AK31" s="45"/>
      <c r="AL31" s="47"/>
      <c r="AM31" s="47"/>
      <c r="AN31" s="47"/>
      <c r="AO31" s="51">
        <f>AK31*3+AM31</f>
        <v>0</v>
      </c>
      <c r="AP31" s="51">
        <f>AL31*3+AN31</f>
        <v>0</v>
      </c>
      <c r="AQ31" s="53">
        <f>AP31+AO31</f>
        <v>0</v>
      </c>
      <c r="AR31" s="45"/>
      <c r="AS31" s="47"/>
      <c r="AT31" s="47"/>
      <c r="AU31" s="47"/>
      <c r="AV31" s="51">
        <f>AR31*3+AT31</f>
        <v>0</v>
      </c>
      <c r="AW31" s="51">
        <f>AS31*3+AU31</f>
        <v>0</v>
      </c>
      <c r="AX31" s="53">
        <f>AW31+AV31</f>
        <v>0</v>
      </c>
      <c r="AY31" s="45"/>
      <c r="AZ31" s="47"/>
      <c r="BA31" s="47"/>
      <c r="BB31" s="47"/>
      <c r="BC31" s="51">
        <f>AY31*3+BA31</f>
        <v>0</v>
      </c>
      <c r="BD31" s="51">
        <f>AZ31*3+BB31</f>
        <v>0</v>
      </c>
      <c r="BE31" s="53">
        <f>BD31+BC31</f>
        <v>0</v>
      </c>
      <c r="BF31" s="45">
        <v>1</v>
      </c>
      <c r="BG31" s="47"/>
      <c r="BH31" s="47"/>
      <c r="BI31" s="47"/>
      <c r="BJ31" s="51">
        <f>BF31*3+BH31</f>
        <v>3</v>
      </c>
      <c r="BK31" s="51">
        <f>BG31*3+BI31</f>
        <v>0</v>
      </c>
      <c r="BL31" s="177">
        <f>BK31+BJ31</f>
        <v>3</v>
      </c>
      <c r="BM31" s="97">
        <v>1</v>
      </c>
      <c r="BN31" s="179"/>
      <c r="BO31" s="179">
        <v>2</v>
      </c>
      <c r="BP31" s="179"/>
      <c r="BQ31" s="51">
        <f>BM31*3+BO31</f>
        <v>5</v>
      </c>
      <c r="BR31" s="51">
        <f>BN31*3+BP31</f>
        <v>0</v>
      </c>
      <c r="BS31" s="177">
        <f>BR31+BQ31</f>
        <v>5</v>
      </c>
      <c r="BT31" s="190">
        <f>SUM(AO31,AH31,AA31,T31,M31,AV31,BC31,BJ31,BQ31)</f>
        <v>8</v>
      </c>
      <c r="BU31" s="93">
        <f ca="1">BT31/(TODAY()-F31)</f>
        <v>0.15686274509803921</v>
      </c>
      <c r="BV31" s="56">
        <f>SUM(AP31,AI31,AB31,U31,N31,AW31,BD31,BK31,BR31)</f>
        <v>0</v>
      </c>
      <c r="BW31" s="93">
        <f ca="1">BV31/(TODAY()-F31)</f>
        <v>0</v>
      </c>
      <c r="BX31" s="56">
        <f>BT31+BV31</f>
        <v>8</v>
      </c>
      <c r="BY31" s="93">
        <f ca="1">BW31+BU31</f>
        <v>0.15686274509803921</v>
      </c>
      <c r="BZ31" s="56">
        <f>SUM(AR31,AK31,AD31,W31,P31,P31,I31,AY31,BF31,BM31)</f>
        <v>2</v>
      </c>
      <c r="CA31" s="56">
        <f>SUM(AS31,AL31,AE31,X31,Q31,Q31,J31,AZ31,BG31,BN31)</f>
        <v>0</v>
      </c>
      <c r="CB31" s="56">
        <f>CA31+BZ31</f>
        <v>2</v>
      </c>
    </row>
    <row r="32" spans="1:80" hidden="1" x14ac:dyDescent="0.25">
      <c r="A32" s="45">
        <v>474</v>
      </c>
      <c r="B32" s="76" t="s">
        <v>180</v>
      </c>
      <c r="C32" s="81" t="str">
        <f>B32&amp;" "&amp;A32</f>
        <v>שובל 474</v>
      </c>
      <c r="D32" s="47" t="s">
        <v>6</v>
      </c>
      <c r="E32" s="65" t="s">
        <v>7</v>
      </c>
      <c r="F32" s="90">
        <v>43101</v>
      </c>
      <c r="G32" s="96" t="s">
        <v>86</v>
      </c>
      <c r="H32" s="48"/>
      <c r="I32" s="49"/>
      <c r="J32" s="50"/>
      <c r="K32" s="50"/>
      <c r="L32" s="50"/>
      <c r="M32" s="51">
        <f>I32*3+K32</f>
        <v>0</v>
      </c>
      <c r="N32" s="51">
        <f>J32*3+L32</f>
        <v>0</v>
      </c>
      <c r="O32" s="52">
        <f>N32+M32</f>
        <v>0</v>
      </c>
      <c r="P32" s="45"/>
      <c r="Q32" s="47"/>
      <c r="R32" s="47"/>
      <c r="S32" s="47"/>
      <c r="T32" s="51">
        <f>P32*3+R32</f>
        <v>0</v>
      </c>
      <c r="U32" s="51">
        <f>Q32*3+S32</f>
        <v>0</v>
      </c>
      <c r="V32" s="53">
        <f>U32+T32</f>
        <v>0</v>
      </c>
      <c r="W32" s="45"/>
      <c r="X32" s="47"/>
      <c r="Y32" s="47"/>
      <c r="Z32" s="47"/>
      <c r="AA32" s="54">
        <f>W32*3+Y32</f>
        <v>0</v>
      </c>
      <c r="AB32" s="54">
        <f>X32*3+Z32</f>
        <v>0</v>
      </c>
      <c r="AC32" s="55">
        <f>AB32+AA32</f>
        <v>0</v>
      </c>
      <c r="AD32" s="45"/>
      <c r="AE32" s="47"/>
      <c r="AF32" s="47"/>
      <c r="AG32" s="47"/>
      <c r="AH32" s="51">
        <f>AD32*3+AF32</f>
        <v>0</v>
      </c>
      <c r="AI32" s="51">
        <f>AE32*3+AG32</f>
        <v>0</v>
      </c>
      <c r="AJ32" s="53">
        <f>AI32+AH32</f>
        <v>0</v>
      </c>
      <c r="AK32" s="45"/>
      <c r="AL32" s="47"/>
      <c r="AM32" s="47"/>
      <c r="AN32" s="47"/>
      <c r="AO32" s="51">
        <f>AK32*3+AM32</f>
        <v>0</v>
      </c>
      <c r="AP32" s="51">
        <f>AL32*3+AN32</f>
        <v>0</v>
      </c>
      <c r="AQ32" s="53">
        <f>AP32+AO32</f>
        <v>0</v>
      </c>
      <c r="AR32" s="45"/>
      <c r="AS32" s="47"/>
      <c r="AT32" s="47"/>
      <c r="AU32" s="47"/>
      <c r="AV32" s="51">
        <f>AR32*3+AT32</f>
        <v>0</v>
      </c>
      <c r="AW32" s="51">
        <f>AS32*3+AU32</f>
        <v>0</v>
      </c>
      <c r="AX32" s="53">
        <f>AW32+AV32</f>
        <v>0</v>
      </c>
      <c r="AY32" s="45"/>
      <c r="AZ32" s="47"/>
      <c r="BA32" s="47"/>
      <c r="BB32" s="47"/>
      <c r="BC32" s="51">
        <f>AY32*3+BA32</f>
        <v>0</v>
      </c>
      <c r="BD32" s="51">
        <f>AZ32*3+BB32</f>
        <v>0</v>
      </c>
      <c r="BE32" s="53">
        <f>BD32+BC32</f>
        <v>0</v>
      </c>
      <c r="BF32" s="45">
        <v>1</v>
      </c>
      <c r="BG32" s="47"/>
      <c r="BH32" s="47"/>
      <c r="BI32" s="47"/>
      <c r="BJ32" s="51">
        <f>BF32*3+BH32</f>
        <v>3</v>
      </c>
      <c r="BK32" s="51">
        <f>BG32*3+BI32</f>
        <v>0</v>
      </c>
      <c r="BL32" s="177">
        <f>BK32+BJ32</f>
        <v>3</v>
      </c>
      <c r="BM32" s="97">
        <v>1</v>
      </c>
      <c r="BN32" s="179"/>
      <c r="BO32" s="179">
        <v>2</v>
      </c>
      <c r="BP32" s="179"/>
      <c r="BQ32" s="51">
        <f>BM32*3+BO32</f>
        <v>5</v>
      </c>
      <c r="BR32" s="51">
        <f>BN32*3+BP32</f>
        <v>0</v>
      </c>
      <c r="BS32" s="177">
        <f>BR32+BQ32</f>
        <v>5</v>
      </c>
      <c r="BT32" s="190">
        <f>SUM(AO32,AH32,AA32,T32,M32,AV32,BC32,BJ32,BQ32)</f>
        <v>8</v>
      </c>
      <c r="BU32" s="93">
        <f ca="1">BT32/(TODAY()-F32)</f>
        <v>0.15686274509803921</v>
      </c>
      <c r="BV32" s="56">
        <f>SUM(AP32,AI32,AB32,U32,N32,AW32,BD32,BK32,BR32)</f>
        <v>0</v>
      </c>
      <c r="BW32" s="93">
        <f ca="1">BV32/(TODAY()-F32)</f>
        <v>0</v>
      </c>
      <c r="BX32" s="56">
        <f>BT32+BV32</f>
        <v>8</v>
      </c>
      <c r="BY32" s="93">
        <f ca="1">BW32+BU32</f>
        <v>0.15686274509803921</v>
      </c>
      <c r="BZ32" s="56">
        <f>SUM(AR32,AK32,AD32,W32,P32,P32,I32,AY32,BF32,BM32)</f>
        <v>2</v>
      </c>
      <c r="CA32" s="56">
        <f>SUM(AS32,AL32,AE32,X32,Q32,Q32,J32,AZ32,BG32,BN32)</f>
        <v>0</v>
      </c>
      <c r="CB32" s="56">
        <f>CA32+BZ32</f>
        <v>2</v>
      </c>
    </row>
    <row r="33" spans="1:80" hidden="1" x14ac:dyDescent="0.25">
      <c r="A33" s="97" t="s">
        <v>88</v>
      </c>
      <c r="B33" s="76" t="s">
        <v>182</v>
      </c>
      <c r="C33" s="81" t="str">
        <f>B33&amp;" "&amp;A33</f>
        <v>נועה אחודה</v>
      </c>
      <c r="D33" s="47" t="s">
        <v>6</v>
      </c>
      <c r="E33" s="65" t="s">
        <v>7</v>
      </c>
      <c r="F33" s="90">
        <v>43101</v>
      </c>
      <c r="G33" s="96" t="s">
        <v>86</v>
      </c>
      <c r="H33" s="48"/>
      <c r="I33" s="49"/>
      <c r="J33" s="50"/>
      <c r="K33" s="50"/>
      <c r="L33" s="50"/>
      <c r="M33" s="51">
        <f>I33*3+K33</f>
        <v>0</v>
      </c>
      <c r="N33" s="51">
        <f>J33*3+L33</f>
        <v>0</v>
      </c>
      <c r="O33" s="52">
        <f>N33+M33</f>
        <v>0</v>
      </c>
      <c r="P33" s="45"/>
      <c r="Q33" s="47"/>
      <c r="R33" s="47"/>
      <c r="S33" s="47"/>
      <c r="T33" s="51">
        <f>P33*3+R33</f>
        <v>0</v>
      </c>
      <c r="U33" s="51">
        <f>Q33*3+S33</f>
        <v>0</v>
      </c>
      <c r="V33" s="53">
        <f>U33+T33</f>
        <v>0</v>
      </c>
      <c r="W33" s="45"/>
      <c r="X33" s="47"/>
      <c r="Y33" s="47"/>
      <c r="Z33" s="47"/>
      <c r="AA33" s="54">
        <f>W33*3+Y33</f>
        <v>0</v>
      </c>
      <c r="AB33" s="54">
        <f>X33*3+Z33</f>
        <v>0</v>
      </c>
      <c r="AC33" s="55">
        <f>AB33+AA33</f>
        <v>0</v>
      </c>
      <c r="AD33" s="45"/>
      <c r="AE33" s="47"/>
      <c r="AF33" s="47"/>
      <c r="AG33" s="47"/>
      <c r="AH33" s="51">
        <f>AD33*3+AF33</f>
        <v>0</v>
      </c>
      <c r="AI33" s="51">
        <f>AE33*3+AG33</f>
        <v>0</v>
      </c>
      <c r="AJ33" s="53">
        <f>AI33+AH33</f>
        <v>0</v>
      </c>
      <c r="AK33" s="45"/>
      <c r="AL33" s="47"/>
      <c r="AM33" s="47"/>
      <c r="AN33" s="47"/>
      <c r="AO33" s="51">
        <f>AK33*3+AM33</f>
        <v>0</v>
      </c>
      <c r="AP33" s="51">
        <f>AL33*3+AN33</f>
        <v>0</v>
      </c>
      <c r="AQ33" s="53">
        <f>AP33+AO33</f>
        <v>0</v>
      </c>
      <c r="AR33" s="45"/>
      <c r="AS33" s="47"/>
      <c r="AT33" s="47"/>
      <c r="AU33" s="47"/>
      <c r="AV33" s="51">
        <f>AR33*3+AT33</f>
        <v>0</v>
      </c>
      <c r="AW33" s="51">
        <f>AS33*3+AU33</f>
        <v>0</v>
      </c>
      <c r="AX33" s="53">
        <f>AW33+AV33</f>
        <v>0</v>
      </c>
      <c r="AY33" s="45"/>
      <c r="AZ33" s="47"/>
      <c r="BA33" s="47"/>
      <c r="BB33" s="47"/>
      <c r="BC33" s="51">
        <f>AY33*3+BA33</f>
        <v>0</v>
      </c>
      <c r="BD33" s="51">
        <f>AZ33*3+BB33</f>
        <v>0</v>
      </c>
      <c r="BE33" s="53">
        <f>BD33+BC33</f>
        <v>0</v>
      </c>
      <c r="BF33" s="45">
        <v>1</v>
      </c>
      <c r="BG33" s="47"/>
      <c r="BH33" s="47"/>
      <c r="BI33" s="47"/>
      <c r="BJ33" s="51">
        <f>BF33*3+BH33</f>
        <v>3</v>
      </c>
      <c r="BK33" s="51">
        <f>BG33*3+BI33</f>
        <v>0</v>
      </c>
      <c r="BL33" s="177">
        <f>BK33+BJ33</f>
        <v>3</v>
      </c>
      <c r="BM33" s="97">
        <v>1</v>
      </c>
      <c r="BN33" s="179"/>
      <c r="BO33" s="179">
        <v>2</v>
      </c>
      <c r="BP33" s="179"/>
      <c r="BQ33" s="51">
        <f>BM33*3+BO33</f>
        <v>5</v>
      </c>
      <c r="BR33" s="51">
        <f>BN33*3+BP33</f>
        <v>0</v>
      </c>
      <c r="BS33" s="177">
        <f>BR33+BQ33</f>
        <v>5</v>
      </c>
      <c r="BT33" s="190">
        <f>SUM(AO33,AH33,AA33,T33,M33,AV33,BC33,BJ33,BQ33)</f>
        <v>8</v>
      </c>
      <c r="BU33" s="93">
        <f ca="1">BT33/(TODAY()-F33)</f>
        <v>0.15686274509803921</v>
      </c>
      <c r="BV33" s="56">
        <f>SUM(AP33,AI33,AB33,U33,N33,AW33,BD33,BK33,BR33)</f>
        <v>0</v>
      </c>
      <c r="BW33" s="93">
        <f ca="1">BV33/(TODAY()-F33)</f>
        <v>0</v>
      </c>
      <c r="BX33" s="56">
        <f>BT33+BV33</f>
        <v>8</v>
      </c>
      <c r="BY33" s="93">
        <f ca="1">BW33+BU33</f>
        <v>0.15686274509803921</v>
      </c>
      <c r="BZ33" s="56">
        <f>SUM(AR33,AK33,AD33,W33,P33,P33,I33,AY33,BF33,BM33)</f>
        <v>2</v>
      </c>
      <c r="CA33" s="56">
        <f>SUM(AS33,AL33,AE33,X33,Q33,Q33,J33,AZ33,BG33,BN33)</f>
        <v>0</v>
      </c>
      <c r="CB33" s="56">
        <f>CA33+BZ33</f>
        <v>2</v>
      </c>
    </row>
    <row r="34" spans="1:80" hidden="1" x14ac:dyDescent="0.25">
      <c r="A34" s="97" t="s">
        <v>88</v>
      </c>
      <c r="B34" s="76" t="s">
        <v>183</v>
      </c>
      <c r="C34" s="81" t="str">
        <f>B34&amp;" "&amp;A34</f>
        <v>עמית אחודה</v>
      </c>
      <c r="D34" s="47" t="s">
        <v>6</v>
      </c>
      <c r="E34" s="65" t="s">
        <v>7</v>
      </c>
      <c r="F34" s="90">
        <v>43101</v>
      </c>
      <c r="G34" s="96" t="s">
        <v>86</v>
      </c>
      <c r="H34" s="48"/>
      <c r="I34" s="49"/>
      <c r="J34" s="50"/>
      <c r="K34" s="50"/>
      <c r="L34" s="50"/>
      <c r="M34" s="51">
        <f>I34*3+K34</f>
        <v>0</v>
      </c>
      <c r="N34" s="51">
        <f>J34*3+L34</f>
        <v>0</v>
      </c>
      <c r="O34" s="52">
        <f>N34+M34</f>
        <v>0</v>
      </c>
      <c r="P34" s="45"/>
      <c r="Q34" s="47"/>
      <c r="R34" s="47"/>
      <c r="S34" s="47"/>
      <c r="T34" s="51">
        <f>P34*3+R34</f>
        <v>0</v>
      </c>
      <c r="U34" s="51">
        <f>Q34*3+S34</f>
        <v>0</v>
      </c>
      <c r="V34" s="53">
        <f>U34+T34</f>
        <v>0</v>
      </c>
      <c r="W34" s="45"/>
      <c r="X34" s="47"/>
      <c r="Y34" s="47"/>
      <c r="Z34" s="47"/>
      <c r="AA34" s="54">
        <f>W34*3+Y34</f>
        <v>0</v>
      </c>
      <c r="AB34" s="54">
        <f>X34*3+Z34</f>
        <v>0</v>
      </c>
      <c r="AC34" s="55">
        <f>AB34+AA34</f>
        <v>0</v>
      </c>
      <c r="AD34" s="45"/>
      <c r="AE34" s="47"/>
      <c r="AF34" s="47"/>
      <c r="AG34" s="47"/>
      <c r="AH34" s="51">
        <f>AD34*3+AF34</f>
        <v>0</v>
      </c>
      <c r="AI34" s="51">
        <f>AE34*3+AG34</f>
        <v>0</v>
      </c>
      <c r="AJ34" s="53">
        <f>AI34+AH34</f>
        <v>0</v>
      </c>
      <c r="AK34" s="45"/>
      <c r="AL34" s="47"/>
      <c r="AM34" s="47"/>
      <c r="AN34" s="47"/>
      <c r="AO34" s="51">
        <f>AK34*3+AM34</f>
        <v>0</v>
      </c>
      <c r="AP34" s="51">
        <f>AL34*3+AN34</f>
        <v>0</v>
      </c>
      <c r="AQ34" s="53">
        <f>AP34+AO34</f>
        <v>0</v>
      </c>
      <c r="AR34" s="45"/>
      <c r="AS34" s="47"/>
      <c r="AT34" s="47"/>
      <c r="AU34" s="47"/>
      <c r="AV34" s="51">
        <f>AR34*3+AT34</f>
        <v>0</v>
      </c>
      <c r="AW34" s="51">
        <f>AS34*3+AU34</f>
        <v>0</v>
      </c>
      <c r="AX34" s="53">
        <f>AW34+AV34</f>
        <v>0</v>
      </c>
      <c r="AY34" s="45"/>
      <c r="AZ34" s="47"/>
      <c r="BA34" s="47"/>
      <c r="BB34" s="47"/>
      <c r="BC34" s="51">
        <f>AY34*3+BA34</f>
        <v>0</v>
      </c>
      <c r="BD34" s="51">
        <f>AZ34*3+BB34</f>
        <v>0</v>
      </c>
      <c r="BE34" s="53">
        <f>BD34+BC34</f>
        <v>0</v>
      </c>
      <c r="BF34" s="45">
        <v>1</v>
      </c>
      <c r="BG34" s="47"/>
      <c r="BH34" s="47"/>
      <c r="BI34" s="47"/>
      <c r="BJ34" s="51">
        <f>BF34*3+BH34</f>
        <v>3</v>
      </c>
      <c r="BK34" s="51">
        <f>BG34*3+BI34</f>
        <v>0</v>
      </c>
      <c r="BL34" s="177">
        <f>BK34+BJ34</f>
        <v>3</v>
      </c>
      <c r="BM34" s="97">
        <v>1</v>
      </c>
      <c r="BN34" s="179"/>
      <c r="BO34" s="179">
        <v>2</v>
      </c>
      <c r="BP34" s="179"/>
      <c r="BQ34" s="51">
        <f>BM34*3+BO34</f>
        <v>5</v>
      </c>
      <c r="BR34" s="51">
        <f>BN34*3+BP34</f>
        <v>0</v>
      </c>
      <c r="BS34" s="177">
        <f>BR34+BQ34</f>
        <v>5</v>
      </c>
      <c r="BT34" s="190">
        <f>SUM(AO34,AH34,AA34,T34,M34,AV34,BC34,BJ34,BQ34)</f>
        <v>8</v>
      </c>
      <c r="BU34" s="93">
        <f ca="1">BT34/(TODAY()-F34)</f>
        <v>0.15686274509803921</v>
      </c>
      <c r="BV34" s="56">
        <f>SUM(AP34,AI34,AB34,U34,N34,AW34,BD34,BK34,BR34)</f>
        <v>0</v>
      </c>
      <c r="BW34" s="93">
        <f ca="1">BV34/(TODAY()-F34)</f>
        <v>0</v>
      </c>
      <c r="BX34" s="56">
        <f>BT34+BV34</f>
        <v>8</v>
      </c>
      <c r="BY34" s="93">
        <f ca="1">BW34+BU34</f>
        <v>0.15686274509803921</v>
      </c>
      <c r="BZ34" s="56">
        <f>SUM(AR34,AK34,AD34,W34,P34,P34,I34,AY34,BF34,BM34)</f>
        <v>2</v>
      </c>
      <c r="CA34" s="56">
        <f>SUM(AS34,AL34,AE34,X34,Q34,Q34,J34,AZ34,BG34,BN34)</f>
        <v>0</v>
      </c>
      <c r="CB34" s="56">
        <f>CA34+BZ34</f>
        <v>2</v>
      </c>
    </row>
    <row r="35" spans="1:80" hidden="1" x14ac:dyDescent="0.25">
      <c r="A35" s="108" t="s">
        <v>88</v>
      </c>
      <c r="B35" s="86" t="s">
        <v>193</v>
      </c>
      <c r="C35" s="81" t="str">
        <f>B35&amp;" "&amp;A35</f>
        <v>תאיר אחודה</v>
      </c>
      <c r="D35" s="128" t="s">
        <v>6</v>
      </c>
      <c r="E35" s="128" t="s">
        <v>6</v>
      </c>
      <c r="F35" s="90">
        <v>43132</v>
      </c>
      <c r="G35" s="96" t="s">
        <v>86</v>
      </c>
      <c r="H35" s="83"/>
      <c r="I35" s="84"/>
      <c r="J35" s="85"/>
      <c r="K35" s="85"/>
      <c r="L35" s="85"/>
      <c r="M35" s="51"/>
      <c r="N35" s="51"/>
      <c r="O35" s="52">
        <f>N35+M35</f>
        <v>0</v>
      </c>
      <c r="P35" s="80"/>
      <c r="Q35" s="82"/>
      <c r="R35" s="82"/>
      <c r="S35" s="82"/>
      <c r="T35" s="51">
        <f>P35*3+R35</f>
        <v>0</v>
      </c>
      <c r="U35" s="51">
        <f>Q35*3+S35</f>
        <v>0</v>
      </c>
      <c r="V35" s="53">
        <f>U35+T35</f>
        <v>0</v>
      </c>
      <c r="W35" s="45"/>
      <c r="X35" s="47"/>
      <c r="Y35" s="47"/>
      <c r="Z35" s="47"/>
      <c r="AA35" s="54">
        <f>W35*3+Y35</f>
        <v>0</v>
      </c>
      <c r="AB35" s="54">
        <f>X35*3+Z35</f>
        <v>0</v>
      </c>
      <c r="AC35" s="55">
        <f>AB35+AA35</f>
        <v>0</v>
      </c>
      <c r="AD35" s="80"/>
      <c r="AE35" s="82"/>
      <c r="AF35" s="82"/>
      <c r="AG35" s="82"/>
      <c r="AH35" s="51">
        <f>AD35*3+AF35</f>
        <v>0</v>
      </c>
      <c r="AI35" s="51">
        <f>AE35*3+AG35</f>
        <v>0</v>
      </c>
      <c r="AJ35" s="53">
        <f>AI35+AH35</f>
        <v>0</v>
      </c>
      <c r="AK35" s="80"/>
      <c r="AL35" s="82"/>
      <c r="AM35" s="82"/>
      <c r="AN35" s="82"/>
      <c r="AO35" s="51">
        <f>AK35*3+AM35</f>
        <v>0</v>
      </c>
      <c r="AP35" s="51">
        <f>AL35*3+AN35</f>
        <v>0</v>
      </c>
      <c r="AQ35" s="53">
        <f>AP35+AO35</f>
        <v>0</v>
      </c>
      <c r="AR35" s="80"/>
      <c r="AS35" s="82"/>
      <c r="AT35" s="82"/>
      <c r="AU35" s="82"/>
      <c r="AV35" s="51">
        <f>AR35*3+AT35</f>
        <v>0</v>
      </c>
      <c r="AW35" s="51">
        <f>AS35*3+AU35</f>
        <v>0</v>
      </c>
      <c r="AX35" s="53">
        <f>AW35+AV35</f>
        <v>0</v>
      </c>
      <c r="AY35" s="80"/>
      <c r="AZ35" s="82"/>
      <c r="BA35" s="82"/>
      <c r="BB35" s="82"/>
      <c r="BC35" s="51">
        <f>AY35*3+BA35</f>
        <v>0</v>
      </c>
      <c r="BD35" s="51">
        <f>AZ35*3+BB35</f>
        <v>0</v>
      </c>
      <c r="BE35" s="53">
        <f>BD35+BC35</f>
        <v>0</v>
      </c>
      <c r="BF35" s="80"/>
      <c r="BG35" s="82"/>
      <c r="BH35" s="82"/>
      <c r="BI35" s="82"/>
      <c r="BJ35" s="51">
        <f>BF35*3+BH35</f>
        <v>0</v>
      </c>
      <c r="BK35" s="51">
        <f>BG35*3+BI35</f>
        <v>0</v>
      </c>
      <c r="BL35" s="177">
        <f>BK35+BJ35</f>
        <v>0</v>
      </c>
      <c r="BM35" s="97">
        <v>1</v>
      </c>
      <c r="BN35" s="179"/>
      <c r="BO35" s="179">
        <v>2</v>
      </c>
      <c r="BP35" s="179"/>
      <c r="BQ35" s="51">
        <f>BM35*3+BO35</f>
        <v>5</v>
      </c>
      <c r="BR35" s="51">
        <f>BN35*3+BP35</f>
        <v>0</v>
      </c>
      <c r="BS35" s="177">
        <f>BR35+BQ35</f>
        <v>5</v>
      </c>
      <c r="BT35" s="190">
        <f>SUM(AO35,AH35,AA35,T35,M35,AV35,BC35,BJ35,BQ35)</f>
        <v>5</v>
      </c>
      <c r="BU35" s="93">
        <f ca="1">BT35/(TODAY()-F35)</f>
        <v>0.25</v>
      </c>
      <c r="BV35" s="56">
        <f>SUM(AP35,AI35,AB35,U35,N35,AW35,BD35,BK35,BR35)</f>
        <v>0</v>
      </c>
      <c r="BW35" s="93">
        <f ca="1">BV35/(TODAY()-F35)</f>
        <v>0</v>
      </c>
      <c r="BX35" s="56">
        <f>BT35+BV35</f>
        <v>5</v>
      </c>
      <c r="BY35" s="93">
        <f ca="1">BW35+BU35</f>
        <v>0.25</v>
      </c>
      <c r="BZ35" s="56">
        <f>SUM(AR35,AK35,AD35,W35,P35,P35,I35,AY35,BF35,BM35)</f>
        <v>1</v>
      </c>
      <c r="CA35" s="56">
        <f>SUM(AS35,AL35,AE35,X35,Q35,Q35,J35,AZ35,BG35,BN35)</f>
        <v>0</v>
      </c>
      <c r="CB35" s="56">
        <f>CA35+BZ35</f>
        <v>1</v>
      </c>
    </row>
    <row r="36" spans="1:80" hidden="1" x14ac:dyDescent="0.25">
      <c r="A36" s="172" t="s">
        <v>17</v>
      </c>
      <c r="B36" s="86" t="s">
        <v>182</v>
      </c>
      <c r="C36" s="81" t="str">
        <f>B36&amp;" "&amp;A36</f>
        <v>נועה מפאוג</v>
      </c>
      <c r="D36" s="128" t="s">
        <v>6</v>
      </c>
      <c r="E36" s="128" t="s">
        <v>7</v>
      </c>
      <c r="F36" s="90">
        <v>43101</v>
      </c>
      <c r="G36" s="96" t="s">
        <v>86</v>
      </c>
      <c r="H36" s="83"/>
      <c r="I36" s="84"/>
      <c r="J36" s="85"/>
      <c r="K36" s="85"/>
      <c r="L36" s="85"/>
      <c r="M36" s="51">
        <f>I36*3+K36</f>
        <v>0</v>
      </c>
      <c r="N36" s="51">
        <f>J36*3+L36</f>
        <v>0</v>
      </c>
      <c r="O36" s="52">
        <f>N36+M36</f>
        <v>0</v>
      </c>
      <c r="P36" s="80"/>
      <c r="Q36" s="82"/>
      <c r="R36" s="82"/>
      <c r="S36" s="82"/>
      <c r="T36" s="51">
        <f>P36*3+R36</f>
        <v>0</v>
      </c>
      <c r="U36" s="51">
        <f>Q36*3+S36</f>
        <v>0</v>
      </c>
      <c r="V36" s="53">
        <f>U36+T36</f>
        <v>0</v>
      </c>
      <c r="W36" s="45"/>
      <c r="X36" s="47"/>
      <c r="Y36" s="47"/>
      <c r="Z36" s="47"/>
      <c r="AA36" s="54">
        <f>W36*3+Y36</f>
        <v>0</v>
      </c>
      <c r="AB36" s="54">
        <f>X36*3+Z36</f>
        <v>0</v>
      </c>
      <c r="AC36" s="55">
        <f>AB36+AA36</f>
        <v>0</v>
      </c>
      <c r="AD36" s="80"/>
      <c r="AE36" s="82"/>
      <c r="AF36" s="82"/>
      <c r="AG36" s="82"/>
      <c r="AH36" s="51">
        <f>AD36*3+AF36</f>
        <v>0</v>
      </c>
      <c r="AI36" s="51">
        <f>AE36*3+AG36</f>
        <v>0</v>
      </c>
      <c r="AJ36" s="53">
        <f>AI36+AH36</f>
        <v>0</v>
      </c>
      <c r="AK36" s="80"/>
      <c r="AL36" s="82"/>
      <c r="AM36" s="82"/>
      <c r="AN36" s="82"/>
      <c r="AO36" s="51">
        <f>AK36*3+AM36</f>
        <v>0</v>
      </c>
      <c r="AP36" s="51">
        <f>AL36*3+AN36</f>
        <v>0</v>
      </c>
      <c r="AQ36" s="53">
        <f>AP36+AO36</f>
        <v>0</v>
      </c>
      <c r="AR36" s="80"/>
      <c r="AS36" s="82"/>
      <c r="AT36" s="82"/>
      <c r="AU36" s="82"/>
      <c r="AV36" s="51">
        <f>AR36*3+AT36</f>
        <v>0</v>
      </c>
      <c r="AW36" s="51">
        <f>AS36*3+AU36</f>
        <v>0</v>
      </c>
      <c r="AX36" s="53">
        <f>AW36+AV36</f>
        <v>0</v>
      </c>
      <c r="AY36" s="80"/>
      <c r="AZ36" s="82"/>
      <c r="BA36" s="82"/>
      <c r="BB36" s="82"/>
      <c r="BC36" s="51">
        <f>AY36*3+BA36</f>
        <v>0</v>
      </c>
      <c r="BD36" s="51">
        <f>AZ36*3+BB36</f>
        <v>0</v>
      </c>
      <c r="BE36" s="53">
        <f>BD36+BC36</f>
        <v>0</v>
      </c>
      <c r="BF36" s="80"/>
      <c r="BG36" s="82"/>
      <c r="BH36" s="82">
        <v>2</v>
      </c>
      <c r="BI36" s="82"/>
      <c r="BJ36" s="51">
        <f>BF36*3+BH36</f>
        <v>2</v>
      </c>
      <c r="BK36" s="51">
        <f>BG36*3+BI36</f>
        <v>0</v>
      </c>
      <c r="BL36" s="177">
        <f>BK36+BJ36</f>
        <v>2</v>
      </c>
      <c r="BM36" s="97">
        <v>1</v>
      </c>
      <c r="BN36" s="179"/>
      <c r="BO36" s="179">
        <v>2</v>
      </c>
      <c r="BP36" s="179"/>
      <c r="BQ36" s="51">
        <f>BM36*3+BO36</f>
        <v>5</v>
      </c>
      <c r="BR36" s="51">
        <f>BN36*3+BP36</f>
        <v>0</v>
      </c>
      <c r="BS36" s="177">
        <f>BR36+BQ36</f>
        <v>5</v>
      </c>
      <c r="BT36" s="190">
        <f>SUM(AO36,AH36,AA36,T36,M36,AV36,BC36,BJ36,BQ36)</f>
        <v>7</v>
      </c>
      <c r="BU36" s="93">
        <f ca="1">BT36/(TODAY()-F36)</f>
        <v>0.13725490196078433</v>
      </c>
      <c r="BV36" s="56">
        <f>SUM(AP36,AI36,AB36,U36,N36,AW36,BD36,BK36,BR36)</f>
        <v>0</v>
      </c>
      <c r="BW36" s="93">
        <f ca="1">BV36/(TODAY()-F36)</f>
        <v>0</v>
      </c>
      <c r="BX36" s="56">
        <f>BT36+BV36</f>
        <v>7</v>
      </c>
      <c r="BY36" s="93">
        <f ca="1">BW36+BU36</f>
        <v>0.13725490196078433</v>
      </c>
      <c r="BZ36" s="56">
        <f>SUM(AR36,AK36,AD36,W36,P36,P36,I36,AY36,BF36,BM36)</f>
        <v>1</v>
      </c>
      <c r="CA36" s="56">
        <f>SUM(AS36,AL36,AE36,X36,Q36,Q36,J36,AZ36,BG36,BN36)</f>
        <v>0</v>
      </c>
      <c r="CB36" s="56">
        <f>CA36+BZ36</f>
        <v>1</v>
      </c>
    </row>
    <row r="37" spans="1:80" hidden="1" x14ac:dyDescent="0.25">
      <c r="A37" s="172" t="s">
        <v>17</v>
      </c>
      <c r="B37" s="86" t="s">
        <v>149</v>
      </c>
      <c r="C37" s="81" t="str">
        <f>B37&amp;" "&amp;A37</f>
        <v>רבקה מפאוג</v>
      </c>
      <c r="D37" s="128" t="s">
        <v>6</v>
      </c>
      <c r="E37" s="128" t="s">
        <v>6</v>
      </c>
      <c r="F37" s="90">
        <v>43040</v>
      </c>
      <c r="G37" s="96" t="s">
        <v>86</v>
      </c>
      <c r="H37" s="83"/>
      <c r="I37" s="84"/>
      <c r="J37" s="85"/>
      <c r="K37" s="85"/>
      <c r="L37" s="85"/>
      <c r="M37" s="51">
        <f>I37*3+K37</f>
        <v>0</v>
      </c>
      <c r="N37" s="51">
        <f>J37*3+L37</f>
        <v>0</v>
      </c>
      <c r="O37" s="52">
        <f>N37+M37</f>
        <v>0</v>
      </c>
      <c r="P37" s="80"/>
      <c r="Q37" s="82"/>
      <c r="R37" s="82"/>
      <c r="S37" s="82"/>
      <c r="T37" s="51">
        <f>P37*3+R37</f>
        <v>0</v>
      </c>
      <c r="U37" s="51">
        <f>Q37*3+S37</f>
        <v>0</v>
      </c>
      <c r="V37" s="53">
        <f>U37+T37</f>
        <v>0</v>
      </c>
      <c r="W37" s="45"/>
      <c r="X37" s="47"/>
      <c r="Y37" s="47"/>
      <c r="Z37" s="47"/>
      <c r="AA37" s="54">
        <f>W37*3+Y37</f>
        <v>0</v>
      </c>
      <c r="AB37" s="54">
        <f>X37*3+Z37</f>
        <v>0</v>
      </c>
      <c r="AC37" s="55">
        <f>AB37+AA37</f>
        <v>0</v>
      </c>
      <c r="AD37" s="80"/>
      <c r="AE37" s="82"/>
      <c r="AF37" s="82"/>
      <c r="AG37" s="82"/>
      <c r="AH37" s="51">
        <f>AD37*3+AF37</f>
        <v>0</v>
      </c>
      <c r="AI37" s="51">
        <f>AE37*3+AG37</f>
        <v>0</v>
      </c>
      <c r="AJ37" s="53">
        <f>AI37+AH37</f>
        <v>0</v>
      </c>
      <c r="AK37" s="80"/>
      <c r="AL37" s="82"/>
      <c r="AM37" s="82"/>
      <c r="AN37" s="82"/>
      <c r="AO37" s="51">
        <f>AK37*3+AM37</f>
        <v>0</v>
      </c>
      <c r="AP37" s="51">
        <f>AL37*3+AN37</f>
        <v>0</v>
      </c>
      <c r="AQ37" s="53">
        <f>AP37+AO37</f>
        <v>0</v>
      </c>
      <c r="AR37" s="80"/>
      <c r="AS37" s="82"/>
      <c r="AT37" s="82">
        <v>1</v>
      </c>
      <c r="AU37" s="82"/>
      <c r="AV37" s="51">
        <f>AR37*3+AT37</f>
        <v>1</v>
      </c>
      <c r="AW37" s="51">
        <f>AS37*3+AU37</f>
        <v>0</v>
      </c>
      <c r="AX37" s="53">
        <f>AW37+AV37</f>
        <v>1</v>
      </c>
      <c r="AY37" s="80">
        <v>1</v>
      </c>
      <c r="AZ37" s="82"/>
      <c r="BA37" s="82">
        <v>2</v>
      </c>
      <c r="BB37" s="82"/>
      <c r="BC37" s="51">
        <f>AY37*3+BA37</f>
        <v>5</v>
      </c>
      <c r="BD37" s="51">
        <f>AZ37*3+BB37</f>
        <v>0</v>
      </c>
      <c r="BE37" s="53">
        <f>BD37+BC37</f>
        <v>5</v>
      </c>
      <c r="BF37" s="80"/>
      <c r="BG37" s="82"/>
      <c r="BH37" s="82">
        <v>3</v>
      </c>
      <c r="BI37" s="82"/>
      <c r="BJ37" s="51">
        <f>BF37*3+BH37</f>
        <v>3</v>
      </c>
      <c r="BK37" s="51">
        <f>BG37*3+BI37</f>
        <v>0</v>
      </c>
      <c r="BL37" s="177">
        <f>BK37+BJ37</f>
        <v>3</v>
      </c>
      <c r="BM37" s="97"/>
      <c r="BN37" s="179"/>
      <c r="BO37" s="179">
        <v>3</v>
      </c>
      <c r="BP37" s="179">
        <v>1</v>
      </c>
      <c r="BQ37" s="51">
        <f>BM37*3+BO37</f>
        <v>3</v>
      </c>
      <c r="BR37" s="51">
        <f>BN37*3+BP37</f>
        <v>1</v>
      </c>
      <c r="BS37" s="177">
        <f>BR37+BQ37</f>
        <v>4</v>
      </c>
      <c r="BT37" s="190">
        <f>SUM(AO37,AH37,AA37,T37,M37,AV37,BC37,BJ37,BQ37)</f>
        <v>12</v>
      </c>
      <c r="BU37" s="93">
        <f ca="1">BT37/(TODAY()-F37)</f>
        <v>0.10714285714285714</v>
      </c>
      <c r="BV37" s="56">
        <f>SUM(AP37,AI37,AB37,U37,N37,AW37,BD37,BK37,BR37)</f>
        <v>1</v>
      </c>
      <c r="BW37" s="93">
        <f ca="1">BV37/(TODAY()-F37)</f>
        <v>8.9285714285714281E-3</v>
      </c>
      <c r="BX37" s="56">
        <f>BT37+BV37</f>
        <v>13</v>
      </c>
      <c r="BY37" s="93">
        <f ca="1">BW37+BU37</f>
        <v>0.11607142857142856</v>
      </c>
      <c r="BZ37" s="56">
        <f>SUM(AR37,AK37,AD37,W37,P37,P37,I37,AY37,BF37,BM37)</f>
        <v>1</v>
      </c>
      <c r="CA37" s="56">
        <f>SUM(AS37,AL37,AE37,X37,Q37,Q37,J37,AZ37,BG37,BN37)</f>
        <v>0</v>
      </c>
      <c r="CB37" s="56">
        <f>CA37+BZ37</f>
        <v>1</v>
      </c>
    </row>
    <row r="38" spans="1:80" ht="15.75" hidden="1" thickBot="1" x14ac:dyDescent="0.3">
      <c r="A38" s="131" t="s">
        <v>19</v>
      </c>
      <c r="B38" s="130" t="s">
        <v>140</v>
      </c>
      <c r="C38" s="132" t="str">
        <f>B38&amp;" "&amp;A38</f>
        <v>רותם מרחבים</v>
      </c>
      <c r="D38" s="140" t="s">
        <v>6</v>
      </c>
      <c r="E38" s="133" t="s">
        <v>6</v>
      </c>
      <c r="F38" s="134">
        <v>43040</v>
      </c>
      <c r="G38" s="173" t="s">
        <v>86</v>
      </c>
      <c r="H38" s="174" t="s">
        <v>184</v>
      </c>
      <c r="I38" s="135"/>
      <c r="J38" s="136"/>
      <c r="K38" s="136"/>
      <c r="L38" s="136"/>
      <c r="M38" s="137">
        <f>I38*3+K38</f>
        <v>0</v>
      </c>
      <c r="N38" s="137">
        <f>J38*3+L38</f>
        <v>0</v>
      </c>
      <c r="O38" s="138">
        <f>N38+M38</f>
        <v>0</v>
      </c>
      <c r="P38" s="139"/>
      <c r="Q38" s="140"/>
      <c r="R38" s="140"/>
      <c r="S38" s="140"/>
      <c r="T38" s="137">
        <f>P38*3+R38</f>
        <v>0</v>
      </c>
      <c r="U38" s="137">
        <f>Q38*3+S38</f>
        <v>0</v>
      </c>
      <c r="V38" s="141">
        <f>U38+T38</f>
        <v>0</v>
      </c>
      <c r="W38" s="139"/>
      <c r="X38" s="140"/>
      <c r="Y38" s="140"/>
      <c r="Z38" s="140"/>
      <c r="AA38" s="137">
        <f>W38*3+Y38</f>
        <v>0</v>
      </c>
      <c r="AB38" s="137">
        <f>X38*3+Z38</f>
        <v>0</v>
      </c>
      <c r="AC38" s="141">
        <f>AB38+AA38</f>
        <v>0</v>
      </c>
      <c r="AD38" s="139"/>
      <c r="AE38" s="140"/>
      <c r="AF38" s="140"/>
      <c r="AG38" s="140"/>
      <c r="AH38" s="137">
        <f>AD38*3+AF38</f>
        <v>0</v>
      </c>
      <c r="AI38" s="137">
        <f>AE38*3+AG38</f>
        <v>0</v>
      </c>
      <c r="AJ38" s="141">
        <f>AI38+AH38</f>
        <v>0</v>
      </c>
      <c r="AK38" s="139"/>
      <c r="AL38" s="140"/>
      <c r="AM38" s="140"/>
      <c r="AN38" s="140"/>
      <c r="AO38" s="137">
        <f>AK38*3+AM38</f>
        <v>0</v>
      </c>
      <c r="AP38" s="137">
        <f>AL38*3+AN38</f>
        <v>0</v>
      </c>
      <c r="AQ38" s="141">
        <f>AP38+AO38</f>
        <v>0</v>
      </c>
      <c r="AR38" s="139"/>
      <c r="AS38" s="140"/>
      <c r="AT38" s="140">
        <v>1</v>
      </c>
      <c r="AU38" s="140"/>
      <c r="AV38" s="137">
        <f>AR38*3+AT38</f>
        <v>1</v>
      </c>
      <c r="AW38" s="137">
        <f>AS38*3+AU38</f>
        <v>0</v>
      </c>
      <c r="AX38" s="141">
        <f>AW38+AV38</f>
        <v>1</v>
      </c>
      <c r="AY38" s="139"/>
      <c r="AZ38" s="140"/>
      <c r="BA38" s="140">
        <v>1</v>
      </c>
      <c r="BB38" s="140"/>
      <c r="BC38" s="137">
        <f>AY38*3+BA38</f>
        <v>1</v>
      </c>
      <c r="BD38" s="137">
        <f>AZ38*3+BB38</f>
        <v>0</v>
      </c>
      <c r="BE38" s="141">
        <f>BD38+BC38</f>
        <v>1</v>
      </c>
      <c r="BF38" s="139"/>
      <c r="BG38" s="140"/>
      <c r="BH38" s="140">
        <v>3</v>
      </c>
      <c r="BI38" s="140"/>
      <c r="BJ38" s="137">
        <f>BF38*3+BH38</f>
        <v>3</v>
      </c>
      <c r="BK38" s="137">
        <f>BG38*3+BI38</f>
        <v>0</v>
      </c>
      <c r="BL38" s="178">
        <f>BK38+BJ38</f>
        <v>3</v>
      </c>
      <c r="BM38" s="131">
        <v>1</v>
      </c>
      <c r="BN38" s="182"/>
      <c r="BO38" s="182"/>
      <c r="BP38" s="182"/>
      <c r="BQ38" s="187">
        <f>BM38*3+BO38</f>
        <v>3</v>
      </c>
      <c r="BR38" s="187">
        <f>BN38*3+BP38</f>
        <v>0</v>
      </c>
      <c r="BS38" s="188">
        <f>BR38+BQ38</f>
        <v>3</v>
      </c>
      <c r="BT38" s="192">
        <f>SUM(AO38,AH38,AA38,T38,M38,AV38,BC38,BJ38,BQ38)</f>
        <v>8</v>
      </c>
      <c r="BU38" s="143">
        <f ca="1">BT38/(TODAY()-F38)</f>
        <v>7.1428571428571425E-2</v>
      </c>
      <c r="BV38" s="193">
        <f>SUM(AP38,AI38,AB38,U38,N38,AW38,BD38,BK38,BR38)</f>
        <v>0</v>
      </c>
      <c r="BW38" s="143">
        <f ca="1">BV38/(TODAY()-F38)</f>
        <v>0</v>
      </c>
      <c r="BX38" s="142">
        <f>BT38+BV38</f>
        <v>8</v>
      </c>
      <c r="BY38" s="143">
        <f ca="1">BW38+BU38</f>
        <v>7.1428571428571425E-2</v>
      </c>
      <c r="BZ38" s="193">
        <f>SUM(AR38,AK38,AD38,W38,P38,P38,I38,AY38,BF38,BM38)</f>
        <v>1</v>
      </c>
      <c r="CA38" s="193">
        <f>SUM(AS38,AL38,AE38,X38,Q38,Q38,J38,AZ38,BG38,BN38)</f>
        <v>0</v>
      </c>
      <c r="CB38" s="142">
        <f>CA38+BZ38</f>
        <v>1</v>
      </c>
    </row>
    <row r="39" spans="1:80" x14ac:dyDescent="0.25">
      <c r="A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175"/>
      <c r="BN39" s="175"/>
      <c r="BO39" s="175"/>
      <c r="BP39" s="175"/>
      <c r="BQ39" s="175"/>
      <c r="BR39" s="44"/>
      <c r="BS39" s="44"/>
    </row>
    <row r="40" spans="1:80" x14ac:dyDescent="0.25">
      <c r="A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175"/>
      <c r="BN40" s="175"/>
      <c r="BO40" s="175"/>
      <c r="BP40" s="175"/>
      <c r="BQ40" s="175"/>
      <c r="BR40" s="44"/>
      <c r="BS40" s="44"/>
    </row>
    <row r="41" spans="1:80" x14ac:dyDescent="0.25">
      <c r="A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</row>
    <row r="42" spans="1:80" x14ac:dyDescent="0.25">
      <c r="A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</row>
    <row r="43" spans="1:80" x14ac:dyDescent="0.25">
      <c r="A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</row>
    <row r="44" spans="1:80" x14ac:dyDescent="0.25">
      <c r="A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175"/>
      <c r="BN44" s="175"/>
      <c r="BO44" s="175"/>
      <c r="BP44" s="175"/>
      <c r="BQ44" s="175"/>
      <c r="BR44" s="44"/>
      <c r="BS44" s="44"/>
    </row>
    <row r="45" spans="1:80" x14ac:dyDescent="0.25">
      <c r="A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175"/>
      <c r="BN45" s="175"/>
      <c r="BO45" s="175"/>
      <c r="BP45" s="175"/>
      <c r="BQ45" s="175"/>
      <c r="BR45" s="44"/>
      <c r="BS45" s="44"/>
    </row>
    <row r="46" spans="1:80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175"/>
      <c r="BN46" s="175"/>
      <c r="BO46" s="175"/>
      <c r="BP46" s="175"/>
      <c r="BQ46" s="175"/>
      <c r="BR46" s="44"/>
      <c r="BS46" s="44"/>
    </row>
    <row r="47" spans="1:80" x14ac:dyDescent="0.25">
      <c r="A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175"/>
      <c r="BN47" s="175"/>
      <c r="BO47" s="175"/>
      <c r="BP47" s="175"/>
      <c r="BQ47" s="175"/>
      <c r="BR47" s="44"/>
      <c r="BS47" s="44"/>
    </row>
    <row r="48" spans="1:80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175"/>
      <c r="BN48" s="175"/>
      <c r="BO48" s="175"/>
      <c r="BP48" s="175"/>
      <c r="BQ48" s="175"/>
      <c r="BR48" s="44"/>
      <c r="BS48" s="44"/>
    </row>
    <row r="49" spans="1:71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175"/>
      <c r="BN49" s="175"/>
      <c r="BO49" s="175"/>
      <c r="BP49" s="175"/>
      <c r="BQ49" s="175"/>
      <c r="BR49" s="44"/>
      <c r="BS49" s="44"/>
    </row>
    <row r="50" spans="1:71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175"/>
      <c r="BN50" s="175"/>
      <c r="BO50" s="175"/>
      <c r="BP50" s="175"/>
      <c r="BQ50" s="175"/>
      <c r="BR50" s="44"/>
      <c r="BS50" s="44"/>
    </row>
    <row r="51" spans="1:71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175"/>
      <c r="BN51" s="175"/>
      <c r="BO51" s="175"/>
      <c r="BP51" s="175"/>
      <c r="BQ51" s="175"/>
      <c r="BR51" s="44"/>
      <c r="BS51" s="44"/>
    </row>
    <row r="52" spans="1:71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175"/>
      <c r="BN52" s="175"/>
      <c r="BO52" s="175"/>
      <c r="BP52" s="175"/>
      <c r="BQ52" s="175"/>
      <c r="BR52" s="44"/>
      <c r="BS52" s="44"/>
    </row>
    <row r="53" spans="1:71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175"/>
      <c r="BN53" s="175"/>
      <c r="BO53" s="175"/>
      <c r="BP53" s="175"/>
      <c r="BQ53" s="175"/>
      <c r="BR53" s="44"/>
      <c r="BS53" s="44"/>
    </row>
    <row r="54" spans="1:71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175"/>
      <c r="BN54" s="175"/>
      <c r="BO54" s="175"/>
      <c r="BP54" s="175"/>
      <c r="BQ54" s="175"/>
      <c r="BR54" s="44"/>
      <c r="BS54" s="44"/>
    </row>
    <row r="55" spans="1:71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175"/>
      <c r="BN55" s="175"/>
      <c r="BO55" s="175"/>
      <c r="BP55" s="175"/>
      <c r="BQ55" s="175"/>
      <c r="BR55" s="44"/>
      <c r="BS55" s="44"/>
    </row>
    <row r="56" spans="1:71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175"/>
      <c r="BN56" s="175"/>
      <c r="BO56" s="175"/>
      <c r="BP56" s="175"/>
      <c r="BQ56" s="175"/>
      <c r="BR56" s="44"/>
      <c r="BS56" s="44"/>
    </row>
    <row r="57" spans="1:71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175"/>
      <c r="BN57" s="175"/>
      <c r="BO57" s="175"/>
      <c r="BP57" s="175"/>
      <c r="BQ57" s="175"/>
      <c r="BR57" s="44"/>
      <c r="BS57" s="44"/>
    </row>
    <row r="58" spans="1:71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175"/>
      <c r="BN58" s="175"/>
      <c r="BO58" s="175"/>
      <c r="BP58" s="175"/>
      <c r="BQ58" s="175"/>
      <c r="BR58" s="44"/>
      <c r="BS58" s="44"/>
    </row>
    <row r="59" spans="1:71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175"/>
      <c r="BN59" s="175"/>
      <c r="BO59" s="175"/>
      <c r="BP59" s="175"/>
      <c r="BQ59" s="175"/>
      <c r="BR59" s="44"/>
      <c r="BS59" s="44"/>
    </row>
    <row r="60" spans="1:71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175"/>
      <c r="BN60" s="175"/>
      <c r="BO60" s="175"/>
      <c r="BP60" s="175"/>
      <c r="BQ60" s="175"/>
      <c r="BR60" s="44"/>
      <c r="BS60" s="44"/>
    </row>
    <row r="61" spans="1:71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175"/>
      <c r="BN61" s="175"/>
      <c r="BO61" s="175"/>
      <c r="BP61" s="175"/>
      <c r="BQ61" s="175"/>
      <c r="BR61" s="44"/>
      <c r="BS61" s="44"/>
    </row>
    <row r="62" spans="1:71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175"/>
      <c r="BN62" s="175"/>
      <c r="BO62" s="175"/>
      <c r="BP62" s="175"/>
      <c r="BQ62" s="175"/>
      <c r="BR62" s="44"/>
      <c r="BS62" s="44"/>
    </row>
    <row r="63" spans="1:71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175"/>
      <c r="BN63" s="175"/>
      <c r="BO63" s="175"/>
      <c r="BP63" s="175"/>
      <c r="BQ63" s="175"/>
      <c r="BR63" s="44"/>
      <c r="BS63" s="44"/>
    </row>
    <row r="64" spans="1:71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175"/>
      <c r="BN64" s="175"/>
      <c r="BO64" s="175"/>
      <c r="BP64" s="175"/>
      <c r="BQ64" s="175"/>
      <c r="BR64" s="44"/>
      <c r="BS64" s="44"/>
    </row>
    <row r="65" spans="1:71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175"/>
      <c r="BN65" s="175"/>
      <c r="BO65" s="175"/>
      <c r="BP65" s="175"/>
      <c r="BQ65" s="175"/>
      <c r="BR65" s="44"/>
      <c r="BS65" s="44"/>
    </row>
    <row r="66" spans="1:71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175"/>
      <c r="BN66" s="175"/>
      <c r="BO66" s="175"/>
      <c r="BP66" s="175"/>
      <c r="BQ66" s="175"/>
      <c r="BR66" s="44"/>
      <c r="BS66" s="44"/>
    </row>
    <row r="67" spans="1:71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175"/>
      <c r="BN67" s="175"/>
      <c r="BO67" s="175"/>
      <c r="BP67" s="175"/>
      <c r="BQ67" s="175"/>
      <c r="BR67" s="44"/>
      <c r="BS67" s="44"/>
    </row>
    <row r="68" spans="1:71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175"/>
      <c r="BN68" s="175"/>
      <c r="BO68" s="175"/>
      <c r="BP68" s="175"/>
      <c r="BQ68" s="175"/>
      <c r="BR68" s="44"/>
      <c r="BS68" s="44"/>
    </row>
    <row r="69" spans="1:71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175"/>
      <c r="BN69" s="175"/>
      <c r="BO69" s="175"/>
      <c r="BP69" s="175"/>
      <c r="BQ69" s="175"/>
      <c r="BR69" s="44"/>
      <c r="BS69" s="44"/>
    </row>
    <row r="70" spans="1:71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175"/>
      <c r="BN70" s="175"/>
      <c r="BO70" s="175"/>
      <c r="BP70" s="175"/>
      <c r="BQ70" s="175"/>
      <c r="BR70" s="44"/>
      <c r="BS70" s="44"/>
    </row>
    <row r="71" spans="1:71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175"/>
      <c r="BN71" s="175"/>
      <c r="BO71" s="175"/>
      <c r="BP71" s="175"/>
      <c r="BQ71" s="175"/>
      <c r="BR71" s="44"/>
      <c r="BS71" s="44"/>
    </row>
    <row r="72" spans="1:71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175"/>
      <c r="BN72" s="175"/>
      <c r="BO72" s="175"/>
      <c r="BP72" s="175"/>
      <c r="BQ72" s="175"/>
      <c r="BR72" s="44"/>
      <c r="BS72" s="44"/>
    </row>
    <row r="73" spans="1:71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175"/>
      <c r="BN73" s="175"/>
      <c r="BO73" s="175"/>
      <c r="BP73" s="175"/>
      <c r="BQ73" s="175"/>
      <c r="BR73" s="44"/>
      <c r="BS73" s="44"/>
    </row>
  </sheetData>
  <autoFilter ref="A1:CB38" xr:uid="{564ABA86-1A95-4411-97F9-3D9794A5ABF5}">
    <filterColumn colId="5">
      <filters>
        <dateGroupItem year="2017" month="6" dateTimeGrouping="month"/>
      </filters>
    </filterColumn>
  </autoFilter>
  <conditionalFormatting sqref="E102:G1048576 G23:G24 G9:G21 E11:E28 G27:G28 E2:G6 F7:G7 E8:G8 F14:F16 E29:G30 E38:G38 E31:F37">
    <cfRule type="cellIs" dxfId="32" priority="67" operator="equal">
      <formula>"לא"</formula>
    </cfRule>
  </conditionalFormatting>
  <conditionalFormatting sqref="D102:D1048576 D11:D18 D2:D8 D21:D29 D33:D38">
    <cfRule type="cellIs" dxfId="31" priority="66" operator="equal">
      <formula>"כן"</formula>
    </cfRule>
  </conditionalFormatting>
  <conditionalFormatting sqref="P39:V59">
    <cfRule type="cellIs" dxfId="30" priority="60" operator="notEqual">
      <formula>0</formula>
    </cfRule>
  </conditionalFormatting>
  <conditionalFormatting sqref="E9:E10">
    <cfRule type="cellIs" dxfId="29" priority="52" operator="equal">
      <formula>"לא"</formula>
    </cfRule>
  </conditionalFormatting>
  <conditionalFormatting sqref="D9:D10">
    <cfRule type="cellIs" dxfId="28" priority="51" operator="equal">
      <formula>"כן"</formula>
    </cfRule>
  </conditionalFormatting>
  <conditionalFormatting sqref="G22 G26">
    <cfRule type="cellIs" dxfId="27" priority="48" operator="equal">
      <formula>"לא"</formula>
    </cfRule>
  </conditionalFormatting>
  <conditionalFormatting sqref="G25">
    <cfRule type="cellIs" dxfId="26" priority="46" operator="equal">
      <formula>"לא"</formula>
    </cfRule>
  </conditionalFormatting>
  <conditionalFormatting sqref="F17 F25 F22:F23">
    <cfRule type="cellIs" dxfId="25" priority="35" operator="equal">
      <formula>"לא"</formula>
    </cfRule>
  </conditionalFormatting>
  <conditionalFormatting sqref="D32">
    <cfRule type="cellIs" dxfId="24" priority="29" operator="equal">
      <formula>"כן"</formula>
    </cfRule>
  </conditionalFormatting>
  <conditionalFormatting sqref="E7">
    <cfRule type="cellIs" dxfId="23" priority="33" operator="equal">
      <formula>"לא"</formula>
    </cfRule>
  </conditionalFormatting>
  <conditionalFormatting sqref="D19">
    <cfRule type="cellIs" dxfId="22" priority="32" operator="equal">
      <formula>"כן"</formula>
    </cfRule>
  </conditionalFormatting>
  <conditionalFormatting sqref="D20">
    <cfRule type="cellIs" dxfId="21" priority="31" operator="equal">
      <formula>"כן"</formula>
    </cfRule>
  </conditionalFormatting>
  <conditionalFormatting sqref="D30:D31">
    <cfRule type="cellIs" dxfId="20" priority="30" operator="equal">
      <formula>"כן"</formula>
    </cfRule>
  </conditionalFormatting>
  <conditionalFormatting sqref="F9">
    <cfRule type="cellIs" dxfId="19" priority="20" operator="equal">
      <formula>"לא"</formula>
    </cfRule>
  </conditionalFormatting>
  <conditionalFormatting sqref="F10">
    <cfRule type="cellIs" dxfId="18" priority="19" operator="equal">
      <formula>"לא"</formula>
    </cfRule>
  </conditionalFormatting>
  <conditionalFormatting sqref="F11">
    <cfRule type="cellIs" dxfId="17" priority="18" operator="equal">
      <formula>"לא"</formula>
    </cfRule>
  </conditionalFormatting>
  <conditionalFormatting sqref="F12">
    <cfRule type="cellIs" dxfId="16" priority="17" operator="equal">
      <formula>"לא"</formula>
    </cfRule>
  </conditionalFormatting>
  <conditionalFormatting sqref="F13">
    <cfRule type="cellIs" dxfId="15" priority="16" operator="equal">
      <formula>"לא"</formula>
    </cfRule>
  </conditionalFormatting>
  <conditionalFormatting sqref="F18">
    <cfRule type="cellIs" dxfId="14" priority="15" operator="equal">
      <formula>"לא"</formula>
    </cfRule>
  </conditionalFormatting>
  <conditionalFormatting sqref="F19">
    <cfRule type="cellIs" dxfId="13" priority="14" operator="equal">
      <formula>"לא"</formula>
    </cfRule>
  </conditionalFormatting>
  <conditionalFormatting sqref="F20">
    <cfRule type="cellIs" dxfId="12" priority="13" operator="equal">
      <formula>"לא"</formula>
    </cfRule>
  </conditionalFormatting>
  <conditionalFormatting sqref="F21">
    <cfRule type="cellIs" dxfId="11" priority="12" operator="equal">
      <formula>"לא"</formula>
    </cfRule>
  </conditionalFormatting>
  <conditionalFormatting sqref="F24">
    <cfRule type="cellIs" dxfId="10" priority="11" operator="equal">
      <formula>"לא"</formula>
    </cfRule>
  </conditionalFormatting>
  <conditionalFormatting sqref="F26">
    <cfRule type="cellIs" dxfId="9" priority="10" operator="equal">
      <formula>"לא"</formula>
    </cfRule>
  </conditionalFormatting>
  <conditionalFormatting sqref="F27">
    <cfRule type="cellIs" dxfId="8" priority="9" operator="equal">
      <formula>"לא"</formula>
    </cfRule>
  </conditionalFormatting>
  <conditionalFormatting sqref="F28">
    <cfRule type="cellIs" dxfId="7" priority="8" operator="equal">
      <formula>"לא"</formula>
    </cfRule>
  </conditionalFormatting>
  <conditionalFormatting sqref="G31">
    <cfRule type="cellIs" dxfId="6" priority="7" operator="equal">
      <formula>"לא"</formula>
    </cfRule>
  </conditionalFormatting>
  <conditionalFormatting sqref="G32">
    <cfRule type="cellIs" dxfId="5" priority="6" operator="equal">
      <formula>"לא"</formula>
    </cfRule>
  </conditionalFormatting>
  <conditionalFormatting sqref="G33">
    <cfRule type="cellIs" dxfId="4" priority="5" operator="equal">
      <formula>"לא"</formula>
    </cfRule>
  </conditionalFormatting>
  <conditionalFormatting sqref="G34">
    <cfRule type="cellIs" dxfId="3" priority="4" operator="equal">
      <formula>"לא"</formula>
    </cfRule>
  </conditionalFormatting>
  <conditionalFormatting sqref="G35">
    <cfRule type="cellIs" dxfId="2" priority="3" operator="equal">
      <formula>"לא"</formula>
    </cfRule>
  </conditionalFormatting>
  <conditionalFormatting sqref="G36">
    <cfRule type="cellIs" dxfId="1" priority="2" operator="equal">
      <formula>"לא"</formula>
    </cfRule>
  </conditionalFormatting>
  <conditionalFormatting sqref="G37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H36"/>
  <sheetViews>
    <sheetView rightToLeft="1" zoomScale="145" zoomScaleNormal="145" workbookViewId="0">
      <selection activeCell="F8" sqref="F8:H8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22"/>
      <c r="C2" s="122"/>
      <c r="D2" s="122"/>
      <c r="E2" s="10"/>
      <c r="F2" s="151">
        <v>3</v>
      </c>
      <c r="G2" s="151"/>
      <c r="H2" s="152"/>
    </row>
    <row r="3" spans="1:8" x14ac:dyDescent="0.25">
      <c r="A3" s="8" t="s">
        <v>27</v>
      </c>
      <c r="B3" s="126"/>
      <c r="C3" s="126"/>
      <c r="D3" s="12"/>
      <c r="E3" s="12"/>
      <c r="F3" s="149"/>
      <c r="G3" s="151"/>
      <c r="H3" s="152"/>
    </row>
    <row r="4" spans="1:8" x14ac:dyDescent="0.25">
      <c r="A4" s="8" t="s">
        <v>28</v>
      </c>
      <c r="B4" s="126"/>
      <c r="C4" s="10"/>
      <c r="D4" s="10"/>
      <c r="E4" s="122"/>
      <c r="F4" s="144"/>
      <c r="G4" s="144"/>
      <c r="H4" s="153"/>
    </row>
    <row r="5" spans="1:8" x14ac:dyDescent="0.25">
      <c r="A5" s="8" t="s">
        <v>29</v>
      </c>
      <c r="B5" s="10"/>
      <c r="C5" s="126"/>
      <c r="D5" s="122"/>
      <c r="E5" s="10"/>
      <c r="F5" s="144"/>
      <c r="G5" s="145"/>
      <c r="H5" s="146"/>
    </row>
    <row r="6" spans="1:8" ht="15.75" thickBot="1" x14ac:dyDescent="0.3">
      <c r="A6" s="15" t="s">
        <v>125</v>
      </c>
      <c r="B6" s="124"/>
      <c r="C6" s="124"/>
      <c r="D6" s="124"/>
      <c r="E6" s="14"/>
      <c r="F6" s="147"/>
      <c r="G6" s="154"/>
      <c r="H6" s="15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122">
        <v>3</v>
      </c>
      <c r="C8" s="10">
        <v>3</v>
      </c>
      <c r="D8" s="122">
        <v>3</v>
      </c>
      <c r="E8" s="10">
        <v>3</v>
      </c>
      <c r="F8" s="151">
        <v>3</v>
      </c>
      <c r="G8" s="151"/>
      <c r="H8" s="152"/>
    </row>
    <row r="9" spans="1:8" x14ac:dyDescent="0.25">
      <c r="A9" s="8" t="s">
        <v>27</v>
      </c>
      <c r="B9" s="127"/>
      <c r="C9" s="125"/>
      <c r="D9" s="63"/>
      <c r="E9" s="63"/>
      <c r="F9" s="149"/>
      <c r="G9" s="151"/>
      <c r="H9" s="152"/>
    </row>
    <row r="10" spans="1:8" x14ac:dyDescent="0.25">
      <c r="A10" s="8" t="s">
        <v>28</v>
      </c>
      <c r="B10" s="63"/>
      <c r="C10" s="63"/>
      <c r="D10" s="127"/>
      <c r="E10" s="121"/>
      <c r="F10" s="149"/>
      <c r="G10" s="151"/>
      <c r="H10" s="152"/>
    </row>
    <row r="11" spans="1:8" x14ac:dyDescent="0.25">
      <c r="A11" s="8" t="s">
        <v>29</v>
      </c>
      <c r="B11" s="125"/>
      <c r="C11" s="125"/>
      <c r="D11" s="121"/>
      <c r="E11" s="125"/>
      <c r="F11" s="144"/>
      <c r="G11" s="145"/>
      <c r="H11" s="146"/>
    </row>
    <row r="12" spans="1:8" ht="15.75" thickBot="1" x14ac:dyDescent="0.3">
      <c r="A12" s="8" t="s">
        <v>125</v>
      </c>
      <c r="B12" s="121"/>
      <c r="C12" s="121"/>
      <c r="D12" s="88"/>
      <c r="E12" s="63"/>
      <c r="F12" s="149"/>
      <c r="G12" s="151"/>
      <c r="H12" s="152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122">
        <v>3</v>
      </c>
      <c r="C14" s="10">
        <v>3</v>
      </c>
      <c r="D14" s="122">
        <v>3</v>
      </c>
      <c r="E14" s="10">
        <v>3</v>
      </c>
      <c r="F14" s="151">
        <v>3</v>
      </c>
      <c r="G14" s="151"/>
      <c r="H14" s="152"/>
    </row>
    <row r="15" spans="1:8" x14ac:dyDescent="0.25">
      <c r="A15" s="8" t="s">
        <v>27</v>
      </c>
      <c r="B15" s="63"/>
      <c r="C15" s="121"/>
      <c r="D15" s="127"/>
      <c r="E15" s="63"/>
      <c r="F15" s="144"/>
      <c r="G15" s="145"/>
      <c r="H15" s="146"/>
    </row>
    <row r="16" spans="1:8" x14ac:dyDescent="0.25">
      <c r="A16" s="8" t="s">
        <v>28</v>
      </c>
      <c r="B16" s="125"/>
      <c r="C16" s="127"/>
      <c r="D16" s="63"/>
      <c r="E16" s="125"/>
      <c r="F16" s="149"/>
      <c r="G16" s="151"/>
      <c r="H16" s="152"/>
    </row>
    <row r="17" spans="1:8" x14ac:dyDescent="0.25">
      <c r="A17" s="8" t="s">
        <v>29</v>
      </c>
      <c r="B17" s="127"/>
      <c r="C17" s="125"/>
      <c r="D17" s="121"/>
      <c r="E17" s="121"/>
      <c r="F17" s="144"/>
      <c r="G17" s="145"/>
      <c r="H17" s="146"/>
    </row>
    <row r="18" spans="1:8" ht="15.75" thickBot="1" x14ac:dyDescent="0.3">
      <c r="A18" s="8" t="s">
        <v>125</v>
      </c>
      <c r="B18" s="121"/>
      <c r="C18" s="121"/>
      <c r="D18" s="88"/>
      <c r="E18" s="121"/>
      <c r="F18" s="149"/>
      <c r="G18" s="151"/>
      <c r="H18" s="152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122">
        <v>3</v>
      </c>
      <c r="C20" s="10">
        <v>3</v>
      </c>
      <c r="D20" s="122">
        <v>3</v>
      </c>
      <c r="E20" s="10">
        <v>3</v>
      </c>
      <c r="F20" s="151">
        <v>3</v>
      </c>
      <c r="G20" s="151"/>
      <c r="H20" s="152"/>
    </row>
    <row r="21" spans="1:8" x14ac:dyDescent="0.25">
      <c r="A21" s="8" t="s">
        <v>27</v>
      </c>
      <c r="B21" s="127"/>
      <c r="C21" s="127"/>
      <c r="D21" s="127"/>
      <c r="E21" s="127"/>
      <c r="F21" s="149"/>
      <c r="G21" s="151"/>
      <c r="H21" s="152"/>
    </row>
    <row r="22" spans="1:8" x14ac:dyDescent="0.25">
      <c r="A22" s="8" t="s">
        <v>28</v>
      </c>
      <c r="B22" s="125"/>
      <c r="C22" s="121"/>
      <c r="D22" s="63"/>
      <c r="E22" s="121"/>
      <c r="F22" s="144"/>
      <c r="G22" s="144"/>
      <c r="H22" s="153"/>
    </row>
    <row r="23" spans="1:8" x14ac:dyDescent="0.25">
      <c r="A23" s="8" t="s">
        <v>29</v>
      </c>
      <c r="B23" s="63"/>
      <c r="C23" s="127"/>
      <c r="D23" s="63"/>
      <c r="E23" s="127"/>
      <c r="F23" s="144"/>
      <c r="G23" s="145"/>
      <c r="H23" s="146"/>
    </row>
    <row r="24" spans="1:8" ht="15.75" thickBot="1" x14ac:dyDescent="0.3">
      <c r="A24" s="8" t="s">
        <v>125</v>
      </c>
      <c r="B24" s="121"/>
      <c r="C24" s="121"/>
      <c r="D24" s="121"/>
      <c r="E24" s="63"/>
      <c r="F24" s="149"/>
      <c r="G24" s="149"/>
      <c r="H24" s="150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8" x14ac:dyDescent="0.25">
      <c r="A26" s="8" t="s">
        <v>30</v>
      </c>
      <c r="B26" s="122">
        <v>3</v>
      </c>
      <c r="C26" s="10">
        <v>3</v>
      </c>
      <c r="D26" s="122">
        <v>3</v>
      </c>
      <c r="E26" s="10">
        <v>3</v>
      </c>
      <c r="F26" s="151">
        <v>3</v>
      </c>
      <c r="G26" s="151"/>
      <c r="H26" s="152"/>
    </row>
    <row r="27" spans="1:8" x14ac:dyDescent="0.25">
      <c r="A27" s="8" t="s">
        <v>27</v>
      </c>
      <c r="B27" s="125"/>
      <c r="C27" s="125"/>
      <c r="D27" s="121"/>
      <c r="E27" s="127"/>
      <c r="F27" s="144"/>
      <c r="G27" s="144"/>
      <c r="H27" s="153"/>
    </row>
    <row r="28" spans="1:8" x14ac:dyDescent="0.25">
      <c r="A28" s="8" t="s">
        <v>28</v>
      </c>
      <c r="B28" s="121"/>
      <c r="C28" s="63"/>
      <c r="D28" s="63"/>
      <c r="E28" s="125"/>
      <c r="F28" s="144"/>
      <c r="G28" s="144"/>
      <c r="H28" s="153"/>
    </row>
    <row r="29" spans="1:8" x14ac:dyDescent="0.25">
      <c r="A29" s="8" t="s">
        <v>29</v>
      </c>
      <c r="B29" s="127"/>
      <c r="C29" s="127"/>
      <c r="D29" s="125"/>
      <c r="E29" s="63"/>
      <c r="F29" s="144"/>
      <c r="G29" s="145"/>
      <c r="H29" s="146"/>
    </row>
    <row r="30" spans="1:8" ht="15.75" thickBot="1" x14ac:dyDescent="0.3">
      <c r="A30" s="8" t="s">
        <v>125</v>
      </c>
      <c r="B30" s="120"/>
      <c r="C30" s="88"/>
      <c r="D30" s="88"/>
      <c r="E30" s="120"/>
      <c r="F30" s="149"/>
      <c r="G30" s="149"/>
      <c r="H30" s="150"/>
    </row>
    <row r="31" spans="1:8" x14ac:dyDescent="0.25">
      <c r="A31" s="5"/>
      <c r="B31" s="6">
        <v>1</v>
      </c>
      <c r="C31" s="6">
        <f>B31+1</f>
        <v>2</v>
      </c>
      <c r="D31" s="6">
        <f t="shared" ref="D31" si="6">C31+1</f>
        <v>3</v>
      </c>
      <c r="E31" s="6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8" x14ac:dyDescent="0.25">
      <c r="A32" s="8" t="s">
        <v>30</v>
      </c>
      <c r="B32" s="122">
        <v>3</v>
      </c>
      <c r="C32" s="10">
        <v>3</v>
      </c>
      <c r="D32" s="122">
        <v>3</v>
      </c>
      <c r="E32" s="10">
        <v>3</v>
      </c>
      <c r="F32" s="151">
        <v>3</v>
      </c>
      <c r="G32" s="151"/>
      <c r="H32" s="152"/>
    </row>
    <row r="33" spans="1:8" x14ac:dyDescent="0.25">
      <c r="A33" s="8" t="s">
        <v>27</v>
      </c>
      <c r="B33" s="125"/>
      <c r="C33" s="125"/>
      <c r="D33" s="121"/>
      <c r="E33" s="127"/>
      <c r="F33" s="144"/>
      <c r="G33" s="144"/>
      <c r="H33" s="153"/>
    </row>
    <row r="34" spans="1:8" x14ac:dyDescent="0.25">
      <c r="A34" s="8" t="s">
        <v>28</v>
      </c>
      <c r="B34" s="121"/>
      <c r="C34" s="63"/>
      <c r="D34" s="63"/>
      <c r="E34" s="125"/>
      <c r="F34" s="144"/>
      <c r="G34" s="144"/>
      <c r="H34" s="153"/>
    </row>
    <row r="35" spans="1:8" x14ac:dyDescent="0.25">
      <c r="A35" s="8" t="s">
        <v>29</v>
      </c>
      <c r="B35" s="127"/>
      <c r="C35" s="127"/>
      <c r="D35" s="125"/>
      <c r="E35" s="63"/>
      <c r="F35" s="144"/>
      <c r="G35" s="145"/>
      <c r="H35" s="146"/>
    </row>
    <row r="36" spans="1:8" ht="15.75" thickBot="1" x14ac:dyDescent="0.3">
      <c r="A36" s="15" t="s">
        <v>125</v>
      </c>
      <c r="B36" s="105"/>
      <c r="C36" s="123"/>
      <c r="D36" s="123"/>
      <c r="E36" s="105"/>
      <c r="F36" s="147"/>
      <c r="G36" s="147"/>
      <c r="H36" s="148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23:H23"/>
    <mergeCell ref="F24:H24"/>
    <mergeCell ref="F26:H26"/>
    <mergeCell ref="F27:H27"/>
    <mergeCell ref="F28:H28"/>
    <mergeCell ref="F35:H35"/>
    <mergeCell ref="F36:H36"/>
    <mergeCell ref="F29:H29"/>
    <mergeCell ref="F30:H30"/>
    <mergeCell ref="F32:H32"/>
    <mergeCell ref="F33:H33"/>
    <mergeCell ref="F34:H3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5" sqref="I5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24</v>
      </c>
      <c r="C2" s="3">
        <f>COUNTIF(חיילים!D:D,"=כן")</f>
        <v>6</v>
      </c>
      <c r="G2" t="s">
        <v>37</v>
      </c>
      <c r="H2" t="s">
        <v>38</v>
      </c>
      <c r="I2" t="s">
        <v>39</v>
      </c>
    </row>
    <row r="3" spans="2:9" x14ac:dyDescent="0.25">
      <c r="B3" s="1" t="s">
        <v>23</v>
      </c>
      <c r="C3" s="1">
        <f>COUNTIF(חיילים!$D:D,"=לא")</f>
        <v>31</v>
      </c>
      <c r="F3" t="s">
        <v>57</v>
      </c>
      <c r="G3">
        <f>SUM(חיילים!BO:BO)</f>
        <v>25</v>
      </c>
      <c r="H3">
        <f>I3-G3</f>
        <v>35</v>
      </c>
      <c r="I3">
        <f>3*4*5</f>
        <v>60</v>
      </c>
    </row>
    <row r="4" spans="2:9" x14ac:dyDescent="0.25">
      <c r="B4" s="1" t="s">
        <v>22</v>
      </c>
      <c r="C4" s="2">
        <f>C3+C2</f>
        <v>37</v>
      </c>
      <c r="F4" t="s">
        <v>58</v>
      </c>
      <c r="G4">
        <f>SUM(חיילים!BP:BP)</f>
        <v>9</v>
      </c>
      <c r="H4">
        <f>I4-G4</f>
        <v>11</v>
      </c>
      <c r="I4">
        <f xml:space="preserve"> 1*4*5</f>
        <v>20</v>
      </c>
    </row>
    <row r="5" spans="2:9" x14ac:dyDescent="0.25">
      <c r="F5" t="s">
        <v>59</v>
      </c>
      <c r="G5">
        <f>SUM(חיילים!BM:BM)</f>
        <v>9</v>
      </c>
      <c r="H5">
        <f t="shared" ref="H5:H6" si="0">I5-G5</f>
        <v>6</v>
      </c>
      <c r="I5">
        <v>15</v>
      </c>
    </row>
    <row r="6" spans="2:9" x14ac:dyDescent="0.25">
      <c r="F6" t="s">
        <v>60</v>
      </c>
      <c r="G6">
        <f>SUM(חיילים!BN:BN)</f>
        <v>1</v>
      </c>
      <c r="H6">
        <f t="shared" si="0"/>
        <v>4</v>
      </c>
      <c r="I6">
        <v>5</v>
      </c>
    </row>
    <row r="7" spans="2:9" x14ac:dyDescent="0.25">
      <c r="B7" s="1" t="s">
        <v>25</v>
      </c>
      <c r="C7" s="1">
        <f>COUNTIF(חיילים!E:E,"=כן")</f>
        <v>33</v>
      </c>
    </row>
    <row r="8" spans="2:9" x14ac:dyDescent="0.25">
      <c r="B8" s="3" t="s">
        <v>26</v>
      </c>
      <c r="C8" s="3">
        <f>COUNTIF(חיילים!E:E,"=לא")</f>
        <v>4</v>
      </c>
    </row>
    <row r="9" spans="2:9" x14ac:dyDescent="0.25">
      <c r="B9" s="1" t="s">
        <v>22</v>
      </c>
      <c r="C9" s="2">
        <f>C8+C7</f>
        <v>37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65"/>
  <sheetViews>
    <sheetView rightToLeft="1" zoomScale="130" zoomScaleNormal="130" workbookViewId="0">
      <selection activeCell="E5" sqref="E5"/>
    </sheetView>
  </sheetViews>
  <sheetFormatPr defaultRowHeight="15" x14ac:dyDescent="0.25"/>
  <cols>
    <col min="1" max="1" width="7.140625" style="60" customWidth="1"/>
    <col min="2" max="2" width="8" style="44" bestFit="1" customWidth="1"/>
    <col min="3" max="6" width="8.42578125" style="59" customWidth="1"/>
    <col min="7" max="7" width="13" style="59" customWidth="1"/>
  </cols>
  <sheetData>
    <row r="1" spans="1:8" ht="45.75" thickBot="1" x14ac:dyDescent="0.3">
      <c r="A1" s="38" t="s">
        <v>0</v>
      </c>
      <c r="B1" s="39" t="s">
        <v>1</v>
      </c>
      <c r="C1" s="69" t="s">
        <v>150</v>
      </c>
      <c r="D1" s="70" t="s">
        <v>151</v>
      </c>
      <c r="E1" s="70" t="s">
        <v>152</v>
      </c>
      <c r="F1" s="70" t="s">
        <v>178</v>
      </c>
      <c r="G1" s="70" t="s">
        <v>153</v>
      </c>
      <c r="H1" s="114" t="s">
        <v>177</v>
      </c>
    </row>
    <row r="2" spans="1:8" x14ac:dyDescent="0.25">
      <c r="A2" s="45">
        <v>209</v>
      </c>
      <c r="B2" s="46" t="s">
        <v>115</v>
      </c>
      <c r="C2" s="45"/>
      <c r="D2" s="47"/>
      <c r="E2" s="47"/>
      <c r="F2" s="47"/>
      <c r="G2" s="47">
        <v>3</v>
      </c>
      <c r="H2" s="1">
        <v>3</v>
      </c>
    </row>
    <row r="3" spans="1:8" x14ac:dyDescent="0.25">
      <c r="A3" s="45">
        <v>474</v>
      </c>
      <c r="B3" s="46" t="s">
        <v>5</v>
      </c>
      <c r="C3" s="45"/>
      <c r="D3" s="47">
        <v>1</v>
      </c>
      <c r="E3" s="47"/>
      <c r="F3" s="47"/>
      <c r="G3" s="47">
        <v>2</v>
      </c>
      <c r="H3" s="1">
        <v>2</v>
      </c>
    </row>
    <row r="4" spans="1:8" x14ac:dyDescent="0.25">
      <c r="A4" s="45">
        <v>679</v>
      </c>
      <c r="B4" s="46" t="s">
        <v>20</v>
      </c>
      <c r="C4" s="45"/>
      <c r="D4" s="47">
        <v>1</v>
      </c>
      <c r="E4" s="47"/>
      <c r="F4" s="47"/>
      <c r="G4" s="47"/>
      <c r="H4" s="1">
        <v>2</v>
      </c>
    </row>
    <row r="5" spans="1:8" x14ac:dyDescent="0.25">
      <c r="A5" s="45">
        <v>9</v>
      </c>
      <c r="B5" s="76" t="s">
        <v>139</v>
      </c>
      <c r="C5" s="45">
        <v>1</v>
      </c>
      <c r="D5" s="47"/>
      <c r="E5" s="47">
        <v>3</v>
      </c>
      <c r="F5" s="47">
        <v>3</v>
      </c>
      <c r="G5" s="47">
        <v>1</v>
      </c>
      <c r="H5" s="1">
        <v>1</v>
      </c>
    </row>
    <row r="6" spans="1:8" x14ac:dyDescent="0.25">
      <c r="A6" s="45">
        <v>9</v>
      </c>
      <c r="B6" s="46" t="s">
        <v>64</v>
      </c>
      <c r="C6" s="45"/>
      <c r="D6" s="47"/>
      <c r="E6" s="47">
        <v>2</v>
      </c>
      <c r="F6" s="47">
        <v>2</v>
      </c>
      <c r="G6" s="47">
        <v>1</v>
      </c>
      <c r="H6" s="1">
        <v>1</v>
      </c>
    </row>
    <row r="7" spans="1:8" x14ac:dyDescent="0.25">
      <c r="A7" s="45">
        <v>9</v>
      </c>
      <c r="B7" s="46" t="s">
        <v>15</v>
      </c>
      <c r="C7" s="45"/>
      <c r="D7" s="47"/>
      <c r="E7" s="47">
        <v>2</v>
      </c>
      <c r="F7" s="47">
        <v>2</v>
      </c>
      <c r="G7" s="47">
        <v>1</v>
      </c>
      <c r="H7" s="1">
        <v>1</v>
      </c>
    </row>
    <row r="8" spans="1:8" x14ac:dyDescent="0.25">
      <c r="A8" s="45">
        <v>679</v>
      </c>
      <c r="B8" s="46" t="s">
        <v>11</v>
      </c>
      <c r="C8" s="45"/>
      <c r="D8" s="47"/>
      <c r="E8" s="47">
        <v>2</v>
      </c>
      <c r="F8" s="47">
        <v>2</v>
      </c>
      <c r="G8" s="47">
        <v>1</v>
      </c>
      <c r="H8" s="1">
        <v>1</v>
      </c>
    </row>
    <row r="9" spans="1:8" x14ac:dyDescent="0.25">
      <c r="A9" s="45">
        <v>679</v>
      </c>
      <c r="B9" s="46" t="s">
        <v>16</v>
      </c>
      <c r="C9" s="45">
        <v>1</v>
      </c>
      <c r="D9" s="47"/>
      <c r="E9" s="47">
        <v>1</v>
      </c>
      <c r="F9" s="47">
        <v>1</v>
      </c>
      <c r="G9" s="47"/>
      <c r="H9" s="1">
        <v>1</v>
      </c>
    </row>
    <row r="10" spans="1:8" x14ac:dyDescent="0.25">
      <c r="A10" s="45">
        <v>11</v>
      </c>
      <c r="B10" s="46" t="s">
        <v>9</v>
      </c>
      <c r="C10" s="45">
        <v>1</v>
      </c>
      <c r="D10" s="47"/>
      <c r="E10" s="47"/>
      <c r="F10" s="47"/>
      <c r="G10" s="47"/>
      <c r="H10" s="1">
        <v>1</v>
      </c>
    </row>
    <row r="11" spans="1:8" x14ac:dyDescent="0.25">
      <c r="A11" s="45" t="s">
        <v>17</v>
      </c>
      <c r="B11" s="46" t="s">
        <v>21</v>
      </c>
      <c r="C11" s="45">
        <v>1</v>
      </c>
      <c r="D11" s="47"/>
      <c r="E11" s="47"/>
      <c r="F11" s="47"/>
      <c r="G11" s="47">
        <v>1</v>
      </c>
      <c r="H11" s="1">
        <v>1</v>
      </c>
    </row>
    <row r="12" spans="1:8" x14ac:dyDescent="0.25">
      <c r="A12" s="45">
        <v>679</v>
      </c>
      <c r="B12" s="46" t="s">
        <v>12</v>
      </c>
      <c r="C12" s="45"/>
      <c r="D12" s="47"/>
      <c r="E12" s="47"/>
      <c r="F12" s="47"/>
      <c r="G12" s="47">
        <v>1</v>
      </c>
      <c r="H12" s="1">
        <v>1</v>
      </c>
    </row>
    <row r="13" spans="1:8" x14ac:dyDescent="0.25">
      <c r="A13" s="45" t="s">
        <v>88</v>
      </c>
      <c r="B13" s="46" t="s">
        <v>63</v>
      </c>
      <c r="C13" s="45"/>
      <c r="D13" s="47">
        <v>1</v>
      </c>
      <c r="E13" s="47"/>
      <c r="F13" s="47"/>
      <c r="G13" s="47">
        <v>2</v>
      </c>
      <c r="H13" s="116">
        <v>1</v>
      </c>
    </row>
    <row r="14" spans="1:8" x14ac:dyDescent="0.25">
      <c r="A14" s="45">
        <v>9</v>
      </c>
      <c r="B14" s="76" t="s">
        <v>147</v>
      </c>
      <c r="C14" s="45"/>
      <c r="D14" s="47"/>
      <c r="E14" s="47">
        <v>3</v>
      </c>
      <c r="F14" s="47">
        <v>3</v>
      </c>
      <c r="G14" s="47"/>
      <c r="H14" s="1"/>
    </row>
    <row r="15" spans="1:8" x14ac:dyDescent="0.25">
      <c r="A15" s="45">
        <v>474</v>
      </c>
      <c r="B15" s="46" t="s">
        <v>108</v>
      </c>
      <c r="C15" s="45"/>
      <c r="D15" s="47"/>
      <c r="E15" s="47">
        <v>3</v>
      </c>
      <c r="F15" s="47">
        <v>3</v>
      </c>
      <c r="G15" s="47"/>
      <c r="H15" s="1"/>
    </row>
    <row r="16" spans="1:8" x14ac:dyDescent="0.25">
      <c r="A16" s="45">
        <v>11</v>
      </c>
      <c r="B16" s="46" t="s">
        <v>13</v>
      </c>
      <c r="C16" s="45"/>
      <c r="D16" s="47"/>
      <c r="E16" s="47">
        <v>2</v>
      </c>
      <c r="F16" s="47">
        <v>3</v>
      </c>
      <c r="G16" s="47"/>
      <c r="H16" s="1"/>
    </row>
    <row r="17" spans="1:8" x14ac:dyDescent="0.25">
      <c r="A17" s="45">
        <v>209</v>
      </c>
      <c r="B17" s="76" t="s">
        <v>148</v>
      </c>
      <c r="C17" s="45">
        <v>1</v>
      </c>
      <c r="D17" s="47"/>
      <c r="E17" s="47">
        <v>2</v>
      </c>
      <c r="F17" s="47">
        <v>2</v>
      </c>
      <c r="G17" s="47"/>
      <c r="H17" s="1"/>
    </row>
    <row r="18" spans="1:8" x14ac:dyDescent="0.25">
      <c r="A18" s="113" t="s">
        <v>17</v>
      </c>
      <c r="B18" s="76" t="s">
        <v>149</v>
      </c>
      <c r="C18" s="45">
        <v>1</v>
      </c>
      <c r="D18" s="47"/>
      <c r="E18" s="47">
        <v>2</v>
      </c>
      <c r="F18" s="47">
        <v>2</v>
      </c>
      <c r="G18" s="47"/>
      <c r="H18" s="1"/>
    </row>
    <row r="19" spans="1:8" x14ac:dyDescent="0.25">
      <c r="A19" s="97" t="s">
        <v>19</v>
      </c>
      <c r="B19" s="107" t="s">
        <v>140</v>
      </c>
      <c r="C19" s="45"/>
      <c r="D19" s="47"/>
      <c r="E19" s="47">
        <v>4</v>
      </c>
      <c r="F19" s="47">
        <v>2</v>
      </c>
      <c r="G19" s="47"/>
      <c r="H19" s="1"/>
    </row>
    <row r="20" spans="1:8" x14ac:dyDescent="0.25">
      <c r="A20" s="45">
        <v>209</v>
      </c>
      <c r="B20" s="46" t="s">
        <v>8</v>
      </c>
      <c r="C20" s="45"/>
      <c r="D20" s="47"/>
      <c r="E20" s="47">
        <v>2</v>
      </c>
      <c r="F20" s="47">
        <v>2</v>
      </c>
      <c r="G20" s="47"/>
      <c r="H20" s="1"/>
    </row>
    <row r="21" spans="1:8" x14ac:dyDescent="0.25">
      <c r="A21" s="45">
        <v>209</v>
      </c>
      <c r="B21" s="46" t="s">
        <v>61</v>
      </c>
      <c r="C21" s="45"/>
      <c r="D21" s="47"/>
      <c r="E21" s="47">
        <v>2</v>
      </c>
      <c r="F21" s="47">
        <v>2</v>
      </c>
      <c r="G21" s="47"/>
      <c r="H21" s="1"/>
    </row>
    <row r="22" spans="1:8" x14ac:dyDescent="0.25">
      <c r="A22" s="45" t="s">
        <v>17</v>
      </c>
      <c r="B22" s="46" t="s">
        <v>16</v>
      </c>
      <c r="C22" s="45"/>
      <c r="D22" s="47"/>
      <c r="E22" s="47">
        <v>2</v>
      </c>
      <c r="F22" s="47">
        <v>2</v>
      </c>
      <c r="G22" s="47"/>
      <c r="H22" s="1"/>
    </row>
    <row r="23" spans="1:8" x14ac:dyDescent="0.25">
      <c r="A23" s="45">
        <v>11</v>
      </c>
      <c r="B23" s="46" t="s">
        <v>10</v>
      </c>
      <c r="C23" s="45">
        <v>1</v>
      </c>
      <c r="D23" s="65"/>
      <c r="E23" s="47">
        <v>1</v>
      </c>
      <c r="F23" s="47">
        <v>1</v>
      </c>
      <c r="G23" s="47"/>
      <c r="H23" s="1"/>
    </row>
    <row r="24" spans="1:8" x14ac:dyDescent="0.25">
      <c r="A24" s="97" t="s">
        <v>88</v>
      </c>
      <c r="B24" s="98" t="s">
        <v>126</v>
      </c>
      <c r="C24" s="45">
        <v>1</v>
      </c>
      <c r="D24" s="47"/>
      <c r="E24" s="47">
        <v>1</v>
      </c>
      <c r="F24" s="47">
        <v>1</v>
      </c>
      <c r="G24" s="47"/>
      <c r="H24" s="1"/>
    </row>
    <row r="25" spans="1:8" x14ac:dyDescent="0.25">
      <c r="A25" s="45">
        <v>9</v>
      </c>
      <c r="B25" s="46" t="s">
        <v>14</v>
      </c>
      <c r="C25" s="45"/>
      <c r="D25" s="47"/>
      <c r="E25" s="47">
        <v>1</v>
      </c>
      <c r="F25" s="47">
        <v>1</v>
      </c>
      <c r="G25" s="47"/>
      <c r="H25" s="1"/>
    </row>
    <row r="26" spans="1:8" x14ac:dyDescent="0.25">
      <c r="A26" s="45">
        <v>209</v>
      </c>
      <c r="B26" s="76" t="s">
        <v>169</v>
      </c>
      <c r="C26" s="45">
        <v>1</v>
      </c>
      <c r="D26" s="47"/>
      <c r="E26" s="47"/>
      <c r="F26" s="47"/>
      <c r="G26" s="47"/>
      <c r="H26" s="1"/>
    </row>
    <row r="27" spans="1:8" x14ac:dyDescent="0.25">
      <c r="A27" s="97">
        <v>679</v>
      </c>
      <c r="B27" s="98" t="s">
        <v>65</v>
      </c>
      <c r="C27" s="45">
        <v>1</v>
      </c>
      <c r="D27" s="47"/>
      <c r="E27" s="47"/>
      <c r="F27" s="47"/>
      <c r="G27" s="47">
        <v>1</v>
      </c>
      <c r="H27" s="1"/>
    </row>
    <row r="28" spans="1:8" x14ac:dyDescent="0.25">
      <c r="A28" s="80">
        <v>9</v>
      </c>
      <c r="B28" s="86" t="s">
        <v>167</v>
      </c>
      <c r="C28" s="80"/>
      <c r="D28" s="82"/>
      <c r="E28" s="82"/>
      <c r="F28" s="82"/>
      <c r="G28" s="82"/>
      <c r="H28" s="1"/>
    </row>
    <row r="29" spans="1:8" x14ac:dyDescent="0.25">
      <c r="A29" s="108">
        <v>679</v>
      </c>
      <c r="B29" s="115" t="s">
        <v>18</v>
      </c>
      <c r="C29" s="80"/>
      <c r="D29" s="82"/>
      <c r="E29" s="82"/>
      <c r="F29" s="82"/>
      <c r="G29" s="82"/>
      <c r="H29" s="1"/>
    </row>
    <row r="30" spans="1:8" x14ac:dyDescent="0.25">
      <c r="A30" s="80" t="s">
        <v>88</v>
      </c>
      <c r="B30" s="81" t="s">
        <v>62</v>
      </c>
      <c r="C30" s="80"/>
      <c r="D30" s="82">
        <v>1</v>
      </c>
      <c r="E30" s="82"/>
      <c r="F30" s="82"/>
      <c r="G30" s="82">
        <v>2</v>
      </c>
      <c r="H30" s="117"/>
    </row>
    <row r="31" spans="1:8" x14ac:dyDescent="0.25">
      <c r="A31" s="44"/>
      <c r="C31" s="44"/>
      <c r="D31" s="44"/>
      <c r="E31" s="44"/>
      <c r="F31" s="44"/>
      <c r="G31" s="44"/>
    </row>
    <row r="32" spans="1:8" x14ac:dyDescent="0.25">
      <c r="A32" s="44"/>
      <c r="C32" s="44"/>
      <c r="D32" s="44"/>
      <c r="E32" s="44"/>
      <c r="F32" s="44"/>
      <c r="G32" s="44"/>
    </row>
    <row r="33" spans="1:7" x14ac:dyDescent="0.25">
      <c r="A33" s="44"/>
    </row>
    <row r="34" spans="1:7" x14ac:dyDescent="0.25">
      <c r="A34" s="44"/>
    </row>
    <row r="35" spans="1:7" x14ac:dyDescent="0.25">
      <c r="A35" s="44"/>
    </row>
    <row r="36" spans="1:7" x14ac:dyDescent="0.25">
      <c r="A36" s="44"/>
      <c r="C36" s="44"/>
      <c r="D36" s="44"/>
      <c r="E36" s="44"/>
      <c r="F36" s="44"/>
      <c r="G36" s="44"/>
    </row>
    <row r="37" spans="1:7" x14ac:dyDescent="0.25">
      <c r="A37" s="44"/>
      <c r="C37" s="44"/>
      <c r="D37" s="44"/>
      <c r="E37" s="44"/>
      <c r="F37" s="44"/>
      <c r="G37" s="44"/>
    </row>
    <row r="38" spans="1:7" x14ac:dyDescent="0.25">
      <c r="A38" s="44"/>
      <c r="C38" s="44"/>
      <c r="D38" s="44"/>
      <c r="E38" s="44"/>
      <c r="F38" s="44"/>
      <c r="G38" s="44"/>
    </row>
    <row r="39" spans="1:7" x14ac:dyDescent="0.25">
      <c r="A39" s="44"/>
      <c r="C39" s="44"/>
      <c r="D39" s="44"/>
      <c r="E39" s="44"/>
      <c r="F39" s="44"/>
      <c r="G39" s="44"/>
    </row>
    <row r="40" spans="1:7" x14ac:dyDescent="0.25">
      <c r="A40" s="44"/>
      <c r="C40" s="44"/>
      <c r="D40" s="44"/>
      <c r="E40" s="44"/>
      <c r="F40" s="44"/>
      <c r="G40" s="44"/>
    </row>
    <row r="41" spans="1:7" x14ac:dyDescent="0.25">
      <c r="A41" s="44"/>
      <c r="C41" s="44"/>
      <c r="D41" s="44"/>
      <c r="E41" s="44"/>
      <c r="F41" s="44"/>
      <c r="G41" s="44"/>
    </row>
    <row r="42" spans="1:7" x14ac:dyDescent="0.25">
      <c r="A42" s="44"/>
      <c r="C42" s="44"/>
      <c r="D42" s="44"/>
      <c r="E42" s="44"/>
      <c r="F42" s="44"/>
      <c r="G42" s="44"/>
    </row>
    <row r="43" spans="1:7" x14ac:dyDescent="0.25">
      <c r="A43" s="44"/>
      <c r="C43" s="44"/>
      <c r="D43" s="44"/>
      <c r="E43" s="44"/>
      <c r="F43" s="44"/>
      <c r="G43" s="44"/>
    </row>
    <row r="44" spans="1:7" x14ac:dyDescent="0.25">
      <c r="A44" s="44"/>
      <c r="C44" s="44"/>
      <c r="D44" s="44"/>
      <c r="E44" s="44"/>
      <c r="F44" s="44"/>
      <c r="G44" s="44"/>
    </row>
    <row r="45" spans="1:7" x14ac:dyDescent="0.25">
      <c r="A45" s="44"/>
      <c r="C45" s="44"/>
      <c r="D45" s="44"/>
      <c r="E45" s="44"/>
      <c r="F45" s="44"/>
      <c r="G45" s="44"/>
    </row>
    <row r="46" spans="1:7" x14ac:dyDescent="0.25">
      <c r="A46" s="44"/>
      <c r="C46" s="44"/>
      <c r="D46" s="44"/>
      <c r="E46" s="44"/>
      <c r="F46" s="44"/>
      <c r="G46" s="44"/>
    </row>
    <row r="47" spans="1:7" x14ac:dyDescent="0.25">
      <c r="A47" s="44"/>
      <c r="C47" s="44"/>
      <c r="D47" s="44"/>
      <c r="E47" s="44"/>
      <c r="F47" s="44"/>
      <c r="G47" s="44"/>
    </row>
    <row r="48" spans="1:7" x14ac:dyDescent="0.25">
      <c r="A48" s="44"/>
      <c r="C48" s="44"/>
      <c r="D48" s="44"/>
      <c r="E48" s="44"/>
      <c r="F48" s="44"/>
      <c r="G48" s="44"/>
    </row>
    <row r="49" spans="1:7" x14ac:dyDescent="0.25">
      <c r="A49" s="44"/>
      <c r="C49" s="44"/>
      <c r="D49" s="44"/>
      <c r="E49" s="44"/>
      <c r="F49" s="44"/>
      <c r="G49" s="44"/>
    </row>
    <row r="50" spans="1:7" x14ac:dyDescent="0.25">
      <c r="A50" s="44"/>
      <c r="C50" s="44"/>
      <c r="D50" s="44"/>
      <c r="E50" s="44"/>
      <c r="F50" s="44"/>
      <c r="G50" s="44"/>
    </row>
    <row r="51" spans="1:7" x14ac:dyDescent="0.25">
      <c r="A51" s="44"/>
      <c r="C51" s="44"/>
      <c r="D51" s="44"/>
      <c r="E51" s="44"/>
      <c r="F51" s="44"/>
      <c r="G51" s="44"/>
    </row>
    <row r="52" spans="1:7" x14ac:dyDescent="0.25">
      <c r="A52" s="44"/>
      <c r="C52" s="44"/>
      <c r="D52" s="44"/>
      <c r="E52" s="44"/>
      <c r="F52" s="44"/>
      <c r="G52" s="44"/>
    </row>
    <row r="53" spans="1:7" x14ac:dyDescent="0.25">
      <c r="A53" s="44"/>
      <c r="C53" s="44"/>
      <c r="D53" s="44"/>
      <c r="E53" s="44"/>
      <c r="F53" s="44"/>
      <c r="G53" s="44"/>
    </row>
    <row r="54" spans="1:7" x14ac:dyDescent="0.25">
      <c r="A54" s="44"/>
      <c r="C54" s="44"/>
      <c r="D54" s="44"/>
      <c r="E54" s="44"/>
      <c r="F54" s="44"/>
      <c r="G54" s="44"/>
    </row>
    <row r="55" spans="1:7" x14ac:dyDescent="0.25">
      <c r="A55" s="44"/>
      <c r="C55" s="44"/>
      <c r="D55" s="44"/>
      <c r="E55" s="44"/>
      <c r="F55" s="44"/>
      <c r="G55" s="44"/>
    </row>
    <row r="56" spans="1:7" x14ac:dyDescent="0.25">
      <c r="A56" s="44"/>
      <c r="C56" s="44"/>
      <c r="D56" s="44"/>
      <c r="E56" s="44"/>
      <c r="F56" s="44"/>
      <c r="G56" s="44"/>
    </row>
    <row r="57" spans="1:7" x14ac:dyDescent="0.25">
      <c r="A57" s="44"/>
      <c r="C57" s="44"/>
      <c r="D57" s="44"/>
      <c r="E57" s="44"/>
      <c r="F57" s="44"/>
      <c r="G57" s="44"/>
    </row>
    <row r="58" spans="1:7" x14ac:dyDescent="0.25">
      <c r="A58" s="44"/>
      <c r="C58" s="44"/>
      <c r="D58" s="44"/>
      <c r="E58" s="44"/>
      <c r="F58" s="44"/>
      <c r="G58" s="44"/>
    </row>
    <row r="59" spans="1:7" x14ac:dyDescent="0.25">
      <c r="A59" s="44"/>
      <c r="C59" s="44"/>
      <c r="D59" s="44"/>
      <c r="E59" s="44"/>
      <c r="F59" s="44"/>
      <c r="G59" s="44"/>
    </row>
    <row r="60" spans="1:7" x14ac:dyDescent="0.25">
      <c r="A60" s="44"/>
      <c r="C60" s="44"/>
      <c r="D60" s="44"/>
      <c r="E60" s="44"/>
      <c r="F60" s="44"/>
      <c r="G60" s="44"/>
    </row>
    <row r="61" spans="1:7" x14ac:dyDescent="0.25">
      <c r="A61" s="44"/>
      <c r="C61" s="44"/>
      <c r="D61" s="44"/>
      <c r="E61" s="44"/>
      <c r="F61" s="44"/>
      <c r="G61" s="44"/>
    </row>
    <row r="62" spans="1:7" x14ac:dyDescent="0.25">
      <c r="A62" s="44"/>
      <c r="C62" s="44"/>
      <c r="D62" s="44"/>
      <c r="E62" s="44"/>
      <c r="F62" s="44"/>
      <c r="G62" s="44"/>
    </row>
    <row r="63" spans="1:7" x14ac:dyDescent="0.25">
      <c r="A63" s="44"/>
      <c r="C63" s="44"/>
      <c r="D63" s="44"/>
      <c r="E63" s="44"/>
      <c r="F63" s="44"/>
      <c r="G63" s="44"/>
    </row>
    <row r="64" spans="1:7" x14ac:dyDescent="0.25">
      <c r="A64" s="44"/>
      <c r="C64" s="44"/>
      <c r="D64" s="44"/>
      <c r="E64" s="44"/>
      <c r="F64" s="44"/>
      <c r="G64" s="44"/>
    </row>
    <row r="65" spans="1:7" x14ac:dyDescent="0.25">
      <c r="A65" s="44"/>
      <c r="C65" s="44"/>
      <c r="D65" s="44"/>
      <c r="E65" s="44"/>
      <c r="F65" s="44"/>
      <c r="G65" s="44"/>
    </row>
  </sheetData>
  <autoFilter ref="A1:H30" xr:uid="{D926E475-0D42-4607-A189-EAA1695D7C18}">
    <sortState ref="A2:H30">
      <sortCondition descending="1" ref="H1:H30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0" zoomScale="145" zoomScaleNormal="145" workbookViewId="0">
      <selection sqref="A1:H32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6"/>
      <c r="C2" s="66"/>
      <c r="D2" s="66"/>
      <c r="E2" s="10"/>
      <c r="F2" s="151">
        <v>2</v>
      </c>
      <c r="G2" s="151"/>
      <c r="H2" s="152"/>
    </row>
    <row r="3" spans="1:8" x14ac:dyDescent="0.25">
      <c r="A3" s="8" t="s">
        <v>27</v>
      </c>
      <c r="B3" s="67"/>
      <c r="C3" s="67"/>
      <c r="D3" s="12"/>
      <c r="E3" s="12"/>
      <c r="F3" s="149" t="s">
        <v>92</v>
      </c>
      <c r="G3" s="151"/>
      <c r="H3" s="152"/>
    </row>
    <row r="4" spans="1:8" x14ac:dyDescent="0.25">
      <c r="A4" s="8" t="s">
        <v>28</v>
      </c>
      <c r="B4" s="67"/>
      <c r="C4" s="10"/>
      <c r="D4" s="10"/>
      <c r="E4" s="66"/>
      <c r="F4" s="144" t="s">
        <v>143</v>
      </c>
      <c r="G4" s="144"/>
      <c r="H4" s="153"/>
    </row>
    <row r="5" spans="1:8" x14ac:dyDescent="0.25">
      <c r="A5" s="8" t="s">
        <v>29</v>
      </c>
      <c r="B5" s="10"/>
      <c r="C5" s="67"/>
      <c r="D5" s="66"/>
      <c r="E5" s="10"/>
      <c r="F5" s="144" t="s">
        <v>104</v>
      </c>
      <c r="G5" s="145"/>
      <c r="H5" s="146"/>
    </row>
    <row r="6" spans="1:8" ht="15.75" thickBot="1" x14ac:dyDescent="0.3">
      <c r="A6" s="15" t="s">
        <v>125</v>
      </c>
      <c r="B6" s="68"/>
      <c r="C6" s="68"/>
      <c r="D6" s="68"/>
      <c r="E6" s="14"/>
      <c r="F6" s="147" t="s">
        <v>127</v>
      </c>
      <c r="G6" s="154"/>
      <c r="H6" s="155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51">
        <v>3</v>
      </c>
      <c r="G8" s="151"/>
      <c r="H8" s="152"/>
    </row>
    <row r="9" spans="1:8" x14ac:dyDescent="0.25">
      <c r="A9" s="8" t="s">
        <v>27</v>
      </c>
      <c r="B9" s="111" t="s">
        <v>110</v>
      </c>
      <c r="C9" s="109" t="s">
        <v>106</v>
      </c>
      <c r="D9" s="63" t="s">
        <v>105</v>
      </c>
      <c r="E9" s="63" t="s">
        <v>113</v>
      </c>
      <c r="F9" s="149" t="s">
        <v>78</v>
      </c>
      <c r="G9" s="151"/>
      <c r="H9" s="152"/>
    </row>
    <row r="10" spans="1:8" x14ac:dyDescent="0.25">
      <c r="A10" s="8" t="s">
        <v>28</v>
      </c>
      <c r="B10" s="63" t="s">
        <v>112</v>
      </c>
      <c r="C10" s="63" t="s">
        <v>95</v>
      </c>
      <c r="D10" s="111" t="s">
        <v>104</v>
      </c>
      <c r="E10" s="110" t="s">
        <v>190</v>
      </c>
      <c r="F10" s="149" t="s">
        <v>165</v>
      </c>
      <c r="G10" s="151"/>
      <c r="H10" s="152"/>
    </row>
    <row r="11" spans="1:8" x14ac:dyDescent="0.25">
      <c r="A11" s="8" t="s">
        <v>29</v>
      </c>
      <c r="B11" s="109" t="s">
        <v>97</v>
      </c>
      <c r="C11" s="109" t="s">
        <v>81</v>
      </c>
      <c r="D11" s="110" t="s">
        <v>164</v>
      </c>
      <c r="E11" s="109" t="s">
        <v>97</v>
      </c>
      <c r="F11" s="144" t="s">
        <v>128</v>
      </c>
      <c r="G11" s="145"/>
      <c r="H11" s="146"/>
    </row>
    <row r="12" spans="1:8" ht="15.75" thickBot="1" x14ac:dyDescent="0.3">
      <c r="A12" s="8" t="s">
        <v>125</v>
      </c>
      <c r="B12" s="110" t="s">
        <v>142</v>
      </c>
      <c r="C12" s="110" t="s">
        <v>163</v>
      </c>
      <c r="D12" s="88" t="s">
        <v>100</v>
      </c>
      <c r="E12" s="63" t="s">
        <v>110</v>
      </c>
      <c r="F12" s="149" t="s">
        <v>94</v>
      </c>
      <c r="G12" s="151"/>
      <c r="H12" s="152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51">
        <v>2</v>
      </c>
      <c r="G14" s="151"/>
      <c r="H14" s="152"/>
    </row>
    <row r="15" spans="1:8" x14ac:dyDescent="0.25">
      <c r="A15" s="8" t="s">
        <v>27</v>
      </c>
      <c r="B15" s="63" t="s">
        <v>110</v>
      </c>
      <c r="C15" s="110" t="s">
        <v>83</v>
      </c>
      <c r="D15" s="111" t="s">
        <v>80</v>
      </c>
      <c r="E15" s="63" t="s">
        <v>95</v>
      </c>
      <c r="F15" s="144" t="s">
        <v>129</v>
      </c>
      <c r="G15" s="145"/>
      <c r="H15" s="146"/>
    </row>
    <row r="16" spans="1:8" x14ac:dyDescent="0.25">
      <c r="A16" s="8" t="s">
        <v>28</v>
      </c>
      <c r="B16" s="109" t="s">
        <v>143</v>
      </c>
      <c r="C16" s="111" t="s">
        <v>112</v>
      </c>
      <c r="D16" s="63" t="s">
        <v>138</v>
      </c>
      <c r="E16" s="109" t="s">
        <v>143</v>
      </c>
      <c r="F16" s="149" t="s">
        <v>113</v>
      </c>
      <c r="G16" s="151"/>
      <c r="H16" s="152"/>
    </row>
    <row r="17" spans="1:8" x14ac:dyDescent="0.25">
      <c r="A17" s="8" t="s">
        <v>29</v>
      </c>
      <c r="B17" s="111" t="s">
        <v>91</v>
      </c>
      <c r="C17" s="109" t="s">
        <v>97</v>
      </c>
      <c r="D17" s="110" t="s">
        <v>81</v>
      </c>
      <c r="E17" s="110" t="s">
        <v>102</v>
      </c>
      <c r="F17" s="144" t="s">
        <v>100</v>
      </c>
      <c r="G17" s="145"/>
      <c r="H17" s="146"/>
    </row>
    <row r="18" spans="1:8" ht="15.75" thickBot="1" x14ac:dyDescent="0.3">
      <c r="A18" s="8" t="s">
        <v>125</v>
      </c>
      <c r="B18" s="110" t="s">
        <v>127</v>
      </c>
      <c r="C18" s="110" t="s">
        <v>164</v>
      </c>
      <c r="D18" s="88" t="s">
        <v>163</v>
      </c>
      <c r="E18" s="110" t="s">
        <v>106</v>
      </c>
      <c r="F18" s="149" t="s">
        <v>185</v>
      </c>
      <c r="G18" s="151"/>
      <c r="H18" s="152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51">
        <v>3</v>
      </c>
      <c r="G20" s="151"/>
      <c r="H20" s="152"/>
    </row>
    <row r="21" spans="1:8" x14ac:dyDescent="0.25">
      <c r="A21" s="8" t="s">
        <v>27</v>
      </c>
      <c r="B21" s="111" t="s">
        <v>104</v>
      </c>
      <c r="C21" s="111" t="s">
        <v>91</v>
      </c>
      <c r="D21" s="111" t="s">
        <v>95</v>
      </c>
      <c r="E21" s="111" t="s">
        <v>106</v>
      </c>
      <c r="F21" s="149" t="s">
        <v>117</v>
      </c>
      <c r="G21" s="151"/>
      <c r="H21" s="152"/>
    </row>
    <row r="22" spans="1:8" x14ac:dyDescent="0.25">
      <c r="A22" s="8" t="s">
        <v>28</v>
      </c>
      <c r="B22" s="109" t="s">
        <v>78</v>
      </c>
      <c r="C22" s="110" t="s">
        <v>143</v>
      </c>
      <c r="D22" s="63" t="s">
        <v>81</v>
      </c>
      <c r="E22" s="110" t="s">
        <v>78</v>
      </c>
      <c r="F22" s="144" t="s">
        <v>190</v>
      </c>
      <c r="G22" s="144"/>
      <c r="H22" s="153"/>
    </row>
    <row r="23" spans="1:8" x14ac:dyDescent="0.25">
      <c r="A23" s="8" t="s">
        <v>29</v>
      </c>
      <c r="B23" s="63" t="s">
        <v>92</v>
      </c>
      <c r="C23" s="111" t="s">
        <v>128</v>
      </c>
      <c r="D23" s="63" t="s">
        <v>110</v>
      </c>
      <c r="E23" s="111" t="s">
        <v>102</v>
      </c>
      <c r="F23" s="144" t="s">
        <v>92</v>
      </c>
      <c r="G23" s="145"/>
      <c r="H23" s="146"/>
    </row>
    <row r="24" spans="1:8" x14ac:dyDescent="0.25">
      <c r="A24" s="89" t="s">
        <v>74</v>
      </c>
      <c r="B24" s="110" t="s">
        <v>142</v>
      </c>
      <c r="C24" s="110" t="s">
        <v>127</v>
      </c>
      <c r="D24" s="110" t="s">
        <v>191</v>
      </c>
      <c r="E24" s="63" t="s">
        <v>192</v>
      </c>
      <c r="F24" s="149" t="s">
        <v>186</v>
      </c>
      <c r="G24" s="149"/>
      <c r="H24" s="150"/>
    </row>
    <row r="25" spans="1:8" ht="15.75" thickBot="1" x14ac:dyDescent="0.3">
      <c r="A25" s="89" t="s">
        <v>73</v>
      </c>
      <c r="B25" s="112" t="s">
        <v>75</v>
      </c>
      <c r="C25" s="112" t="s">
        <v>75</v>
      </c>
      <c r="D25" s="112" t="s">
        <v>75</v>
      </c>
      <c r="E25" s="112" t="s">
        <v>163</v>
      </c>
      <c r="F25" s="147" t="s">
        <v>188</v>
      </c>
      <c r="G25" s="154"/>
      <c r="H25" s="155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6">
        <v>2</v>
      </c>
      <c r="C27" s="66">
        <v>2</v>
      </c>
      <c r="D27" s="66">
        <v>3</v>
      </c>
      <c r="E27" s="10">
        <v>3</v>
      </c>
      <c r="F27" s="151">
        <v>2</v>
      </c>
      <c r="G27" s="151"/>
      <c r="H27" s="152"/>
    </row>
    <row r="28" spans="1:8" x14ac:dyDescent="0.25">
      <c r="A28" s="8" t="s">
        <v>27</v>
      </c>
      <c r="B28" s="109" t="s">
        <v>165</v>
      </c>
      <c r="C28" s="109" t="s">
        <v>138</v>
      </c>
      <c r="D28" s="110" t="s">
        <v>105</v>
      </c>
      <c r="E28" s="111" t="s">
        <v>117</v>
      </c>
      <c r="F28" s="144" t="s">
        <v>80</v>
      </c>
      <c r="G28" s="144"/>
      <c r="H28" s="153"/>
    </row>
    <row r="29" spans="1:8" x14ac:dyDescent="0.25">
      <c r="A29" s="8" t="s">
        <v>28</v>
      </c>
      <c r="B29" s="110" t="s">
        <v>143</v>
      </c>
      <c r="C29" s="63" t="s">
        <v>92</v>
      </c>
      <c r="D29" s="63" t="s">
        <v>112</v>
      </c>
      <c r="E29" s="109" t="s">
        <v>94</v>
      </c>
      <c r="F29" s="144" t="s">
        <v>91</v>
      </c>
      <c r="G29" s="144"/>
      <c r="H29" s="153"/>
    </row>
    <row r="30" spans="1:8" x14ac:dyDescent="0.25">
      <c r="A30" s="8" t="s">
        <v>29</v>
      </c>
      <c r="B30" s="111" t="s">
        <v>164</v>
      </c>
      <c r="C30" s="111" t="s">
        <v>128</v>
      </c>
      <c r="D30" s="109" t="s">
        <v>110</v>
      </c>
      <c r="E30" s="63" t="s">
        <v>113</v>
      </c>
      <c r="F30" s="144" t="s">
        <v>83</v>
      </c>
      <c r="G30" s="145"/>
      <c r="H30" s="146"/>
    </row>
    <row r="31" spans="1:8" x14ac:dyDescent="0.25">
      <c r="A31" s="119" t="s">
        <v>74</v>
      </c>
      <c r="B31" s="120" t="s">
        <v>191</v>
      </c>
      <c r="C31" s="88" t="s">
        <v>142</v>
      </c>
      <c r="D31" s="88" t="s">
        <v>185</v>
      </c>
      <c r="E31" s="120" t="s">
        <v>192</v>
      </c>
      <c r="F31" s="149" t="s">
        <v>187</v>
      </c>
      <c r="G31" s="149"/>
      <c r="H31" s="150"/>
    </row>
    <row r="32" spans="1:8" ht="15.75" thickBot="1" x14ac:dyDescent="0.3">
      <c r="A32" s="118" t="s">
        <v>73</v>
      </c>
      <c r="B32" s="112" t="s">
        <v>75</v>
      </c>
      <c r="C32" s="112" t="s">
        <v>75</v>
      </c>
      <c r="D32" s="112" t="s">
        <v>75</v>
      </c>
      <c r="E32" s="112" t="s">
        <v>127</v>
      </c>
      <c r="F32" s="147" t="s">
        <v>189</v>
      </c>
      <c r="G32" s="154"/>
      <c r="H32" s="155"/>
    </row>
  </sheetData>
  <mergeCells count="27">
    <mergeCell ref="F15:H15"/>
    <mergeCell ref="F16:H16"/>
    <mergeCell ref="F17:H17"/>
    <mergeCell ref="F9:H9"/>
    <mergeCell ref="F10:H10"/>
    <mergeCell ref="F11:H11"/>
    <mergeCell ref="F12:H12"/>
    <mergeCell ref="F14:H14"/>
    <mergeCell ref="F8:H8"/>
    <mergeCell ref="F2:H2"/>
    <mergeCell ref="F3:H3"/>
    <mergeCell ref="F4:H4"/>
    <mergeCell ref="F5:H5"/>
    <mergeCell ref="F6:H6"/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6">
        <v>2</v>
      </c>
      <c r="C2" s="66">
        <v>2</v>
      </c>
      <c r="D2" s="66">
        <v>3</v>
      </c>
      <c r="E2" s="10">
        <v>3</v>
      </c>
      <c r="F2" s="151">
        <v>2</v>
      </c>
      <c r="G2" s="151"/>
      <c r="H2" s="152"/>
    </row>
    <row r="3" spans="1:8" x14ac:dyDescent="0.25">
      <c r="A3" s="8" t="s">
        <v>27</v>
      </c>
      <c r="B3" s="67"/>
      <c r="C3" s="67"/>
      <c r="D3" s="12"/>
      <c r="E3" s="12"/>
      <c r="F3" s="144" t="s">
        <v>96</v>
      </c>
      <c r="G3" s="145"/>
      <c r="H3" s="146"/>
    </row>
    <row r="4" spans="1:8" x14ac:dyDescent="0.25">
      <c r="A4" s="8" t="s">
        <v>28</v>
      </c>
      <c r="B4" s="67"/>
      <c r="C4" s="10"/>
      <c r="D4" s="10"/>
      <c r="E4" s="66"/>
      <c r="F4" s="144" t="s">
        <v>128</v>
      </c>
      <c r="G4" s="145"/>
      <c r="H4" s="146"/>
    </row>
    <row r="5" spans="1:8" x14ac:dyDescent="0.25">
      <c r="A5" s="8" t="s">
        <v>29</v>
      </c>
      <c r="B5" s="10"/>
      <c r="C5" s="67"/>
      <c r="D5" s="66"/>
      <c r="E5" s="10"/>
      <c r="F5" s="149" t="s">
        <v>79</v>
      </c>
      <c r="G5" s="151"/>
      <c r="H5" s="152"/>
    </row>
    <row r="6" spans="1:8" ht="15.75" thickBot="1" x14ac:dyDescent="0.3">
      <c r="A6" s="8" t="s">
        <v>125</v>
      </c>
      <c r="B6" s="66"/>
      <c r="C6" s="66"/>
      <c r="D6" s="88" t="s">
        <v>164</v>
      </c>
      <c r="E6" s="10"/>
      <c r="F6" s="149" t="s">
        <v>112</v>
      </c>
      <c r="G6" s="151"/>
      <c r="H6" s="152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6">
        <v>2</v>
      </c>
      <c r="C8" s="66">
        <v>2</v>
      </c>
      <c r="D8" s="66">
        <v>3</v>
      </c>
      <c r="E8" s="10">
        <v>3</v>
      </c>
      <c r="F8" s="151">
        <v>3</v>
      </c>
      <c r="G8" s="151"/>
      <c r="H8" s="152"/>
    </row>
    <row r="9" spans="1:8" x14ac:dyDescent="0.25">
      <c r="A9" s="8" t="s">
        <v>27</v>
      </c>
      <c r="B9" s="100" t="s">
        <v>90</v>
      </c>
      <c r="C9" s="100" t="s">
        <v>143</v>
      </c>
      <c r="D9" s="63" t="s">
        <v>83</v>
      </c>
      <c r="E9" s="101" t="s">
        <v>107</v>
      </c>
      <c r="F9" s="149" t="s">
        <v>106</v>
      </c>
      <c r="G9" s="149"/>
      <c r="H9" s="150"/>
    </row>
    <row r="10" spans="1:8" x14ac:dyDescent="0.25">
      <c r="A10" s="8" t="s">
        <v>28</v>
      </c>
      <c r="B10" s="101" t="s">
        <v>107</v>
      </c>
      <c r="C10" s="100" t="s">
        <v>81</v>
      </c>
      <c r="D10" s="101" t="s">
        <v>105</v>
      </c>
      <c r="E10" s="100" t="s">
        <v>111</v>
      </c>
      <c r="F10" s="144" t="s">
        <v>90</v>
      </c>
      <c r="G10" s="144"/>
      <c r="H10" s="153"/>
    </row>
    <row r="11" spans="1:8" x14ac:dyDescent="0.25">
      <c r="A11" s="8" t="s">
        <v>29</v>
      </c>
      <c r="B11" s="64" t="s">
        <v>111</v>
      </c>
      <c r="C11" s="101" t="s">
        <v>117</v>
      </c>
      <c r="D11" s="102" t="s">
        <v>80</v>
      </c>
      <c r="E11" s="101" t="s">
        <v>117</v>
      </c>
      <c r="F11" s="149" t="s">
        <v>113</v>
      </c>
      <c r="G11" s="149"/>
      <c r="H11" s="150"/>
    </row>
    <row r="12" spans="1:8" ht="15.75" thickBot="1" x14ac:dyDescent="0.3">
      <c r="A12" s="8" t="s">
        <v>125</v>
      </c>
      <c r="B12" s="104" t="s">
        <v>142</v>
      </c>
      <c r="C12" s="95" t="s">
        <v>138</v>
      </c>
      <c r="D12" s="88" t="s">
        <v>165</v>
      </c>
      <c r="E12" s="63" t="s">
        <v>164</v>
      </c>
      <c r="F12" s="149" t="s">
        <v>102</v>
      </c>
      <c r="G12" s="151"/>
      <c r="H12" s="152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6">
        <v>2</v>
      </c>
      <c r="C14" s="66">
        <v>2</v>
      </c>
      <c r="D14" s="66">
        <v>3</v>
      </c>
      <c r="E14" s="10">
        <v>3</v>
      </c>
      <c r="F14" s="151">
        <v>2</v>
      </c>
      <c r="G14" s="151"/>
      <c r="H14" s="152"/>
    </row>
    <row r="15" spans="1:8" x14ac:dyDescent="0.25">
      <c r="A15" s="8" t="s">
        <v>27</v>
      </c>
      <c r="B15" s="100" t="s">
        <v>99</v>
      </c>
      <c r="C15" s="101" t="s">
        <v>92</v>
      </c>
      <c r="D15" s="63" t="s">
        <v>112</v>
      </c>
      <c r="E15" s="100" t="s">
        <v>99</v>
      </c>
      <c r="F15" s="144" t="s">
        <v>80</v>
      </c>
      <c r="G15" s="145"/>
      <c r="H15" s="146"/>
    </row>
    <row r="16" spans="1:8" x14ac:dyDescent="0.25">
      <c r="A16" s="8" t="s">
        <v>28</v>
      </c>
      <c r="B16" s="101" t="s">
        <v>166</v>
      </c>
      <c r="C16" s="102" t="s">
        <v>91</v>
      </c>
      <c r="D16" s="100" t="s">
        <v>90</v>
      </c>
      <c r="E16" s="101" t="s">
        <v>100</v>
      </c>
      <c r="F16" s="149" t="s">
        <v>78</v>
      </c>
      <c r="G16" s="149"/>
      <c r="H16" s="150"/>
    </row>
    <row r="17" spans="1:9" x14ac:dyDescent="0.25">
      <c r="A17" s="8" t="s">
        <v>29</v>
      </c>
      <c r="B17" s="100" t="s">
        <v>105</v>
      </c>
      <c r="C17" s="64" t="s">
        <v>111</v>
      </c>
      <c r="D17" s="101" t="s">
        <v>105</v>
      </c>
      <c r="E17" s="63" t="s">
        <v>114</v>
      </c>
      <c r="F17" s="156" t="s">
        <v>141</v>
      </c>
      <c r="G17" s="157"/>
      <c r="H17" s="158"/>
    </row>
    <row r="18" spans="1:9" ht="15.75" thickBot="1" x14ac:dyDescent="0.3">
      <c r="A18" s="8" t="s">
        <v>125</v>
      </c>
      <c r="B18" s="101" t="s">
        <v>142</v>
      </c>
      <c r="C18" s="101" t="s">
        <v>138</v>
      </c>
      <c r="D18" s="88" t="s">
        <v>165</v>
      </c>
      <c r="E18" s="63" t="s">
        <v>163</v>
      </c>
      <c r="F18" s="149" t="s">
        <v>164</v>
      </c>
      <c r="G18" s="151"/>
      <c r="H18" s="152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6">
        <v>2</v>
      </c>
      <c r="C20" s="66">
        <v>2</v>
      </c>
      <c r="D20" s="66">
        <v>3</v>
      </c>
      <c r="E20" s="10">
        <v>3</v>
      </c>
      <c r="F20" s="151">
        <v>3</v>
      </c>
      <c r="G20" s="151"/>
      <c r="H20" s="152"/>
    </row>
    <row r="21" spans="1:9" x14ac:dyDescent="0.25">
      <c r="A21" s="8" t="s">
        <v>27</v>
      </c>
      <c r="B21" s="102" t="s">
        <v>128</v>
      </c>
      <c r="C21" s="101" t="s">
        <v>166</v>
      </c>
      <c r="D21" s="102" t="s">
        <v>91</v>
      </c>
      <c r="E21" s="63" t="s">
        <v>112</v>
      </c>
      <c r="F21" s="149" t="s">
        <v>95</v>
      </c>
      <c r="G21" s="151"/>
      <c r="H21" s="152"/>
    </row>
    <row r="22" spans="1:9" x14ac:dyDescent="0.25">
      <c r="A22" s="8" t="s">
        <v>28</v>
      </c>
      <c r="B22" s="101" t="s">
        <v>129</v>
      </c>
      <c r="C22" s="102" t="s">
        <v>95</v>
      </c>
      <c r="D22" s="63" t="s">
        <v>114</v>
      </c>
      <c r="E22" s="101" t="s">
        <v>113</v>
      </c>
      <c r="F22" s="144" t="s">
        <v>143</v>
      </c>
      <c r="G22" s="145"/>
      <c r="H22" s="146"/>
    </row>
    <row r="23" spans="1:9" x14ac:dyDescent="0.25">
      <c r="A23" s="8" t="s">
        <v>29</v>
      </c>
      <c r="B23" s="102" t="s">
        <v>99</v>
      </c>
      <c r="C23" s="102" t="s">
        <v>143</v>
      </c>
      <c r="D23" s="101" t="s">
        <v>78</v>
      </c>
      <c r="E23" s="102" t="s">
        <v>128</v>
      </c>
      <c r="F23" s="149" t="s">
        <v>81</v>
      </c>
      <c r="G23" s="149"/>
      <c r="H23" s="150"/>
    </row>
    <row r="24" spans="1:9" ht="15.75" thickBot="1" x14ac:dyDescent="0.3">
      <c r="A24" s="8" t="s">
        <v>125</v>
      </c>
      <c r="B24" s="99" t="s">
        <v>127</v>
      </c>
      <c r="C24" s="101" t="s">
        <v>138</v>
      </c>
      <c r="D24" s="88" t="s">
        <v>165</v>
      </c>
      <c r="E24" s="105" t="s">
        <v>142</v>
      </c>
      <c r="F24" s="147" t="s">
        <v>163</v>
      </c>
      <c r="G24" s="154"/>
      <c r="H24" s="155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6">
        <v>2</v>
      </c>
      <c r="C26" s="66">
        <v>2</v>
      </c>
      <c r="D26" s="66">
        <v>3</v>
      </c>
      <c r="E26" s="10">
        <v>3</v>
      </c>
      <c r="F26" s="151">
        <v>2</v>
      </c>
      <c r="G26" s="151"/>
      <c r="H26" s="152"/>
    </row>
    <row r="27" spans="1:9" x14ac:dyDescent="0.25">
      <c r="A27" s="8" t="s">
        <v>27</v>
      </c>
      <c r="B27" s="100" t="s">
        <v>83</v>
      </c>
      <c r="C27" s="100" t="s">
        <v>138</v>
      </c>
      <c r="D27" s="63" t="s">
        <v>102</v>
      </c>
      <c r="E27" s="101" t="s">
        <v>100</v>
      </c>
      <c r="F27" s="149" t="s">
        <v>92</v>
      </c>
      <c r="G27" s="151"/>
      <c r="H27" s="152"/>
      <c r="I27" s="103"/>
    </row>
    <row r="28" spans="1:9" x14ac:dyDescent="0.25">
      <c r="A28" s="8" t="s">
        <v>28</v>
      </c>
      <c r="B28" s="101" t="s">
        <v>107</v>
      </c>
      <c r="C28" s="101" t="s">
        <v>113</v>
      </c>
      <c r="D28" s="102" t="s">
        <v>80</v>
      </c>
      <c r="E28" s="100" t="s">
        <v>117</v>
      </c>
      <c r="F28" s="144" t="s">
        <v>91</v>
      </c>
      <c r="G28" s="144"/>
      <c r="H28" s="153"/>
    </row>
    <row r="29" spans="1:9" x14ac:dyDescent="0.25">
      <c r="A29" s="8" t="s">
        <v>29</v>
      </c>
      <c r="B29" s="102" t="s">
        <v>97</v>
      </c>
      <c r="C29" s="102" t="s">
        <v>128</v>
      </c>
      <c r="D29" s="101" t="s">
        <v>129</v>
      </c>
      <c r="E29" s="63" t="s">
        <v>83</v>
      </c>
      <c r="F29" s="144" t="s">
        <v>104</v>
      </c>
      <c r="G29" s="145"/>
      <c r="H29" s="146"/>
    </row>
    <row r="30" spans="1:9" ht="15.75" thickBot="1" x14ac:dyDescent="0.3">
      <c r="A30" s="15" t="s">
        <v>125</v>
      </c>
      <c r="B30" s="99" t="s">
        <v>142</v>
      </c>
      <c r="C30" s="68" t="s">
        <v>166</v>
      </c>
      <c r="D30" s="99" t="s">
        <v>164</v>
      </c>
      <c r="E30" s="105" t="s">
        <v>163</v>
      </c>
      <c r="F30" s="147" t="s">
        <v>127</v>
      </c>
      <c r="G30" s="154"/>
      <c r="H30" s="15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151">
        <v>3</v>
      </c>
      <c r="H3" s="151"/>
      <c r="I3" s="152"/>
    </row>
    <row r="4" spans="2:11" x14ac:dyDescent="0.25">
      <c r="B4" s="8" t="s">
        <v>27</v>
      </c>
      <c r="C4" s="11"/>
      <c r="D4" s="11"/>
      <c r="E4" s="12"/>
      <c r="F4" s="63"/>
      <c r="G4" s="149" t="s">
        <v>96</v>
      </c>
      <c r="H4" s="159"/>
      <c r="I4" s="160"/>
    </row>
    <row r="5" spans="2:11" x14ac:dyDescent="0.25">
      <c r="B5" s="8" t="s">
        <v>28</v>
      </c>
      <c r="C5" s="11"/>
      <c r="D5" s="10"/>
      <c r="E5" s="10"/>
      <c r="F5" s="32"/>
      <c r="G5" s="149" t="s">
        <v>101</v>
      </c>
      <c r="H5" s="159"/>
      <c r="I5" s="160"/>
    </row>
    <row r="6" spans="2:11" x14ac:dyDescent="0.25">
      <c r="B6" s="8" t="s">
        <v>29</v>
      </c>
      <c r="C6" s="10"/>
      <c r="D6" s="11"/>
      <c r="E6" s="9"/>
      <c r="F6" s="64"/>
      <c r="G6" s="144" t="s">
        <v>128</v>
      </c>
      <c r="H6" s="161"/>
      <c r="I6" s="162"/>
    </row>
    <row r="7" spans="2:11" ht="15.75" thickBot="1" x14ac:dyDescent="0.3">
      <c r="B7" s="8" t="s">
        <v>125</v>
      </c>
      <c r="C7" s="9"/>
      <c r="D7" s="9"/>
      <c r="E7" s="13"/>
      <c r="F7" s="62"/>
      <c r="G7" s="149" t="s">
        <v>80</v>
      </c>
      <c r="H7" s="159"/>
      <c r="I7" s="160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151">
        <v>2</v>
      </c>
      <c r="H9" s="151"/>
      <c r="I9" s="152"/>
    </row>
    <row r="10" spans="2:11" x14ac:dyDescent="0.25">
      <c r="B10" s="8" t="s">
        <v>27</v>
      </c>
      <c r="C10" s="64" t="s">
        <v>89</v>
      </c>
      <c r="D10" s="74" t="s">
        <v>99</v>
      </c>
      <c r="E10" s="63" t="s">
        <v>83</v>
      </c>
      <c r="F10" s="63" t="s">
        <v>78</v>
      </c>
      <c r="G10" s="144" t="s">
        <v>111</v>
      </c>
      <c r="H10" s="144"/>
      <c r="I10" s="153"/>
      <c r="K10" s="87"/>
    </row>
    <row r="11" spans="2:11" x14ac:dyDescent="0.25">
      <c r="B11" s="8" t="s">
        <v>28</v>
      </c>
      <c r="C11" s="64" t="s">
        <v>91</v>
      </c>
      <c r="D11" s="64" t="s">
        <v>97</v>
      </c>
      <c r="E11" s="64" t="s">
        <v>76</v>
      </c>
      <c r="F11" s="74" t="s">
        <v>100</v>
      </c>
      <c r="G11" s="149" t="s">
        <v>100</v>
      </c>
      <c r="H11" s="149"/>
      <c r="I11" s="150"/>
    </row>
    <row r="12" spans="2:11" x14ac:dyDescent="0.25">
      <c r="B12" s="89" t="s">
        <v>29</v>
      </c>
      <c r="C12" s="63" t="s">
        <v>78</v>
      </c>
      <c r="D12" s="63" t="s">
        <v>77</v>
      </c>
      <c r="E12" s="63" t="s">
        <v>92</v>
      </c>
      <c r="F12" s="63" t="s">
        <v>102</v>
      </c>
      <c r="G12" s="144" t="s">
        <v>79</v>
      </c>
      <c r="H12" s="144"/>
      <c r="I12" s="153"/>
    </row>
    <row r="13" spans="2:11" ht="15.75" thickBot="1" x14ac:dyDescent="0.3">
      <c r="B13" s="8" t="s">
        <v>125</v>
      </c>
      <c r="C13" s="73" t="s">
        <v>110</v>
      </c>
      <c r="D13" s="77" t="s">
        <v>113</v>
      </c>
      <c r="E13" s="63" t="s">
        <v>127</v>
      </c>
      <c r="F13" s="63" t="s">
        <v>110</v>
      </c>
      <c r="G13" s="149" t="s">
        <v>106</v>
      </c>
      <c r="H13" s="151"/>
      <c r="I13" s="152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151">
        <v>3</v>
      </c>
      <c r="H15" s="151"/>
      <c r="I15" s="152"/>
    </row>
    <row r="16" spans="2:11" x14ac:dyDescent="0.25">
      <c r="B16" s="8" t="s">
        <v>27</v>
      </c>
      <c r="C16" s="74" t="s">
        <v>104</v>
      </c>
      <c r="D16" s="64" t="s">
        <v>91</v>
      </c>
      <c r="E16" s="64" t="s">
        <v>80</v>
      </c>
      <c r="F16" s="64" t="s">
        <v>90</v>
      </c>
      <c r="G16" s="149" t="s">
        <v>76</v>
      </c>
      <c r="H16" s="151"/>
      <c r="I16" s="152"/>
    </row>
    <row r="17" spans="2:9" x14ac:dyDescent="0.25">
      <c r="B17" s="8" t="s">
        <v>28</v>
      </c>
      <c r="C17" s="64" t="s">
        <v>90</v>
      </c>
      <c r="D17" s="64" t="s">
        <v>128</v>
      </c>
      <c r="E17" s="63" t="s">
        <v>83</v>
      </c>
      <c r="F17" s="63" t="s">
        <v>143</v>
      </c>
      <c r="G17" s="144" t="s">
        <v>89</v>
      </c>
      <c r="H17" s="144"/>
      <c r="I17" s="153"/>
    </row>
    <row r="18" spans="2:9" x14ac:dyDescent="0.25">
      <c r="B18" s="8" t="s">
        <v>29</v>
      </c>
      <c r="C18" s="63" t="s">
        <v>112</v>
      </c>
      <c r="D18" s="63" t="s">
        <v>102</v>
      </c>
      <c r="E18" s="77" t="s">
        <v>92</v>
      </c>
      <c r="F18" s="63" t="s">
        <v>79</v>
      </c>
      <c r="G18" s="149" t="s">
        <v>107</v>
      </c>
      <c r="H18" s="149"/>
      <c r="I18" s="150"/>
    </row>
    <row r="19" spans="2:9" ht="15.75" thickBot="1" x14ac:dyDescent="0.3">
      <c r="B19" s="8" t="s">
        <v>125</v>
      </c>
      <c r="C19" s="73" t="s">
        <v>81</v>
      </c>
      <c r="D19" s="77" t="s">
        <v>138</v>
      </c>
      <c r="E19" s="88" t="s">
        <v>84</v>
      </c>
      <c r="F19" s="77" t="s">
        <v>81</v>
      </c>
      <c r="G19" s="149" t="s">
        <v>110</v>
      </c>
      <c r="H19" s="151"/>
      <c r="I19" s="152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151">
        <v>2</v>
      </c>
      <c r="H21" s="151"/>
      <c r="I21" s="152"/>
    </row>
    <row r="22" spans="2:9" x14ac:dyDescent="0.25">
      <c r="B22" s="8" t="s">
        <v>27</v>
      </c>
      <c r="C22" s="74" t="s">
        <v>90</v>
      </c>
      <c r="D22" s="74" t="s">
        <v>82</v>
      </c>
      <c r="E22" s="64" t="s">
        <v>80</v>
      </c>
      <c r="F22" s="77" t="s">
        <v>103</v>
      </c>
      <c r="G22" s="144" t="s">
        <v>97</v>
      </c>
      <c r="H22" s="145"/>
      <c r="I22" s="146"/>
    </row>
    <row r="23" spans="2:9" x14ac:dyDescent="0.25">
      <c r="B23" s="8" t="s">
        <v>28</v>
      </c>
      <c r="C23" s="64" t="s">
        <v>91</v>
      </c>
      <c r="D23" s="64" t="s">
        <v>128</v>
      </c>
      <c r="E23" s="63" t="s">
        <v>83</v>
      </c>
      <c r="F23" s="74" t="s">
        <v>110</v>
      </c>
      <c r="G23" s="144" t="s">
        <v>99</v>
      </c>
      <c r="H23" s="144"/>
      <c r="I23" s="153"/>
    </row>
    <row r="24" spans="2:9" x14ac:dyDescent="0.25">
      <c r="B24" s="8" t="s">
        <v>29</v>
      </c>
      <c r="C24" s="63" t="s">
        <v>143</v>
      </c>
      <c r="D24" s="77" t="s">
        <v>101</v>
      </c>
      <c r="E24" s="77" t="s">
        <v>81</v>
      </c>
      <c r="F24" s="63" t="s">
        <v>79</v>
      </c>
      <c r="G24" s="149" t="s">
        <v>112</v>
      </c>
      <c r="H24" s="151"/>
      <c r="I24" s="152"/>
    </row>
    <row r="25" spans="2:9" ht="15.75" thickBot="1" x14ac:dyDescent="0.3">
      <c r="B25" s="8" t="s">
        <v>125</v>
      </c>
      <c r="C25" s="88" t="s">
        <v>84</v>
      </c>
      <c r="D25" s="75" t="s">
        <v>127</v>
      </c>
      <c r="E25" s="88" t="s">
        <v>117</v>
      </c>
      <c r="F25" s="63" t="s">
        <v>143</v>
      </c>
      <c r="G25" s="149" t="s">
        <v>129</v>
      </c>
      <c r="H25" s="149"/>
      <c r="I25" s="150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151">
        <v>3</v>
      </c>
      <c r="H27" s="151"/>
      <c r="I27" s="152"/>
    </row>
    <row r="28" spans="2:9" x14ac:dyDescent="0.25">
      <c r="B28" s="8" t="s">
        <v>27</v>
      </c>
      <c r="C28" s="77" t="s">
        <v>78</v>
      </c>
      <c r="D28" s="78" t="s">
        <v>110</v>
      </c>
      <c r="E28" s="63" t="s">
        <v>117</v>
      </c>
      <c r="F28" s="64" t="s">
        <v>90</v>
      </c>
      <c r="G28" s="149" t="s">
        <v>114</v>
      </c>
      <c r="H28" s="151"/>
      <c r="I28" s="152"/>
    </row>
    <row r="29" spans="2:9" x14ac:dyDescent="0.25">
      <c r="B29" s="8" t="s">
        <v>28</v>
      </c>
      <c r="C29" s="74" t="s">
        <v>111</v>
      </c>
      <c r="D29" s="64" t="s">
        <v>97</v>
      </c>
      <c r="E29" s="64" t="s">
        <v>80</v>
      </c>
      <c r="F29" s="73" t="s">
        <v>77</v>
      </c>
      <c r="G29" s="149" t="s">
        <v>94</v>
      </c>
      <c r="H29" s="149"/>
      <c r="I29" s="150"/>
    </row>
    <row r="30" spans="2:9" x14ac:dyDescent="0.25">
      <c r="B30" s="8" t="s">
        <v>29</v>
      </c>
      <c r="C30" s="64" t="s">
        <v>128</v>
      </c>
      <c r="D30" s="63" t="s">
        <v>143</v>
      </c>
      <c r="E30" s="77" t="s">
        <v>81</v>
      </c>
      <c r="F30" s="63" t="s">
        <v>79</v>
      </c>
      <c r="G30" s="144" t="s">
        <v>104</v>
      </c>
      <c r="H30" s="144"/>
      <c r="I30" s="153"/>
    </row>
    <row r="31" spans="2:9" ht="15.75" thickBot="1" x14ac:dyDescent="0.3">
      <c r="B31" s="8" t="s">
        <v>125</v>
      </c>
      <c r="C31" s="63" t="s">
        <v>95</v>
      </c>
      <c r="D31" s="73" t="s">
        <v>142</v>
      </c>
      <c r="E31" s="75" t="s">
        <v>127</v>
      </c>
      <c r="F31" s="63" t="s">
        <v>110</v>
      </c>
      <c r="G31" s="147" t="s">
        <v>138</v>
      </c>
      <c r="H31" s="154"/>
      <c r="I31" s="155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151">
        <v>2</v>
      </c>
      <c r="H33" s="151"/>
      <c r="I33" s="152"/>
    </row>
    <row r="34" spans="2:9" x14ac:dyDescent="0.25">
      <c r="B34" s="8" t="s">
        <v>27</v>
      </c>
      <c r="C34" s="73" t="s">
        <v>100</v>
      </c>
      <c r="D34" s="74" t="s">
        <v>102</v>
      </c>
      <c r="E34" s="63" t="s">
        <v>103</v>
      </c>
      <c r="F34" s="63" t="s">
        <v>92</v>
      </c>
      <c r="G34" s="144" t="s">
        <v>96</v>
      </c>
      <c r="H34" s="144"/>
      <c r="I34" s="153"/>
    </row>
    <row r="35" spans="2:9" x14ac:dyDescent="0.25">
      <c r="B35" s="8" t="s">
        <v>28</v>
      </c>
      <c r="C35" s="74" t="s">
        <v>99</v>
      </c>
      <c r="D35" s="74" t="s">
        <v>111</v>
      </c>
      <c r="E35" s="64" t="s">
        <v>80</v>
      </c>
      <c r="F35" s="74" t="s">
        <v>141</v>
      </c>
      <c r="G35" s="144" t="s">
        <v>128</v>
      </c>
      <c r="H35" s="144"/>
      <c r="I35" s="153"/>
    </row>
    <row r="36" spans="2:9" x14ac:dyDescent="0.25">
      <c r="B36" s="8" t="s">
        <v>29</v>
      </c>
      <c r="C36" s="64" t="s">
        <v>128</v>
      </c>
      <c r="D36" s="77" t="s">
        <v>101</v>
      </c>
      <c r="E36" s="63" t="s">
        <v>117</v>
      </c>
      <c r="F36" s="63" t="s">
        <v>106</v>
      </c>
      <c r="G36" s="149" t="s">
        <v>79</v>
      </c>
      <c r="H36" s="149"/>
      <c r="I36" s="150"/>
    </row>
    <row r="37" spans="2:9" ht="15.75" thickBot="1" x14ac:dyDescent="0.3">
      <c r="B37" s="15" t="s">
        <v>125</v>
      </c>
      <c r="C37" s="79" t="s">
        <v>84</v>
      </c>
      <c r="D37" s="75" t="s">
        <v>142</v>
      </c>
      <c r="E37" s="75" t="s">
        <v>77</v>
      </c>
      <c r="F37" s="75" t="s">
        <v>127</v>
      </c>
      <c r="G37" s="147" t="s">
        <v>113</v>
      </c>
      <c r="H37" s="154"/>
      <c r="I37" s="155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159">
        <v>3</v>
      </c>
      <c r="G2" s="159"/>
      <c r="H2" s="160"/>
    </row>
    <row r="3" spans="1:8" x14ac:dyDescent="0.25">
      <c r="A3" s="27" t="s">
        <v>27</v>
      </c>
      <c r="B3" s="31"/>
      <c r="C3" s="31"/>
      <c r="D3" s="32"/>
      <c r="E3" s="32" t="s">
        <v>90</v>
      </c>
      <c r="F3" s="159" t="s">
        <v>98</v>
      </c>
      <c r="G3" s="159"/>
      <c r="H3" s="160"/>
    </row>
    <row r="4" spans="1:8" x14ac:dyDescent="0.25">
      <c r="A4" s="27" t="s">
        <v>28</v>
      </c>
      <c r="B4" s="31"/>
      <c r="C4" s="29"/>
      <c r="D4" s="29"/>
      <c r="E4" s="28" t="s">
        <v>113</v>
      </c>
      <c r="F4" s="167" t="s">
        <v>77</v>
      </c>
      <c r="G4" s="168"/>
      <c r="H4" s="169"/>
    </row>
    <row r="5" spans="1:8" x14ac:dyDescent="0.25">
      <c r="A5" s="27" t="s">
        <v>29</v>
      </c>
      <c r="B5" s="29"/>
      <c r="C5" s="31"/>
      <c r="D5" s="28"/>
      <c r="E5" s="29" t="s">
        <v>106</v>
      </c>
      <c r="F5" s="170" t="s">
        <v>109</v>
      </c>
      <c r="G5" s="170"/>
      <c r="H5" s="171"/>
    </row>
    <row r="6" spans="1:8" ht="15.75" thickBot="1" x14ac:dyDescent="0.3">
      <c r="A6" s="27" t="s">
        <v>74</v>
      </c>
      <c r="B6" s="28"/>
      <c r="C6" s="28"/>
      <c r="D6" s="33"/>
      <c r="E6" s="29" t="s">
        <v>117</v>
      </c>
      <c r="F6" s="149" t="s">
        <v>116</v>
      </c>
      <c r="G6" s="159"/>
      <c r="H6" s="160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159">
        <v>2</v>
      </c>
      <c r="G8" s="159"/>
      <c r="H8" s="160"/>
    </row>
    <row r="9" spans="1:8" x14ac:dyDescent="0.25">
      <c r="A9" s="27" t="s">
        <v>27</v>
      </c>
      <c r="B9" s="17" t="s">
        <v>106</v>
      </c>
      <c r="C9" s="18" t="s">
        <v>94</v>
      </c>
      <c r="D9" s="19" t="s">
        <v>112</v>
      </c>
      <c r="E9" s="18" t="s">
        <v>106</v>
      </c>
      <c r="F9" s="161" t="s">
        <v>97</v>
      </c>
      <c r="G9" s="161"/>
      <c r="H9" s="162"/>
    </row>
    <row r="10" spans="1:8" x14ac:dyDescent="0.25">
      <c r="A10" s="27" t="s">
        <v>28</v>
      </c>
      <c r="B10" s="18" t="s">
        <v>90</v>
      </c>
      <c r="C10" s="21" t="s">
        <v>82</v>
      </c>
      <c r="D10" s="31" t="s">
        <v>89</v>
      </c>
      <c r="E10" s="28" t="s">
        <v>92</v>
      </c>
      <c r="F10" s="161" t="s">
        <v>111</v>
      </c>
      <c r="G10" s="161"/>
      <c r="H10" s="162"/>
    </row>
    <row r="11" spans="1:8" x14ac:dyDescent="0.25">
      <c r="A11" s="27" t="s">
        <v>29</v>
      </c>
      <c r="B11" s="22" t="s">
        <v>112</v>
      </c>
      <c r="C11" s="18" t="s">
        <v>101</v>
      </c>
      <c r="D11" s="21" t="s">
        <v>77</v>
      </c>
      <c r="E11" s="30" t="s">
        <v>95</v>
      </c>
      <c r="F11" s="159" t="s">
        <v>93</v>
      </c>
      <c r="G11" s="159"/>
      <c r="H11" s="160"/>
    </row>
    <row r="12" spans="1:8" ht="15.75" thickBot="1" x14ac:dyDescent="0.3">
      <c r="A12" s="27" t="s">
        <v>74</v>
      </c>
      <c r="B12" s="28" t="s">
        <v>110</v>
      </c>
      <c r="C12" s="28" t="s">
        <v>81</v>
      </c>
      <c r="D12" s="33" t="s">
        <v>84</v>
      </c>
      <c r="E12" s="28" t="s">
        <v>116</v>
      </c>
      <c r="F12" s="159" t="s">
        <v>117</v>
      </c>
      <c r="G12" s="159"/>
      <c r="H12" s="160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159">
        <v>3</v>
      </c>
      <c r="G14" s="159"/>
      <c r="H14" s="160"/>
    </row>
    <row r="15" spans="1:8" x14ac:dyDescent="0.25">
      <c r="A15" s="27" t="s">
        <v>27</v>
      </c>
      <c r="B15" s="19" t="s">
        <v>106</v>
      </c>
      <c r="C15" s="31" t="s">
        <v>102</v>
      </c>
      <c r="D15" s="19" t="s">
        <v>92</v>
      </c>
      <c r="E15" s="17" t="s">
        <v>95</v>
      </c>
      <c r="F15" s="159" t="s">
        <v>103</v>
      </c>
      <c r="G15" s="159"/>
      <c r="H15" s="160"/>
    </row>
    <row r="16" spans="1:8" x14ac:dyDescent="0.25">
      <c r="A16" s="27" t="s">
        <v>28</v>
      </c>
      <c r="B16" s="31" t="s">
        <v>95</v>
      </c>
      <c r="C16" s="18" t="s">
        <v>99</v>
      </c>
      <c r="D16" s="29" t="s">
        <v>129</v>
      </c>
      <c r="E16" s="29" t="s">
        <v>129</v>
      </c>
      <c r="F16" s="159" t="s">
        <v>78</v>
      </c>
      <c r="G16" s="159"/>
      <c r="H16" s="160"/>
    </row>
    <row r="17" spans="1:8" x14ac:dyDescent="0.25">
      <c r="A17" s="27" t="s">
        <v>29</v>
      </c>
      <c r="B17" s="18" t="s">
        <v>82</v>
      </c>
      <c r="C17" s="19" t="s">
        <v>94</v>
      </c>
      <c r="D17" s="31" t="s">
        <v>79</v>
      </c>
      <c r="E17" s="18" t="s">
        <v>114</v>
      </c>
      <c r="F17" s="161" t="s">
        <v>91</v>
      </c>
      <c r="G17" s="161"/>
      <c r="H17" s="162"/>
    </row>
    <row r="18" spans="1:8" ht="15.75" thickBot="1" x14ac:dyDescent="0.3">
      <c r="A18" s="27" t="s">
        <v>74</v>
      </c>
      <c r="B18" s="28" t="s">
        <v>116</v>
      </c>
      <c r="C18" s="28" t="s">
        <v>81</v>
      </c>
      <c r="D18" s="28" t="s">
        <v>110</v>
      </c>
      <c r="E18" s="28" t="s">
        <v>84</v>
      </c>
      <c r="F18" s="159" t="s">
        <v>127</v>
      </c>
      <c r="G18" s="159"/>
      <c r="H18" s="160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159">
        <v>2</v>
      </c>
      <c r="G20" s="159"/>
      <c r="H20" s="160"/>
    </row>
    <row r="21" spans="1:8" x14ac:dyDescent="0.25">
      <c r="A21" s="27" t="s">
        <v>27</v>
      </c>
      <c r="B21" s="18" t="s">
        <v>77</v>
      </c>
      <c r="C21" s="31" t="s">
        <v>113</v>
      </c>
      <c r="D21" s="28" t="s">
        <v>93</v>
      </c>
      <c r="E21" s="31" t="s">
        <v>100</v>
      </c>
      <c r="F21" s="161" t="s">
        <v>107</v>
      </c>
      <c r="G21" s="161"/>
      <c r="H21" s="162"/>
    </row>
    <row r="22" spans="1:8" x14ac:dyDescent="0.25">
      <c r="A22" s="27" t="s">
        <v>28</v>
      </c>
      <c r="B22" s="18" t="s">
        <v>111</v>
      </c>
      <c r="C22" s="64" t="s">
        <v>104</v>
      </c>
      <c r="D22" s="18" t="s">
        <v>101</v>
      </c>
      <c r="E22" s="19" t="s">
        <v>102</v>
      </c>
      <c r="F22" s="144" t="s">
        <v>90</v>
      </c>
      <c r="G22" s="161"/>
      <c r="H22" s="162"/>
    </row>
    <row r="23" spans="1:8" x14ac:dyDescent="0.25">
      <c r="A23" s="27" t="s">
        <v>29</v>
      </c>
      <c r="B23" s="29" t="s">
        <v>100</v>
      </c>
      <c r="C23" s="29" t="s">
        <v>79</v>
      </c>
      <c r="D23" s="19" t="s">
        <v>114</v>
      </c>
      <c r="E23" s="31" t="s">
        <v>82</v>
      </c>
      <c r="F23" s="159" t="s">
        <v>105</v>
      </c>
      <c r="G23" s="159"/>
      <c r="H23" s="160"/>
    </row>
    <row r="24" spans="1:8" x14ac:dyDescent="0.25">
      <c r="A24" s="27" t="s">
        <v>74</v>
      </c>
      <c r="B24" s="28" t="s">
        <v>117</v>
      </c>
      <c r="C24" s="28" t="s">
        <v>76</v>
      </c>
      <c r="D24" s="28" t="s">
        <v>81</v>
      </c>
      <c r="E24" s="36" t="s">
        <v>110</v>
      </c>
      <c r="F24" s="159" t="s">
        <v>83</v>
      </c>
      <c r="G24" s="159"/>
      <c r="H24" s="160"/>
    </row>
    <row r="25" spans="1:8" ht="15.75" thickBot="1" x14ac:dyDescent="0.3">
      <c r="A25" s="27" t="s">
        <v>73</v>
      </c>
      <c r="B25" s="20" t="s">
        <v>75</v>
      </c>
      <c r="C25" s="20" t="s">
        <v>75</v>
      </c>
      <c r="D25" s="20" t="s">
        <v>75</v>
      </c>
      <c r="E25" s="37" t="s">
        <v>117</v>
      </c>
      <c r="F25" s="165" t="s">
        <v>75</v>
      </c>
      <c r="G25" s="165"/>
      <c r="H25" s="166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159">
        <v>3</v>
      </c>
      <c r="G27" s="159"/>
      <c r="H27" s="160"/>
    </row>
    <row r="28" spans="1:8" x14ac:dyDescent="0.25">
      <c r="A28" s="27" t="s">
        <v>27</v>
      </c>
      <c r="B28" s="31" t="s">
        <v>111</v>
      </c>
      <c r="C28" s="19" t="s">
        <v>112</v>
      </c>
      <c r="D28" s="19" t="s">
        <v>102</v>
      </c>
      <c r="E28" s="19" t="s">
        <v>114</v>
      </c>
      <c r="F28" s="159" t="s">
        <v>96</v>
      </c>
      <c r="G28" s="159"/>
      <c r="H28" s="160"/>
    </row>
    <row r="29" spans="1:8" x14ac:dyDescent="0.25">
      <c r="A29" s="27" t="s">
        <v>28</v>
      </c>
      <c r="B29" s="19" t="s">
        <v>94</v>
      </c>
      <c r="C29" s="22" t="s">
        <v>99</v>
      </c>
      <c r="D29" s="31" t="s">
        <v>89</v>
      </c>
      <c r="E29" s="32" t="s">
        <v>77</v>
      </c>
      <c r="F29" s="159" t="s">
        <v>101</v>
      </c>
      <c r="G29" s="159"/>
      <c r="H29" s="160"/>
    </row>
    <row r="30" spans="1:8" x14ac:dyDescent="0.25">
      <c r="A30" s="27" t="s">
        <v>29</v>
      </c>
      <c r="B30" s="18" t="s">
        <v>91</v>
      </c>
      <c r="C30" s="22" t="s">
        <v>113</v>
      </c>
      <c r="D30" s="16" t="s">
        <v>82</v>
      </c>
      <c r="E30" s="18" t="s">
        <v>92</v>
      </c>
      <c r="F30" s="161" t="s">
        <v>128</v>
      </c>
      <c r="G30" s="161"/>
      <c r="H30" s="162"/>
    </row>
    <row r="31" spans="1:8" x14ac:dyDescent="0.25">
      <c r="A31" s="27" t="s">
        <v>74</v>
      </c>
      <c r="B31" s="28" t="s">
        <v>85</v>
      </c>
      <c r="C31" s="28" t="s">
        <v>76</v>
      </c>
      <c r="D31" s="28" t="s">
        <v>84</v>
      </c>
      <c r="E31" s="28" t="s">
        <v>81</v>
      </c>
      <c r="F31" s="159" t="s">
        <v>80</v>
      </c>
      <c r="G31" s="159"/>
      <c r="H31" s="160"/>
    </row>
    <row r="32" spans="1:8" ht="15.75" thickBot="1" x14ac:dyDescent="0.3">
      <c r="A32" s="35" t="s">
        <v>73</v>
      </c>
      <c r="B32" s="20" t="s">
        <v>75</v>
      </c>
      <c r="C32" s="20" t="s">
        <v>75</v>
      </c>
      <c r="D32" s="20" t="s">
        <v>127</v>
      </c>
      <c r="E32" s="34" t="s">
        <v>110</v>
      </c>
      <c r="F32" s="163" t="s">
        <v>75</v>
      </c>
      <c r="G32" s="163"/>
      <c r="H32" s="164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חיילים</vt:lpstr>
      <vt:lpstr>לוח מרץ</vt:lpstr>
      <vt:lpstr>סטטיסטיקה</vt:lpstr>
      <vt:lpstr>סתם</vt:lpstr>
      <vt:lpstr>לוח פברואר</vt:lpstr>
      <vt:lpstr>לוח ינואר</vt:lpstr>
      <vt:lpstr>לוח דצמבר</vt:lpstr>
      <vt:lpstr>לוח נובמבר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2018-02-21T19:21:16Z</dcterms:modified>
</cp:coreProperties>
</file>