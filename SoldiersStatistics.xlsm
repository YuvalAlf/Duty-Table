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Yuval\Desktop\Duty Table\"/>
    </mc:Choice>
  </mc:AlternateContent>
  <xr:revisionPtr revIDLastSave="0" documentId="13_ncr:1_{ACF56AF2-731B-4056-8362-AB13262B91FE}" xr6:coauthVersionLast="36" xr6:coauthVersionMax="36" xr10:uidLastSave="{00000000-0000-0000-0000-000000000000}"/>
  <bookViews>
    <workbookView xWindow="0" yWindow="0" windowWidth="28800" windowHeight="12225" tabRatio="1000" activeTab="1" xr2:uid="{00000000-000D-0000-FFFF-FFFF00000000}"/>
  </bookViews>
  <sheets>
    <sheet name="חיילים" sheetId="1" r:id="rId1"/>
    <sheet name="הזנת לוח" sheetId="24" r:id="rId2"/>
    <sheet name="לוח אוקטובר" sheetId="27" r:id="rId3"/>
    <sheet name="לוח נובמבר" sheetId="29" r:id="rId4"/>
    <sheet name="לוח דצמבר" sheetId="30" r:id="rId5"/>
    <sheet name="סטטיסטיקה" sheetId="3" r:id="rId6"/>
    <sheet name="לוח ספטמבר" sheetId="26" r:id="rId7"/>
    <sheet name="לוח נוב 18" sheetId="28" r:id="rId8"/>
    <sheet name="לוח אוגוסט" sheetId="23" r:id="rId9"/>
    <sheet name="לוח יולי" sheetId="22" r:id="rId10"/>
    <sheet name="תקנים עתידיים מושלם" sheetId="17" r:id="rId11"/>
    <sheet name="לוח יוני" sheetId="20" r:id="rId12"/>
    <sheet name="לוח מאי" sheetId="16" r:id="rId13"/>
    <sheet name="לוח אפריל" sheetId="14" r:id="rId14"/>
    <sheet name="לוח מרץ" sheetId="13" r:id="rId15"/>
    <sheet name="לוח פברואר" sheetId="12" r:id="rId16"/>
    <sheet name="לוח ינואר" sheetId="11" r:id="rId17"/>
    <sheet name="חיילים שלא עברו מבחן" sheetId="25" r:id="rId18"/>
    <sheet name="חגים" sheetId="21" r:id="rId19"/>
  </sheets>
  <definedNames>
    <definedName name="_xlnm._FilterDatabase" localSheetId="1" hidden="1">'הזנת לוח'!$A$1:$H$46</definedName>
    <definedName name="_xlnm._FilterDatabase" localSheetId="0" hidden="1">חיילים!$A$1:$DZ$42</definedName>
    <definedName name="_xlnm._FilterDatabase" localSheetId="17" hidden="1">'חיילים שלא עברו מבחן'!$A$1:$C$7</definedName>
  </definedNames>
  <calcPr calcId="179021"/>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X9" i="1" l="1"/>
  <c r="DY9" i="1"/>
  <c r="DX10" i="1"/>
  <c r="DY10" i="1"/>
  <c r="DX11" i="1"/>
  <c r="DY11" i="1"/>
  <c r="DX12" i="1"/>
  <c r="DY12" i="1"/>
  <c r="DX38" i="1"/>
  <c r="DY38" i="1"/>
  <c r="DX13" i="1"/>
  <c r="DY13" i="1"/>
  <c r="DX2" i="1"/>
  <c r="DY2" i="1"/>
  <c r="DZ2" i="1" s="1"/>
  <c r="DX14" i="1"/>
  <c r="DY14" i="1"/>
  <c r="DX15" i="1"/>
  <c r="DY15" i="1"/>
  <c r="DZ15" i="1" s="1"/>
  <c r="DX16" i="1"/>
  <c r="DY16" i="1"/>
  <c r="DX17" i="1"/>
  <c r="DY17" i="1"/>
  <c r="DZ17" i="1"/>
  <c r="DX3" i="1"/>
  <c r="DY3" i="1"/>
  <c r="DX18" i="1"/>
  <c r="DY18" i="1"/>
  <c r="DX19" i="1"/>
  <c r="DY19" i="1"/>
  <c r="DZ19" i="1" s="1"/>
  <c r="DX20" i="1"/>
  <c r="DY20" i="1"/>
  <c r="DX21" i="1"/>
  <c r="DY21" i="1"/>
  <c r="DZ21" i="1"/>
  <c r="DX4" i="1"/>
  <c r="DY4" i="1"/>
  <c r="DX22" i="1"/>
  <c r="DY22" i="1"/>
  <c r="DX23" i="1"/>
  <c r="DY23" i="1"/>
  <c r="DX24" i="1"/>
  <c r="DY24" i="1"/>
  <c r="DX25" i="1"/>
  <c r="DY25" i="1"/>
  <c r="DX26" i="1"/>
  <c r="DY26" i="1"/>
  <c r="DZ26" i="1" s="1"/>
  <c r="DX27" i="1"/>
  <c r="DY27" i="1"/>
  <c r="DX28" i="1"/>
  <c r="DY28" i="1"/>
  <c r="DZ28" i="1" s="1"/>
  <c r="DX29" i="1"/>
  <c r="DY29" i="1"/>
  <c r="DX30" i="1"/>
  <c r="DY30" i="1"/>
  <c r="DZ30" i="1" s="1"/>
  <c r="DX31" i="1"/>
  <c r="DY31" i="1"/>
  <c r="DZ31" i="1" s="1"/>
  <c r="DX32" i="1"/>
  <c r="DY32" i="1"/>
  <c r="DX5" i="1"/>
  <c r="DY5" i="1"/>
  <c r="DX39" i="1"/>
  <c r="DY39" i="1"/>
  <c r="DX40" i="1"/>
  <c r="DY40" i="1"/>
  <c r="DX6" i="1"/>
  <c r="DY6" i="1"/>
  <c r="DX33" i="1"/>
  <c r="DY33" i="1"/>
  <c r="DZ33" i="1" s="1"/>
  <c r="DX41" i="1"/>
  <c r="DY41" i="1"/>
  <c r="DX42" i="1"/>
  <c r="DY42" i="1"/>
  <c r="DX34" i="1"/>
  <c r="DY34" i="1"/>
  <c r="DX35" i="1"/>
  <c r="DY35" i="1"/>
  <c r="DX7" i="1"/>
  <c r="DY7" i="1"/>
  <c r="DX36" i="1"/>
  <c r="DY36" i="1"/>
  <c r="DZ36" i="1" s="1"/>
  <c r="DX37" i="1"/>
  <c r="DY37" i="1"/>
  <c r="DY8" i="1"/>
  <c r="DX8" i="1"/>
  <c r="DZ37" i="1" l="1"/>
  <c r="DZ6" i="1"/>
  <c r="DZ42" i="1"/>
  <c r="DZ23" i="1"/>
  <c r="DZ7" i="1"/>
  <c r="DZ18" i="1"/>
  <c r="DZ41" i="1"/>
  <c r="DZ20" i="1"/>
  <c r="DZ14" i="1"/>
  <c r="DZ29" i="1"/>
  <c r="DZ4" i="1"/>
  <c r="DZ34" i="1"/>
  <c r="DZ16" i="1"/>
  <c r="DZ13" i="1"/>
  <c r="DZ10" i="1"/>
  <c r="DZ40" i="1"/>
  <c r="DZ27" i="1"/>
  <c r="DZ3" i="1"/>
  <c r="DZ35" i="1"/>
  <c r="DZ39" i="1"/>
  <c r="DZ24" i="1"/>
  <c r="DZ22" i="1"/>
  <c r="DZ38" i="1"/>
  <c r="DZ11" i="1"/>
  <c r="DZ32" i="1"/>
  <c r="DZ25" i="1"/>
  <c r="DZ12" i="1"/>
  <c r="DZ9" i="1"/>
  <c r="DZ5" i="1"/>
  <c r="G1" i="30"/>
  <c r="B7" i="30" s="1"/>
  <c r="G1" i="29"/>
  <c r="H1" i="29" s="1"/>
  <c r="B7" i="29" s="1"/>
  <c r="B13" i="29" s="1"/>
  <c r="B13" i="30" l="1"/>
  <c r="C7" i="30"/>
  <c r="D7" i="30" s="1"/>
  <c r="E7" i="30" s="1"/>
  <c r="F7" i="30" s="1"/>
  <c r="G7" i="30" s="1"/>
  <c r="H7" i="30" s="1"/>
  <c r="B19" i="29"/>
  <c r="C13" i="29"/>
  <c r="D13" i="29" s="1"/>
  <c r="E13" i="29" s="1"/>
  <c r="F13" i="29" s="1"/>
  <c r="G13" i="29" s="1"/>
  <c r="H13" i="29" s="1"/>
  <c r="C7" i="29"/>
  <c r="D7" i="29" s="1"/>
  <c r="E7" i="29" s="1"/>
  <c r="F7" i="29" s="1"/>
  <c r="G7" i="29" s="1"/>
  <c r="H7" i="29" s="1"/>
  <c r="C19" i="29"/>
  <c r="D19" i="29" s="1"/>
  <c r="E19" i="29" s="1"/>
  <c r="F19" i="29" s="1"/>
  <c r="G19" i="29" s="1"/>
  <c r="H19" i="29" s="1"/>
  <c r="B25" i="29"/>
  <c r="C25" i="29" s="1"/>
  <c r="D25" i="29" s="1"/>
  <c r="E25" i="29" s="1"/>
  <c r="J6" i="3"/>
  <c r="I6" i="3"/>
  <c r="G6" i="3"/>
  <c r="H6" i="3" s="1"/>
  <c r="H4" i="3"/>
  <c r="I4" i="3"/>
  <c r="J4" i="3"/>
  <c r="G4" i="3"/>
  <c r="DP37" i="1"/>
  <c r="DO37" i="1"/>
  <c r="DP36" i="1"/>
  <c r="DO36" i="1"/>
  <c r="DP7" i="1"/>
  <c r="DO7" i="1"/>
  <c r="DP35" i="1"/>
  <c r="DO35" i="1"/>
  <c r="DP41" i="1"/>
  <c r="DO41" i="1"/>
  <c r="DP42" i="1"/>
  <c r="DO42" i="1"/>
  <c r="DP33" i="1"/>
  <c r="DO33" i="1"/>
  <c r="DP34" i="1"/>
  <c r="DO34" i="1"/>
  <c r="DP6" i="1"/>
  <c r="DO6" i="1"/>
  <c r="DP5" i="1"/>
  <c r="DO5" i="1"/>
  <c r="DP27" i="1"/>
  <c r="DO27" i="1"/>
  <c r="DP28" i="1"/>
  <c r="DO28" i="1"/>
  <c r="DP29" i="1"/>
  <c r="DO29" i="1"/>
  <c r="DP30" i="1"/>
  <c r="DO30" i="1"/>
  <c r="DP31" i="1"/>
  <c r="DO31" i="1"/>
  <c r="DP32" i="1"/>
  <c r="DO32" i="1"/>
  <c r="DP26" i="1"/>
  <c r="DO26" i="1"/>
  <c r="DP25" i="1"/>
  <c r="DO25" i="1"/>
  <c r="DP24" i="1"/>
  <c r="DO24" i="1"/>
  <c r="DP19" i="1"/>
  <c r="DO19" i="1"/>
  <c r="DP18" i="1"/>
  <c r="DO18" i="1"/>
  <c r="DP20" i="1"/>
  <c r="DO20" i="1"/>
  <c r="DP23" i="1"/>
  <c r="DO23" i="1"/>
  <c r="DP4" i="1"/>
  <c r="DO4" i="1"/>
  <c r="DP22" i="1"/>
  <c r="DO22" i="1"/>
  <c r="DP17" i="1"/>
  <c r="DO17" i="1"/>
  <c r="DP3" i="1"/>
  <c r="DO3" i="1"/>
  <c r="DP11" i="1"/>
  <c r="DO11" i="1"/>
  <c r="DP21" i="1"/>
  <c r="DO21" i="1"/>
  <c r="DP14" i="1"/>
  <c r="DO14" i="1"/>
  <c r="DP40" i="1"/>
  <c r="DO40" i="1"/>
  <c r="DQ40" i="1" s="1"/>
  <c r="DP39" i="1"/>
  <c r="DO39" i="1"/>
  <c r="DP15" i="1"/>
  <c r="DO15" i="1"/>
  <c r="DP2" i="1"/>
  <c r="DO2" i="1"/>
  <c r="DP13" i="1"/>
  <c r="DO13" i="1"/>
  <c r="DP16" i="1"/>
  <c r="DO16" i="1"/>
  <c r="DP10" i="1"/>
  <c r="DO10" i="1"/>
  <c r="DP12" i="1"/>
  <c r="DO12" i="1"/>
  <c r="DP9" i="1"/>
  <c r="DO9" i="1"/>
  <c r="DP38" i="1"/>
  <c r="DO38" i="1"/>
  <c r="DP8" i="1"/>
  <c r="DO8" i="1"/>
  <c r="DQ23" i="1" l="1"/>
  <c r="DQ29" i="1"/>
  <c r="DQ41" i="1"/>
  <c r="DQ22" i="1"/>
  <c r="DQ6" i="1"/>
  <c r="DQ37" i="1"/>
  <c r="DQ31" i="1"/>
  <c r="DQ14" i="1"/>
  <c r="DQ28" i="1"/>
  <c r="C13" i="30"/>
  <c r="D13" i="30" s="1"/>
  <c r="E13" i="30" s="1"/>
  <c r="F13" i="30" s="1"/>
  <c r="G13" i="30" s="1"/>
  <c r="H13" i="30" s="1"/>
  <c r="B19" i="30"/>
  <c r="DQ11" i="1"/>
  <c r="DQ4" i="1"/>
  <c r="DQ34" i="1"/>
  <c r="DQ38" i="1"/>
  <c r="DQ9" i="1"/>
  <c r="DQ20" i="1"/>
  <c r="DQ10" i="1"/>
  <c r="DQ21" i="1"/>
  <c r="DQ30" i="1"/>
  <c r="DQ36" i="1"/>
  <c r="DQ19" i="1"/>
  <c r="DQ32" i="1"/>
  <c r="DQ24" i="1"/>
  <c r="DQ33" i="1"/>
  <c r="DQ15" i="1"/>
  <c r="DQ42" i="1"/>
  <c r="DQ16" i="1"/>
  <c r="DQ39" i="1"/>
  <c r="DQ18" i="1"/>
  <c r="DQ12" i="1"/>
  <c r="DQ13" i="1"/>
  <c r="DQ25" i="1"/>
  <c r="DQ27" i="1"/>
  <c r="DQ35" i="1"/>
  <c r="DQ8" i="1"/>
  <c r="DQ26" i="1"/>
  <c r="DQ5" i="1"/>
  <c r="DQ7" i="1"/>
  <c r="DQ2" i="1"/>
  <c r="DQ3" i="1"/>
  <c r="DQ17" i="1"/>
  <c r="DA39" i="1"/>
  <c r="DB39" i="1"/>
  <c r="DH39" i="1"/>
  <c r="DI39" i="1"/>
  <c r="CT39" i="1"/>
  <c r="DR39" i="1" s="1"/>
  <c r="DS39" i="1" s="1"/>
  <c r="CU39" i="1"/>
  <c r="C39" i="1"/>
  <c r="DV39" i="1" l="1"/>
  <c r="DT39" i="1"/>
  <c r="DU39" i="1" s="1"/>
  <c r="DW39" i="1" s="1"/>
  <c r="C19" i="30"/>
  <c r="D19" i="30" s="1"/>
  <c r="E19" i="30" s="1"/>
  <c r="F19" i="30" s="1"/>
  <c r="G19" i="30" s="1"/>
  <c r="H19" i="30" s="1"/>
  <c r="B25" i="30"/>
  <c r="CV39" i="1"/>
  <c r="DJ39" i="1"/>
  <c r="DC39" i="1"/>
  <c r="DI6" i="1"/>
  <c r="DH6" i="1"/>
  <c r="DI33" i="1"/>
  <c r="DH33" i="1"/>
  <c r="DI42" i="1"/>
  <c r="DH42" i="1"/>
  <c r="DI37" i="1"/>
  <c r="DH37" i="1"/>
  <c r="DI25" i="1"/>
  <c r="DH25" i="1"/>
  <c r="DI40" i="1"/>
  <c r="DH40" i="1"/>
  <c r="DI35" i="1"/>
  <c r="DH35" i="1"/>
  <c r="DI21" i="1"/>
  <c r="DH21" i="1"/>
  <c r="DI32" i="1"/>
  <c r="DH32" i="1"/>
  <c r="DI38" i="1"/>
  <c r="DH38" i="1"/>
  <c r="DI23" i="1"/>
  <c r="DH23" i="1"/>
  <c r="DI7" i="1"/>
  <c r="DH7" i="1"/>
  <c r="DI22" i="1"/>
  <c r="DH22" i="1"/>
  <c r="DI12" i="1"/>
  <c r="DH12" i="1"/>
  <c r="DI5" i="1"/>
  <c r="DH5" i="1"/>
  <c r="DI20" i="1"/>
  <c r="DH20" i="1"/>
  <c r="DI10" i="1"/>
  <c r="DH10" i="1"/>
  <c r="DI13" i="1"/>
  <c r="DH13" i="1"/>
  <c r="DI14" i="1"/>
  <c r="DH14" i="1"/>
  <c r="DI11" i="1"/>
  <c r="DH11" i="1"/>
  <c r="DI4" i="1"/>
  <c r="DH4" i="1"/>
  <c r="DI31" i="1"/>
  <c r="DH31" i="1"/>
  <c r="DI3" i="1"/>
  <c r="DH3" i="1"/>
  <c r="DI30" i="1"/>
  <c r="DH30" i="1"/>
  <c r="DI18" i="1"/>
  <c r="DH18" i="1"/>
  <c r="DI15" i="1"/>
  <c r="DH15" i="1"/>
  <c r="DI27" i="1"/>
  <c r="DH27" i="1"/>
  <c r="DI2" i="1"/>
  <c r="DH2" i="1"/>
  <c r="DI28" i="1"/>
  <c r="DH28" i="1"/>
  <c r="DI9" i="1"/>
  <c r="DH9" i="1"/>
  <c r="DI34" i="1"/>
  <c r="DH34" i="1"/>
  <c r="DI41" i="1"/>
  <c r="DH41" i="1"/>
  <c r="DI8" i="1"/>
  <c r="DH8" i="1"/>
  <c r="DI29" i="1"/>
  <c r="DH29" i="1"/>
  <c r="DI16" i="1"/>
  <c r="DH16" i="1"/>
  <c r="DI26" i="1"/>
  <c r="DH26" i="1"/>
  <c r="DI36" i="1"/>
  <c r="DH36" i="1"/>
  <c r="DI17" i="1"/>
  <c r="DH17" i="1"/>
  <c r="DI24" i="1"/>
  <c r="DH24" i="1"/>
  <c r="DI19" i="1"/>
  <c r="DH19" i="1"/>
  <c r="DA40" i="1"/>
  <c r="DB40" i="1"/>
  <c r="CT40" i="1"/>
  <c r="CU40" i="1"/>
  <c r="DT40" i="1" s="1"/>
  <c r="DU40" i="1" s="1"/>
  <c r="C40" i="1"/>
  <c r="C25" i="30" l="1"/>
  <c r="D25" i="30" s="1"/>
  <c r="E25" i="30" s="1"/>
  <c r="F25" i="30" s="1"/>
  <c r="G25" i="30" s="1"/>
  <c r="H25" i="30" s="1"/>
  <c r="B31" i="30"/>
  <c r="C31" i="30" s="1"/>
  <c r="E31" i="30" s="1"/>
  <c r="F31" i="30" s="1"/>
  <c r="G31" i="30" s="1"/>
  <c r="H31" i="30" s="1"/>
  <c r="DR40" i="1"/>
  <c r="DJ28" i="1"/>
  <c r="DJ5" i="1"/>
  <c r="CV40" i="1"/>
  <c r="DJ30" i="1"/>
  <c r="DJ11" i="1"/>
  <c r="DJ9" i="1"/>
  <c r="DJ8" i="1"/>
  <c r="DJ15" i="1"/>
  <c r="DJ20" i="1"/>
  <c r="DZ8" i="1"/>
  <c r="DJ18" i="1"/>
  <c r="DJ35" i="1"/>
  <c r="DJ23" i="1"/>
  <c r="DJ42" i="1"/>
  <c r="DC40" i="1"/>
  <c r="DJ17" i="1"/>
  <c r="DJ34" i="1"/>
  <c r="DJ12" i="1"/>
  <c r="DJ6" i="1"/>
  <c r="DJ10" i="1"/>
  <c r="DJ32" i="1"/>
  <c r="DJ36" i="1"/>
  <c r="DJ27" i="1"/>
  <c r="DJ4" i="1"/>
  <c r="DJ21" i="1"/>
  <c r="DJ37" i="1"/>
  <c r="DJ26" i="1"/>
  <c r="DJ13" i="1"/>
  <c r="DJ24" i="1"/>
  <c r="DJ14" i="1"/>
  <c r="DJ40" i="1"/>
  <c r="DJ41" i="1"/>
  <c r="DJ33" i="1"/>
  <c r="DJ38" i="1"/>
  <c r="DJ16" i="1"/>
  <c r="DJ3" i="1"/>
  <c r="DJ22" i="1"/>
  <c r="DJ19" i="1"/>
  <c r="DJ29" i="1"/>
  <c r="DJ2" i="1"/>
  <c r="DJ31" i="1"/>
  <c r="DJ7" i="1"/>
  <c r="DJ25" i="1"/>
  <c r="DS40" i="1" l="1"/>
  <c r="DW40" i="1" s="1"/>
  <c r="DV40" i="1"/>
  <c r="D19" i="23"/>
  <c r="E19" i="23"/>
  <c r="F19" i="23"/>
  <c r="B13" i="28" l="1"/>
  <c r="C13" i="28" s="1"/>
  <c r="D13" i="28" s="1"/>
  <c r="E13" i="28" s="1"/>
  <c r="F13" i="28" s="1"/>
  <c r="G13" i="28" s="1"/>
  <c r="H13" i="28" s="1"/>
  <c r="C7" i="28"/>
  <c r="D7" i="28" s="1"/>
  <c r="E7" i="28" s="1"/>
  <c r="F7" i="28" s="1"/>
  <c r="G7" i="28" s="1"/>
  <c r="H7" i="28" s="1"/>
  <c r="B13" i="27"/>
  <c r="C13" i="27" s="1"/>
  <c r="D13" i="27" s="1"/>
  <c r="E13" i="27" s="1"/>
  <c r="F13" i="27" s="1"/>
  <c r="G13" i="27" s="1"/>
  <c r="H13" i="27" s="1"/>
  <c r="C7" i="27"/>
  <c r="D7" i="27" s="1"/>
  <c r="E7" i="27" s="1"/>
  <c r="F7" i="27" s="1"/>
  <c r="G7" i="27" s="1"/>
  <c r="H7" i="27" s="1"/>
  <c r="B19" i="28" l="1"/>
  <c r="B19" i="27"/>
  <c r="B13" i="26"/>
  <c r="C13" i="26" s="1"/>
  <c r="D13" i="26" s="1"/>
  <c r="E13" i="26" s="1"/>
  <c r="F13" i="26" s="1"/>
  <c r="G13" i="26" s="1"/>
  <c r="H13" i="26" s="1"/>
  <c r="C7" i="26"/>
  <c r="D7" i="26" s="1"/>
  <c r="E7" i="26" s="1"/>
  <c r="F7" i="26" s="1"/>
  <c r="G7" i="26" s="1"/>
  <c r="H7" i="26" s="1"/>
  <c r="C19" i="28" l="1"/>
  <c r="D19" i="28" s="1"/>
  <c r="E19" i="28" s="1"/>
  <c r="F19" i="28" s="1"/>
  <c r="G19" i="28" s="1"/>
  <c r="H19" i="28" s="1"/>
  <c r="B25" i="28"/>
  <c r="C25" i="28" s="1"/>
  <c r="D25" i="28" s="1"/>
  <c r="E25" i="28" s="1"/>
  <c r="B25" i="27"/>
  <c r="C25" i="27" s="1"/>
  <c r="D25" i="27" s="1"/>
  <c r="E25" i="27" s="1"/>
  <c r="C19" i="27"/>
  <c r="D19" i="27" s="1"/>
  <c r="E19" i="27" s="1"/>
  <c r="F19" i="27" s="1"/>
  <c r="G19" i="27" s="1"/>
  <c r="H19" i="27" s="1"/>
  <c r="B19" i="26"/>
  <c r="DA8" i="1"/>
  <c r="DB8" i="1"/>
  <c r="DA38" i="1"/>
  <c r="DB38" i="1"/>
  <c r="CT8" i="1"/>
  <c r="CU8" i="1"/>
  <c r="CT38" i="1"/>
  <c r="CU38" i="1"/>
  <c r="CM8" i="1"/>
  <c r="DR8" i="1" s="1"/>
  <c r="CN8" i="1"/>
  <c r="DT8" i="1" s="1"/>
  <c r="CM38" i="1"/>
  <c r="DR38" i="1" s="1"/>
  <c r="CN38" i="1"/>
  <c r="C38" i="1"/>
  <c r="C8" i="1"/>
  <c r="DT38" i="1" l="1"/>
  <c r="DU38" i="1" s="1"/>
  <c r="DS38" i="1"/>
  <c r="DS8" i="1"/>
  <c r="DU8" i="1"/>
  <c r="C19" i="26"/>
  <c r="D19" i="26" s="1"/>
  <c r="E19" i="26" s="1"/>
  <c r="F19" i="26" s="1"/>
  <c r="G19" i="26" s="1"/>
  <c r="H19" i="26" s="1"/>
  <c r="B25" i="26"/>
  <c r="CO8" i="1"/>
  <c r="CV8" i="1"/>
  <c r="DC8" i="1"/>
  <c r="DC38" i="1"/>
  <c r="CV38" i="1"/>
  <c r="CO38" i="1"/>
  <c r="H5" i="3"/>
  <c r="DB7" i="1"/>
  <c r="DA7" i="1"/>
  <c r="DB16" i="1"/>
  <c r="DA16" i="1"/>
  <c r="DB13" i="1"/>
  <c r="DA13" i="1"/>
  <c r="DB41" i="1"/>
  <c r="DA41" i="1"/>
  <c r="DB5" i="1"/>
  <c r="DA5" i="1"/>
  <c r="DB42" i="1"/>
  <c r="DA42" i="1"/>
  <c r="DB36" i="1"/>
  <c r="DA36" i="1"/>
  <c r="DB37" i="1"/>
  <c r="DA37" i="1"/>
  <c r="DB15" i="1"/>
  <c r="DA15" i="1"/>
  <c r="DB23" i="1"/>
  <c r="DA23" i="1"/>
  <c r="DB34" i="1"/>
  <c r="DA34" i="1"/>
  <c r="DB33" i="1"/>
  <c r="DA33" i="1"/>
  <c r="DB29" i="1"/>
  <c r="DA29" i="1"/>
  <c r="DB31" i="1"/>
  <c r="DA31" i="1"/>
  <c r="DB30" i="1"/>
  <c r="DA30" i="1"/>
  <c r="DB25" i="1"/>
  <c r="DA25" i="1"/>
  <c r="DB35" i="1"/>
  <c r="DA35" i="1"/>
  <c r="DB12" i="1"/>
  <c r="DA12" i="1"/>
  <c r="DB14" i="1"/>
  <c r="DA14" i="1"/>
  <c r="DB11" i="1"/>
  <c r="DA11" i="1"/>
  <c r="DB27" i="1"/>
  <c r="DA27" i="1"/>
  <c r="DB24" i="1"/>
  <c r="DA24" i="1"/>
  <c r="DB26" i="1"/>
  <c r="DA26" i="1"/>
  <c r="DB21" i="1"/>
  <c r="DA21" i="1"/>
  <c r="DB18" i="1"/>
  <c r="DA18" i="1"/>
  <c r="DB19" i="1"/>
  <c r="DA19" i="1"/>
  <c r="DB17" i="1"/>
  <c r="DA17" i="1"/>
  <c r="DB28" i="1"/>
  <c r="DA28" i="1"/>
  <c r="DB22" i="1"/>
  <c r="DA22" i="1"/>
  <c r="DB9" i="1"/>
  <c r="DA9" i="1"/>
  <c r="DB4" i="1"/>
  <c r="DA4" i="1"/>
  <c r="DB10" i="1"/>
  <c r="DA10" i="1"/>
  <c r="DB6" i="1"/>
  <c r="DA6" i="1"/>
  <c r="DB32" i="1"/>
  <c r="DA32" i="1"/>
  <c r="DB20" i="1"/>
  <c r="DA20" i="1"/>
  <c r="DB3" i="1"/>
  <c r="DA3" i="1"/>
  <c r="DB2" i="1"/>
  <c r="DA2" i="1"/>
  <c r="DW38" i="1" l="1"/>
  <c r="DV38" i="1"/>
  <c r="DW8" i="1"/>
  <c r="DV8" i="1"/>
  <c r="C25" i="26"/>
  <c r="D25" i="26" s="1"/>
  <c r="E25" i="26" s="1"/>
  <c r="F25" i="26" s="1"/>
  <c r="G25" i="26" s="1"/>
  <c r="H25" i="26" s="1"/>
  <c r="B31" i="26"/>
  <c r="D31" i="26" s="1"/>
  <c r="E31" i="26" s="1"/>
  <c r="F31" i="26" s="1"/>
  <c r="G31" i="26" s="1"/>
  <c r="H31" i="26" s="1"/>
  <c r="DC35" i="1"/>
  <c r="DC4" i="1"/>
  <c r="DC30" i="1"/>
  <c r="DC29" i="1"/>
  <c r="DC42" i="1"/>
  <c r="DC20" i="1"/>
  <c r="DC2" i="1"/>
  <c r="DC7" i="1"/>
  <c r="DC41" i="1"/>
  <c r="DC13" i="1"/>
  <c r="DC22" i="1"/>
  <c r="DC17" i="1"/>
  <c r="J5" i="3"/>
  <c r="I5" i="3"/>
  <c r="DC28" i="1"/>
  <c r="DC24" i="1"/>
  <c r="DC3" i="1"/>
  <c r="DC21" i="1"/>
  <c r="DC25" i="1"/>
  <c r="DC31" i="1"/>
  <c r="DC15" i="1"/>
  <c r="DC37" i="1"/>
  <c r="DC9" i="1"/>
  <c r="DC26" i="1"/>
  <c r="DC16" i="1"/>
  <c r="DC27" i="1"/>
  <c r="DC32" i="1"/>
  <c r="DC10" i="1"/>
  <c r="DC19" i="1"/>
  <c r="DC11" i="1"/>
  <c r="DC12" i="1"/>
  <c r="DC34" i="1"/>
  <c r="DC36" i="1"/>
  <c r="DC5" i="1"/>
  <c r="DC6" i="1"/>
  <c r="DC18" i="1"/>
  <c r="DC14" i="1"/>
  <c r="DC33" i="1"/>
  <c r="DC23" i="1"/>
  <c r="CT16" i="1"/>
  <c r="CU16" i="1"/>
  <c r="CT12" i="1"/>
  <c r="CU12" i="1"/>
  <c r="CT32" i="1"/>
  <c r="CU32" i="1"/>
  <c r="CM16" i="1"/>
  <c r="CN16" i="1"/>
  <c r="CM12" i="1"/>
  <c r="CN12" i="1"/>
  <c r="CM32" i="1"/>
  <c r="CN32" i="1"/>
  <c r="CF16" i="1"/>
  <c r="CG16" i="1"/>
  <c r="CF12" i="1"/>
  <c r="CG12" i="1"/>
  <c r="CF32" i="1"/>
  <c r="CG32" i="1"/>
  <c r="BY16" i="1"/>
  <c r="BZ16" i="1"/>
  <c r="BY12" i="1"/>
  <c r="BZ12" i="1"/>
  <c r="BY32" i="1"/>
  <c r="BZ32" i="1"/>
  <c r="BR16" i="1"/>
  <c r="BS16" i="1"/>
  <c r="BR12" i="1"/>
  <c r="BS12" i="1"/>
  <c r="BR32" i="1"/>
  <c r="BS32" i="1"/>
  <c r="BK16" i="1"/>
  <c r="BL16" i="1"/>
  <c r="BK12" i="1"/>
  <c r="BL12" i="1"/>
  <c r="BK32" i="1"/>
  <c r="BL32" i="1"/>
  <c r="BD16" i="1"/>
  <c r="BE16" i="1"/>
  <c r="BD12" i="1"/>
  <c r="BE12" i="1"/>
  <c r="BD32" i="1"/>
  <c r="BE32" i="1"/>
  <c r="AW16" i="1"/>
  <c r="AX16" i="1"/>
  <c r="AW12" i="1"/>
  <c r="AX12" i="1"/>
  <c r="AW32" i="1"/>
  <c r="AX32" i="1"/>
  <c r="AP16" i="1"/>
  <c r="AQ16" i="1"/>
  <c r="AP12" i="1"/>
  <c r="AQ12" i="1"/>
  <c r="AP32" i="1"/>
  <c r="AQ32" i="1"/>
  <c r="AI16" i="1"/>
  <c r="AJ16" i="1"/>
  <c r="AI12" i="1"/>
  <c r="AJ12" i="1"/>
  <c r="AI32" i="1"/>
  <c r="AJ32" i="1"/>
  <c r="AB16" i="1"/>
  <c r="AC16" i="1"/>
  <c r="AB12" i="1"/>
  <c r="AC12" i="1"/>
  <c r="AB32" i="1"/>
  <c r="AC32" i="1"/>
  <c r="U16" i="1"/>
  <c r="V16" i="1"/>
  <c r="U12" i="1"/>
  <c r="V12" i="1"/>
  <c r="U32" i="1"/>
  <c r="V32" i="1"/>
  <c r="N16" i="1"/>
  <c r="O16" i="1"/>
  <c r="N12" i="1"/>
  <c r="O12" i="1"/>
  <c r="N32" i="1"/>
  <c r="O32" i="1"/>
  <c r="N6" i="1"/>
  <c r="O6" i="1"/>
  <c r="C32" i="1"/>
  <c r="DT32" i="1" l="1"/>
  <c r="DU32" i="1" s="1"/>
  <c r="DR32" i="1"/>
  <c r="DT12" i="1"/>
  <c r="DU12" i="1" s="1"/>
  <c r="DR12" i="1"/>
  <c r="DT16" i="1"/>
  <c r="DU16" i="1" s="1"/>
  <c r="DR16" i="1"/>
  <c r="CV12" i="1"/>
  <c r="BT16" i="1"/>
  <c r="CA12" i="1"/>
  <c r="CH16" i="1"/>
  <c r="CV32" i="1"/>
  <c r="CV16" i="1"/>
  <c r="P6" i="1"/>
  <c r="BF12" i="1"/>
  <c r="CA32" i="1"/>
  <c r="CA16" i="1"/>
  <c r="P16" i="1"/>
  <c r="CH12" i="1"/>
  <c r="AY12" i="1"/>
  <c r="W16" i="1"/>
  <c r="AD12" i="1"/>
  <c r="AK16" i="1"/>
  <c r="AR12" i="1"/>
  <c r="AY32" i="1"/>
  <c r="AY16" i="1"/>
  <c r="CO32" i="1"/>
  <c r="AR16" i="1"/>
  <c r="AK32" i="1"/>
  <c r="P32" i="1"/>
  <c r="W12" i="1"/>
  <c r="AD32" i="1"/>
  <c r="AD16" i="1"/>
  <c r="AK12" i="1"/>
  <c r="AR32" i="1"/>
  <c r="CO16" i="1"/>
  <c r="BF32" i="1"/>
  <c r="BM32" i="1"/>
  <c r="BM16" i="1"/>
  <c r="BT12" i="1"/>
  <c r="CH32" i="1"/>
  <c r="P12" i="1"/>
  <c r="W32" i="1"/>
  <c r="BF16" i="1"/>
  <c r="BM12" i="1"/>
  <c r="BT32" i="1"/>
  <c r="CO12" i="1"/>
  <c r="C24" i="1"/>
  <c r="C16" i="1"/>
  <c r="DS16" i="1" l="1"/>
  <c r="DW16" i="1" s="1"/>
  <c r="DV16" i="1"/>
  <c r="DS12" i="1"/>
  <c r="DW12" i="1" s="1"/>
  <c r="DV12" i="1"/>
  <c r="DS32" i="1"/>
  <c r="DW32" i="1" s="1"/>
  <c r="DV32" i="1"/>
  <c r="CT13" i="1"/>
  <c r="CU13" i="1"/>
  <c r="CT30" i="1"/>
  <c r="CU30" i="1"/>
  <c r="CT19" i="1"/>
  <c r="CU19" i="1"/>
  <c r="CT28" i="1"/>
  <c r="CU28" i="1"/>
  <c r="CT4" i="1"/>
  <c r="CU4" i="1"/>
  <c r="CT36" i="1"/>
  <c r="CU36" i="1"/>
  <c r="CT7" i="1"/>
  <c r="CU7" i="1"/>
  <c r="CT25" i="1"/>
  <c r="CU25" i="1"/>
  <c r="CT5" i="1"/>
  <c r="CU5" i="1"/>
  <c r="CT26" i="1"/>
  <c r="CU26" i="1"/>
  <c r="CT17" i="1"/>
  <c r="CU17" i="1"/>
  <c r="CT18" i="1"/>
  <c r="CU18" i="1"/>
  <c r="CT20" i="1"/>
  <c r="CU20" i="1"/>
  <c r="CT15" i="1"/>
  <c r="CU15" i="1"/>
  <c r="CT22" i="1"/>
  <c r="CU22" i="1"/>
  <c r="CT23" i="1"/>
  <c r="CU23" i="1"/>
  <c r="CT35" i="1"/>
  <c r="CU35" i="1"/>
  <c r="CT42" i="1"/>
  <c r="CU42" i="1"/>
  <c r="CT33" i="1"/>
  <c r="CU33" i="1"/>
  <c r="CT27" i="1"/>
  <c r="CU27" i="1"/>
  <c r="CT34" i="1"/>
  <c r="CU34" i="1"/>
  <c r="CT21" i="1"/>
  <c r="CU21" i="1"/>
  <c r="CM13" i="1"/>
  <c r="CN13" i="1"/>
  <c r="CM30" i="1"/>
  <c r="CN30" i="1"/>
  <c r="CM19" i="1"/>
  <c r="CN19" i="1"/>
  <c r="CM28" i="1"/>
  <c r="CN28" i="1"/>
  <c r="CM4" i="1"/>
  <c r="CN4" i="1"/>
  <c r="CM36" i="1"/>
  <c r="CN36" i="1"/>
  <c r="CM7" i="1"/>
  <c r="CN7" i="1"/>
  <c r="CM25" i="1"/>
  <c r="CN25" i="1"/>
  <c r="CM5" i="1"/>
  <c r="CN5" i="1"/>
  <c r="CM26" i="1"/>
  <c r="CN26" i="1"/>
  <c r="CM17" i="1"/>
  <c r="CN17" i="1"/>
  <c r="CM18" i="1"/>
  <c r="CN18" i="1"/>
  <c r="CM20" i="1"/>
  <c r="CN20" i="1"/>
  <c r="CM15" i="1"/>
  <c r="CN15" i="1"/>
  <c r="CM22" i="1"/>
  <c r="CN22" i="1"/>
  <c r="CM23" i="1"/>
  <c r="CN23" i="1"/>
  <c r="CM35" i="1"/>
  <c r="CN35" i="1"/>
  <c r="CM42" i="1"/>
  <c r="CN42" i="1"/>
  <c r="CM33" i="1"/>
  <c r="CN33" i="1"/>
  <c r="CM27" i="1"/>
  <c r="CN27" i="1"/>
  <c r="CM34" i="1"/>
  <c r="CN34" i="1"/>
  <c r="CM21" i="1"/>
  <c r="CN21" i="1"/>
  <c r="CM29" i="1"/>
  <c r="CN29" i="1"/>
  <c r="CM31" i="1"/>
  <c r="CN31" i="1"/>
  <c r="CM9" i="1"/>
  <c r="CN9" i="1"/>
  <c r="CM10" i="1"/>
  <c r="CN10" i="1"/>
  <c r="CM11" i="1"/>
  <c r="CN11" i="1"/>
  <c r="CM14" i="1"/>
  <c r="CN14" i="1"/>
  <c r="CM2" i="1"/>
  <c r="CN2" i="1"/>
  <c r="CM41" i="1"/>
  <c r="CN41" i="1"/>
  <c r="CU3" i="1"/>
  <c r="CT3" i="1"/>
  <c r="CU6" i="1"/>
  <c r="CT6" i="1"/>
  <c r="CU24" i="1"/>
  <c r="CT24" i="1"/>
  <c r="CU2" i="1"/>
  <c r="CT2" i="1"/>
  <c r="CU14" i="1"/>
  <c r="CT14" i="1"/>
  <c r="CU11" i="1"/>
  <c r="CT11" i="1"/>
  <c r="CU10" i="1"/>
  <c r="CT10" i="1"/>
  <c r="CU9" i="1"/>
  <c r="CT9" i="1"/>
  <c r="CU31" i="1"/>
  <c r="CT31" i="1"/>
  <c r="CU29" i="1"/>
  <c r="CT29" i="1"/>
  <c r="CU41" i="1"/>
  <c r="CT41" i="1"/>
  <c r="CU37" i="1"/>
  <c r="CT37" i="1"/>
  <c r="CO23" i="1" l="1"/>
  <c r="CO20" i="1"/>
  <c r="CO25" i="1"/>
  <c r="CO19" i="1"/>
  <c r="CO13" i="1"/>
  <c r="CV21" i="1"/>
  <c r="CV23" i="1"/>
  <c r="CO18" i="1"/>
  <c r="CO17" i="1"/>
  <c r="CO5" i="1"/>
  <c r="CO7" i="1"/>
  <c r="CO30" i="1"/>
  <c r="CV34" i="1"/>
  <c r="CV22" i="1"/>
  <c r="CO11" i="1"/>
  <c r="CO27" i="1"/>
  <c r="CV5" i="1"/>
  <c r="CV4" i="1"/>
  <c r="CO2" i="1"/>
  <c r="CV14" i="1"/>
  <c r="CO10" i="1"/>
  <c r="CO31" i="1"/>
  <c r="CO34" i="1"/>
  <c r="CO33" i="1"/>
  <c r="CO35" i="1"/>
  <c r="CO26" i="1"/>
  <c r="CV25" i="1"/>
  <c r="CV36" i="1"/>
  <c r="CV24" i="1"/>
  <c r="CO29" i="1"/>
  <c r="CO21" i="1"/>
  <c r="CV27" i="1"/>
  <c r="CV42" i="1"/>
  <c r="CV17" i="1"/>
  <c r="CV19" i="1"/>
  <c r="CV13" i="1"/>
  <c r="CV41" i="1"/>
  <c r="CV29" i="1"/>
  <c r="CV9" i="1"/>
  <c r="CV11" i="1"/>
  <c r="CV35" i="1"/>
  <c r="CV20" i="1"/>
  <c r="CV10" i="1"/>
  <c r="CO41" i="1"/>
  <c r="CO15" i="1"/>
  <c r="CO28" i="1"/>
  <c r="CV33" i="1"/>
  <c r="CV15" i="1"/>
  <c r="CV18" i="1"/>
  <c r="CV26" i="1"/>
  <c r="CV7" i="1"/>
  <c r="CV28" i="1"/>
  <c r="CV30" i="1"/>
  <c r="CO14" i="1"/>
  <c r="CO9" i="1"/>
  <c r="CO22" i="1"/>
  <c r="CO4" i="1"/>
  <c r="CO42" i="1"/>
  <c r="CO36" i="1"/>
  <c r="CV2" i="1"/>
  <c r="CV31" i="1"/>
  <c r="CV6" i="1"/>
  <c r="CV37" i="1"/>
  <c r="CV3" i="1"/>
  <c r="C12" i="1"/>
  <c r="CF42" i="1" l="1"/>
  <c r="CG42" i="1"/>
  <c r="CF29" i="1"/>
  <c r="CG29" i="1"/>
  <c r="BY42" i="1"/>
  <c r="BZ42" i="1"/>
  <c r="BY29" i="1"/>
  <c r="BZ29" i="1"/>
  <c r="BR42" i="1"/>
  <c r="BS42" i="1"/>
  <c r="BR29" i="1"/>
  <c r="BS29" i="1"/>
  <c r="BK42" i="1"/>
  <c r="BL42" i="1"/>
  <c r="BD42" i="1"/>
  <c r="BE42" i="1"/>
  <c r="BD29" i="1"/>
  <c r="BE29" i="1"/>
  <c r="AW42" i="1"/>
  <c r="AX42" i="1"/>
  <c r="AP42" i="1"/>
  <c r="AQ42" i="1"/>
  <c r="AP29" i="1"/>
  <c r="AQ29" i="1"/>
  <c r="AI42" i="1"/>
  <c r="AJ42" i="1"/>
  <c r="AI29" i="1"/>
  <c r="AJ29" i="1"/>
  <c r="AB42" i="1"/>
  <c r="AC42" i="1"/>
  <c r="AB29" i="1"/>
  <c r="AC29" i="1"/>
  <c r="U42" i="1"/>
  <c r="V42" i="1"/>
  <c r="U29" i="1"/>
  <c r="V29" i="1"/>
  <c r="U31" i="1"/>
  <c r="V31" i="1"/>
  <c r="N37" i="1"/>
  <c r="O37" i="1"/>
  <c r="N30" i="1"/>
  <c r="O30" i="1"/>
  <c r="N42" i="1"/>
  <c r="O42" i="1"/>
  <c r="N29" i="1"/>
  <c r="O29" i="1"/>
  <c r="N31" i="1"/>
  <c r="O31" i="1"/>
  <c r="C42" i="1"/>
  <c r="DT42" i="1" l="1"/>
  <c r="DU42" i="1" s="1"/>
  <c r="DR42" i="1"/>
  <c r="DS42" i="1" s="1"/>
  <c r="P29" i="1"/>
  <c r="P30" i="1"/>
  <c r="AK42" i="1"/>
  <c r="BM42" i="1"/>
  <c r="BT29" i="1"/>
  <c r="CH29" i="1"/>
  <c r="P42" i="1"/>
  <c r="W29" i="1"/>
  <c r="AD29" i="1"/>
  <c r="AY42" i="1"/>
  <c r="W42" i="1"/>
  <c r="BF29" i="1"/>
  <c r="W31" i="1"/>
  <c r="AK29" i="1"/>
  <c r="AR29" i="1"/>
  <c r="CA42" i="1"/>
  <c r="AR42" i="1"/>
  <c r="BF42" i="1"/>
  <c r="BT42" i="1"/>
  <c r="CH42" i="1"/>
  <c r="P31" i="1"/>
  <c r="AD42" i="1"/>
  <c r="P37" i="1"/>
  <c r="CA29" i="1"/>
  <c r="C7" i="23"/>
  <c r="D7" i="23" s="1"/>
  <c r="E7" i="23" s="1"/>
  <c r="F7" i="23" s="1"/>
  <c r="G7" i="23" s="1"/>
  <c r="H7" i="23" s="1"/>
  <c r="H1" i="23"/>
  <c r="B13" i="22"/>
  <c r="DW42" i="1" l="1"/>
  <c r="DV42" i="1"/>
  <c r="B13" i="23"/>
  <c r="B20" i="23" s="1"/>
  <c r="B26" i="23" s="1"/>
  <c r="C26" i="23" s="1"/>
  <c r="D26" i="23" s="1"/>
  <c r="E26" i="23" s="1"/>
  <c r="B19" i="22"/>
  <c r="C13" i="22"/>
  <c r="D13" i="22" s="1"/>
  <c r="E13" i="22" s="1"/>
  <c r="F13" i="22" s="1"/>
  <c r="G13" i="22" s="1"/>
  <c r="H13" i="22" s="1"/>
  <c r="C7" i="22"/>
  <c r="D7" i="22" s="1"/>
  <c r="E7" i="22" s="1"/>
  <c r="F7" i="22" s="1"/>
  <c r="G7" i="22" s="1"/>
  <c r="H7" i="22" s="1"/>
  <c r="G5" i="3"/>
  <c r="CN6" i="1"/>
  <c r="CM6" i="1"/>
  <c r="CN3" i="1"/>
  <c r="CM3" i="1"/>
  <c r="CN24" i="1"/>
  <c r="CM24" i="1"/>
  <c r="CN37" i="1"/>
  <c r="CM37" i="1"/>
  <c r="C20" i="23" l="1"/>
  <c r="D20" i="23" s="1"/>
  <c r="E20" i="23" s="1"/>
  <c r="F20" i="23" s="1"/>
  <c r="G20" i="23" s="1"/>
  <c r="H20" i="23" s="1"/>
  <c r="C13" i="23"/>
  <c r="D13" i="23" s="1"/>
  <c r="E13" i="23" s="1"/>
  <c r="F13" i="23" s="1"/>
  <c r="G13" i="23" s="1"/>
  <c r="H13" i="23" s="1"/>
  <c r="C19" i="22"/>
  <c r="D19" i="22" s="1"/>
  <c r="E19" i="22" s="1"/>
  <c r="F19" i="22" s="1"/>
  <c r="G19" i="22" s="1"/>
  <c r="H19" i="22" s="1"/>
  <c r="B25" i="22"/>
  <c r="CO37" i="1"/>
  <c r="CO24" i="1"/>
  <c r="CO3" i="1"/>
  <c r="CO6" i="1"/>
  <c r="B7" i="20"/>
  <c r="C25" i="22" l="1"/>
  <c r="D25" i="22" s="1"/>
  <c r="E25" i="22" s="1"/>
  <c r="F25" i="22" s="1"/>
  <c r="G25" i="22" s="1"/>
  <c r="H25" i="22" s="1"/>
  <c r="B31" i="22"/>
  <c r="C31" i="22" s="1"/>
  <c r="D31" i="22" s="1"/>
  <c r="F31" i="22" s="1"/>
  <c r="G31" i="22" s="1"/>
  <c r="H31" i="22" s="1"/>
  <c r="C7" i="20"/>
  <c r="D7" i="20" s="1"/>
  <c r="E7" i="20" s="1"/>
  <c r="F7" i="20" s="1"/>
  <c r="G7" i="20" s="1"/>
  <c r="H7" i="20" s="1"/>
  <c r="B13" i="20"/>
  <c r="C4" i="1"/>
  <c r="C13" i="20" l="1"/>
  <c r="D13" i="20" s="1"/>
  <c r="E13" i="20" s="1"/>
  <c r="F13" i="20" s="1"/>
  <c r="G13" i="20" s="1"/>
  <c r="H13" i="20" s="1"/>
  <c r="B19" i="20"/>
  <c r="B25" i="20" l="1"/>
  <c r="C25" i="20" s="1"/>
  <c r="D25" i="20" s="1"/>
  <c r="E25" i="20" s="1"/>
  <c r="F25" i="20" s="1"/>
  <c r="G25" i="20" s="1"/>
  <c r="H25" i="20" s="1"/>
  <c r="C19" i="20"/>
  <c r="D19" i="20" s="1"/>
  <c r="E19" i="20" s="1"/>
  <c r="F19" i="20" s="1"/>
  <c r="G19" i="20" s="1"/>
  <c r="H19" i="20" s="1"/>
  <c r="CF37" i="1"/>
  <c r="CG37" i="1"/>
  <c r="CF31" i="1"/>
  <c r="CG31" i="1"/>
  <c r="CF30" i="1"/>
  <c r="CG30" i="1"/>
  <c r="CF9" i="1"/>
  <c r="CG9" i="1"/>
  <c r="BY37" i="1"/>
  <c r="BZ37" i="1"/>
  <c r="BY31" i="1"/>
  <c r="BZ31" i="1"/>
  <c r="BY30" i="1"/>
  <c r="BZ30" i="1"/>
  <c r="CG33" i="1"/>
  <c r="CF33" i="1"/>
  <c r="CG6" i="1"/>
  <c r="CF6" i="1"/>
  <c r="CG35" i="1"/>
  <c r="CF35" i="1"/>
  <c r="CG25" i="1"/>
  <c r="CF25" i="1"/>
  <c r="CG7" i="1"/>
  <c r="CF7" i="1"/>
  <c r="CG21" i="1"/>
  <c r="CF21" i="1"/>
  <c r="CG23" i="1"/>
  <c r="CF23" i="1"/>
  <c r="CG22" i="1"/>
  <c r="CF22" i="1"/>
  <c r="CG5" i="1"/>
  <c r="CF5" i="1"/>
  <c r="CG13" i="1"/>
  <c r="CF13" i="1"/>
  <c r="CG14" i="1"/>
  <c r="CF14" i="1"/>
  <c r="CG11" i="1"/>
  <c r="CF11" i="1"/>
  <c r="CG20" i="1"/>
  <c r="CF20" i="1"/>
  <c r="CG10" i="1"/>
  <c r="CF10" i="1"/>
  <c r="CG15" i="1"/>
  <c r="CF15" i="1"/>
  <c r="CG4" i="1"/>
  <c r="CF4" i="1"/>
  <c r="CG3" i="1"/>
  <c r="CF3" i="1"/>
  <c r="CG18" i="1"/>
  <c r="CF18" i="1"/>
  <c r="CG28" i="1"/>
  <c r="CF28" i="1"/>
  <c r="CG27" i="1"/>
  <c r="CF27" i="1"/>
  <c r="CG2" i="1"/>
  <c r="CF2" i="1"/>
  <c r="CG41" i="1"/>
  <c r="CF41" i="1"/>
  <c r="CG34" i="1"/>
  <c r="CF34" i="1"/>
  <c r="CG36" i="1"/>
  <c r="CF36" i="1"/>
  <c r="CG24" i="1"/>
  <c r="CF24" i="1"/>
  <c r="CG26" i="1"/>
  <c r="CF26" i="1"/>
  <c r="CG17" i="1"/>
  <c r="CF17" i="1"/>
  <c r="CG19" i="1"/>
  <c r="CF19" i="1"/>
  <c r="U37" i="1"/>
  <c r="V37" i="1"/>
  <c r="AB37" i="1"/>
  <c r="AC37" i="1"/>
  <c r="AI37" i="1"/>
  <c r="AJ37" i="1"/>
  <c r="AP37" i="1"/>
  <c r="DR37" i="1" s="1"/>
  <c r="AQ37" i="1"/>
  <c r="DT37" i="1" s="1"/>
  <c r="DU37" i="1" s="1"/>
  <c r="AW37" i="1"/>
  <c r="AX37" i="1"/>
  <c r="BD37" i="1"/>
  <c r="BE37" i="1"/>
  <c r="BK37" i="1"/>
  <c r="BL37" i="1"/>
  <c r="BR37" i="1"/>
  <c r="BS37" i="1"/>
  <c r="AW29" i="1"/>
  <c r="AX29" i="1"/>
  <c r="BK29" i="1"/>
  <c r="BL29" i="1"/>
  <c r="AB31" i="1"/>
  <c r="AC31" i="1"/>
  <c r="AI31" i="1"/>
  <c r="AJ31" i="1"/>
  <c r="AP31" i="1"/>
  <c r="AQ31" i="1"/>
  <c r="AW31" i="1"/>
  <c r="AX31" i="1"/>
  <c r="BD31" i="1"/>
  <c r="BE31" i="1"/>
  <c r="BK31" i="1"/>
  <c r="BL31" i="1"/>
  <c r="BR31" i="1"/>
  <c r="BS31" i="1"/>
  <c r="U30" i="1"/>
  <c r="V30" i="1"/>
  <c r="AB30" i="1"/>
  <c r="AC30" i="1"/>
  <c r="AI30" i="1"/>
  <c r="AJ30" i="1"/>
  <c r="AP30" i="1"/>
  <c r="AQ30" i="1"/>
  <c r="AW30" i="1"/>
  <c r="AX30" i="1"/>
  <c r="BD30" i="1"/>
  <c r="BE30" i="1"/>
  <c r="BK30" i="1"/>
  <c r="BL30" i="1"/>
  <c r="BR30" i="1"/>
  <c r="BS30" i="1"/>
  <c r="C30" i="1"/>
  <c r="C31" i="1"/>
  <c r="C29" i="1"/>
  <c r="C37" i="1"/>
  <c r="DR30" i="1" l="1"/>
  <c r="DR31" i="1"/>
  <c r="DR29" i="1"/>
  <c r="DS37" i="1"/>
  <c r="DW37" i="1" s="1"/>
  <c r="DV37" i="1"/>
  <c r="DS30" i="1"/>
  <c r="DT30" i="1"/>
  <c r="DU30" i="1" s="1"/>
  <c r="DT31" i="1"/>
  <c r="DU31" i="1" s="1"/>
  <c r="DT29" i="1"/>
  <c r="DU29" i="1" s="1"/>
  <c r="DS31" i="1"/>
  <c r="DS29" i="1"/>
  <c r="CH33" i="1"/>
  <c r="CA31" i="1"/>
  <c r="CA37" i="1"/>
  <c r="CH9" i="1"/>
  <c r="CH31" i="1"/>
  <c r="CH37" i="1"/>
  <c r="CH26" i="1"/>
  <c r="CH24" i="1"/>
  <c r="CH36" i="1"/>
  <c r="CH34" i="1"/>
  <c r="CH2" i="1"/>
  <c r="CH28" i="1"/>
  <c r="CH4" i="1"/>
  <c r="CH10" i="1"/>
  <c r="CH7" i="1"/>
  <c r="BM31" i="1"/>
  <c r="BT37" i="1"/>
  <c r="BF37" i="1"/>
  <c r="AR37" i="1"/>
  <c r="AD37" i="1"/>
  <c r="CH5" i="1"/>
  <c r="CH25" i="1"/>
  <c r="CH6" i="1"/>
  <c r="BT30" i="1"/>
  <c r="AR30" i="1"/>
  <c r="BM29" i="1"/>
  <c r="AY29" i="1"/>
  <c r="W37" i="1"/>
  <c r="BM37" i="1"/>
  <c r="CH27" i="1"/>
  <c r="CA30" i="1"/>
  <c r="CH30" i="1"/>
  <c r="AK31" i="1"/>
  <c r="CH17" i="1"/>
  <c r="CH41" i="1"/>
  <c r="CH3" i="1"/>
  <c r="CH15" i="1"/>
  <c r="CH20" i="1"/>
  <c r="CH14" i="1"/>
  <c r="CH13" i="1"/>
  <c r="CH22" i="1"/>
  <c r="AK30" i="1"/>
  <c r="W30" i="1"/>
  <c r="BF31" i="1"/>
  <c r="AR31" i="1"/>
  <c r="AD31" i="1"/>
  <c r="AY37" i="1"/>
  <c r="CH18" i="1"/>
  <c r="CH11" i="1"/>
  <c r="CH23" i="1"/>
  <c r="CH35" i="1"/>
  <c r="CH21" i="1"/>
  <c r="AK37" i="1"/>
  <c r="CH19" i="1"/>
  <c r="BF30" i="1"/>
  <c r="BM30" i="1"/>
  <c r="AY30" i="1"/>
  <c r="AD30" i="1"/>
  <c r="BT31" i="1"/>
  <c r="AY31" i="1"/>
  <c r="G1" i="16"/>
  <c r="H1" i="16" s="1"/>
  <c r="B7" i="16" s="1"/>
  <c r="DW31" i="1" l="1"/>
  <c r="DW30" i="1"/>
  <c r="DV30" i="1"/>
  <c r="DV29" i="1"/>
  <c r="DW29" i="1"/>
  <c r="DV31" i="1"/>
  <c r="C7" i="16"/>
  <c r="D7" i="16" s="1"/>
  <c r="E7" i="16" s="1"/>
  <c r="F7" i="16" s="1"/>
  <c r="G7" i="16" s="1"/>
  <c r="H7" i="16" s="1"/>
  <c r="B13" i="16"/>
  <c r="C13" i="16" s="1"/>
  <c r="D13" i="16" s="1"/>
  <c r="E13" i="16" s="1"/>
  <c r="F13" i="16" s="1"/>
  <c r="G13" i="16" s="1"/>
  <c r="H13" i="16" s="1"/>
  <c r="BY33" i="1"/>
  <c r="BZ33" i="1"/>
  <c r="BR33" i="1"/>
  <c r="BS33" i="1"/>
  <c r="BK33" i="1"/>
  <c r="BL33" i="1"/>
  <c r="BD33" i="1"/>
  <c r="BE33" i="1"/>
  <c r="AW33" i="1"/>
  <c r="AX33" i="1"/>
  <c r="AP33" i="1"/>
  <c r="AQ33" i="1"/>
  <c r="AI33" i="1"/>
  <c r="AJ33" i="1"/>
  <c r="AB33" i="1"/>
  <c r="AC33" i="1"/>
  <c r="U33" i="1"/>
  <c r="V33" i="1"/>
  <c r="N33" i="1"/>
  <c r="O33" i="1"/>
  <c r="C33" i="1"/>
  <c r="B19" i="16" l="1"/>
  <c r="DT33" i="1"/>
  <c r="DU33" i="1" s="1"/>
  <c r="DR33" i="1"/>
  <c r="C19" i="16"/>
  <c r="D19" i="16" s="1"/>
  <c r="E19" i="16" s="1"/>
  <c r="F19" i="16" s="1"/>
  <c r="G19" i="16" s="1"/>
  <c r="H19" i="16" s="1"/>
  <c r="B25" i="16"/>
  <c r="C25" i="16" s="1"/>
  <c r="D25" i="16" s="1"/>
  <c r="E25" i="16" s="1"/>
  <c r="CA33" i="1"/>
  <c r="BF33" i="1"/>
  <c r="P33" i="1"/>
  <c r="AD33" i="1"/>
  <c r="AR33" i="1"/>
  <c r="BT33" i="1"/>
  <c r="W33" i="1"/>
  <c r="AK33" i="1"/>
  <c r="AY33" i="1"/>
  <c r="BM33" i="1"/>
  <c r="BY36" i="1"/>
  <c r="BZ36" i="1"/>
  <c r="BY41" i="1"/>
  <c r="BZ41" i="1"/>
  <c r="BY13" i="1"/>
  <c r="BZ13" i="1"/>
  <c r="BY7" i="1"/>
  <c r="BZ7" i="1"/>
  <c r="BR36" i="1"/>
  <c r="BS36" i="1"/>
  <c r="BR41" i="1"/>
  <c r="BS41" i="1"/>
  <c r="BR13" i="1"/>
  <c r="BS13" i="1"/>
  <c r="BR7" i="1"/>
  <c r="BS7" i="1"/>
  <c r="BK36" i="1"/>
  <c r="BL36" i="1"/>
  <c r="BK41" i="1"/>
  <c r="BL41" i="1"/>
  <c r="BK13" i="1"/>
  <c r="BL13" i="1"/>
  <c r="BK7" i="1"/>
  <c r="BL7" i="1"/>
  <c r="BD36" i="1"/>
  <c r="BE36" i="1"/>
  <c r="BD41" i="1"/>
  <c r="BE41" i="1"/>
  <c r="BD13" i="1"/>
  <c r="BE13" i="1"/>
  <c r="BD7" i="1"/>
  <c r="BE7" i="1"/>
  <c r="AW36" i="1"/>
  <c r="AX36" i="1"/>
  <c r="AW41" i="1"/>
  <c r="AX41" i="1"/>
  <c r="AW13" i="1"/>
  <c r="AX13" i="1"/>
  <c r="AW7" i="1"/>
  <c r="AX7" i="1"/>
  <c r="AP21" i="1"/>
  <c r="AP36" i="1"/>
  <c r="AQ36" i="1"/>
  <c r="AP41" i="1"/>
  <c r="AQ41" i="1"/>
  <c r="AP13" i="1"/>
  <c r="AQ13" i="1"/>
  <c r="AP7" i="1"/>
  <c r="AQ7" i="1"/>
  <c r="AI36" i="1"/>
  <c r="AJ36" i="1"/>
  <c r="AI41" i="1"/>
  <c r="AJ41" i="1"/>
  <c r="AI13" i="1"/>
  <c r="AJ13" i="1"/>
  <c r="AI7" i="1"/>
  <c r="AJ7" i="1"/>
  <c r="AB36" i="1"/>
  <c r="AC36" i="1"/>
  <c r="AB41" i="1"/>
  <c r="AC41" i="1"/>
  <c r="AB13" i="1"/>
  <c r="AC13" i="1"/>
  <c r="AB7" i="1"/>
  <c r="AC7" i="1"/>
  <c r="U36" i="1"/>
  <c r="V36" i="1"/>
  <c r="U41" i="1"/>
  <c r="V41" i="1"/>
  <c r="U13" i="1"/>
  <c r="V13" i="1"/>
  <c r="U7" i="1"/>
  <c r="V7" i="1"/>
  <c r="N34" i="1"/>
  <c r="O34" i="1"/>
  <c r="N21" i="1"/>
  <c r="O21" i="1"/>
  <c r="N36" i="1"/>
  <c r="O36" i="1"/>
  <c r="N41" i="1"/>
  <c r="O41" i="1"/>
  <c r="N13" i="1"/>
  <c r="O13" i="1"/>
  <c r="N7" i="1"/>
  <c r="O7" i="1"/>
  <c r="C41" i="1"/>
  <c r="C13" i="1"/>
  <c r="C36" i="1"/>
  <c r="C7" i="1"/>
  <c r="DR36" i="1" l="1"/>
  <c r="DS36" i="1" s="1"/>
  <c r="DT7" i="1"/>
  <c r="DU7" i="1" s="1"/>
  <c r="DR7" i="1"/>
  <c r="DT13" i="1"/>
  <c r="DU13" i="1" s="1"/>
  <c r="DR13" i="1"/>
  <c r="DT41" i="1"/>
  <c r="DU41" i="1" s="1"/>
  <c r="DR41" i="1"/>
  <c r="DS33" i="1"/>
  <c r="DW33" i="1" s="1"/>
  <c r="DV33" i="1"/>
  <c r="DT36" i="1"/>
  <c r="DU36" i="1" s="1"/>
  <c r="BF41" i="1"/>
  <c r="BF36" i="1"/>
  <c r="BM41" i="1"/>
  <c r="BM36" i="1"/>
  <c r="AK13" i="1"/>
  <c r="AR7" i="1"/>
  <c r="AR13" i="1"/>
  <c r="P7" i="1"/>
  <c r="AD36" i="1"/>
  <c r="AD7" i="1"/>
  <c r="W13" i="1"/>
  <c r="AK36" i="1"/>
  <c r="AY7" i="1"/>
  <c r="BF13" i="1"/>
  <c r="BM13" i="1"/>
  <c r="BT13" i="1"/>
  <c r="BM7" i="1"/>
  <c r="BT7" i="1"/>
  <c r="P41" i="1"/>
  <c r="P36" i="1"/>
  <c r="P34" i="1"/>
  <c r="AR41" i="1"/>
  <c r="AR36" i="1"/>
  <c r="CA7" i="1"/>
  <c r="P13" i="1"/>
  <c r="W41" i="1"/>
  <c r="W36" i="1"/>
  <c r="AD13" i="1"/>
  <c r="AK7" i="1"/>
  <c r="AK41" i="1"/>
  <c r="AY41" i="1"/>
  <c r="BF7" i="1"/>
  <c r="BT41" i="1"/>
  <c r="BT36" i="1"/>
  <c r="CA41" i="1"/>
  <c r="CA36" i="1"/>
  <c r="AY13" i="1"/>
  <c r="P21" i="1"/>
  <c r="W7" i="1"/>
  <c r="AD41" i="1"/>
  <c r="AY36" i="1"/>
  <c r="CA13" i="1"/>
  <c r="BZ28" i="1"/>
  <c r="BY28" i="1"/>
  <c r="BZ9" i="1"/>
  <c r="BY9" i="1"/>
  <c r="BZ26" i="1"/>
  <c r="BY26" i="1"/>
  <c r="BZ5" i="1"/>
  <c r="BY5" i="1"/>
  <c r="BZ3" i="1"/>
  <c r="BY3" i="1"/>
  <c r="BZ2" i="1"/>
  <c r="BY2" i="1"/>
  <c r="BZ20" i="1"/>
  <c r="BY20" i="1"/>
  <c r="BZ6" i="1"/>
  <c r="BY6" i="1"/>
  <c r="BZ35" i="1"/>
  <c r="BY35" i="1"/>
  <c r="BZ22" i="1"/>
  <c r="BY22" i="1"/>
  <c r="BZ11" i="1"/>
  <c r="BY11" i="1"/>
  <c r="BZ14" i="1"/>
  <c r="BY14" i="1"/>
  <c r="BZ21" i="1"/>
  <c r="BY21" i="1"/>
  <c r="BZ23" i="1"/>
  <c r="BY23" i="1"/>
  <c r="BZ10" i="1"/>
  <c r="BY10" i="1"/>
  <c r="BZ34" i="1"/>
  <c r="BY34" i="1"/>
  <c r="BZ27" i="1"/>
  <c r="BY27" i="1"/>
  <c r="BZ17" i="1"/>
  <c r="BY17" i="1"/>
  <c r="BZ24" i="1"/>
  <c r="BY24" i="1"/>
  <c r="BZ19" i="1"/>
  <c r="BY19" i="1"/>
  <c r="BZ25" i="1"/>
  <c r="BY25" i="1"/>
  <c r="BZ4" i="1"/>
  <c r="BY4" i="1"/>
  <c r="BZ18" i="1"/>
  <c r="BY18" i="1"/>
  <c r="BZ15" i="1"/>
  <c r="BY15" i="1"/>
  <c r="G25" i="14"/>
  <c r="H25" i="14" s="1"/>
  <c r="C25" i="14"/>
  <c r="E25" i="14" s="1"/>
  <c r="G19" i="14"/>
  <c r="H19" i="14" s="1"/>
  <c r="B7" i="14"/>
  <c r="C7" i="14" s="1"/>
  <c r="D7" i="14" s="1"/>
  <c r="E7" i="14" s="1"/>
  <c r="F7" i="14" s="1"/>
  <c r="G7" i="14" s="1"/>
  <c r="H7" i="14" s="1"/>
  <c r="C1" i="14"/>
  <c r="D1" i="14" s="1"/>
  <c r="E1" i="14" s="1"/>
  <c r="F1" i="14" s="1"/>
  <c r="G1" i="14" s="1"/>
  <c r="H1" i="14" s="1"/>
  <c r="DW36" i="1" l="1"/>
  <c r="DS13" i="1"/>
  <c r="DW13" i="1" s="1"/>
  <c r="DV13" i="1"/>
  <c r="DV7" i="1"/>
  <c r="DS7" i="1"/>
  <c r="DW7" i="1" s="1"/>
  <c r="DV36" i="1"/>
  <c r="DV41" i="1"/>
  <c r="DS41" i="1"/>
  <c r="DW41" i="1" s="1"/>
  <c r="CA19" i="1"/>
  <c r="CA17" i="1"/>
  <c r="CA34" i="1"/>
  <c r="CA10" i="1"/>
  <c r="CA5" i="1"/>
  <c r="CA9" i="1"/>
  <c r="CA14" i="1"/>
  <c r="CA35" i="1"/>
  <c r="CA26" i="1"/>
  <c r="CA28" i="1"/>
  <c r="CA18" i="1"/>
  <c r="CA27" i="1"/>
  <c r="CA23" i="1"/>
  <c r="CA4" i="1"/>
  <c r="CA11" i="1"/>
  <c r="CA2" i="1"/>
  <c r="CA6" i="1"/>
  <c r="CA20" i="1"/>
  <c r="CA3" i="1"/>
  <c r="CA15" i="1"/>
  <c r="CA25" i="1"/>
  <c r="CA24" i="1"/>
  <c r="CA21" i="1"/>
  <c r="CA22" i="1"/>
  <c r="B13" i="14"/>
  <c r="C13" i="14" s="1"/>
  <c r="D13" i="14" s="1"/>
  <c r="E13" i="14" s="1"/>
  <c r="F13" i="14" s="1"/>
  <c r="G13" i="14" s="1"/>
  <c r="H13" i="14" s="1"/>
  <c r="BR26" i="1"/>
  <c r="BS26" i="1"/>
  <c r="BR19" i="1"/>
  <c r="BS19" i="1"/>
  <c r="BR9" i="1"/>
  <c r="BS9" i="1"/>
  <c r="BR20" i="1"/>
  <c r="BS20" i="1"/>
  <c r="BR17" i="1"/>
  <c r="BS17" i="1"/>
  <c r="BR24" i="1"/>
  <c r="BS24" i="1"/>
  <c r="BR34" i="1"/>
  <c r="BS34" i="1"/>
  <c r="BR2" i="1"/>
  <c r="BS2" i="1"/>
  <c r="BR28" i="1"/>
  <c r="BS28" i="1"/>
  <c r="BR27" i="1"/>
  <c r="BS27" i="1"/>
  <c r="BR3" i="1"/>
  <c r="BS3" i="1"/>
  <c r="BR15" i="1"/>
  <c r="BS15" i="1"/>
  <c r="BR4" i="1"/>
  <c r="BS4" i="1"/>
  <c r="BR18" i="1"/>
  <c r="BS18" i="1"/>
  <c r="BR11" i="1"/>
  <c r="BS11" i="1"/>
  <c r="BR14" i="1"/>
  <c r="BS14" i="1"/>
  <c r="BR10" i="1"/>
  <c r="BS10" i="1"/>
  <c r="BR22" i="1"/>
  <c r="BS22" i="1"/>
  <c r="BR23" i="1"/>
  <c r="BS23" i="1"/>
  <c r="BR21" i="1"/>
  <c r="BS21" i="1"/>
  <c r="BR5" i="1"/>
  <c r="BS5" i="1"/>
  <c r="BR25" i="1"/>
  <c r="BS25" i="1"/>
  <c r="BR35" i="1"/>
  <c r="BS35" i="1"/>
  <c r="BS6" i="1"/>
  <c r="BR6" i="1"/>
  <c r="B19" i="14" l="1"/>
  <c r="C19" i="14" s="1"/>
  <c r="D19" i="14" s="1"/>
  <c r="E19" i="14" s="1"/>
  <c r="BT19" i="1"/>
  <c r="BT35" i="1"/>
  <c r="BT10" i="1"/>
  <c r="BT6" i="1"/>
  <c r="BT18" i="1"/>
  <c r="BT15" i="1"/>
  <c r="BT20" i="1"/>
  <c r="BT34" i="1"/>
  <c r="BT21" i="1"/>
  <c r="BT22" i="1"/>
  <c r="BT2" i="1"/>
  <c r="BT17" i="1"/>
  <c r="BT26" i="1"/>
  <c r="BT3" i="1"/>
  <c r="BT28" i="1"/>
  <c r="BT24" i="1"/>
  <c r="BT23" i="1"/>
  <c r="BT4" i="1"/>
  <c r="BT9" i="1"/>
  <c r="BT5" i="1"/>
  <c r="BT11" i="1"/>
  <c r="BT25" i="1"/>
  <c r="BT14" i="1"/>
  <c r="BT27" i="1"/>
  <c r="BK34" i="1"/>
  <c r="BL34" i="1"/>
  <c r="U34" i="1"/>
  <c r="V34" i="1"/>
  <c r="AB34" i="1"/>
  <c r="AC34" i="1"/>
  <c r="AI34" i="1"/>
  <c r="AJ34" i="1"/>
  <c r="AP34" i="1"/>
  <c r="AQ34" i="1"/>
  <c r="AW34" i="1"/>
  <c r="AX34" i="1"/>
  <c r="BD34" i="1"/>
  <c r="BE34" i="1"/>
  <c r="C34" i="1"/>
  <c r="BK21" i="1"/>
  <c r="BL21" i="1"/>
  <c r="U21" i="1"/>
  <c r="V21" i="1"/>
  <c r="AB21" i="1"/>
  <c r="AC21" i="1"/>
  <c r="AI21" i="1"/>
  <c r="DR21" i="1" s="1"/>
  <c r="AJ21" i="1"/>
  <c r="AQ21" i="1"/>
  <c r="AW21" i="1"/>
  <c r="AX21" i="1"/>
  <c r="BD21" i="1"/>
  <c r="BE21" i="1"/>
  <c r="C21" i="1"/>
  <c r="G31" i="13"/>
  <c r="H31" i="13" s="1"/>
  <c r="C31" i="13"/>
  <c r="D31" i="13" s="1"/>
  <c r="E31" i="13" s="1"/>
  <c r="G25" i="13"/>
  <c r="H25" i="13" s="1"/>
  <c r="B13" i="13"/>
  <c r="B19" i="13" s="1"/>
  <c r="C7" i="13"/>
  <c r="D7" i="13" s="1"/>
  <c r="E7" i="13" s="1"/>
  <c r="F7" i="13" s="1"/>
  <c r="G7" i="13" s="1"/>
  <c r="H7" i="13" s="1"/>
  <c r="G1" i="13"/>
  <c r="H1" i="13" s="1"/>
  <c r="DS21" i="1" l="1"/>
  <c r="DR34" i="1"/>
  <c r="DT34" i="1"/>
  <c r="DU34" i="1" s="1"/>
  <c r="DT21" i="1"/>
  <c r="DU21" i="1" s="1"/>
  <c r="AY21" i="1"/>
  <c r="W21" i="1"/>
  <c r="BF21" i="1"/>
  <c r="AR21" i="1"/>
  <c r="AD21" i="1"/>
  <c r="AY34" i="1"/>
  <c r="BM34" i="1"/>
  <c r="BF34" i="1"/>
  <c r="AK34" i="1"/>
  <c r="AK21" i="1"/>
  <c r="BM21" i="1"/>
  <c r="AR34" i="1"/>
  <c r="AD34" i="1"/>
  <c r="C19" i="13"/>
  <c r="D19" i="13" s="1"/>
  <c r="E19" i="13" s="1"/>
  <c r="F19" i="13" s="1"/>
  <c r="G19" i="13" s="1"/>
  <c r="H19" i="13" s="1"/>
  <c r="B25" i="13"/>
  <c r="C25" i="13" s="1"/>
  <c r="D25" i="13" s="1"/>
  <c r="E25" i="13" s="1"/>
  <c r="C13" i="13"/>
  <c r="D13" i="13" s="1"/>
  <c r="E13" i="13" s="1"/>
  <c r="F13" i="13" s="1"/>
  <c r="G13" i="13" s="1"/>
  <c r="H13" i="13" s="1"/>
  <c r="BK5" i="1"/>
  <c r="BK15" i="1"/>
  <c r="BL15" i="1"/>
  <c r="BK4" i="1"/>
  <c r="BL4" i="1"/>
  <c r="BK22" i="1"/>
  <c r="BL22" i="1"/>
  <c r="BK23" i="1"/>
  <c r="BL23" i="1"/>
  <c r="BK35" i="1"/>
  <c r="BL35" i="1"/>
  <c r="BD15" i="1"/>
  <c r="BE15" i="1"/>
  <c r="BD4" i="1"/>
  <c r="BE4" i="1"/>
  <c r="BD22" i="1"/>
  <c r="BE22" i="1"/>
  <c r="BD23" i="1"/>
  <c r="BE23" i="1"/>
  <c r="BD35" i="1"/>
  <c r="BE35" i="1"/>
  <c r="AW15" i="1"/>
  <c r="AX15" i="1"/>
  <c r="AW4" i="1"/>
  <c r="AX4" i="1"/>
  <c r="AW22" i="1"/>
  <c r="AX22" i="1"/>
  <c r="AW23" i="1"/>
  <c r="AX23" i="1"/>
  <c r="AW35" i="1"/>
  <c r="AX35" i="1"/>
  <c r="AP15" i="1"/>
  <c r="AQ15" i="1"/>
  <c r="AP4" i="1"/>
  <c r="AQ4" i="1"/>
  <c r="AP22" i="1"/>
  <c r="AQ22" i="1"/>
  <c r="AP23" i="1"/>
  <c r="AQ23" i="1"/>
  <c r="AP35" i="1"/>
  <c r="AQ35" i="1"/>
  <c r="AI15" i="1"/>
  <c r="AJ15" i="1"/>
  <c r="AI4" i="1"/>
  <c r="AJ4" i="1"/>
  <c r="AI22" i="1"/>
  <c r="AJ22" i="1"/>
  <c r="AI23" i="1"/>
  <c r="AJ23" i="1"/>
  <c r="AI35" i="1"/>
  <c r="AJ35" i="1"/>
  <c r="AB15" i="1"/>
  <c r="AC15" i="1"/>
  <c r="AB4" i="1"/>
  <c r="AC4" i="1"/>
  <c r="AB22" i="1"/>
  <c r="AC22" i="1"/>
  <c r="AB23" i="1"/>
  <c r="AC23" i="1"/>
  <c r="AB35" i="1"/>
  <c r="AC35" i="1"/>
  <c r="U15" i="1"/>
  <c r="V15" i="1"/>
  <c r="U4" i="1"/>
  <c r="V4" i="1"/>
  <c r="U22" i="1"/>
  <c r="V22" i="1"/>
  <c r="U23" i="1"/>
  <c r="V23" i="1"/>
  <c r="U35" i="1"/>
  <c r="V35" i="1"/>
  <c r="N15" i="1"/>
  <c r="O15" i="1"/>
  <c r="N4" i="1"/>
  <c r="O4" i="1"/>
  <c r="N22" i="1"/>
  <c r="O22" i="1"/>
  <c r="N23" i="1"/>
  <c r="O23" i="1"/>
  <c r="N35" i="1"/>
  <c r="O35" i="1"/>
  <c r="C19" i="1"/>
  <c r="C17" i="1"/>
  <c r="C26" i="1"/>
  <c r="C9" i="1"/>
  <c r="C28" i="1"/>
  <c r="C2" i="1"/>
  <c r="C27" i="1"/>
  <c r="C18" i="1"/>
  <c r="C15" i="1"/>
  <c r="C3" i="1"/>
  <c r="C11" i="1"/>
  <c r="C14" i="1"/>
  <c r="C10" i="1"/>
  <c r="C20" i="1"/>
  <c r="C5" i="1"/>
  <c r="C22" i="1"/>
  <c r="C23" i="1"/>
  <c r="C25" i="1"/>
  <c r="C35" i="1"/>
  <c r="DT4" i="1" l="1"/>
  <c r="DU4" i="1" s="1"/>
  <c r="DR4" i="1"/>
  <c r="DT35" i="1"/>
  <c r="DU35" i="1" s="1"/>
  <c r="DT15" i="1"/>
  <c r="DU15" i="1" s="1"/>
  <c r="DR35" i="1"/>
  <c r="DR15" i="1"/>
  <c r="DT23" i="1"/>
  <c r="DU23" i="1" s="1"/>
  <c r="DR23" i="1"/>
  <c r="DS34" i="1"/>
  <c r="DW34" i="1" s="1"/>
  <c r="DV34" i="1"/>
  <c r="DT22" i="1"/>
  <c r="DU22" i="1" s="1"/>
  <c r="DV21" i="1"/>
  <c r="DR22" i="1"/>
  <c r="DW21" i="1"/>
  <c r="W22" i="1"/>
  <c r="AD35" i="1"/>
  <c r="AK22" i="1"/>
  <c r="AY35" i="1"/>
  <c r="AY22" i="1"/>
  <c r="AY15" i="1"/>
  <c r="AY4" i="1"/>
  <c r="BM35" i="1"/>
  <c r="BM22" i="1"/>
  <c r="AR15" i="1"/>
  <c r="BM15" i="1"/>
  <c r="P22" i="1"/>
  <c r="P15" i="1"/>
  <c r="AD22" i="1"/>
  <c r="AD15" i="1"/>
  <c r="AR22" i="1"/>
  <c r="BF4" i="1"/>
  <c r="P23" i="1"/>
  <c r="W23" i="1"/>
  <c r="BF22" i="1"/>
  <c r="AD4" i="1"/>
  <c r="AK23" i="1"/>
  <c r="AR4" i="1"/>
  <c r="P4" i="1"/>
  <c r="W35" i="1"/>
  <c r="W15" i="1"/>
  <c r="AK4" i="1"/>
  <c r="AR23" i="1"/>
  <c r="BF23" i="1"/>
  <c r="BF15" i="1"/>
  <c r="BM23" i="1"/>
  <c r="P35" i="1"/>
  <c r="W4" i="1"/>
  <c r="AD23" i="1"/>
  <c r="AK35" i="1"/>
  <c r="AK15" i="1"/>
  <c r="AR35" i="1"/>
  <c r="AY23" i="1"/>
  <c r="BF35" i="1"/>
  <c r="BM4" i="1"/>
  <c r="DS23" i="1" l="1"/>
  <c r="DW23" i="1" s="1"/>
  <c r="DV23" i="1"/>
  <c r="DS22" i="1"/>
  <c r="DW22" i="1" s="1"/>
  <c r="DV22" i="1"/>
  <c r="DS15" i="1"/>
  <c r="DW15" i="1" s="1"/>
  <c r="DV15" i="1"/>
  <c r="DV35" i="1"/>
  <c r="DS35" i="1"/>
  <c r="DW35" i="1" s="1"/>
  <c r="DS4" i="1"/>
  <c r="DW4" i="1" s="1"/>
  <c r="DV4" i="1"/>
  <c r="BL19" i="1"/>
  <c r="BK19" i="1"/>
  <c r="BE19" i="1"/>
  <c r="O19" i="1"/>
  <c r="BD24" i="1"/>
  <c r="BE24" i="1"/>
  <c r="BD17" i="1"/>
  <c r="BE17" i="1"/>
  <c r="BD26" i="1"/>
  <c r="BE26" i="1"/>
  <c r="BD9" i="1"/>
  <c r="BE9" i="1"/>
  <c r="BD28" i="1"/>
  <c r="BE28" i="1"/>
  <c r="BD2" i="1"/>
  <c r="BE2" i="1"/>
  <c r="BD27" i="1"/>
  <c r="BE27" i="1"/>
  <c r="BD18" i="1"/>
  <c r="BE18" i="1"/>
  <c r="AW24" i="1"/>
  <c r="AX24" i="1"/>
  <c r="AW17" i="1"/>
  <c r="AX17" i="1"/>
  <c r="AW26" i="1"/>
  <c r="AX26" i="1"/>
  <c r="AW9" i="1"/>
  <c r="AX9" i="1"/>
  <c r="AW28" i="1"/>
  <c r="AX28" i="1"/>
  <c r="AP24" i="1"/>
  <c r="AQ24" i="1"/>
  <c r="AP17" i="1"/>
  <c r="AQ17" i="1"/>
  <c r="AP26" i="1"/>
  <c r="AQ26" i="1"/>
  <c r="AP9" i="1"/>
  <c r="AQ9" i="1"/>
  <c r="AP28" i="1"/>
  <c r="AQ28" i="1"/>
  <c r="AP2" i="1"/>
  <c r="AQ2" i="1"/>
  <c r="AP27" i="1"/>
  <c r="AQ27" i="1"/>
  <c r="AI24" i="1"/>
  <c r="AJ24" i="1"/>
  <c r="AI17" i="1"/>
  <c r="AJ17" i="1"/>
  <c r="AI26" i="1"/>
  <c r="AJ26" i="1"/>
  <c r="AI9" i="1"/>
  <c r="AJ9" i="1"/>
  <c r="AI28" i="1"/>
  <c r="AJ28" i="1"/>
  <c r="AI2" i="1"/>
  <c r="AJ2" i="1"/>
  <c r="AI27" i="1"/>
  <c r="AJ27" i="1"/>
  <c r="AI18" i="1"/>
  <c r="AJ18" i="1"/>
  <c r="AI3" i="1"/>
  <c r="AJ3" i="1"/>
  <c r="AI11" i="1"/>
  <c r="AJ11" i="1"/>
  <c r="AB24" i="1"/>
  <c r="AC24" i="1"/>
  <c r="AB17" i="1"/>
  <c r="AC17" i="1"/>
  <c r="AB26" i="1"/>
  <c r="AC26" i="1"/>
  <c r="AB9" i="1"/>
  <c r="AC9" i="1"/>
  <c r="AB28" i="1"/>
  <c r="AC28" i="1"/>
  <c r="AB2" i="1"/>
  <c r="AC2" i="1"/>
  <c r="AB27" i="1"/>
  <c r="AC27" i="1"/>
  <c r="U24" i="1"/>
  <c r="V24" i="1"/>
  <c r="U17" i="1"/>
  <c r="V17" i="1"/>
  <c r="U26" i="1"/>
  <c r="V26" i="1"/>
  <c r="U9" i="1"/>
  <c r="V9" i="1"/>
  <c r="U28" i="1"/>
  <c r="V28" i="1"/>
  <c r="U2" i="1"/>
  <c r="V2" i="1"/>
  <c r="U27" i="1"/>
  <c r="V27" i="1"/>
  <c r="N24" i="1"/>
  <c r="O24" i="1"/>
  <c r="N17" i="1"/>
  <c r="O17" i="1"/>
  <c r="N26" i="1"/>
  <c r="O26" i="1"/>
  <c r="N9" i="1"/>
  <c r="O9" i="1"/>
  <c r="N28" i="1"/>
  <c r="O28" i="1"/>
  <c r="N2" i="1"/>
  <c r="O2" i="1"/>
  <c r="N27" i="1"/>
  <c r="O27" i="1"/>
  <c r="N18" i="1"/>
  <c r="O18" i="1"/>
  <c r="BK28" i="1"/>
  <c r="BL28" i="1"/>
  <c r="BL6" i="1"/>
  <c r="BK6" i="1"/>
  <c r="BL25" i="1"/>
  <c r="BK25" i="1"/>
  <c r="BL5" i="1"/>
  <c r="BL20" i="1"/>
  <c r="BK20" i="1"/>
  <c r="BL10" i="1"/>
  <c r="BK10" i="1"/>
  <c r="BL14" i="1"/>
  <c r="BK14" i="1"/>
  <c r="BL11" i="1"/>
  <c r="BK11" i="1"/>
  <c r="BL3" i="1"/>
  <c r="BK3" i="1"/>
  <c r="BL18" i="1"/>
  <c r="BK18" i="1"/>
  <c r="BL27" i="1"/>
  <c r="BK27" i="1"/>
  <c r="BL2" i="1"/>
  <c r="BK2" i="1"/>
  <c r="BL9" i="1"/>
  <c r="BK9" i="1"/>
  <c r="BL26" i="1"/>
  <c r="BK26" i="1"/>
  <c r="BL17" i="1"/>
  <c r="BK17" i="1"/>
  <c r="BL24" i="1"/>
  <c r="BK24" i="1"/>
  <c r="DR9" i="1" l="1"/>
  <c r="DR26" i="1"/>
  <c r="DT17" i="1"/>
  <c r="DU17" i="1" s="1"/>
  <c r="DR17" i="1"/>
  <c r="DT28" i="1"/>
  <c r="DU28" i="1" s="1"/>
  <c r="DT24" i="1"/>
  <c r="DU24" i="1" s="1"/>
  <c r="DT26" i="1"/>
  <c r="DU26" i="1" s="1"/>
  <c r="DR28" i="1"/>
  <c r="DR24" i="1"/>
  <c r="DT9" i="1"/>
  <c r="DU9" i="1" s="1"/>
  <c r="W26" i="1"/>
  <c r="AR28" i="1"/>
  <c r="AY28" i="1"/>
  <c r="AY26" i="1"/>
  <c r="P9" i="1"/>
  <c r="BF26" i="1"/>
  <c r="BM19" i="1"/>
  <c r="BM28" i="1"/>
  <c r="P28" i="1"/>
  <c r="W2" i="1"/>
  <c r="W27" i="1"/>
  <c r="W9" i="1"/>
  <c r="AD17" i="1"/>
  <c r="AR2" i="1"/>
  <c r="AR26" i="1"/>
  <c r="AD24" i="1"/>
  <c r="AR27" i="1"/>
  <c r="BM17" i="1"/>
  <c r="BM26" i="1"/>
  <c r="BM9" i="1"/>
  <c r="BM2" i="1"/>
  <c r="BM18" i="1"/>
  <c r="BM11" i="1"/>
  <c r="BM10" i="1"/>
  <c r="BM20" i="1"/>
  <c r="BM5" i="1"/>
  <c r="BM6" i="1"/>
  <c r="P26" i="1"/>
  <c r="W28" i="1"/>
  <c r="W17" i="1"/>
  <c r="AK26" i="1"/>
  <c r="AR9" i="1"/>
  <c r="AR17" i="1"/>
  <c r="BF9" i="1"/>
  <c r="BM24" i="1"/>
  <c r="BM14" i="1"/>
  <c r="W24" i="1"/>
  <c r="AD27" i="1"/>
  <c r="AD28" i="1"/>
  <c r="AK11" i="1"/>
  <c r="AR24" i="1"/>
  <c r="BF18" i="1"/>
  <c r="P18" i="1"/>
  <c r="P27" i="1"/>
  <c r="P17" i="1"/>
  <c r="AD2" i="1"/>
  <c r="AK3" i="1"/>
  <c r="AK2" i="1"/>
  <c r="AK9" i="1"/>
  <c r="AK24" i="1"/>
  <c r="AY9" i="1"/>
  <c r="AY24" i="1"/>
  <c r="BF27" i="1"/>
  <c r="BF28" i="1"/>
  <c r="BF24" i="1"/>
  <c r="BM27" i="1"/>
  <c r="BM3" i="1"/>
  <c r="BM25" i="1"/>
  <c r="P2" i="1"/>
  <c r="P24" i="1"/>
  <c r="AD9" i="1"/>
  <c r="AD26" i="1"/>
  <c r="AK18" i="1"/>
  <c r="AK27" i="1"/>
  <c r="AK28" i="1"/>
  <c r="AK17" i="1"/>
  <c r="AY17" i="1"/>
  <c r="BF2" i="1"/>
  <c r="BF17" i="1"/>
  <c r="DS17" i="1" l="1"/>
  <c r="DW17" i="1" s="1"/>
  <c r="DV17" i="1"/>
  <c r="DS24" i="1"/>
  <c r="DW24" i="1" s="1"/>
  <c r="DV24" i="1"/>
  <c r="DS28" i="1"/>
  <c r="DW28" i="1" s="1"/>
  <c r="DV28" i="1"/>
  <c r="DS26" i="1"/>
  <c r="DW26" i="1" s="1"/>
  <c r="DV26" i="1"/>
  <c r="DS9" i="1"/>
  <c r="DW9" i="1" s="1"/>
  <c r="DV9" i="1"/>
  <c r="BE6" i="1"/>
  <c r="BD6" i="1"/>
  <c r="BE25" i="1"/>
  <c r="BD25" i="1"/>
  <c r="BE5" i="1"/>
  <c r="BD5" i="1"/>
  <c r="BE20" i="1"/>
  <c r="BD20" i="1"/>
  <c r="BE10" i="1"/>
  <c r="BD10" i="1"/>
  <c r="BE14" i="1"/>
  <c r="BD14" i="1"/>
  <c r="BE11" i="1"/>
  <c r="BD11" i="1"/>
  <c r="BE3" i="1"/>
  <c r="BD3" i="1"/>
  <c r="BD19" i="1"/>
  <c r="AW27" i="1"/>
  <c r="DR27" i="1" s="1"/>
  <c r="AX27" i="1"/>
  <c r="DT27" i="1" s="1"/>
  <c r="DU27" i="1" s="1"/>
  <c r="AW25" i="1"/>
  <c r="AX25" i="1"/>
  <c r="AP25" i="1"/>
  <c r="AQ25" i="1"/>
  <c r="AI25" i="1"/>
  <c r="AJ25" i="1"/>
  <c r="U25" i="1"/>
  <c r="V25" i="1"/>
  <c r="AB25" i="1"/>
  <c r="AC25" i="1"/>
  <c r="N25" i="1"/>
  <c r="O25" i="1"/>
  <c r="DR25" i="1" l="1"/>
  <c r="DS25" i="1"/>
  <c r="DV27" i="1"/>
  <c r="DS27" i="1"/>
  <c r="DW27" i="1" s="1"/>
  <c r="DT25" i="1"/>
  <c r="DU25" i="1" s="1"/>
  <c r="BF19" i="1"/>
  <c r="BF3" i="1"/>
  <c r="BF11" i="1"/>
  <c r="BF10" i="1"/>
  <c r="BF20" i="1"/>
  <c r="BF5" i="1"/>
  <c r="BF25" i="1"/>
  <c r="BF6" i="1"/>
  <c r="BF14" i="1"/>
  <c r="AD25" i="1"/>
  <c r="W25" i="1"/>
  <c r="AK25" i="1"/>
  <c r="AY25" i="1"/>
  <c r="P25" i="1"/>
  <c r="AR25" i="1"/>
  <c r="AY27" i="1"/>
  <c r="DW25" i="1" l="1"/>
  <c r="DV25" i="1"/>
  <c r="AX2" i="1"/>
  <c r="DT2" i="1" s="1"/>
  <c r="DU2" i="1" s="1"/>
  <c r="AW2" i="1"/>
  <c r="DR2" i="1" s="1"/>
  <c r="AX11" i="1"/>
  <c r="AW11" i="1"/>
  <c r="AX14" i="1"/>
  <c r="AW14" i="1"/>
  <c r="AX5" i="1"/>
  <c r="AW5" i="1"/>
  <c r="AX3" i="1"/>
  <c r="AW3" i="1"/>
  <c r="AX6" i="1"/>
  <c r="AW6" i="1"/>
  <c r="AX20" i="1"/>
  <c r="AW20" i="1"/>
  <c r="AX18" i="1"/>
  <c r="AW18" i="1"/>
  <c r="AX19" i="1"/>
  <c r="AW19" i="1"/>
  <c r="AX10" i="1"/>
  <c r="AW10" i="1"/>
  <c r="DS2" i="1" l="1"/>
  <c r="DW2" i="1" s="1"/>
  <c r="DV2" i="1"/>
  <c r="AY19" i="1"/>
  <c r="AY18" i="1"/>
  <c r="AY20" i="1"/>
  <c r="AY3" i="1"/>
  <c r="AY5" i="1"/>
  <c r="AY11" i="1"/>
  <c r="AY10" i="1"/>
  <c r="AY6" i="1"/>
  <c r="AY14" i="1"/>
  <c r="AY2" i="1"/>
  <c r="G1" i="12"/>
  <c r="H1" i="12" s="1"/>
  <c r="G26" i="12"/>
  <c r="H26" i="12" s="1"/>
  <c r="B13" i="12"/>
  <c r="B19" i="12" s="1"/>
  <c r="C7" i="12"/>
  <c r="D7" i="12" s="1"/>
  <c r="E7" i="12" s="1"/>
  <c r="F7" i="12" s="1"/>
  <c r="G7" i="12" s="1"/>
  <c r="H7" i="12" s="1"/>
  <c r="B13" i="11"/>
  <c r="D1" i="11"/>
  <c r="E1" i="11" s="1"/>
  <c r="F1" i="11" s="1"/>
  <c r="G1" i="11" s="1"/>
  <c r="H1" i="11" s="1"/>
  <c r="B26" i="12" l="1"/>
  <c r="C26" i="12" s="1"/>
  <c r="D26" i="12" s="1"/>
  <c r="E26" i="12" s="1"/>
  <c r="C19" i="12"/>
  <c r="D19" i="12" s="1"/>
  <c r="E19" i="12" s="1"/>
  <c r="F19" i="12" s="1"/>
  <c r="G19" i="12" s="1"/>
  <c r="H19" i="12" s="1"/>
  <c r="C13" i="12"/>
  <c r="D13" i="12" s="1"/>
  <c r="E13" i="12" s="1"/>
  <c r="F13" i="12" s="1"/>
  <c r="G13" i="12" s="1"/>
  <c r="H13" i="12" s="1"/>
  <c r="C13" i="11"/>
  <c r="D13" i="11" s="1"/>
  <c r="E13" i="11" s="1"/>
  <c r="F13" i="11" s="1"/>
  <c r="G13" i="11" s="1"/>
  <c r="H13" i="11" s="1"/>
  <c r="B19" i="11"/>
  <c r="C7" i="11"/>
  <c r="D7" i="11" s="1"/>
  <c r="E7" i="11" s="1"/>
  <c r="F7" i="11" s="1"/>
  <c r="G7" i="11" s="1"/>
  <c r="H7" i="11" s="1"/>
  <c r="C19" i="11" l="1"/>
  <c r="D19" i="11" s="1"/>
  <c r="E19" i="11" s="1"/>
  <c r="F19" i="11" s="1"/>
  <c r="G19" i="11" s="1"/>
  <c r="H19" i="11" s="1"/>
  <c r="B25" i="11"/>
  <c r="C25" i="11" s="1"/>
  <c r="D25" i="11" s="1"/>
  <c r="E25" i="11" s="1"/>
  <c r="G25" i="11" s="1"/>
  <c r="H25" i="11" s="1"/>
  <c r="AP19" i="1" l="1"/>
  <c r="AQ19" i="1"/>
  <c r="AP3" i="1"/>
  <c r="AQ3" i="1"/>
  <c r="AP18" i="1"/>
  <c r="AQ18" i="1"/>
  <c r="AP10" i="1"/>
  <c r="AQ10" i="1"/>
  <c r="AP20" i="1"/>
  <c r="AQ20" i="1"/>
  <c r="AP14" i="1"/>
  <c r="AQ14" i="1"/>
  <c r="AP11" i="1"/>
  <c r="AQ11" i="1"/>
  <c r="AP5" i="1"/>
  <c r="AQ5" i="1"/>
  <c r="AP6" i="1"/>
  <c r="AQ6" i="1"/>
  <c r="AR5" i="1" l="1"/>
  <c r="AR10" i="1"/>
  <c r="AR14" i="1"/>
  <c r="AR18" i="1"/>
  <c r="AR6" i="1"/>
  <c r="AR11" i="1"/>
  <c r="AR20" i="1"/>
  <c r="AR3" i="1"/>
  <c r="AR19" i="1"/>
  <c r="N3" i="1" l="1"/>
  <c r="O3" i="1"/>
  <c r="N11" i="1"/>
  <c r="O11" i="1"/>
  <c r="N14" i="1"/>
  <c r="O14" i="1"/>
  <c r="N10" i="1"/>
  <c r="O10" i="1"/>
  <c r="N20" i="1"/>
  <c r="O20" i="1"/>
  <c r="N5" i="1"/>
  <c r="O5" i="1"/>
  <c r="U18" i="1"/>
  <c r="V18" i="1"/>
  <c r="U3" i="1"/>
  <c r="V3" i="1"/>
  <c r="U11" i="1"/>
  <c r="V11" i="1"/>
  <c r="U14" i="1"/>
  <c r="V14" i="1"/>
  <c r="U10" i="1"/>
  <c r="V10" i="1"/>
  <c r="U20" i="1"/>
  <c r="V20" i="1"/>
  <c r="U5" i="1"/>
  <c r="V5" i="1"/>
  <c r="U6" i="1"/>
  <c r="V6" i="1"/>
  <c r="AB18" i="1"/>
  <c r="DR18" i="1" s="1"/>
  <c r="AC18" i="1"/>
  <c r="DT18" i="1" s="1"/>
  <c r="DU18" i="1" s="1"/>
  <c r="AB3" i="1"/>
  <c r="DR3" i="1" s="1"/>
  <c r="AC3" i="1"/>
  <c r="DT3" i="1" s="1"/>
  <c r="DU3" i="1" s="1"/>
  <c r="AB11" i="1"/>
  <c r="DR11" i="1" s="1"/>
  <c r="AC11" i="1"/>
  <c r="AB14" i="1"/>
  <c r="AC14" i="1"/>
  <c r="AB10" i="1"/>
  <c r="AC10" i="1"/>
  <c r="AB20" i="1"/>
  <c r="AC20" i="1"/>
  <c r="AB5" i="1"/>
  <c r="AC5" i="1"/>
  <c r="AB6" i="1"/>
  <c r="AC6" i="1"/>
  <c r="AI14" i="1"/>
  <c r="DR14" i="1" s="1"/>
  <c r="AJ14" i="1"/>
  <c r="DT14" i="1" s="1"/>
  <c r="DU14" i="1" s="1"/>
  <c r="AI10" i="1"/>
  <c r="DR10" i="1" s="1"/>
  <c r="AJ10" i="1"/>
  <c r="DT10" i="1" s="1"/>
  <c r="DU10" i="1" s="1"/>
  <c r="AI20" i="1"/>
  <c r="AJ20" i="1"/>
  <c r="AI5" i="1"/>
  <c r="DR5" i="1" s="1"/>
  <c r="AJ5" i="1"/>
  <c r="DT5" i="1" s="1"/>
  <c r="DU5" i="1" s="1"/>
  <c r="AI6" i="1"/>
  <c r="DR6" i="1" s="1"/>
  <c r="AJ6" i="1"/>
  <c r="DT6" i="1" s="1"/>
  <c r="DU6" i="1" s="1"/>
  <c r="DS3" i="1" l="1"/>
  <c r="DW3" i="1" s="1"/>
  <c r="DV3" i="1"/>
  <c r="DV10" i="1"/>
  <c r="DS10" i="1"/>
  <c r="DW10" i="1" s="1"/>
  <c r="DV18" i="1"/>
  <c r="DS18" i="1"/>
  <c r="DW18" i="1" s="1"/>
  <c r="DS6" i="1"/>
  <c r="DW6" i="1" s="1"/>
  <c r="DV6" i="1"/>
  <c r="DV5" i="1"/>
  <c r="DS5" i="1"/>
  <c r="DW5" i="1" s="1"/>
  <c r="DT20" i="1"/>
  <c r="DU20" i="1" s="1"/>
  <c r="DT11" i="1"/>
  <c r="DU11" i="1" s="1"/>
  <c r="DS14" i="1"/>
  <c r="DW14" i="1" s="1"/>
  <c r="DV14" i="1"/>
  <c r="DR20" i="1"/>
  <c r="DS11" i="1"/>
  <c r="P14" i="1"/>
  <c r="AD14" i="1"/>
  <c r="P5" i="1"/>
  <c r="AD5" i="1"/>
  <c r="AK10" i="1"/>
  <c r="W10" i="1"/>
  <c r="P11" i="1"/>
  <c r="AK6" i="1"/>
  <c r="AD18" i="1"/>
  <c r="AD3" i="1"/>
  <c r="W5" i="1"/>
  <c r="W11" i="1"/>
  <c r="AK20" i="1"/>
  <c r="AD11" i="1"/>
  <c r="W20" i="1"/>
  <c r="W3" i="1"/>
  <c r="P10" i="1"/>
  <c r="AK5" i="1"/>
  <c r="W14" i="1"/>
  <c r="P3" i="1"/>
  <c r="W18" i="1"/>
  <c r="AK14" i="1"/>
  <c r="AD6" i="1"/>
  <c r="AD20" i="1"/>
  <c r="W6" i="1"/>
  <c r="P20" i="1"/>
  <c r="AD10" i="1"/>
  <c r="DS20" i="1" l="1"/>
  <c r="DW20" i="1" s="1"/>
  <c r="DV20" i="1"/>
  <c r="DV11" i="1"/>
  <c r="DW11" i="1"/>
  <c r="C7" i="3"/>
  <c r="C3" i="3"/>
  <c r="C6" i="1" l="1"/>
  <c r="AJ19" i="1" l="1"/>
  <c r="AI19" i="1"/>
  <c r="AK19" i="1" l="1"/>
  <c r="C8" i="3"/>
  <c r="C9" i="3" s="1"/>
  <c r="C2" i="3"/>
  <c r="C4" i="3" s="1"/>
  <c r="AC19" i="1" l="1"/>
  <c r="AB19" i="1"/>
  <c r="V19" i="1"/>
  <c r="U19" i="1"/>
  <c r="N19" i="1"/>
  <c r="DR19" i="1" l="1"/>
  <c r="DS19" i="1" s="1"/>
  <c r="DT19" i="1"/>
  <c r="DU19" i="1" s="1"/>
  <c r="P19" i="1"/>
  <c r="W19" i="1"/>
  <c r="AD19" i="1"/>
  <c r="DV19" i="1" l="1"/>
  <c r="DW19" i="1"/>
</calcChain>
</file>

<file path=xl/sharedStrings.xml><?xml version="1.0" encoding="utf-8"?>
<sst xmlns="http://schemas.openxmlformats.org/spreadsheetml/2006/main" count="1683" uniqueCount="291">
  <si>
    <t>חטיבה</t>
  </si>
  <si>
    <t>שם</t>
  </si>
  <si>
    <t>הערות</t>
  </si>
  <si>
    <t>פטור שמירות?</t>
  </si>
  <si>
    <t>עבר מבחן?</t>
  </si>
  <si>
    <t>מאי</t>
  </si>
  <si>
    <t>לא</t>
  </si>
  <si>
    <t>כן</t>
  </si>
  <si>
    <t>מירב</t>
  </si>
  <si>
    <t>עדן</t>
  </si>
  <si>
    <t>בר</t>
  </si>
  <si>
    <t>שקד</t>
  </si>
  <si>
    <t>שיר</t>
  </si>
  <si>
    <t>מפאוג</t>
  </si>
  <si>
    <t>אופיר</t>
  </si>
  <si>
    <t>מרחבים</t>
  </si>
  <si>
    <t>סה"כ חיילים</t>
  </si>
  <si>
    <t>סה"כ חיילים ששומרים</t>
  </si>
  <si>
    <t>סה"כ חיילים עם פטור</t>
  </si>
  <si>
    <t>סה"כ חיילים שעברו מבחן</t>
  </si>
  <si>
    <t>סה"כ חיילים שלא עברו מבחן</t>
  </si>
  <si>
    <t>מרכז מידע</t>
  </si>
  <si>
    <t>מגמ</t>
  </si>
  <si>
    <t>משלט</t>
  </si>
  <si>
    <t>תקן שמירה</t>
  </si>
  <si>
    <t>אוגוסט שבת שמירה</t>
  </si>
  <si>
    <t>אוגוסט שבת בלי שמירה</t>
  </si>
  <si>
    <t>אוגוסט לילות שמירה</t>
  </si>
  <si>
    <t>אוגוסט לילות בלי שמירה</t>
  </si>
  <si>
    <t>אוגוסט סה"כ שמירה</t>
  </si>
  <si>
    <t>אוגוסט סה"כ בלי שמירה</t>
  </si>
  <si>
    <t>מאוייש</t>
  </si>
  <si>
    <t>לא מאוייש</t>
  </si>
  <si>
    <t>סה"כ לאייש</t>
  </si>
  <si>
    <t>יולי שבת שמירה</t>
  </si>
  <si>
    <t>יולי שבת בלי שמירה</t>
  </si>
  <si>
    <t>יולי לילות שמירה</t>
  </si>
  <si>
    <t>יולי לילות בלי שמירה</t>
  </si>
  <si>
    <t>ספטמבר סה"כ שמירה</t>
  </si>
  <si>
    <t>ספטמבר סה"כ בלי שמירה</t>
  </si>
  <si>
    <t>סה"כ ספטמבר</t>
  </si>
  <si>
    <t>ספטמבר שבת שמירה</t>
  </si>
  <si>
    <t>ספטמבר שבת בלי שמירה</t>
  </si>
  <si>
    <t>ספטמבר לילות שמירה</t>
  </si>
  <si>
    <t>ספטמבר לילות בלי שמירה</t>
  </si>
  <si>
    <t>סה"כ אוגוסט</t>
  </si>
  <si>
    <t>סה"כ יולי</t>
  </si>
  <si>
    <t>יולי סה"כ שמירה</t>
  </si>
  <si>
    <t>יולי סה"כ בלי שמירה</t>
  </si>
  <si>
    <t>תאריך שחרור</t>
  </si>
  <si>
    <t>דקל</t>
  </si>
  <si>
    <t>כלנית</t>
  </si>
  <si>
    <t>אלכס</t>
  </si>
  <si>
    <t>אוקטובר שבת שמירה</t>
  </si>
  <si>
    <t>אוקטובר שבת בלי שמירה</t>
  </si>
  <si>
    <t>אוקטובר לילות שמירה</t>
  </si>
  <si>
    <t>אוקטובר לילות בלי שמירה</t>
  </si>
  <si>
    <t>אוקטובר סה"כ שמירה</t>
  </si>
  <si>
    <t>אוקטובר סה"כ בלי שמירה</t>
  </si>
  <si>
    <t>סה"כ אוקטובר</t>
  </si>
  <si>
    <t>תורן שומר 2</t>
  </si>
  <si>
    <t>תורן שומר 1</t>
  </si>
  <si>
    <t>-</t>
  </si>
  <si>
    <t>מאיה אחודה</t>
  </si>
  <si>
    <t>בר 9</t>
  </si>
  <si>
    <t>שני אחודה</t>
  </si>
  <si>
    <t>מאי 474</t>
  </si>
  <si>
    <t>אלכס 679</t>
  </si>
  <si>
    <t>כלנית 9</t>
  </si>
  <si>
    <t>מעיין 9</t>
  </si>
  <si>
    <t>שם מלא</t>
  </si>
  <si>
    <t>אחודה</t>
  </si>
  <si>
    <t>אסיה 11</t>
  </si>
  <si>
    <t>סופיה אחודה</t>
  </si>
  <si>
    <t>שיר 679</t>
  </si>
  <si>
    <t>יהל-אור 474</t>
  </si>
  <si>
    <t>מורז מפאוג</t>
  </si>
  <si>
    <t>מאי 679</t>
  </si>
  <si>
    <t>שגית 679</t>
  </si>
  <si>
    <t>דנה 11</t>
  </si>
  <si>
    <t>שי 209</t>
  </si>
  <si>
    <t>טאי 11</t>
  </si>
  <si>
    <t>הדס 679</t>
  </si>
  <si>
    <t>מירב 679</t>
  </si>
  <si>
    <t>שחר 11</t>
  </si>
  <si>
    <t>יובל 9</t>
  </si>
  <si>
    <t>יהל אור</t>
  </si>
  <si>
    <t>אופיר 679</t>
  </si>
  <si>
    <t>ניצן אחודה</t>
  </si>
  <si>
    <t>שיר מפאוג</t>
  </si>
  <si>
    <t>יובל 209</t>
  </si>
  <si>
    <t>שיר מרחבים</t>
  </si>
  <si>
    <t>גילי</t>
  </si>
  <si>
    <t>שקד 9</t>
  </si>
  <si>
    <t>נובמבר שבת שמירה</t>
  </si>
  <si>
    <t>נובמבר שבת בלי שמירה</t>
  </si>
  <si>
    <t>נובמבר לילות שמירה</t>
  </si>
  <si>
    <t>נובמבר לילות בלי שמירה</t>
  </si>
  <si>
    <t>נובמבר סה"כ שמירה</t>
  </si>
  <si>
    <t>נובמבר סה"כ בלי שמירה</t>
  </si>
  <si>
    <t>סה"כ נובמבר</t>
  </si>
  <si>
    <t>תורן שומר</t>
  </si>
  <si>
    <t>דיאנה אחודה</t>
  </si>
  <si>
    <t>גילי 209</t>
  </si>
  <si>
    <t>עדן 11</t>
  </si>
  <si>
    <t>סה"כ</t>
  </si>
  <si>
    <t>דצמבר שבת שמירה</t>
  </si>
  <si>
    <t>דצמבר שבת בלי שמירה</t>
  </si>
  <si>
    <t>דצמבר לילות שמירה</t>
  </si>
  <si>
    <t>דצמבר לילות בלי שמירה</t>
  </si>
  <si>
    <t>דצמבר סה"כ שמירה</t>
  </si>
  <si>
    <t>דצמבר סה"כ בלי שמירה</t>
  </si>
  <si>
    <t>סה"כ דצמבר</t>
  </si>
  <si>
    <t>מעין 9</t>
  </si>
  <si>
    <t>רותם</t>
  </si>
  <si>
    <t>אופק מרחבים</t>
  </si>
  <si>
    <t>רותם מרחבים</t>
  </si>
  <si>
    <t>דקל אחודה</t>
  </si>
  <si>
    <t>סה"כ שבתות שמירה</t>
  </si>
  <si>
    <t>סה"כ שבתות בלי שמירה</t>
  </si>
  <si>
    <t>סה"כ שבתות</t>
  </si>
  <si>
    <t>ירדן</t>
  </si>
  <si>
    <t>ולריה</t>
  </si>
  <si>
    <t>רבקה</t>
  </si>
  <si>
    <t>ינואר שבת שמירה</t>
  </si>
  <si>
    <t>ינואר שבת בלי שמירה</t>
  </si>
  <si>
    <t>ינואר לילות שמירה</t>
  </si>
  <si>
    <t>ינואר לילות בלי שמירה</t>
  </si>
  <si>
    <t>ינואר סה"כ שמירה</t>
  </si>
  <si>
    <t>ינואר סה"כ בלי שמירה</t>
  </si>
  <si>
    <t>סה"כ ינואר</t>
  </si>
  <si>
    <t>תאריך התחלה</t>
  </si>
  <si>
    <t>ממוצע לילות</t>
  </si>
  <si>
    <t>סה"כ שמירות</t>
  </si>
  <si>
    <t>סה"כ בלי שמירות</t>
  </si>
  <si>
    <t>ממוצע שמירות</t>
  </si>
  <si>
    <t>ממוצע בלי שמירות</t>
  </si>
  <si>
    <t>רבקה מפאוג</t>
  </si>
  <si>
    <t>ולריה 209</t>
  </si>
  <si>
    <t>ירדן 9</t>
  </si>
  <si>
    <t>יהל אור 474</t>
  </si>
  <si>
    <t>אלינה</t>
  </si>
  <si>
    <t>פברואר שבת שמירה</t>
  </si>
  <si>
    <t>פברואר שבת בלי שמירה</t>
  </si>
  <si>
    <t>פברואר לילות בלי שמירה</t>
  </si>
  <si>
    <t>סה"כ פברואר</t>
  </si>
  <si>
    <t>פברואר סה"כ בלי שמירה</t>
  </si>
  <si>
    <t>פברואר סה"כ שמירה</t>
  </si>
  <si>
    <t>אתי</t>
  </si>
  <si>
    <t>שובל</t>
  </si>
  <si>
    <t>נועה</t>
  </si>
  <si>
    <t>עמית</t>
  </si>
  <si>
    <t>יעל 9</t>
  </si>
  <si>
    <t>אתי 474</t>
  </si>
  <si>
    <t>שובל 474</t>
  </si>
  <si>
    <t>נועה אחודה</t>
  </si>
  <si>
    <t>עמית אחודה</t>
  </si>
  <si>
    <t>אלינה 209</t>
  </si>
  <si>
    <t>נועה מפאוג</t>
  </si>
  <si>
    <t>אור 9</t>
  </si>
  <si>
    <t>תאיר</t>
  </si>
  <si>
    <t>ניקול</t>
  </si>
  <si>
    <t>מרץ שבת שמירה</t>
  </si>
  <si>
    <t>מרץ שבת בלי שמירה</t>
  </si>
  <si>
    <t>מרץ לילות שמירה</t>
  </si>
  <si>
    <t>מרץ לילות בלי שמירה</t>
  </si>
  <si>
    <t>מרץ סה"כ שמירה</t>
  </si>
  <si>
    <t>מרץ סה"כ בלי שמירה</t>
  </si>
  <si>
    <t>סה"כ מרץ</t>
  </si>
  <si>
    <t>פסח א'</t>
  </si>
  <si>
    <t>פסח ב'</t>
  </si>
  <si>
    <t>עצמאות</t>
  </si>
  <si>
    <t>ניקול 11</t>
  </si>
  <si>
    <t>תאיר אחודה</t>
  </si>
  <si>
    <t>יוני 17</t>
  </si>
  <si>
    <t>יולי 17</t>
  </si>
  <si>
    <t>אוגוסט 17</t>
  </si>
  <si>
    <t>ספטמבר 17</t>
  </si>
  <si>
    <t>אוקטובר 17</t>
  </si>
  <si>
    <t>נובמבר 17</t>
  </si>
  <si>
    <t>ינואר 18</t>
  </si>
  <si>
    <t>פברואר 18</t>
  </si>
  <si>
    <t>חודש התחלה</t>
  </si>
  <si>
    <t>אפריל שבת שמירה</t>
  </si>
  <si>
    <t>אפריל שבת בלי שמירה</t>
  </si>
  <si>
    <t>אפריל לילות שמירה</t>
  </si>
  <si>
    <t>אפריל לילות בלי שמירה</t>
  </si>
  <si>
    <t>אפריל סה"כ שמירה</t>
  </si>
  <si>
    <t>אפריל סה"כ בלי שמירה</t>
  </si>
  <si>
    <t>סה"כ אפריל</t>
  </si>
  <si>
    <t>מאי 9</t>
  </si>
  <si>
    <t>חן</t>
  </si>
  <si>
    <t>התש 5</t>
  </si>
  <si>
    <t>מרץ 18</t>
  </si>
  <si>
    <t>מיכל</t>
  </si>
  <si>
    <t>פברואר לילות שמירה</t>
  </si>
  <si>
    <t>אורי 679</t>
  </si>
  <si>
    <t>מיכל 11</t>
  </si>
  <si>
    <t>חן 679</t>
  </si>
  <si>
    <t>סאן 209</t>
  </si>
  <si>
    <t>עדן אחודה</t>
  </si>
  <si>
    <t>נועה מרחבים</t>
  </si>
  <si>
    <t>שבועות</t>
  </si>
  <si>
    <t>דנה</t>
  </si>
  <si>
    <t>גל</t>
  </si>
  <si>
    <t>רוני</t>
  </si>
  <si>
    <t>לירוז</t>
  </si>
  <si>
    <t>אפריל 18</t>
  </si>
  <si>
    <t>מאי שבת שמירה</t>
  </si>
  <si>
    <t>מאי שבת בלי שמירה</t>
  </si>
  <si>
    <t>מאי לילות שמירה</t>
  </si>
  <si>
    <t>מאי סה"כ שמירה</t>
  </si>
  <si>
    <t>מאי סה"כ בלי שמירה</t>
  </si>
  <si>
    <t>סה"כ מאי</t>
  </si>
  <si>
    <t>דנה 9</t>
  </si>
  <si>
    <t>גל 11</t>
  </si>
  <si>
    <t>רוני 474</t>
  </si>
  <si>
    <t>לירוז 474</t>
  </si>
  <si>
    <t>יוני שבת שמירה</t>
  </si>
  <si>
    <t>יוני שבת בלי שמירה</t>
  </si>
  <si>
    <t>יוני לילות שמירה</t>
  </si>
  <si>
    <t>יוני לילות בלי שמירה</t>
  </si>
  <si>
    <t>יוני סה"כ שמירה</t>
  </si>
  <si>
    <t>יוני סה"כ בלי שמירה</t>
  </si>
  <si>
    <t>סה"כ יוני</t>
  </si>
  <si>
    <t>שבתות שמירה</t>
  </si>
  <si>
    <t>שבתות בלי שמירה</t>
  </si>
  <si>
    <t>לילות שמירה</t>
  </si>
  <si>
    <t>לילות בלי שמירה</t>
  </si>
  <si>
    <t>מאי 18</t>
  </si>
  <si>
    <t>יונתן</t>
  </si>
  <si>
    <t>התש 4</t>
  </si>
  <si>
    <t>מאיה</t>
  </si>
  <si>
    <t>זוהר 11</t>
  </si>
  <si>
    <t>עמית 9</t>
  </si>
  <si>
    <t>יונתן מרחבים</t>
  </si>
  <si>
    <t>עתודה לשובל: אתי</t>
  </si>
  <si>
    <t>עתודה לשובל: רוני</t>
  </si>
  <si>
    <t>עתודה לאורי 679: שיר 679</t>
  </si>
  <si>
    <t>עתודה לשיר 679:  שקד  9</t>
  </si>
  <si>
    <t>מאי לילות בלי שמירה</t>
  </si>
  <si>
    <t>יוני 18</t>
  </si>
  <si>
    <t>שיר אחודה</t>
  </si>
  <si>
    <t>אתי 11</t>
  </si>
  <si>
    <t>לירון</t>
  </si>
  <si>
    <t>יולי 18</t>
  </si>
  <si>
    <t>מפקד</t>
  </si>
  <si>
    <t>מוחמד</t>
  </si>
  <si>
    <t>מעיין סלע</t>
  </si>
  <si>
    <t>יפעת</t>
  </si>
  <si>
    <t>שי אוסמו</t>
  </si>
  <si>
    <t>אופיר זייטלבך (?)</t>
  </si>
  <si>
    <t>חר"פ, המפקדת שלה לא בבסיס, תחת פיקוד צפון</t>
  </si>
  <si>
    <t>שיר פנונו</t>
  </si>
  <si>
    <t>ספטמבר</t>
  </si>
  <si>
    <t>אוקטובר</t>
  </si>
  <si>
    <t>נובמר</t>
  </si>
  <si>
    <t>דצמבר</t>
  </si>
  <si>
    <t>ינואר</t>
  </si>
  <si>
    <t>6-8.9</t>
  </si>
  <si>
    <t>4-6.10</t>
  </si>
  <si>
    <t>1-3.11</t>
  </si>
  <si>
    <t>3-5.1</t>
  </si>
  <si>
    <t>6-8.12</t>
  </si>
  <si>
    <t>תאריך</t>
  </si>
  <si>
    <t>חודש</t>
  </si>
  <si>
    <t>ראש השנה</t>
  </si>
  <si>
    <t>יום כיפור</t>
  </si>
  <si>
    <t>סוכות א'</t>
  </si>
  <si>
    <t>סוכות ב'</t>
  </si>
  <si>
    <t>כיפור</t>
  </si>
  <si>
    <t>ראש השנה עתודה</t>
  </si>
  <si>
    <t>כיפור עתודה</t>
  </si>
  <si>
    <t>סוכות א' עתודה</t>
  </si>
  <si>
    <t>סוכות ב' עתודה</t>
  </si>
  <si>
    <t>מפקדות מגמ</t>
  </si>
  <si>
    <t>משל"ט סגל סדיר</t>
  </si>
  <si>
    <t>לירון 11</t>
  </si>
  <si>
    <t>רוני אחודה</t>
  </si>
  <si>
    <t>פטור זמני</t>
  </si>
  <si>
    <t>טופז</t>
  </si>
  <si>
    <t>אוגוסט 18</t>
  </si>
  <si>
    <t>קקצ נוב</t>
  </si>
  <si>
    <t>טופז מפאוג</t>
  </si>
  <si>
    <t>דריה</t>
  </si>
  <si>
    <t>דריה 9</t>
  </si>
  <si>
    <t>סוגר חג?</t>
  </si>
  <si>
    <t>דנה מרחבים</t>
  </si>
  <si>
    <t>תורן בלי שמירה של חטיבה 11</t>
  </si>
  <si>
    <t>לשבץ את חטיבה 11</t>
  </si>
  <si>
    <t>נושאים לטיפול: רותם שמירות? עדן חן נעליים + כמות? דנה 9 סגירות? נועה לוי גור פטור? שיר 679 שמירות? רותם שמירות? ליאור חודדה? רומי אחודה? מאי 9?  דקל שמירות? ניקול 11 מיוחדת? מיכל 11 מיוחדת? משק תעמ ושמפ תש 5? דניאל ברון? ולדי? מתן לוי?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</si>
</sst>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10"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26"/>
      <color theme="1"/>
      <name val="Calibri"/>
      <family val="2"/>
      <scheme val="minor"/>
    </font>
    <font>
      <sz val="16"/>
      <color theme="1"/>
      <name val="Calibri"/>
      <family val="2"/>
      <scheme val="minor"/>
    </font>
  </fonts>
  <fills count="9">
    <fill>
      <patternFill patternType="none"/>
    </fill>
    <fill>
      <patternFill patternType="gray125"/>
    </fill>
    <fill>
      <patternFill patternType="solid">
        <fgColor theme="5" tint="0.59999389629810485"/>
        <bgColor indexed="64"/>
      </patternFill>
    </fill>
    <fill>
      <patternFill patternType="solid">
        <fgColor theme="5" tint="0.79998168889431442"/>
        <bgColor indexed="64"/>
      </patternFill>
    </fill>
    <fill>
      <patternFill patternType="solid">
        <fgColor rgb="FFFEFAF8"/>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s>
  <cellStyleXfs count="1">
    <xf numFmtId="0" fontId="0" fillId="0" borderId="0"/>
  </cellStyleXfs>
  <cellXfs count="329">
    <xf numFmtId="0" fontId="0" fillId="0" borderId="0" xfId="0"/>
    <xf numFmtId="0" fontId="0" fillId="0" borderId="1" xfId="0" applyBorder="1"/>
    <xf numFmtId="0" fontId="2" fillId="0" borderId="1" xfId="0" applyFont="1" applyBorder="1"/>
    <xf numFmtId="0" fontId="1" fillId="0" borderId="1" xfId="0" applyFont="1" applyBorder="1"/>
    <xf numFmtId="0" fontId="3" fillId="5" borderId="15" xfId="0" applyFont="1" applyFill="1" applyBorder="1"/>
    <xf numFmtId="0" fontId="4" fillId="0" borderId="12" xfId="0" applyFont="1" applyFill="1" applyBorder="1" applyAlignment="1">
      <alignment horizontal="center" vertical="center"/>
    </xf>
    <xf numFmtId="0" fontId="4" fillId="0" borderId="16" xfId="0" applyFont="1" applyFill="1" applyBorder="1" applyAlignment="1">
      <alignment horizontal="center" vertical="center"/>
    </xf>
    <xf numFmtId="0" fontId="3" fillId="0" borderId="5" xfId="0" applyFont="1" applyFill="1" applyBorder="1"/>
    <xf numFmtId="0" fontId="4" fillId="0" borderId="2" xfId="0" applyFont="1" applyFill="1" applyBorder="1" applyAlignment="1">
      <alignment horizontal="center" vertical="center"/>
    </xf>
    <xf numFmtId="0" fontId="3" fillId="0" borderId="2" xfId="0" applyFont="1" applyFill="1" applyBorder="1" applyAlignment="1">
      <alignment horizontal="center" vertical="center"/>
    </xf>
    <xf numFmtId="0" fontId="4" fillId="0" borderId="8" xfId="0" applyFont="1" applyFill="1" applyBorder="1" applyAlignment="1">
      <alignment horizontal="center" vertical="center"/>
    </xf>
    <xf numFmtId="0" fontId="3" fillId="0" borderId="6" xfId="0" applyFont="1" applyFill="1" applyBorder="1"/>
    <xf numFmtId="0" fontId="6" fillId="0" borderId="0" xfId="0" applyFont="1"/>
    <xf numFmtId="0" fontId="6" fillId="0" borderId="5" xfId="0" applyFont="1" applyBorder="1" applyAlignment="1">
      <alignment horizontal="center" vertical="center"/>
    </xf>
    <xf numFmtId="0" fontId="5" fillId="0" borderId="1" xfId="0" applyFont="1" applyBorder="1" applyAlignment="1">
      <alignment horizontal="center" vertical="center"/>
    </xf>
    <xf numFmtId="0" fontId="6" fillId="0" borderId="1" xfId="0" applyFont="1" applyBorder="1" applyAlignment="1">
      <alignment horizontal="center" vertical="center"/>
    </xf>
    <xf numFmtId="0" fontId="7" fillId="0" borderId="2" xfId="0" applyFont="1" applyBorder="1"/>
    <xf numFmtId="0" fontId="6" fillId="4" borderId="9" xfId="0" applyFont="1" applyFill="1" applyBorder="1"/>
    <xf numFmtId="0" fontId="6" fillId="3" borderId="13" xfId="0" applyFont="1" applyFill="1" applyBorder="1" applyAlignment="1">
      <alignment horizontal="center"/>
    </xf>
    <xf numFmtId="0" fontId="6" fillId="3" borderId="10" xfId="0" applyFont="1" applyFill="1" applyBorder="1" applyAlignment="1">
      <alignment horizontal="center" vertical="center"/>
    </xf>
    <xf numFmtId="0" fontId="6" fillId="4" borderId="1" xfId="0" applyFont="1" applyFill="1" applyBorder="1"/>
    <xf numFmtId="0" fontId="6" fillId="3" borderId="13" xfId="0" applyFont="1" applyFill="1" applyBorder="1" applyAlignment="1">
      <alignment horizontal="center" vertical="center"/>
    </xf>
    <xf numFmtId="164" fontId="6" fillId="0" borderId="2" xfId="0" applyNumberFormat="1" applyFont="1" applyBorder="1" applyAlignment="1">
      <alignment horizontal="center" vertical="center"/>
    </xf>
    <xf numFmtId="0" fontId="6" fillId="0" borderId="0" xfId="0" applyFont="1" applyAlignment="1">
      <alignment horizontal="center" vertical="center"/>
    </xf>
    <xf numFmtId="0" fontId="5" fillId="0" borderId="0" xfId="0" applyFont="1"/>
    <xf numFmtId="0" fontId="7" fillId="0" borderId="0" xfId="0" applyFont="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Border="1" applyAlignment="1">
      <alignment horizontal="center" vertical="center"/>
    </xf>
    <xf numFmtId="0" fontId="4"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2" fillId="0" borderId="1" xfId="0" applyFont="1" applyBorder="1" applyAlignment="1">
      <alignment horizontal="center" vertical="center"/>
    </xf>
    <xf numFmtId="0" fontId="6" fillId="0" borderId="21" xfId="0" applyFont="1" applyBorder="1" applyAlignment="1">
      <alignment horizontal="center" vertical="center"/>
    </xf>
    <xf numFmtId="0" fontId="5" fillId="0" borderId="17" xfId="0" applyFont="1" applyBorder="1" applyAlignment="1">
      <alignment horizontal="center" vertical="center"/>
    </xf>
    <xf numFmtId="0" fontId="6" fillId="0" borderId="17" xfId="0" applyFont="1" applyBorder="1" applyAlignment="1">
      <alignment horizontal="center" vertical="center"/>
    </xf>
    <xf numFmtId="0" fontId="0" fillId="0" borderId="0" xfId="0" applyFont="1"/>
    <xf numFmtId="0" fontId="2" fillId="0" borderId="17" xfId="0" applyFont="1" applyFill="1" applyBorder="1" applyAlignment="1">
      <alignment horizontal="center" vertical="center"/>
    </xf>
    <xf numFmtId="0" fontId="0" fillId="0" borderId="5" xfId="0" applyFont="1" applyFill="1" applyBorder="1"/>
    <xf numFmtId="14" fontId="0" fillId="0" borderId="2" xfId="0" applyNumberFormat="1" applyFont="1" applyBorder="1" applyAlignment="1">
      <alignment horizontal="center" vertical="center"/>
    </xf>
    <xf numFmtId="0" fontId="2" fillId="0" borderId="1" xfId="0" applyFont="1" applyFill="1" applyBorder="1" applyAlignment="1">
      <alignment horizontal="center" vertical="center"/>
    </xf>
    <xf numFmtId="0" fontId="0" fillId="0" borderId="2" xfId="0" applyFont="1" applyBorder="1" applyAlignment="1">
      <alignment horizontal="center" vertical="center"/>
    </xf>
    <xf numFmtId="0" fontId="6" fillId="0" borderId="5" xfId="0" applyFont="1" applyFill="1" applyBorder="1" applyAlignment="1">
      <alignment horizontal="center" vertical="center"/>
    </xf>
    <xf numFmtId="0" fontId="5"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0" xfId="0" applyFont="1"/>
    <xf numFmtId="0" fontId="2" fillId="0" borderId="20" xfId="0" applyFont="1" applyFill="1" applyBorder="1" applyAlignment="1">
      <alignment horizontal="center" vertical="center"/>
    </xf>
    <xf numFmtId="0" fontId="2" fillId="0" borderId="8" xfId="0" applyFont="1" applyFill="1" applyBorder="1" applyAlignment="1">
      <alignment horizontal="center" vertical="center"/>
    </xf>
    <xf numFmtId="0" fontId="1" fillId="0" borderId="2" xfId="0" applyFont="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3" xfId="0" applyFont="1" applyFill="1" applyBorder="1"/>
    <xf numFmtId="0" fontId="0" fillId="0" borderId="1" xfId="0" applyFont="1" applyFill="1" applyBorder="1"/>
    <xf numFmtId="0" fontId="2"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3" fillId="0" borderId="1" xfId="0" applyFont="1" applyFill="1" applyBorder="1" applyAlignment="1">
      <alignment horizontal="center" vertical="center"/>
    </xf>
    <xf numFmtId="0" fontId="0" fillId="0" borderId="17" xfId="0" applyFont="1" applyBorder="1" applyAlignment="1">
      <alignment horizontal="center" vertical="center"/>
    </xf>
    <xf numFmtId="14" fontId="0" fillId="0" borderId="8" xfId="0" applyNumberFormat="1" applyFont="1" applyBorder="1" applyAlignment="1">
      <alignment horizontal="center" vertical="center"/>
    </xf>
    <xf numFmtId="0" fontId="6" fillId="4" borderId="7" xfId="0" applyFont="1" applyFill="1" applyBorder="1"/>
    <xf numFmtId="0" fontId="6" fillId="3" borderId="18" xfId="0" applyFont="1" applyFill="1" applyBorder="1" applyAlignment="1">
      <alignment horizontal="center"/>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6" fillId="3" borderId="1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6" fillId="0" borderId="0" xfId="0" applyFont="1" applyFill="1"/>
    <xf numFmtId="0" fontId="6" fillId="0" borderId="0" xfId="0" applyFont="1" applyFill="1" applyAlignment="1">
      <alignment horizontal="center" vertical="center"/>
    </xf>
    <xf numFmtId="0" fontId="6" fillId="3" borderId="4"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7" xfId="0" applyFont="1" applyFill="1" applyBorder="1" applyAlignment="1">
      <alignment horizontal="center" vertical="center"/>
    </xf>
    <xf numFmtId="0" fontId="2" fillId="0" borderId="25" xfId="0" applyFont="1" applyFill="1" applyBorder="1" applyAlignment="1">
      <alignment horizontal="center" vertical="center" wrapText="1"/>
    </xf>
    <xf numFmtId="0" fontId="2" fillId="0" borderId="26" xfId="0" applyFont="1" applyFill="1" applyBorder="1" applyAlignment="1">
      <alignment horizontal="center" vertical="center" wrapText="1"/>
    </xf>
    <xf numFmtId="0" fontId="2" fillId="0" borderId="27" xfId="0" applyFont="1" applyFill="1" applyBorder="1" applyAlignment="1">
      <alignment horizontal="center" vertical="center" wrapText="1"/>
    </xf>
    <xf numFmtId="0" fontId="6" fillId="4" borderId="11" xfId="0" applyFont="1" applyFill="1" applyBorder="1"/>
    <xf numFmtId="0" fontId="6" fillId="3" borderId="28" xfId="0" applyFont="1" applyFill="1" applyBorder="1" applyAlignment="1">
      <alignment horizontal="center" vertical="center"/>
    </xf>
    <xf numFmtId="0" fontId="0" fillId="0" borderId="8" xfId="0" applyFont="1" applyBorder="1" applyAlignment="1">
      <alignment horizontal="center" vertical="center"/>
    </xf>
    <xf numFmtId="164" fontId="0" fillId="0" borderId="2" xfId="0" applyNumberFormat="1" applyFont="1" applyBorder="1" applyAlignment="1">
      <alignment horizontal="center" vertical="center"/>
    </xf>
    <xf numFmtId="0" fontId="2" fillId="0" borderId="12"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7"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 xfId="0" applyFont="1" applyFill="1" applyBorder="1" applyAlignment="1">
      <alignment horizontal="center" vertical="center"/>
    </xf>
    <xf numFmtId="0" fontId="6" fillId="0" borderId="6" xfId="0" applyFont="1" applyFill="1" applyBorder="1" applyAlignment="1">
      <alignment horizontal="center" vertical="center"/>
    </xf>
    <xf numFmtId="0" fontId="8" fillId="0" borderId="0" xfId="0" applyFont="1"/>
    <xf numFmtId="0" fontId="6" fillId="3" borderId="19" xfId="0" applyFont="1" applyFill="1" applyBorder="1" applyAlignment="1">
      <alignment horizontal="center" vertical="center"/>
    </xf>
    <xf numFmtId="0" fontId="6" fillId="0" borderId="21" xfId="0" applyFont="1" applyFill="1" applyBorder="1" applyAlignment="1">
      <alignment horizontal="center" vertical="center"/>
    </xf>
    <xf numFmtId="0" fontId="6" fillId="0" borderId="5" xfId="0" applyFont="1" applyBorder="1" applyAlignment="1">
      <alignment horizontal="center"/>
    </xf>
    <xf numFmtId="0" fontId="6" fillId="0" borderId="1" xfId="0" applyFont="1" applyBorder="1" applyAlignment="1">
      <alignment horizontal="center"/>
    </xf>
    <xf numFmtId="0" fontId="6" fillId="4" borderId="9" xfId="0" applyFont="1" applyFill="1" applyBorder="1" applyAlignment="1">
      <alignment horizontal="center"/>
    </xf>
    <xf numFmtId="0" fontId="6" fillId="0" borderId="21" xfId="0" applyFont="1" applyBorder="1" applyAlignment="1">
      <alignment horizontal="center"/>
    </xf>
    <xf numFmtId="0" fontId="6" fillId="0" borderId="17" xfId="0" applyFont="1" applyBorder="1" applyAlignment="1">
      <alignment horizontal="center"/>
    </xf>
    <xf numFmtId="0" fontId="6" fillId="0" borderId="6" xfId="0" applyFont="1" applyBorder="1" applyAlignment="1">
      <alignment horizontal="center"/>
    </xf>
    <xf numFmtId="0" fontId="6" fillId="0" borderId="7" xfId="0" applyFont="1" applyBorder="1" applyAlignment="1">
      <alignment horizontal="center"/>
    </xf>
    <xf numFmtId="0" fontId="6" fillId="4" borderId="11" xfId="0" applyFont="1" applyFill="1" applyBorder="1" applyAlignment="1">
      <alignment horizontal="center"/>
    </xf>
    <xf numFmtId="0" fontId="0" fillId="0" borderId="22" xfId="0" applyFont="1" applyBorder="1" applyAlignment="1">
      <alignment horizontal="center" vertical="center"/>
    </xf>
    <xf numFmtId="0" fontId="6" fillId="0" borderId="1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1" fillId="0" borderId="22" xfId="0" applyFont="1" applyBorder="1"/>
    <xf numFmtId="0" fontId="2" fillId="6" borderId="1" xfId="0" applyFont="1" applyFill="1" applyBorder="1" applyAlignment="1">
      <alignment horizontal="center" vertical="center"/>
    </xf>
    <xf numFmtId="0" fontId="2" fillId="6" borderId="2"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8"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24"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7" fillId="0" borderId="22" xfId="0" applyFont="1" applyBorder="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6" fillId="2" borderId="31" xfId="0" applyFont="1" applyFill="1" applyBorder="1" applyAlignment="1">
      <alignment horizontal="center"/>
    </xf>
    <xf numFmtId="10" fontId="6" fillId="2" borderId="16" xfId="0" applyNumberFormat="1" applyFont="1" applyFill="1" applyBorder="1" applyAlignment="1">
      <alignment horizontal="center"/>
    </xf>
    <xf numFmtId="0" fontId="6" fillId="2" borderId="16" xfId="0" applyFont="1" applyFill="1" applyBorder="1" applyAlignment="1">
      <alignment horizontal="center"/>
    </xf>
    <xf numFmtId="0" fontId="5" fillId="7" borderId="1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5" xfId="0" applyFont="1" applyBorder="1" applyAlignment="1">
      <alignment horizontal="center" vertical="center"/>
    </xf>
    <xf numFmtId="0" fontId="2" fillId="0" borderId="0" xfId="0" applyFont="1" applyFill="1" applyBorder="1" applyAlignment="1">
      <alignment horizontal="center" vertical="center"/>
    </xf>
    <xf numFmtId="0" fontId="1" fillId="0" borderId="5" xfId="0" applyFont="1" applyFill="1" applyBorder="1" applyAlignment="1">
      <alignment horizontal="center" vertical="center"/>
    </xf>
    <xf numFmtId="0" fontId="2" fillId="0" borderId="32" xfId="0" applyFont="1" applyFill="1" applyBorder="1" applyAlignment="1">
      <alignment horizontal="center" vertical="center" wrapText="1"/>
    </xf>
    <xf numFmtId="0" fontId="6" fillId="0" borderId="9" xfId="0" applyFont="1" applyFill="1" applyBorder="1" applyAlignment="1">
      <alignment horizontal="center" vertical="center"/>
    </xf>
    <xf numFmtId="0" fontId="0" fillId="0" borderId="9" xfId="0" applyFont="1" applyFill="1" applyBorder="1" applyAlignment="1">
      <alignment horizontal="center" vertical="center"/>
    </xf>
    <xf numFmtId="0" fontId="6" fillId="0" borderId="20"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vertical="center" wrapText="1"/>
    </xf>
    <xf numFmtId="0" fontId="0" fillId="0" borderId="1" xfId="0" applyBorder="1" applyAlignment="1">
      <alignment horizontal="center"/>
    </xf>
    <xf numFmtId="0" fontId="0" fillId="0" borderId="0" xfId="0" applyAlignment="1">
      <alignment horizontal="center"/>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27" xfId="0" applyFont="1" applyBorder="1" applyAlignment="1">
      <alignment horizontal="center" vertical="center" wrapText="1"/>
    </xf>
    <xf numFmtId="0" fontId="5" fillId="0" borderId="25" xfId="0" applyFont="1" applyBorder="1" applyAlignment="1">
      <alignment horizontal="center" vertical="center" wrapText="1"/>
    </xf>
    <xf numFmtId="0" fontId="5" fillId="0" borderId="26" xfId="0" applyFont="1" applyBorder="1" applyAlignment="1">
      <alignment horizontal="center" vertical="center" wrapText="1"/>
    </xf>
    <xf numFmtId="0" fontId="5" fillId="4" borderId="26" xfId="0" applyFont="1" applyFill="1" applyBorder="1" applyAlignment="1">
      <alignment horizontal="center" vertical="center" wrapText="1"/>
    </xf>
    <xf numFmtId="0" fontId="5" fillId="3" borderId="33" xfId="0" applyFont="1" applyFill="1" applyBorder="1" applyAlignment="1">
      <alignment horizontal="center" vertical="center" wrapText="1"/>
    </xf>
    <xf numFmtId="0" fontId="2" fillId="4" borderId="26"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2" fillId="3" borderId="27" xfId="0" applyFont="1" applyFill="1" applyBorder="1" applyAlignment="1">
      <alignment horizontal="center" vertical="center" wrapText="1"/>
    </xf>
    <xf numFmtId="0" fontId="2" fillId="4" borderId="25" xfId="0" applyFont="1" applyFill="1" applyBorder="1" applyAlignment="1">
      <alignment horizontal="center" vertical="center" wrapText="1"/>
    </xf>
    <xf numFmtId="0" fontId="2" fillId="0" borderId="17" xfId="0" applyFont="1" applyFill="1" applyBorder="1" applyAlignment="1">
      <alignment horizontal="center" vertical="center" wrapText="1"/>
    </xf>
    <xf numFmtId="0" fontId="2" fillId="2" borderId="34"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5" fillId="2" borderId="33" xfId="0" applyFont="1" applyFill="1" applyBorder="1" applyAlignment="1">
      <alignment horizontal="center" vertical="center" wrapText="1"/>
    </xf>
    <xf numFmtId="0" fontId="6" fillId="0" borderId="15" xfId="0" applyFont="1" applyBorder="1" applyAlignment="1">
      <alignment horizontal="center" vertical="center"/>
    </xf>
    <xf numFmtId="0" fontId="6" fillId="0" borderId="12" xfId="0" applyFont="1" applyBorder="1" applyAlignment="1">
      <alignment horizontal="center" vertical="center"/>
    </xf>
    <xf numFmtId="0" fontId="0" fillId="0" borderId="35" xfId="0" applyFont="1" applyBorder="1" applyAlignment="1">
      <alignment horizontal="center" vertical="center"/>
    </xf>
    <xf numFmtId="14" fontId="0" fillId="0" borderId="35" xfId="0" applyNumberFormat="1" applyFont="1" applyBorder="1" applyAlignment="1">
      <alignment horizontal="center" vertical="center"/>
    </xf>
    <xf numFmtId="0" fontId="6" fillId="0" borderId="15" xfId="0" applyFont="1" applyBorder="1" applyAlignment="1">
      <alignment horizontal="center"/>
    </xf>
    <xf numFmtId="0" fontId="6" fillId="0" borderId="12" xfId="0" applyFont="1" applyBorder="1" applyAlignment="1">
      <alignment horizontal="center"/>
    </xf>
    <xf numFmtId="0" fontId="6" fillId="4" borderId="12" xfId="0" applyFont="1" applyFill="1" applyBorder="1" applyAlignment="1">
      <alignment horizontal="center"/>
    </xf>
    <xf numFmtId="0" fontId="6" fillId="3" borderId="16" xfId="0" applyFont="1" applyFill="1" applyBorder="1" applyAlignment="1">
      <alignment horizontal="center"/>
    </xf>
    <xf numFmtId="0" fontId="6" fillId="4" borderId="12" xfId="0" applyFont="1" applyFill="1" applyBorder="1"/>
    <xf numFmtId="0" fontId="6" fillId="3" borderId="16" xfId="0" applyFont="1" applyFill="1" applyBorder="1" applyAlignment="1">
      <alignment horizontal="center" vertical="center"/>
    </xf>
    <xf numFmtId="0" fontId="6" fillId="0" borderId="15" xfId="0" applyFont="1" applyFill="1" applyBorder="1" applyAlignment="1">
      <alignment horizontal="center" vertical="center"/>
    </xf>
    <xf numFmtId="0" fontId="6" fillId="0" borderId="12" xfId="0" applyFont="1" applyFill="1" applyBorder="1" applyAlignment="1">
      <alignment horizontal="center" vertical="center"/>
    </xf>
    <xf numFmtId="0" fontId="6" fillId="3" borderId="35" xfId="0" applyFont="1" applyFill="1" applyBorder="1" applyAlignment="1">
      <alignment horizontal="center" vertical="center"/>
    </xf>
    <xf numFmtId="0" fontId="0" fillId="0" borderId="12" xfId="0" applyBorder="1" applyAlignment="1">
      <alignment horizontal="center"/>
    </xf>
    <xf numFmtId="0" fontId="0" fillId="0" borderId="7" xfId="0" applyBorder="1" applyAlignment="1">
      <alignment horizontal="center"/>
    </xf>
    <xf numFmtId="0" fontId="2" fillId="0" borderId="2" xfId="0" applyFont="1" applyFill="1" applyBorder="1" applyAlignment="1">
      <alignment horizontal="center" vertical="center"/>
    </xf>
    <xf numFmtId="0" fontId="2" fillId="7" borderId="17" xfId="0" applyFont="1" applyFill="1" applyBorder="1" applyAlignment="1">
      <alignment horizontal="center" vertical="center"/>
    </xf>
    <xf numFmtId="0" fontId="5" fillId="0" borderId="17"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center" vertical="center"/>
    </xf>
    <xf numFmtId="0" fontId="2" fillId="0" borderId="39" xfId="0" applyFont="1" applyFill="1" applyBorder="1" applyAlignment="1">
      <alignment horizontal="center" vertical="center" wrapText="1"/>
    </xf>
    <xf numFmtId="0" fontId="2" fillId="0" borderId="33"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164" fontId="6" fillId="0" borderId="4" xfId="0" applyNumberFormat="1" applyFont="1" applyBorder="1" applyAlignment="1">
      <alignment horizontal="center" vertical="center"/>
    </xf>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7" xfId="0" applyFont="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xf>
    <xf numFmtId="0" fontId="0" fillId="0" borderId="1" xfId="0" applyFont="1" applyBorder="1" applyAlignment="1">
      <alignment horizont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6" fillId="0" borderId="42" xfId="0" applyFont="1" applyFill="1" applyBorder="1" applyAlignment="1">
      <alignment horizontal="center" vertical="center"/>
    </xf>
    <xf numFmtId="0" fontId="6" fillId="0" borderId="40" xfId="0" applyFont="1" applyFill="1" applyBorder="1" applyAlignment="1">
      <alignment horizontal="center" vertical="center"/>
    </xf>
    <xf numFmtId="0" fontId="6" fillId="0" borderId="43" xfId="0" applyFont="1" applyFill="1" applyBorder="1" applyAlignment="1">
      <alignment horizontal="center" vertical="center"/>
    </xf>
    <xf numFmtId="0" fontId="6" fillId="0" borderId="41" xfId="0" applyFont="1" applyFill="1" applyBorder="1" applyAlignment="1">
      <alignment horizontal="center" vertical="center"/>
    </xf>
    <xf numFmtId="0" fontId="0" fillId="0" borderId="21"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6" fillId="0" borderId="11" xfId="0" applyFont="1" applyFill="1" applyBorder="1" applyAlignment="1">
      <alignment horizontal="center" vertical="center"/>
    </xf>
    <xf numFmtId="0" fontId="5" fillId="0" borderId="12" xfId="0" applyFont="1" applyBorder="1" applyAlignment="1">
      <alignment horizontal="center" vertical="center"/>
    </xf>
    <xf numFmtId="0" fontId="0" fillId="7" borderId="21" xfId="0" applyFont="1" applyFill="1" applyBorder="1" applyAlignment="1">
      <alignment horizontal="center" vertical="center"/>
    </xf>
    <xf numFmtId="0" fontId="0" fillId="0" borderId="4" xfId="0" applyFont="1" applyBorder="1" applyAlignment="1">
      <alignment horizontal="center" vertical="center"/>
    </xf>
    <xf numFmtId="0" fontId="9" fillId="0" borderId="0" xfId="0" applyFont="1"/>
    <xf numFmtId="0" fontId="0" fillId="0" borderId="2" xfId="0" applyBorder="1"/>
    <xf numFmtId="0" fontId="0" fillId="0" borderId="40" xfId="0" applyBorder="1"/>
    <xf numFmtId="0" fontId="2" fillId="0" borderId="40" xfId="0" applyFont="1" applyBorder="1"/>
    <xf numFmtId="0" fontId="2" fillId="0" borderId="5" xfId="0" applyFont="1" applyBorder="1"/>
    <xf numFmtId="0" fontId="2" fillId="0" borderId="13" xfId="0" applyFont="1" applyBorder="1"/>
    <xf numFmtId="0" fontId="0" fillId="0" borderId="5" xfId="0" applyFont="1" applyBorder="1"/>
    <xf numFmtId="0" fontId="0" fillId="0" borderId="13" xfId="0" applyFont="1" applyBorder="1" applyAlignment="1">
      <alignment horizontal="right"/>
    </xf>
    <xf numFmtId="0" fontId="2" fillId="0" borderId="6" xfId="0" applyFont="1" applyBorder="1"/>
    <xf numFmtId="0" fontId="2" fillId="0" borderId="18" xfId="0" applyFont="1" applyBorder="1" applyAlignment="1">
      <alignment horizontal="right"/>
    </xf>
    <xf numFmtId="0" fontId="0" fillId="0" borderId="37" xfId="0" applyBorder="1"/>
    <xf numFmtId="0" fontId="0" fillId="0" borderId="13" xfId="0" applyBorder="1"/>
    <xf numFmtId="0" fontId="0" fillId="0" borderId="38" xfId="0" applyBorder="1"/>
    <xf numFmtId="0" fontId="2" fillId="0" borderId="41" xfId="0" applyFont="1" applyBorder="1"/>
    <xf numFmtId="0" fontId="2" fillId="0" borderId="18" xfId="0" applyFont="1" applyBorder="1"/>
    <xf numFmtId="0" fontId="2" fillId="0" borderId="8" xfId="0" applyFont="1" applyBorder="1"/>
    <xf numFmtId="0" fontId="0" fillId="0" borderId="5" xfId="0" applyBorder="1"/>
    <xf numFmtId="0" fontId="0" fillId="0" borderId="36" xfId="0" applyBorder="1"/>
    <xf numFmtId="0" fontId="2" fillId="0" borderId="44" xfId="0" applyFont="1" applyBorder="1"/>
    <xf numFmtId="0" fontId="2" fillId="0" borderId="10" xfId="0" applyFont="1" applyBorder="1"/>
    <xf numFmtId="0" fontId="2" fillId="0" borderId="45" xfId="0" applyFont="1" applyBorder="1"/>
    <xf numFmtId="0" fontId="2" fillId="0" borderId="4" xfId="0" applyFont="1" applyBorder="1"/>
    <xf numFmtId="0" fontId="2" fillId="8" borderId="46" xfId="0" applyFont="1" applyFill="1" applyBorder="1" applyAlignment="1">
      <alignment horizontal="center"/>
    </xf>
    <xf numFmtId="0" fontId="2" fillId="8" borderId="47" xfId="0" applyFont="1" applyFill="1" applyBorder="1" applyAlignment="1">
      <alignment horizontal="center"/>
    </xf>
    <xf numFmtId="0" fontId="2" fillId="8" borderId="48" xfId="0" applyFont="1" applyFill="1" applyBorder="1" applyAlignment="1">
      <alignment horizontal="center"/>
    </xf>
    <xf numFmtId="0" fontId="2" fillId="8" borderId="49" xfId="0" applyFont="1" applyFill="1" applyBorder="1" applyAlignment="1">
      <alignment horizontal="center"/>
    </xf>
    <xf numFmtId="0" fontId="2" fillId="8" borderId="50" xfId="0" applyFont="1" applyFill="1" applyBorder="1" applyAlignment="1">
      <alignment horizontal="center"/>
    </xf>
    <xf numFmtId="0" fontId="2" fillId="0" borderId="2" xfId="0" applyFont="1" applyFill="1" applyBorder="1" applyAlignment="1">
      <alignment horizontal="center" vertical="center"/>
    </xf>
    <xf numFmtId="0" fontId="0" fillId="0" borderId="44" xfId="0" applyFont="1" applyBorder="1"/>
    <xf numFmtId="0" fontId="0" fillId="0" borderId="10" xfId="0" applyFont="1" applyBorder="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164" fontId="0" fillId="0" borderId="8" xfId="0" applyNumberFormat="1" applyFont="1" applyBorder="1" applyAlignment="1">
      <alignment horizontal="center" vertical="center"/>
    </xf>
    <xf numFmtId="0" fontId="1" fillId="0" borderId="8" xfId="0" applyFont="1" applyBorder="1"/>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6" fillId="0" borderId="0" xfId="0" applyFont="1" applyFill="1" applyAlignment="1">
      <alignment horizontal="center"/>
    </xf>
    <xf numFmtId="0" fontId="6" fillId="0" borderId="0" xfId="0" applyFont="1" applyAlignment="1">
      <alignment horizontal="center"/>
    </xf>
    <xf numFmtId="0" fontId="2" fillId="0" borderId="7"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5" fillId="0" borderId="26" xfId="0" applyFont="1" applyBorder="1" applyAlignment="1">
      <alignment horizontal="center" vertical="center"/>
    </xf>
    <xf numFmtId="164" fontId="6" fillId="0" borderId="35" xfId="0" applyNumberFormat="1" applyFont="1" applyBorder="1" applyAlignment="1">
      <alignment horizontal="center" vertical="center"/>
    </xf>
    <xf numFmtId="0" fontId="6" fillId="7" borderId="21" xfId="0" applyFont="1" applyFill="1" applyBorder="1" applyAlignment="1">
      <alignment horizontal="center" vertical="center"/>
    </xf>
    <xf numFmtId="0" fontId="0" fillId="0" borderId="12" xfId="0" applyFont="1" applyBorder="1" applyAlignment="1">
      <alignment horizontal="center" vertical="center"/>
    </xf>
    <xf numFmtId="0" fontId="7" fillId="0" borderId="35" xfId="0" applyFont="1" applyBorder="1"/>
    <xf numFmtId="0" fontId="1" fillId="0" borderId="21" xfId="0" applyFont="1" applyFill="1" applyBorder="1" applyAlignment="1">
      <alignment horizontal="center" vertical="center"/>
    </xf>
    <xf numFmtId="0" fontId="0" fillId="0" borderId="6" xfId="0" applyFont="1" applyFill="1" applyBorder="1" applyAlignment="1">
      <alignment horizontal="center" vertical="center"/>
    </xf>
    <xf numFmtId="0" fontId="5"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13"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3"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14"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14"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8" xfId="0" applyFont="1" applyFill="1" applyBorder="1" applyAlignment="1">
      <alignment horizontal="center" vertical="center"/>
    </xf>
    <xf numFmtId="0" fontId="2" fillId="0" borderId="40" xfId="0" applyFont="1" applyFill="1" applyBorder="1" applyAlignment="1">
      <alignment horizontal="center" vertical="center"/>
    </xf>
    <xf numFmtId="0" fontId="0" fillId="0" borderId="4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41"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30"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18"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3" xfId="0" applyFont="1" applyFill="1" applyBorder="1" applyAlignment="1">
      <alignment horizontal="center" vertical="center"/>
    </xf>
  </cellXfs>
  <cellStyles count="1">
    <cellStyle name="Normal" xfId="0" builtinId="0"/>
  </cellStyles>
  <dxfs count="2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EFAF8"/>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Z77"/>
  <sheetViews>
    <sheetView rightToLeft="1" zoomScale="85" zoomScaleNormal="85" zoomScaleSheetLayoutView="100" workbookViewId="0">
      <pane xSplit="5" ySplit="1" topLeftCell="F2" activePane="bottomRight" state="frozen"/>
      <selection pane="topRight" activeCell="F1" sqref="F1"/>
      <selection pane="bottomLeft" activeCell="A2" sqref="A2"/>
      <selection pane="bottomRight" activeCell="CY1" activeCellId="1" sqref="A1:C1048576 CY1:CZ1048576"/>
    </sheetView>
  </sheetViews>
  <sheetFormatPr defaultRowHeight="15" x14ac:dyDescent="0.25"/>
  <cols>
    <col min="1" max="1" width="7.140625" style="24" customWidth="1"/>
    <col min="2" max="2" width="8" style="12" bestFit="1" customWidth="1"/>
    <col min="3" max="3" width="12.140625" style="12" customWidth="1"/>
    <col min="4" max="4" width="8.5703125" style="12" customWidth="1"/>
    <col min="5" max="5" width="7.28515625" style="12" customWidth="1"/>
    <col min="6" max="6" width="17.5703125" style="12" customWidth="1"/>
    <col min="7" max="7" width="20" style="12" customWidth="1"/>
    <col min="8" max="8" width="13.140625" style="12" customWidth="1"/>
    <col min="9" max="9" width="10.7109375" style="25" bestFit="1" customWidth="1"/>
    <col min="10" max="15" width="7.85546875" style="25" hidden="1" customWidth="1"/>
    <col min="16" max="16" width="7.7109375" style="25" hidden="1" customWidth="1"/>
    <col min="17" max="65" width="7.7109375" style="23" hidden="1" customWidth="1"/>
    <col min="66" max="70" width="7.7109375" style="72" hidden="1" customWidth="1"/>
    <col min="71" max="71" width="6.7109375" style="23" hidden="1" customWidth="1"/>
    <col min="72" max="72" width="7.7109375" style="23" hidden="1" customWidth="1"/>
    <col min="73" max="74" width="7.7109375" style="72" hidden="1" customWidth="1"/>
    <col min="75" max="75" width="7" style="72" hidden="1" customWidth="1"/>
    <col min="76" max="76" width="7.28515625" hidden="1" customWidth="1"/>
    <col min="77" max="77" width="7.7109375" style="72" hidden="1" customWidth="1"/>
    <col min="78" max="79" width="7.7109375" style="23" hidden="1" customWidth="1"/>
    <col min="80" max="84" width="7.7109375" style="72" hidden="1" customWidth="1"/>
    <col min="85" max="86" width="7.7109375" style="23" hidden="1" customWidth="1"/>
    <col min="87" max="89" width="7.7109375" style="72" hidden="1" customWidth="1"/>
    <col min="90" max="90" width="7.7109375" style="169" hidden="1" customWidth="1"/>
    <col min="91" max="91" width="7.7109375" style="72" hidden="1" customWidth="1"/>
    <col min="92" max="93" width="7.7109375" style="23" hidden="1" customWidth="1"/>
    <col min="94" max="98" width="7.7109375" style="72" hidden="1" customWidth="1"/>
    <col min="99" max="100" width="7.7109375" style="23" hidden="1" customWidth="1"/>
    <col min="101" max="102" width="11.5703125" style="72" bestFit="1" customWidth="1"/>
    <col min="103" max="103" width="11.5703125" style="72" customWidth="1"/>
    <col min="104" max="105" width="11.5703125" style="72" bestFit="1" customWidth="1"/>
    <col min="106" max="106" width="11.5703125" style="23" bestFit="1" customWidth="1"/>
    <col min="107" max="107" width="11" style="23" bestFit="1" customWidth="1"/>
    <col min="108" max="112" width="7.7109375" style="72" customWidth="1"/>
    <col min="113" max="114" width="7.7109375" style="23" customWidth="1"/>
    <col min="115" max="119" width="7.7109375" style="72" customWidth="1"/>
    <col min="120" max="121" width="7.7109375" style="23" customWidth="1"/>
    <col min="122" max="130" width="7.7109375" style="12" customWidth="1"/>
    <col min="131" max="16384" width="9.140625" style="12"/>
  </cols>
  <sheetData>
    <row r="1" spans="1:130" ht="71.25" customHeight="1" thickBot="1" x14ac:dyDescent="0.3">
      <c r="A1" s="170" t="s">
        <v>0</v>
      </c>
      <c r="B1" s="171" t="s">
        <v>1</v>
      </c>
      <c r="C1" s="171" t="s">
        <v>70</v>
      </c>
      <c r="D1" s="171" t="s">
        <v>3</v>
      </c>
      <c r="E1" s="171" t="s">
        <v>4</v>
      </c>
      <c r="F1" s="172" t="s">
        <v>182</v>
      </c>
      <c r="G1" s="172" t="s">
        <v>131</v>
      </c>
      <c r="H1" s="172" t="s">
        <v>49</v>
      </c>
      <c r="I1" s="172" t="s">
        <v>2</v>
      </c>
      <c r="J1" s="173" t="s">
        <v>34</v>
      </c>
      <c r="K1" s="174" t="s">
        <v>35</v>
      </c>
      <c r="L1" s="174" t="s">
        <v>36</v>
      </c>
      <c r="M1" s="174" t="s">
        <v>37</v>
      </c>
      <c r="N1" s="175" t="s">
        <v>47</v>
      </c>
      <c r="O1" s="175" t="s">
        <v>48</v>
      </c>
      <c r="P1" s="176" t="s">
        <v>46</v>
      </c>
      <c r="Q1" s="173" t="s">
        <v>25</v>
      </c>
      <c r="R1" s="174" t="s">
        <v>26</v>
      </c>
      <c r="S1" s="174" t="s">
        <v>27</v>
      </c>
      <c r="T1" s="174" t="s">
        <v>28</v>
      </c>
      <c r="U1" s="177" t="s">
        <v>29</v>
      </c>
      <c r="V1" s="175" t="s">
        <v>30</v>
      </c>
      <c r="W1" s="176" t="s">
        <v>45</v>
      </c>
      <c r="X1" s="173" t="s">
        <v>41</v>
      </c>
      <c r="Y1" s="174" t="s">
        <v>42</v>
      </c>
      <c r="Z1" s="174" t="s">
        <v>43</v>
      </c>
      <c r="AA1" s="174" t="s">
        <v>44</v>
      </c>
      <c r="AB1" s="175" t="s">
        <v>38</v>
      </c>
      <c r="AC1" s="175" t="s">
        <v>39</v>
      </c>
      <c r="AD1" s="178" t="s">
        <v>40</v>
      </c>
      <c r="AE1" s="173" t="s">
        <v>53</v>
      </c>
      <c r="AF1" s="174" t="s">
        <v>54</v>
      </c>
      <c r="AG1" s="174" t="s">
        <v>55</v>
      </c>
      <c r="AH1" s="174" t="s">
        <v>56</v>
      </c>
      <c r="AI1" s="175" t="s">
        <v>57</v>
      </c>
      <c r="AJ1" s="175" t="s">
        <v>58</v>
      </c>
      <c r="AK1" s="178" t="s">
        <v>59</v>
      </c>
      <c r="AL1" s="173" t="s">
        <v>94</v>
      </c>
      <c r="AM1" s="174" t="s">
        <v>95</v>
      </c>
      <c r="AN1" s="174" t="s">
        <v>96</v>
      </c>
      <c r="AO1" s="171" t="s">
        <v>97</v>
      </c>
      <c r="AP1" s="175" t="s">
        <v>98</v>
      </c>
      <c r="AQ1" s="175" t="s">
        <v>99</v>
      </c>
      <c r="AR1" s="176" t="s">
        <v>100</v>
      </c>
      <c r="AS1" s="170" t="s">
        <v>106</v>
      </c>
      <c r="AT1" s="171" t="s">
        <v>107</v>
      </c>
      <c r="AU1" s="171" t="s">
        <v>108</v>
      </c>
      <c r="AV1" s="171" t="s">
        <v>109</v>
      </c>
      <c r="AW1" s="177" t="s">
        <v>110</v>
      </c>
      <c r="AX1" s="177" t="s">
        <v>111</v>
      </c>
      <c r="AY1" s="178" t="s">
        <v>112</v>
      </c>
      <c r="AZ1" s="170" t="s">
        <v>124</v>
      </c>
      <c r="BA1" s="171" t="s">
        <v>125</v>
      </c>
      <c r="BB1" s="171" t="s">
        <v>126</v>
      </c>
      <c r="BC1" s="171" t="s">
        <v>127</v>
      </c>
      <c r="BD1" s="177" t="s">
        <v>128</v>
      </c>
      <c r="BE1" s="177" t="s">
        <v>129</v>
      </c>
      <c r="BF1" s="178" t="s">
        <v>130</v>
      </c>
      <c r="BG1" s="170" t="s">
        <v>142</v>
      </c>
      <c r="BH1" s="171" t="s">
        <v>143</v>
      </c>
      <c r="BI1" s="171" t="s">
        <v>195</v>
      </c>
      <c r="BJ1" s="171" t="s">
        <v>144</v>
      </c>
      <c r="BK1" s="177" t="s">
        <v>147</v>
      </c>
      <c r="BL1" s="177" t="s">
        <v>146</v>
      </c>
      <c r="BM1" s="179" t="s">
        <v>145</v>
      </c>
      <c r="BN1" s="76" t="s">
        <v>162</v>
      </c>
      <c r="BO1" s="77" t="s">
        <v>163</v>
      </c>
      <c r="BP1" s="77" t="s">
        <v>164</v>
      </c>
      <c r="BQ1" s="78" t="s">
        <v>165</v>
      </c>
      <c r="BR1" s="180" t="s">
        <v>166</v>
      </c>
      <c r="BS1" s="177" t="s">
        <v>167</v>
      </c>
      <c r="BT1" s="178" t="s">
        <v>168</v>
      </c>
      <c r="BU1" s="76" t="s">
        <v>183</v>
      </c>
      <c r="BV1" s="77" t="s">
        <v>184</v>
      </c>
      <c r="BW1" s="78" t="s">
        <v>185</v>
      </c>
      <c r="BX1" s="78" t="s">
        <v>186</v>
      </c>
      <c r="BY1" s="180" t="s">
        <v>187</v>
      </c>
      <c r="BZ1" s="177" t="s">
        <v>188</v>
      </c>
      <c r="CA1" s="178" t="s">
        <v>189</v>
      </c>
      <c r="CB1" s="76" t="s">
        <v>208</v>
      </c>
      <c r="CC1" s="77" t="s">
        <v>209</v>
      </c>
      <c r="CD1" s="78" t="s">
        <v>210</v>
      </c>
      <c r="CE1" s="157" t="s">
        <v>240</v>
      </c>
      <c r="CF1" s="180" t="s">
        <v>211</v>
      </c>
      <c r="CG1" s="177" t="s">
        <v>212</v>
      </c>
      <c r="CH1" s="178" t="s">
        <v>213</v>
      </c>
      <c r="CI1" s="181" t="s">
        <v>218</v>
      </c>
      <c r="CJ1" s="181" t="s">
        <v>219</v>
      </c>
      <c r="CK1" s="181" t="s">
        <v>220</v>
      </c>
      <c r="CL1" s="181" t="s">
        <v>221</v>
      </c>
      <c r="CM1" s="180" t="s">
        <v>222</v>
      </c>
      <c r="CN1" s="177" t="s">
        <v>223</v>
      </c>
      <c r="CO1" s="178" t="s">
        <v>224</v>
      </c>
      <c r="CP1" s="212" t="s">
        <v>34</v>
      </c>
      <c r="CQ1" s="77" t="s">
        <v>35</v>
      </c>
      <c r="CR1" s="78" t="s">
        <v>36</v>
      </c>
      <c r="CS1" s="78" t="s">
        <v>37</v>
      </c>
      <c r="CT1" s="180" t="s">
        <v>47</v>
      </c>
      <c r="CU1" s="177" t="s">
        <v>48</v>
      </c>
      <c r="CV1" s="178" t="s">
        <v>46</v>
      </c>
      <c r="CW1" s="76" t="s">
        <v>25</v>
      </c>
      <c r="CX1" s="77" t="s">
        <v>26</v>
      </c>
      <c r="CY1" s="77" t="s">
        <v>27</v>
      </c>
      <c r="CZ1" s="78" t="s">
        <v>28</v>
      </c>
      <c r="DA1" s="180" t="s">
        <v>29</v>
      </c>
      <c r="DB1" s="177" t="s">
        <v>30</v>
      </c>
      <c r="DC1" s="178" t="s">
        <v>45</v>
      </c>
      <c r="DD1" s="76" t="s">
        <v>41</v>
      </c>
      <c r="DE1" s="77" t="s">
        <v>42</v>
      </c>
      <c r="DF1" s="77" t="s">
        <v>43</v>
      </c>
      <c r="DG1" s="78" t="s">
        <v>44</v>
      </c>
      <c r="DH1" s="180" t="s">
        <v>38</v>
      </c>
      <c r="DI1" s="177" t="s">
        <v>39</v>
      </c>
      <c r="DJ1" s="178" t="s">
        <v>40</v>
      </c>
      <c r="DK1" s="76" t="s">
        <v>53</v>
      </c>
      <c r="DL1" s="77" t="s">
        <v>54</v>
      </c>
      <c r="DM1" s="77" t="s">
        <v>55</v>
      </c>
      <c r="DN1" s="78" t="s">
        <v>56</v>
      </c>
      <c r="DO1" s="180" t="s">
        <v>57</v>
      </c>
      <c r="DP1" s="177" t="s">
        <v>58</v>
      </c>
      <c r="DQ1" s="178" t="s">
        <v>59</v>
      </c>
      <c r="DR1" s="182" t="s">
        <v>133</v>
      </c>
      <c r="DS1" s="183" t="s">
        <v>135</v>
      </c>
      <c r="DT1" s="183" t="s">
        <v>134</v>
      </c>
      <c r="DU1" s="183" t="s">
        <v>136</v>
      </c>
      <c r="DV1" s="184" t="s">
        <v>105</v>
      </c>
      <c r="DW1" s="183" t="s">
        <v>132</v>
      </c>
      <c r="DX1" s="184" t="s">
        <v>118</v>
      </c>
      <c r="DY1" s="184" t="s">
        <v>119</v>
      </c>
      <c r="DZ1" s="183" t="s">
        <v>120</v>
      </c>
    </row>
    <row r="2" spans="1:130" ht="15.75" thickBot="1" x14ac:dyDescent="0.3">
      <c r="A2" s="185">
        <v>209</v>
      </c>
      <c r="B2" s="246" t="s">
        <v>92</v>
      </c>
      <c r="C2" s="297" t="str">
        <f t="shared" ref="C2:C42" si="0">B2&amp;" "&amp;A2</f>
        <v>גילי 209</v>
      </c>
      <c r="D2" s="186" t="s">
        <v>7</v>
      </c>
      <c r="E2" s="300" t="s">
        <v>7</v>
      </c>
      <c r="F2" s="187" t="s">
        <v>178</v>
      </c>
      <c r="G2" s="188">
        <v>43009</v>
      </c>
      <c r="H2" s="298">
        <v>43385</v>
      </c>
      <c r="I2" s="301"/>
      <c r="J2" s="189"/>
      <c r="K2" s="190"/>
      <c r="L2" s="190"/>
      <c r="M2" s="190"/>
      <c r="N2" s="191">
        <f t="shared" ref="N2:O7" si="1">J2*3+L2</f>
        <v>0</v>
      </c>
      <c r="O2" s="191">
        <f t="shared" si="1"/>
        <v>0</v>
      </c>
      <c r="P2" s="192">
        <f t="shared" ref="P2:P7" si="2">O2+N2</f>
        <v>0</v>
      </c>
      <c r="Q2" s="185"/>
      <c r="R2" s="186"/>
      <c r="S2" s="186"/>
      <c r="T2" s="186"/>
      <c r="U2" s="193">
        <f t="shared" ref="U2:V7" si="3">Q2*3+S2</f>
        <v>0</v>
      </c>
      <c r="V2" s="193">
        <f t="shared" si="3"/>
        <v>0</v>
      </c>
      <c r="W2" s="194">
        <f t="shared" ref="W2:W7" si="4">V2+U2</f>
        <v>0</v>
      </c>
      <c r="X2" s="185"/>
      <c r="Y2" s="186"/>
      <c r="Z2" s="186"/>
      <c r="AA2" s="186"/>
      <c r="AB2" s="193">
        <f t="shared" ref="AB2:AC7" si="5">X2*3+Z2</f>
        <v>0</v>
      </c>
      <c r="AC2" s="193">
        <f t="shared" si="5"/>
        <v>0</v>
      </c>
      <c r="AD2" s="194">
        <f t="shared" ref="AD2:AD7" si="6">AC2+AB2</f>
        <v>0</v>
      </c>
      <c r="AE2" s="185"/>
      <c r="AF2" s="186"/>
      <c r="AG2" s="186"/>
      <c r="AH2" s="186"/>
      <c r="AI2" s="193">
        <f t="shared" ref="AI2:AJ7" si="7">AE2*3+AG2</f>
        <v>0</v>
      </c>
      <c r="AJ2" s="193">
        <f t="shared" si="7"/>
        <v>0</v>
      </c>
      <c r="AK2" s="194">
        <f t="shared" ref="AK2:AK7" si="8">AJ2+AI2</f>
        <v>0</v>
      </c>
      <c r="AL2" s="185"/>
      <c r="AM2" s="186">
        <v>1</v>
      </c>
      <c r="AN2" s="186"/>
      <c r="AO2" s="186"/>
      <c r="AP2" s="193">
        <f t="shared" ref="AP2:AQ7" si="9">AL2*3+AN2</f>
        <v>0</v>
      </c>
      <c r="AQ2" s="193">
        <f t="shared" si="9"/>
        <v>3</v>
      </c>
      <c r="AR2" s="194">
        <f t="shared" ref="AR2:AR7" si="10">AQ2+AP2</f>
        <v>3</v>
      </c>
      <c r="AS2" s="185"/>
      <c r="AT2" s="186">
        <v>1</v>
      </c>
      <c r="AU2" s="186"/>
      <c r="AV2" s="186">
        <v>2</v>
      </c>
      <c r="AW2" s="193">
        <f t="shared" ref="AW2:AX7" si="11">AS2*3+AU2</f>
        <v>0</v>
      </c>
      <c r="AX2" s="193">
        <f t="shared" si="11"/>
        <v>5</v>
      </c>
      <c r="AY2" s="194">
        <f t="shared" ref="AY2:AY7" si="12">AX2+AW2</f>
        <v>5</v>
      </c>
      <c r="AZ2" s="185"/>
      <c r="BA2" s="186"/>
      <c r="BB2" s="186"/>
      <c r="BC2" s="186">
        <v>3</v>
      </c>
      <c r="BD2" s="193">
        <f t="shared" ref="BD2:BE7" si="13">AZ2*3+BB2</f>
        <v>0</v>
      </c>
      <c r="BE2" s="193">
        <f t="shared" si="13"/>
        <v>3</v>
      </c>
      <c r="BF2" s="194">
        <f t="shared" ref="BF2:BF7" si="14">BE2+BD2</f>
        <v>3</v>
      </c>
      <c r="BG2" s="195"/>
      <c r="BH2" s="196">
        <v>1</v>
      </c>
      <c r="BI2" s="196"/>
      <c r="BJ2" s="186">
        <v>2</v>
      </c>
      <c r="BK2" s="193">
        <f t="shared" ref="BK2:BL7" si="15">BG2*3+BI2</f>
        <v>0</v>
      </c>
      <c r="BL2" s="193">
        <f t="shared" si="15"/>
        <v>5</v>
      </c>
      <c r="BM2" s="197">
        <f t="shared" ref="BM2:BM7" si="16">BL2+BK2</f>
        <v>5</v>
      </c>
      <c r="BN2" s="195"/>
      <c r="BO2" s="196"/>
      <c r="BP2" s="196"/>
      <c r="BQ2" s="196">
        <v>2</v>
      </c>
      <c r="BR2" s="193">
        <f t="shared" ref="BR2:BS7" si="17">BN2*3+BP2</f>
        <v>0</v>
      </c>
      <c r="BS2" s="193">
        <f t="shared" si="17"/>
        <v>2</v>
      </c>
      <c r="BT2" s="197">
        <f t="shared" ref="BT2:BT7" si="18">BS2+BR2</f>
        <v>2</v>
      </c>
      <c r="BU2" s="195"/>
      <c r="BV2" s="196">
        <v>1</v>
      </c>
      <c r="BW2" s="196"/>
      <c r="BX2" s="196">
        <v>1</v>
      </c>
      <c r="BY2" s="193">
        <f t="shared" ref="BY2:BZ7" si="19">BU2*3+BW2</f>
        <v>0</v>
      </c>
      <c r="BZ2" s="193">
        <f t="shared" si="19"/>
        <v>4</v>
      </c>
      <c r="CA2" s="197">
        <f t="shared" ref="CA2:CA7" si="20">BZ2+BY2</f>
        <v>4</v>
      </c>
      <c r="CB2" s="195"/>
      <c r="CC2" s="196"/>
      <c r="CD2" s="196"/>
      <c r="CE2" s="196">
        <v>2</v>
      </c>
      <c r="CF2" s="193">
        <f t="shared" ref="CF2:CG7" si="21">CB2*3+CD2</f>
        <v>0</v>
      </c>
      <c r="CG2" s="193">
        <f t="shared" si="21"/>
        <v>2</v>
      </c>
      <c r="CH2" s="197">
        <f t="shared" ref="CH2:CH7" si="22">CG2+CF2</f>
        <v>2</v>
      </c>
      <c r="CI2" s="196"/>
      <c r="CJ2" s="196"/>
      <c r="CK2" s="196"/>
      <c r="CL2" s="198">
        <v>2</v>
      </c>
      <c r="CM2" s="193">
        <f t="shared" ref="CM2:CM38" si="23">CI2*3+CK2</f>
        <v>0</v>
      </c>
      <c r="CN2" s="193">
        <f t="shared" ref="CN2:CN38" si="24">CJ2*3+CL2</f>
        <v>2</v>
      </c>
      <c r="CO2" s="197">
        <f t="shared" ref="CO2:CO38" si="25">CN2+CM2</f>
        <v>2</v>
      </c>
      <c r="CP2" s="237"/>
      <c r="CQ2" s="196">
        <v>1</v>
      </c>
      <c r="CR2" s="196"/>
      <c r="CS2" s="196">
        <v>1</v>
      </c>
      <c r="CT2" s="193">
        <f t="shared" ref="CT2:CT42" si="26">CP2*3+CR2</f>
        <v>0</v>
      </c>
      <c r="CU2" s="193">
        <f t="shared" ref="CU2:CU42" si="27">CQ2*3+CS2</f>
        <v>4</v>
      </c>
      <c r="CV2" s="197">
        <f t="shared" ref="CV2:CV42" si="28">CU2+CT2</f>
        <v>4</v>
      </c>
      <c r="CW2" s="195"/>
      <c r="CX2" s="196"/>
      <c r="CY2" s="196"/>
      <c r="CZ2" s="196">
        <v>2</v>
      </c>
      <c r="DA2" s="193">
        <f t="shared" ref="DA2:DA42" si="29">CW2*3+CY2</f>
        <v>0</v>
      </c>
      <c r="DB2" s="193">
        <f t="shared" ref="DB2:DB42" si="30">CX2*3+CZ2</f>
        <v>2</v>
      </c>
      <c r="DC2" s="197">
        <f t="shared" ref="DC2:DC42" si="31">DB2+DA2</f>
        <v>2</v>
      </c>
      <c r="DD2" s="195"/>
      <c r="DE2" s="196">
        <v>1</v>
      </c>
      <c r="DF2" s="196"/>
      <c r="DG2" s="196">
        <v>2</v>
      </c>
      <c r="DH2" s="191">
        <f t="shared" ref="DH2:DH42" si="32">DD2*3+DF2</f>
        <v>0</v>
      </c>
      <c r="DI2" s="191">
        <f t="shared" ref="DI2:DI42" si="33">DE2*3+DG2</f>
        <v>5</v>
      </c>
      <c r="DJ2" s="197">
        <f t="shared" ref="DJ2:DJ42" si="34">DI2+DH2</f>
        <v>5</v>
      </c>
      <c r="DK2" s="195"/>
      <c r="DL2" s="196"/>
      <c r="DM2" s="196"/>
      <c r="DN2" s="196"/>
      <c r="DO2" s="191">
        <f t="shared" ref="DO2:DO42" si="35">DK2*3+DM2</f>
        <v>0</v>
      </c>
      <c r="DP2" s="191">
        <f t="shared" ref="DP2:DP42" si="36">DL2*3+DN2</f>
        <v>0</v>
      </c>
      <c r="DQ2" s="197">
        <f t="shared" ref="DQ2:DQ42" si="37">DP2+DO2</f>
        <v>0</v>
      </c>
      <c r="DR2" s="146">
        <f t="shared" ref="DR2:DR42" si="38">SUM(AP2,AI2,AB2,U2,N2,AW2,BD2,BK2,BR2,BY2,CF2,CM2,CT2,DA2,DH2,DO2)</f>
        <v>0</v>
      </c>
      <c r="DS2" s="147">
        <f t="shared" ref="DS2:DS42" ca="1" si="39">DR2/(10+TODAY()-G2)</f>
        <v>0</v>
      </c>
      <c r="DT2" s="148">
        <f t="shared" ref="DT2:DT42" si="40">SUM(AQ2,AJ2,AC2,V2,O2,AX2,BE2,BL2,BS2,BZ2,CG2,CN2,CU2,DB2,DI2,DP2)</f>
        <v>37</v>
      </c>
      <c r="DU2" s="147">
        <f t="shared" ref="DU2:DU42" ca="1" si="41">DT2/(10+TODAY()-G2)</f>
        <v>0.10422535211267606</v>
      </c>
      <c r="DV2" s="148">
        <f t="shared" ref="DV2:DV42" si="42">DR2+DT2</f>
        <v>37</v>
      </c>
      <c r="DW2" s="147">
        <f t="shared" ref="DW2:DW42" ca="1" si="43">DU2+DS2</f>
        <v>0.10422535211267606</v>
      </c>
      <c r="DX2" s="148">
        <f t="shared" ref="DX2:DX42" si="44">SUM(AS2,AL2,AE2,X2,Q2,Q2,J2,AZ2,BG2,BN2,BU2,CB2,CI2,CP2,CW2,DD2,DK2)</f>
        <v>0</v>
      </c>
      <c r="DY2" s="148">
        <f t="shared" ref="DY2:DY42" si="45">SUM(AT2,AM2,AF2,Y2,R2,R2,K2,BA2,BH2,BO2,BV2,CC2,CJ2,CQ2,CX2,DE2,DL2)</f>
        <v>6</v>
      </c>
      <c r="DZ2" s="148">
        <f t="shared" ref="DZ2:DZ42" si="46">DY2+DX2</f>
        <v>6</v>
      </c>
    </row>
    <row r="3" spans="1:130" ht="15.75" thickBot="1" x14ac:dyDescent="0.3">
      <c r="A3" s="13">
        <v>474</v>
      </c>
      <c r="B3" s="14" t="s">
        <v>5</v>
      </c>
      <c r="C3" s="34" t="str">
        <f t="shared" si="0"/>
        <v>מאי 474</v>
      </c>
      <c r="D3" s="28" t="s">
        <v>7</v>
      </c>
      <c r="E3" s="28" t="s">
        <v>7</v>
      </c>
      <c r="F3" s="41" t="s">
        <v>177</v>
      </c>
      <c r="G3" s="39">
        <v>42979</v>
      </c>
      <c r="H3" s="220"/>
      <c r="I3" s="16"/>
      <c r="J3" s="100"/>
      <c r="K3" s="101"/>
      <c r="L3" s="101"/>
      <c r="M3" s="101"/>
      <c r="N3" s="102">
        <f t="shared" si="1"/>
        <v>0</v>
      </c>
      <c r="O3" s="102">
        <f t="shared" si="1"/>
        <v>0</v>
      </c>
      <c r="P3" s="18">
        <f t="shared" si="2"/>
        <v>0</v>
      </c>
      <c r="Q3" s="13"/>
      <c r="R3" s="15"/>
      <c r="S3" s="15"/>
      <c r="T3" s="15"/>
      <c r="U3" s="17">
        <f t="shared" si="3"/>
        <v>0</v>
      </c>
      <c r="V3" s="17">
        <f t="shared" si="3"/>
        <v>0</v>
      </c>
      <c r="W3" s="19">
        <f t="shared" si="4"/>
        <v>0</v>
      </c>
      <c r="X3" s="13"/>
      <c r="Y3" s="15"/>
      <c r="Z3" s="15"/>
      <c r="AA3" s="15"/>
      <c r="AB3" s="20">
        <f t="shared" si="5"/>
        <v>0</v>
      </c>
      <c r="AC3" s="20">
        <f t="shared" si="5"/>
        <v>0</v>
      </c>
      <c r="AD3" s="21">
        <f t="shared" si="6"/>
        <v>0</v>
      </c>
      <c r="AE3" s="13">
        <v>1</v>
      </c>
      <c r="AF3" s="15"/>
      <c r="AG3" s="15">
        <v>2</v>
      </c>
      <c r="AH3" s="15"/>
      <c r="AI3" s="17">
        <f t="shared" si="7"/>
        <v>5</v>
      </c>
      <c r="AJ3" s="17">
        <f t="shared" si="7"/>
        <v>0</v>
      </c>
      <c r="AK3" s="19">
        <f t="shared" si="8"/>
        <v>5</v>
      </c>
      <c r="AL3" s="13">
        <v>1</v>
      </c>
      <c r="AM3" s="15"/>
      <c r="AN3" s="15"/>
      <c r="AO3" s="15"/>
      <c r="AP3" s="17">
        <f t="shared" si="9"/>
        <v>3</v>
      </c>
      <c r="AQ3" s="17">
        <f t="shared" si="9"/>
        <v>0</v>
      </c>
      <c r="AR3" s="19">
        <f t="shared" si="10"/>
        <v>3</v>
      </c>
      <c r="AS3" s="13"/>
      <c r="AT3" s="15"/>
      <c r="AU3" s="15"/>
      <c r="AV3" s="15">
        <v>2</v>
      </c>
      <c r="AW3" s="17">
        <f t="shared" si="11"/>
        <v>0</v>
      </c>
      <c r="AX3" s="17">
        <f t="shared" si="11"/>
        <v>2</v>
      </c>
      <c r="AY3" s="19">
        <f t="shared" si="12"/>
        <v>2</v>
      </c>
      <c r="AZ3" s="13"/>
      <c r="BA3" s="15">
        <v>1</v>
      </c>
      <c r="BB3" s="15"/>
      <c r="BC3" s="15">
        <v>2</v>
      </c>
      <c r="BD3" s="17">
        <f t="shared" si="13"/>
        <v>0</v>
      </c>
      <c r="BE3" s="17">
        <f t="shared" si="13"/>
        <v>5</v>
      </c>
      <c r="BF3" s="19">
        <f t="shared" si="14"/>
        <v>5</v>
      </c>
      <c r="BG3" s="42"/>
      <c r="BH3" s="74">
        <v>1</v>
      </c>
      <c r="BI3" s="74"/>
      <c r="BJ3" s="15">
        <v>1</v>
      </c>
      <c r="BK3" s="17">
        <f t="shared" si="15"/>
        <v>0</v>
      </c>
      <c r="BL3" s="17">
        <f t="shared" si="15"/>
        <v>4</v>
      </c>
      <c r="BM3" s="73">
        <f t="shared" si="16"/>
        <v>4</v>
      </c>
      <c r="BN3" s="42"/>
      <c r="BO3" s="74">
        <v>1</v>
      </c>
      <c r="BP3" s="74"/>
      <c r="BQ3" s="74">
        <v>1</v>
      </c>
      <c r="BR3" s="17">
        <f t="shared" si="17"/>
        <v>0</v>
      </c>
      <c r="BS3" s="17">
        <f t="shared" si="17"/>
        <v>4</v>
      </c>
      <c r="BT3" s="73">
        <f t="shared" si="18"/>
        <v>4</v>
      </c>
      <c r="BU3" s="42"/>
      <c r="BV3" s="74"/>
      <c r="BW3" s="74"/>
      <c r="BX3" s="74">
        <v>2</v>
      </c>
      <c r="BY3" s="17">
        <f t="shared" si="19"/>
        <v>0</v>
      </c>
      <c r="BZ3" s="17">
        <f t="shared" si="19"/>
        <v>2</v>
      </c>
      <c r="CA3" s="73">
        <f t="shared" si="20"/>
        <v>2</v>
      </c>
      <c r="CB3" s="42"/>
      <c r="CC3" s="74"/>
      <c r="CD3" s="74"/>
      <c r="CE3" s="158">
        <v>3</v>
      </c>
      <c r="CF3" s="17">
        <f t="shared" si="21"/>
        <v>0</v>
      </c>
      <c r="CG3" s="17">
        <f t="shared" si="21"/>
        <v>3</v>
      </c>
      <c r="CH3" s="73">
        <f t="shared" si="22"/>
        <v>3</v>
      </c>
      <c r="CI3" s="74"/>
      <c r="CJ3" s="74">
        <v>1</v>
      </c>
      <c r="CK3" s="74"/>
      <c r="CL3" s="168">
        <v>1</v>
      </c>
      <c r="CM3" s="17">
        <f t="shared" si="23"/>
        <v>0</v>
      </c>
      <c r="CN3" s="17">
        <f t="shared" si="24"/>
        <v>4</v>
      </c>
      <c r="CO3" s="73">
        <f t="shared" si="25"/>
        <v>4</v>
      </c>
      <c r="CP3" s="238"/>
      <c r="CQ3" s="74"/>
      <c r="CR3" s="74"/>
      <c r="CS3" s="74">
        <v>2</v>
      </c>
      <c r="CT3" s="17">
        <f t="shared" si="26"/>
        <v>0</v>
      </c>
      <c r="CU3" s="17">
        <f t="shared" si="27"/>
        <v>2</v>
      </c>
      <c r="CV3" s="73">
        <f t="shared" si="28"/>
        <v>2</v>
      </c>
      <c r="CW3" s="42"/>
      <c r="CX3" s="74">
        <v>1</v>
      </c>
      <c r="CY3" s="74"/>
      <c r="CZ3" s="74"/>
      <c r="DA3" s="17">
        <f t="shared" si="29"/>
        <v>0</v>
      </c>
      <c r="DB3" s="17">
        <f t="shared" si="30"/>
        <v>3</v>
      </c>
      <c r="DC3" s="73">
        <f t="shared" si="31"/>
        <v>3</v>
      </c>
      <c r="DD3" s="42"/>
      <c r="DE3" s="74"/>
      <c r="DF3" s="74"/>
      <c r="DG3" s="74">
        <v>2</v>
      </c>
      <c r="DH3" s="102">
        <f t="shared" si="32"/>
        <v>0</v>
      </c>
      <c r="DI3" s="102">
        <f t="shared" si="33"/>
        <v>2</v>
      </c>
      <c r="DJ3" s="73">
        <f t="shared" si="34"/>
        <v>2</v>
      </c>
      <c r="DK3" s="42"/>
      <c r="DL3" s="74"/>
      <c r="DM3" s="74"/>
      <c r="DN3" s="74"/>
      <c r="DO3" s="102">
        <f t="shared" si="35"/>
        <v>0</v>
      </c>
      <c r="DP3" s="102">
        <f t="shared" si="36"/>
        <v>0</v>
      </c>
      <c r="DQ3" s="73">
        <f t="shared" si="37"/>
        <v>0</v>
      </c>
      <c r="DR3" s="146">
        <f t="shared" si="38"/>
        <v>8</v>
      </c>
      <c r="DS3" s="147">
        <f t="shared" ca="1" si="39"/>
        <v>2.0779220779220779E-2</v>
      </c>
      <c r="DT3" s="148">
        <f t="shared" si="40"/>
        <v>31</v>
      </c>
      <c r="DU3" s="147">
        <f t="shared" ca="1" si="41"/>
        <v>8.0519480519480519E-2</v>
      </c>
      <c r="DV3" s="148">
        <f t="shared" si="42"/>
        <v>39</v>
      </c>
      <c r="DW3" s="147">
        <f t="shared" ca="1" si="43"/>
        <v>0.1012987012987013</v>
      </c>
      <c r="DX3" s="148">
        <f t="shared" si="44"/>
        <v>2</v>
      </c>
      <c r="DY3" s="148">
        <f t="shared" si="45"/>
        <v>5</v>
      </c>
      <c r="DZ3" s="148">
        <f t="shared" si="46"/>
        <v>7</v>
      </c>
    </row>
    <row r="4" spans="1:130" ht="15.75" thickBot="1" x14ac:dyDescent="0.3">
      <c r="A4" s="13">
        <v>474</v>
      </c>
      <c r="B4" s="32" t="s">
        <v>149</v>
      </c>
      <c r="C4" s="34" t="str">
        <f t="shared" si="0"/>
        <v>שובל 474</v>
      </c>
      <c r="D4" s="28" t="s">
        <v>7</v>
      </c>
      <c r="E4" s="28" t="s">
        <v>7</v>
      </c>
      <c r="F4" s="41" t="s">
        <v>180</v>
      </c>
      <c r="G4" s="39">
        <v>43101</v>
      </c>
      <c r="H4" s="41"/>
      <c r="I4" s="16"/>
      <c r="J4" s="100"/>
      <c r="K4" s="101"/>
      <c r="L4" s="101"/>
      <c r="M4" s="101"/>
      <c r="N4" s="102">
        <f t="shared" si="1"/>
        <v>0</v>
      </c>
      <c r="O4" s="102">
        <f t="shared" si="1"/>
        <v>0</v>
      </c>
      <c r="P4" s="18">
        <f t="shared" si="2"/>
        <v>0</v>
      </c>
      <c r="Q4" s="13"/>
      <c r="R4" s="15"/>
      <c r="S4" s="15"/>
      <c r="T4" s="15"/>
      <c r="U4" s="17">
        <f t="shared" si="3"/>
        <v>0</v>
      </c>
      <c r="V4" s="17">
        <f t="shared" si="3"/>
        <v>0</v>
      </c>
      <c r="W4" s="19">
        <f t="shared" si="4"/>
        <v>0</v>
      </c>
      <c r="X4" s="13"/>
      <c r="Y4" s="15"/>
      <c r="Z4" s="15"/>
      <c r="AA4" s="15"/>
      <c r="AB4" s="20">
        <f t="shared" si="5"/>
        <v>0</v>
      </c>
      <c r="AC4" s="20">
        <f t="shared" si="5"/>
        <v>0</v>
      </c>
      <c r="AD4" s="21">
        <f t="shared" si="6"/>
        <v>0</v>
      </c>
      <c r="AE4" s="13"/>
      <c r="AF4" s="15"/>
      <c r="AG4" s="15"/>
      <c r="AH4" s="15"/>
      <c r="AI4" s="17">
        <f t="shared" si="7"/>
        <v>0</v>
      </c>
      <c r="AJ4" s="17">
        <f t="shared" si="7"/>
        <v>0</v>
      </c>
      <c r="AK4" s="19">
        <f t="shared" si="8"/>
        <v>0</v>
      </c>
      <c r="AL4" s="13"/>
      <c r="AM4" s="15"/>
      <c r="AN4" s="15"/>
      <c r="AO4" s="15"/>
      <c r="AP4" s="17">
        <f t="shared" si="9"/>
        <v>0</v>
      </c>
      <c r="AQ4" s="17">
        <f t="shared" si="9"/>
        <v>0</v>
      </c>
      <c r="AR4" s="19">
        <f t="shared" si="10"/>
        <v>0</v>
      </c>
      <c r="AS4" s="13"/>
      <c r="AT4" s="15"/>
      <c r="AU4" s="15"/>
      <c r="AV4" s="15"/>
      <c r="AW4" s="17">
        <f t="shared" si="11"/>
        <v>0</v>
      </c>
      <c r="AX4" s="17">
        <f t="shared" si="11"/>
        <v>0</v>
      </c>
      <c r="AY4" s="19">
        <f t="shared" si="12"/>
        <v>0</v>
      </c>
      <c r="AZ4" s="13"/>
      <c r="BA4" s="15"/>
      <c r="BB4" s="15"/>
      <c r="BC4" s="15"/>
      <c r="BD4" s="17">
        <f t="shared" si="13"/>
        <v>0</v>
      </c>
      <c r="BE4" s="17">
        <f t="shared" si="13"/>
        <v>0</v>
      </c>
      <c r="BF4" s="19">
        <f t="shared" si="14"/>
        <v>0</v>
      </c>
      <c r="BG4" s="42">
        <v>1</v>
      </c>
      <c r="BH4" s="74"/>
      <c r="BI4" s="15"/>
      <c r="BJ4" s="15"/>
      <c r="BK4" s="17">
        <f t="shared" si="15"/>
        <v>3</v>
      </c>
      <c r="BL4" s="17">
        <f t="shared" si="15"/>
        <v>0</v>
      </c>
      <c r="BM4" s="73">
        <f t="shared" si="16"/>
        <v>3</v>
      </c>
      <c r="BN4" s="42"/>
      <c r="BO4" s="74"/>
      <c r="BP4" s="74">
        <v>3</v>
      </c>
      <c r="BQ4" s="74">
        <v>1</v>
      </c>
      <c r="BR4" s="17">
        <f t="shared" si="17"/>
        <v>3</v>
      </c>
      <c r="BS4" s="17">
        <f t="shared" si="17"/>
        <v>1</v>
      </c>
      <c r="BT4" s="73">
        <f t="shared" si="18"/>
        <v>4</v>
      </c>
      <c r="BU4" s="42">
        <v>1</v>
      </c>
      <c r="BV4" s="74"/>
      <c r="BW4" s="74">
        <v>1</v>
      </c>
      <c r="BX4" s="74"/>
      <c r="BY4" s="17">
        <f t="shared" si="19"/>
        <v>4</v>
      </c>
      <c r="BZ4" s="17">
        <f t="shared" si="19"/>
        <v>0</v>
      </c>
      <c r="CA4" s="73">
        <f t="shared" si="20"/>
        <v>4</v>
      </c>
      <c r="CB4" s="42"/>
      <c r="CC4" s="74"/>
      <c r="CD4" s="74">
        <v>2</v>
      </c>
      <c r="CE4" s="158"/>
      <c r="CF4" s="17">
        <f t="shared" si="21"/>
        <v>2</v>
      </c>
      <c r="CG4" s="17">
        <f t="shared" si="21"/>
        <v>0</v>
      </c>
      <c r="CH4" s="73">
        <f t="shared" si="22"/>
        <v>2</v>
      </c>
      <c r="CI4" s="74"/>
      <c r="CJ4" s="74">
        <v>1</v>
      </c>
      <c r="CK4" s="74"/>
      <c r="CL4" s="168">
        <v>1</v>
      </c>
      <c r="CM4" s="17">
        <f t="shared" si="23"/>
        <v>0</v>
      </c>
      <c r="CN4" s="17">
        <f t="shared" si="24"/>
        <v>4</v>
      </c>
      <c r="CO4" s="73">
        <f t="shared" si="25"/>
        <v>4</v>
      </c>
      <c r="CP4" s="238"/>
      <c r="CQ4" s="74"/>
      <c r="CR4" s="74"/>
      <c r="CS4" s="74">
        <v>2</v>
      </c>
      <c r="CT4" s="17">
        <f t="shared" si="26"/>
        <v>0</v>
      </c>
      <c r="CU4" s="17">
        <f t="shared" si="27"/>
        <v>2</v>
      </c>
      <c r="CV4" s="73">
        <f t="shared" si="28"/>
        <v>2</v>
      </c>
      <c r="CW4" s="42"/>
      <c r="CX4" s="74">
        <v>1</v>
      </c>
      <c r="CY4" s="74"/>
      <c r="CZ4" s="74">
        <v>1</v>
      </c>
      <c r="DA4" s="17">
        <f t="shared" si="29"/>
        <v>0</v>
      </c>
      <c r="DB4" s="17">
        <f t="shared" si="30"/>
        <v>4</v>
      </c>
      <c r="DC4" s="73">
        <f t="shared" si="31"/>
        <v>4</v>
      </c>
      <c r="DD4" s="42"/>
      <c r="DE4" s="74"/>
      <c r="DF4" s="74"/>
      <c r="DG4" s="74">
        <v>3</v>
      </c>
      <c r="DH4" s="102">
        <f t="shared" si="32"/>
        <v>0</v>
      </c>
      <c r="DI4" s="102">
        <f t="shared" si="33"/>
        <v>3</v>
      </c>
      <c r="DJ4" s="73">
        <f t="shared" si="34"/>
        <v>3</v>
      </c>
      <c r="DK4" s="42"/>
      <c r="DL4" s="74"/>
      <c r="DM4" s="74"/>
      <c r="DN4" s="74"/>
      <c r="DO4" s="102">
        <f t="shared" si="35"/>
        <v>0</v>
      </c>
      <c r="DP4" s="102">
        <f t="shared" si="36"/>
        <v>0</v>
      </c>
      <c r="DQ4" s="73">
        <f t="shared" si="37"/>
        <v>0</v>
      </c>
      <c r="DR4" s="146">
        <f t="shared" si="38"/>
        <v>12</v>
      </c>
      <c r="DS4" s="147">
        <f t="shared" ca="1" si="39"/>
        <v>4.5627376425855515E-2</v>
      </c>
      <c r="DT4" s="148">
        <f t="shared" si="40"/>
        <v>14</v>
      </c>
      <c r="DU4" s="147">
        <f t="shared" ca="1" si="41"/>
        <v>5.3231939163498096E-2</v>
      </c>
      <c r="DV4" s="148">
        <f t="shared" si="42"/>
        <v>26</v>
      </c>
      <c r="DW4" s="147">
        <f t="shared" ca="1" si="43"/>
        <v>9.8859315589353611E-2</v>
      </c>
      <c r="DX4" s="148">
        <f t="shared" si="44"/>
        <v>2</v>
      </c>
      <c r="DY4" s="148">
        <f t="shared" si="45"/>
        <v>2</v>
      </c>
      <c r="DZ4" s="148">
        <f t="shared" si="46"/>
        <v>4</v>
      </c>
    </row>
    <row r="5" spans="1:130" ht="15.75" thickBot="1" x14ac:dyDescent="0.3">
      <c r="A5" s="42" t="s">
        <v>71</v>
      </c>
      <c r="B5" s="43" t="s">
        <v>50</v>
      </c>
      <c r="C5" s="202" t="str">
        <f t="shared" si="0"/>
        <v>דקל אחודה</v>
      </c>
      <c r="D5" s="28" t="s">
        <v>7</v>
      </c>
      <c r="E5" s="15" t="s">
        <v>7</v>
      </c>
      <c r="F5" s="41" t="s">
        <v>176</v>
      </c>
      <c r="G5" s="39">
        <v>42948</v>
      </c>
      <c r="H5" s="22">
        <v>43570</v>
      </c>
      <c r="I5" s="16"/>
      <c r="J5" s="100"/>
      <c r="K5" s="101"/>
      <c r="L5" s="101"/>
      <c r="M5" s="101"/>
      <c r="N5" s="102">
        <f t="shared" si="1"/>
        <v>0</v>
      </c>
      <c r="O5" s="102">
        <f t="shared" si="1"/>
        <v>0</v>
      </c>
      <c r="P5" s="18">
        <f t="shared" si="2"/>
        <v>0</v>
      </c>
      <c r="Q5" s="13"/>
      <c r="R5" s="15"/>
      <c r="S5" s="15"/>
      <c r="T5" s="15"/>
      <c r="U5" s="17">
        <f t="shared" si="3"/>
        <v>0</v>
      </c>
      <c r="V5" s="17">
        <f t="shared" si="3"/>
        <v>0</v>
      </c>
      <c r="W5" s="19">
        <f t="shared" si="4"/>
        <v>0</v>
      </c>
      <c r="X5" s="13">
        <v>1</v>
      </c>
      <c r="Y5" s="15"/>
      <c r="Z5" s="15"/>
      <c r="AA5" s="15"/>
      <c r="AB5" s="20">
        <f t="shared" si="5"/>
        <v>3</v>
      </c>
      <c r="AC5" s="20">
        <f t="shared" si="5"/>
        <v>0</v>
      </c>
      <c r="AD5" s="21">
        <f t="shared" si="6"/>
        <v>3</v>
      </c>
      <c r="AE5" s="13">
        <v>1</v>
      </c>
      <c r="AF5" s="15"/>
      <c r="AG5" s="15">
        <v>1</v>
      </c>
      <c r="AH5" s="15"/>
      <c r="AI5" s="17">
        <f t="shared" si="7"/>
        <v>4</v>
      </c>
      <c r="AJ5" s="17">
        <f t="shared" si="7"/>
        <v>0</v>
      </c>
      <c r="AK5" s="19">
        <f t="shared" si="8"/>
        <v>4</v>
      </c>
      <c r="AL5" s="13"/>
      <c r="AM5" s="15"/>
      <c r="AN5" s="15"/>
      <c r="AO5" s="15">
        <v>1</v>
      </c>
      <c r="AP5" s="17">
        <f t="shared" si="9"/>
        <v>0</v>
      </c>
      <c r="AQ5" s="17">
        <f t="shared" si="9"/>
        <v>1</v>
      </c>
      <c r="AR5" s="19">
        <f t="shared" si="10"/>
        <v>1</v>
      </c>
      <c r="AS5" s="13"/>
      <c r="AT5" s="15"/>
      <c r="AU5" s="15">
        <v>4</v>
      </c>
      <c r="AV5" s="15"/>
      <c r="AW5" s="17">
        <f t="shared" si="11"/>
        <v>4</v>
      </c>
      <c r="AX5" s="17">
        <f t="shared" si="11"/>
        <v>0</v>
      </c>
      <c r="AY5" s="19">
        <f t="shared" si="12"/>
        <v>4</v>
      </c>
      <c r="AZ5" s="13"/>
      <c r="BA5" s="15">
        <v>1</v>
      </c>
      <c r="BB5" s="15"/>
      <c r="BC5" s="15"/>
      <c r="BD5" s="17">
        <f t="shared" si="13"/>
        <v>0</v>
      </c>
      <c r="BE5" s="17">
        <f t="shared" si="13"/>
        <v>3</v>
      </c>
      <c r="BF5" s="19">
        <f t="shared" si="14"/>
        <v>3</v>
      </c>
      <c r="BG5" s="42"/>
      <c r="BH5" s="74"/>
      <c r="BI5" s="74">
        <v>1</v>
      </c>
      <c r="BJ5" s="15">
        <v>1</v>
      </c>
      <c r="BK5" s="17">
        <f t="shared" si="15"/>
        <v>1</v>
      </c>
      <c r="BL5" s="17">
        <f t="shared" si="15"/>
        <v>1</v>
      </c>
      <c r="BM5" s="73">
        <f t="shared" si="16"/>
        <v>2</v>
      </c>
      <c r="BN5" s="42"/>
      <c r="BO5" s="74">
        <v>1</v>
      </c>
      <c r="BP5" s="74"/>
      <c r="BQ5" s="74">
        <v>1</v>
      </c>
      <c r="BR5" s="17">
        <f t="shared" si="17"/>
        <v>0</v>
      </c>
      <c r="BS5" s="17">
        <f t="shared" si="17"/>
        <v>4</v>
      </c>
      <c r="BT5" s="73">
        <f t="shared" si="18"/>
        <v>4</v>
      </c>
      <c r="BU5" s="42"/>
      <c r="BV5" s="74"/>
      <c r="BW5" s="74">
        <v>2</v>
      </c>
      <c r="BX5" s="74">
        <v>1</v>
      </c>
      <c r="BY5" s="17">
        <f t="shared" si="19"/>
        <v>2</v>
      </c>
      <c r="BZ5" s="17">
        <f t="shared" si="19"/>
        <v>1</v>
      </c>
      <c r="CA5" s="73">
        <f t="shared" si="20"/>
        <v>3</v>
      </c>
      <c r="CB5" s="42"/>
      <c r="CC5" s="74"/>
      <c r="CD5" s="74">
        <v>1</v>
      </c>
      <c r="CE5" s="158"/>
      <c r="CF5" s="17">
        <f t="shared" si="21"/>
        <v>1</v>
      </c>
      <c r="CG5" s="17">
        <f t="shared" si="21"/>
        <v>0</v>
      </c>
      <c r="CH5" s="73">
        <f t="shared" si="22"/>
        <v>1</v>
      </c>
      <c r="CI5" s="74"/>
      <c r="CJ5" s="74"/>
      <c r="CK5" s="74">
        <v>1</v>
      </c>
      <c r="CL5" s="168"/>
      <c r="CM5" s="17">
        <f t="shared" si="23"/>
        <v>1</v>
      </c>
      <c r="CN5" s="17">
        <f t="shared" si="24"/>
        <v>0</v>
      </c>
      <c r="CO5" s="73">
        <f t="shared" si="25"/>
        <v>1</v>
      </c>
      <c r="CP5" s="238"/>
      <c r="CQ5" s="74"/>
      <c r="CR5" s="74"/>
      <c r="CS5" s="74">
        <v>1</v>
      </c>
      <c r="CT5" s="17">
        <f t="shared" si="26"/>
        <v>0</v>
      </c>
      <c r="CU5" s="17">
        <f t="shared" si="27"/>
        <v>1</v>
      </c>
      <c r="CV5" s="73">
        <f t="shared" si="28"/>
        <v>1</v>
      </c>
      <c r="CW5" s="42"/>
      <c r="CX5" s="74">
        <v>1</v>
      </c>
      <c r="CY5" s="74"/>
      <c r="CZ5" s="74">
        <v>2</v>
      </c>
      <c r="DA5" s="17">
        <f t="shared" si="29"/>
        <v>0</v>
      </c>
      <c r="DB5" s="17">
        <f t="shared" si="30"/>
        <v>5</v>
      </c>
      <c r="DC5" s="73">
        <f t="shared" si="31"/>
        <v>5</v>
      </c>
      <c r="DD5" s="42"/>
      <c r="DE5" s="74">
        <v>1</v>
      </c>
      <c r="DF5" s="74"/>
      <c r="DG5" s="74">
        <v>3</v>
      </c>
      <c r="DH5" s="102">
        <f t="shared" si="32"/>
        <v>0</v>
      </c>
      <c r="DI5" s="102">
        <f t="shared" si="33"/>
        <v>6</v>
      </c>
      <c r="DJ5" s="73">
        <f t="shared" si="34"/>
        <v>6</v>
      </c>
      <c r="DK5" s="42"/>
      <c r="DL5" s="74"/>
      <c r="DM5" s="74"/>
      <c r="DN5" s="74"/>
      <c r="DO5" s="102">
        <f t="shared" si="35"/>
        <v>0</v>
      </c>
      <c r="DP5" s="102">
        <f t="shared" si="36"/>
        <v>0</v>
      </c>
      <c r="DQ5" s="73">
        <f t="shared" si="37"/>
        <v>0</v>
      </c>
      <c r="DR5" s="146">
        <f t="shared" si="38"/>
        <v>16</v>
      </c>
      <c r="DS5" s="147">
        <f t="shared" ca="1" si="39"/>
        <v>3.8461538461538464E-2</v>
      </c>
      <c r="DT5" s="148">
        <f t="shared" si="40"/>
        <v>22</v>
      </c>
      <c r="DU5" s="147">
        <f t="shared" ca="1" si="41"/>
        <v>5.2884615384615384E-2</v>
      </c>
      <c r="DV5" s="148">
        <f t="shared" si="42"/>
        <v>38</v>
      </c>
      <c r="DW5" s="147">
        <f t="shared" ca="1" si="43"/>
        <v>9.1346153846153855E-2</v>
      </c>
      <c r="DX5" s="148">
        <f t="shared" si="44"/>
        <v>2</v>
      </c>
      <c r="DY5" s="148">
        <f t="shared" si="45"/>
        <v>4</v>
      </c>
      <c r="DZ5" s="148">
        <f t="shared" si="46"/>
        <v>6</v>
      </c>
    </row>
    <row r="6" spans="1:130" ht="15.75" thickBot="1" x14ac:dyDescent="0.3">
      <c r="A6" s="42" t="s">
        <v>15</v>
      </c>
      <c r="B6" s="296" t="s">
        <v>114</v>
      </c>
      <c r="C6" s="34" t="str">
        <f t="shared" si="0"/>
        <v>רותם מרחבים</v>
      </c>
      <c r="D6" s="28" t="s">
        <v>7</v>
      </c>
      <c r="E6" s="28" t="s">
        <v>7</v>
      </c>
      <c r="F6" s="41" t="s">
        <v>179</v>
      </c>
      <c r="G6" s="39">
        <v>43101</v>
      </c>
      <c r="H6" s="82"/>
      <c r="I6" s="51"/>
      <c r="J6" s="100"/>
      <c r="K6" s="101"/>
      <c r="L6" s="101"/>
      <c r="M6" s="101"/>
      <c r="N6" s="102">
        <f t="shared" si="1"/>
        <v>0</v>
      </c>
      <c r="O6" s="102">
        <f t="shared" si="1"/>
        <v>0</v>
      </c>
      <c r="P6" s="18">
        <f t="shared" si="2"/>
        <v>0</v>
      </c>
      <c r="Q6" s="13"/>
      <c r="R6" s="15"/>
      <c r="S6" s="15"/>
      <c r="T6" s="15"/>
      <c r="U6" s="17">
        <f t="shared" si="3"/>
        <v>0</v>
      </c>
      <c r="V6" s="17">
        <f t="shared" si="3"/>
        <v>0</v>
      </c>
      <c r="W6" s="19">
        <f t="shared" si="4"/>
        <v>0</v>
      </c>
      <c r="X6" s="13"/>
      <c r="Y6" s="15"/>
      <c r="Z6" s="15"/>
      <c r="AA6" s="15"/>
      <c r="AB6" s="20">
        <f t="shared" si="5"/>
        <v>0</v>
      </c>
      <c r="AC6" s="20">
        <f t="shared" si="5"/>
        <v>0</v>
      </c>
      <c r="AD6" s="21">
        <f t="shared" si="6"/>
        <v>0</v>
      </c>
      <c r="AE6" s="13"/>
      <c r="AF6" s="15"/>
      <c r="AG6" s="15"/>
      <c r="AH6" s="15"/>
      <c r="AI6" s="17">
        <f t="shared" si="7"/>
        <v>0</v>
      </c>
      <c r="AJ6" s="17">
        <f t="shared" si="7"/>
        <v>0</v>
      </c>
      <c r="AK6" s="19">
        <f t="shared" si="8"/>
        <v>0</v>
      </c>
      <c r="AL6" s="13"/>
      <c r="AM6" s="15"/>
      <c r="AN6" s="15"/>
      <c r="AO6" s="15"/>
      <c r="AP6" s="17">
        <f t="shared" si="9"/>
        <v>0</v>
      </c>
      <c r="AQ6" s="17">
        <f t="shared" si="9"/>
        <v>0</v>
      </c>
      <c r="AR6" s="19">
        <f t="shared" si="10"/>
        <v>0</v>
      </c>
      <c r="AS6" s="13"/>
      <c r="AT6" s="15"/>
      <c r="AU6" s="15">
        <v>1</v>
      </c>
      <c r="AV6" s="15"/>
      <c r="AW6" s="17">
        <f t="shared" si="11"/>
        <v>1</v>
      </c>
      <c r="AX6" s="17">
        <f t="shared" si="11"/>
        <v>0</v>
      </c>
      <c r="AY6" s="19">
        <f t="shared" si="12"/>
        <v>1</v>
      </c>
      <c r="AZ6" s="13"/>
      <c r="BA6" s="15"/>
      <c r="BB6" s="15">
        <v>1</v>
      </c>
      <c r="BC6" s="15"/>
      <c r="BD6" s="17">
        <f t="shared" si="13"/>
        <v>1</v>
      </c>
      <c r="BE6" s="17">
        <f t="shared" si="13"/>
        <v>0</v>
      </c>
      <c r="BF6" s="19">
        <f t="shared" si="14"/>
        <v>1</v>
      </c>
      <c r="BG6" s="42"/>
      <c r="BH6" s="74"/>
      <c r="BI6" s="15">
        <v>2</v>
      </c>
      <c r="BJ6" s="15"/>
      <c r="BK6" s="17">
        <f t="shared" si="15"/>
        <v>2</v>
      </c>
      <c r="BL6" s="17">
        <f t="shared" si="15"/>
        <v>0</v>
      </c>
      <c r="BM6" s="73">
        <f t="shared" si="16"/>
        <v>2</v>
      </c>
      <c r="BN6" s="42"/>
      <c r="BO6" s="74"/>
      <c r="BP6" s="74">
        <v>2</v>
      </c>
      <c r="BQ6" s="74"/>
      <c r="BR6" s="17">
        <f t="shared" si="17"/>
        <v>2</v>
      </c>
      <c r="BS6" s="17">
        <f t="shared" si="17"/>
        <v>0</v>
      </c>
      <c r="BT6" s="73">
        <f t="shared" si="18"/>
        <v>2</v>
      </c>
      <c r="BU6" s="42"/>
      <c r="BV6" s="74"/>
      <c r="BW6" s="74"/>
      <c r="BX6" s="74"/>
      <c r="BY6" s="17">
        <f t="shared" si="19"/>
        <v>0</v>
      </c>
      <c r="BZ6" s="17">
        <f t="shared" si="19"/>
        <v>0</v>
      </c>
      <c r="CA6" s="73">
        <f t="shared" si="20"/>
        <v>0</v>
      </c>
      <c r="CB6" s="42"/>
      <c r="CC6" s="74">
        <v>1</v>
      </c>
      <c r="CD6" s="74"/>
      <c r="CE6" s="158">
        <v>1</v>
      </c>
      <c r="CF6" s="17">
        <f t="shared" si="21"/>
        <v>0</v>
      </c>
      <c r="CG6" s="17">
        <f t="shared" si="21"/>
        <v>4</v>
      </c>
      <c r="CH6" s="73">
        <f t="shared" si="22"/>
        <v>4</v>
      </c>
      <c r="CI6" s="74"/>
      <c r="CJ6" s="74"/>
      <c r="CK6" s="74"/>
      <c r="CL6" s="168">
        <v>3</v>
      </c>
      <c r="CM6" s="17">
        <f t="shared" si="23"/>
        <v>0</v>
      </c>
      <c r="CN6" s="17">
        <f t="shared" si="24"/>
        <v>3</v>
      </c>
      <c r="CO6" s="73">
        <f t="shared" si="25"/>
        <v>3</v>
      </c>
      <c r="CP6" s="238"/>
      <c r="CQ6" s="74">
        <v>1</v>
      </c>
      <c r="CR6" s="74"/>
      <c r="CS6" s="74"/>
      <c r="CT6" s="17">
        <f t="shared" si="26"/>
        <v>0</v>
      </c>
      <c r="CU6" s="17">
        <f t="shared" si="27"/>
        <v>3</v>
      </c>
      <c r="CV6" s="73">
        <f t="shared" si="28"/>
        <v>3</v>
      </c>
      <c r="CW6" s="42"/>
      <c r="CX6" s="74"/>
      <c r="CY6" s="74"/>
      <c r="CZ6" s="74">
        <v>3</v>
      </c>
      <c r="DA6" s="17">
        <f t="shared" si="29"/>
        <v>0</v>
      </c>
      <c r="DB6" s="17">
        <f t="shared" si="30"/>
        <v>3</v>
      </c>
      <c r="DC6" s="73">
        <f t="shared" si="31"/>
        <v>3</v>
      </c>
      <c r="DD6" s="42"/>
      <c r="DE6" s="74">
        <v>1</v>
      </c>
      <c r="DF6" s="74"/>
      <c r="DG6" s="74">
        <v>1</v>
      </c>
      <c r="DH6" s="102">
        <f t="shared" si="32"/>
        <v>0</v>
      </c>
      <c r="DI6" s="102">
        <f t="shared" si="33"/>
        <v>4</v>
      </c>
      <c r="DJ6" s="73">
        <f t="shared" si="34"/>
        <v>4</v>
      </c>
      <c r="DK6" s="42"/>
      <c r="DL6" s="74"/>
      <c r="DM6" s="74"/>
      <c r="DN6" s="74"/>
      <c r="DO6" s="102">
        <f t="shared" si="35"/>
        <v>0</v>
      </c>
      <c r="DP6" s="102">
        <f t="shared" si="36"/>
        <v>0</v>
      </c>
      <c r="DQ6" s="73">
        <f t="shared" si="37"/>
        <v>0</v>
      </c>
      <c r="DR6" s="146">
        <f t="shared" si="38"/>
        <v>6</v>
      </c>
      <c r="DS6" s="147">
        <f t="shared" ca="1" si="39"/>
        <v>2.2813688212927757E-2</v>
      </c>
      <c r="DT6" s="148">
        <f t="shared" si="40"/>
        <v>17</v>
      </c>
      <c r="DU6" s="147">
        <f t="shared" ca="1" si="41"/>
        <v>6.4638783269961975E-2</v>
      </c>
      <c r="DV6" s="148">
        <f t="shared" si="42"/>
        <v>23</v>
      </c>
      <c r="DW6" s="147">
        <f t="shared" ca="1" si="43"/>
        <v>8.7452471482889732E-2</v>
      </c>
      <c r="DX6" s="148">
        <f t="shared" si="44"/>
        <v>0</v>
      </c>
      <c r="DY6" s="148">
        <f t="shared" si="45"/>
        <v>3</v>
      </c>
      <c r="DZ6" s="148">
        <f t="shared" si="46"/>
        <v>3</v>
      </c>
    </row>
    <row r="7" spans="1:130" ht="15.75" thickBot="1" x14ac:dyDescent="0.3">
      <c r="A7" s="42" t="s">
        <v>71</v>
      </c>
      <c r="B7" s="32" t="s">
        <v>9</v>
      </c>
      <c r="C7" s="34" t="str">
        <f t="shared" si="0"/>
        <v>עדן אחודה</v>
      </c>
      <c r="D7" s="28" t="s">
        <v>7</v>
      </c>
      <c r="E7" s="28" t="s">
        <v>7</v>
      </c>
      <c r="F7" s="41" t="s">
        <v>193</v>
      </c>
      <c r="G7" s="39">
        <v>43160</v>
      </c>
      <c r="H7" s="41"/>
      <c r="I7" s="16"/>
      <c r="J7" s="100"/>
      <c r="K7" s="101"/>
      <c r="L7" s="101"/>
      <c r="M7" s="101"/>
      <c r="N7" s="102">
        <f t="shared" si="1"/>
        <v>0</v>
      </c>
      <c r="O7" s="102">
        <f t="shared" si="1"/>
        <v>0</v>
      </c>
      <c r="P7" s="18">
        <f t="shared" si="2"/>
        <v>0</v>
      </c>
      <c r="Q7" s="13"/>
      <c r="R7" s="15"/>
      <c r="S7" s="15"/>
      <c r="T7" s="15"/>
      <c r="U7" s="17">
        <f t="shared" si="3"/>
        <v>0</v>
      </c>
      <c r="V7" s="17">
        <f t="shared" si="3"/>
        <v>0</v>
      </c>
      <c r="W7" s="19">
        <f t="shared" si="4"/>
        <v>0</v>
      </c>
      <c r="X7" s="13"/>
      <c r="Y7" s="15"/>
      <c r="Z7" s="15"/>
      <c r="AA7" s="15"/>
      <c r="AB7" s="20">
        <f t="shared" si="5"/>
        <v>0</v>
      </c>
      <c r="AC7" s="20">
        <f t="shared" si="5"/>
        <v>0</v>
      </c>
      <c r="AD7" s="21">
        <f t="shared" si="6"/>
        <v>0</v>
      </c>
      <c r="AE7" s="13"/>
      <c r="AF7" s="15"/>
      <c r="AG7" s="15"/>
      <c r="AH7" s="15"/>
      <c r="AI7" s="17">
        <f t="shared" si="7"/>
        <v>0</v>
      </c>
      <c r="AJ7" s="17">
        <f t="shared" si="7"/>
        <v>0</v>
      </c>
      <c r="AK7" s="19">
        <f t="shared" si="8"/>
        <v>0</v>
      </c>
      <c r="AL7" s="13"/>
      <c r="AM7" s="15"/>
      <c r="AN7" s="15"/>
      <c r="AO7" s="15"/>
      <c r="AP7" s="17">
        <f t="shared" si="9"/>
        <v>0</v>
      </c>
      <c r="AQ7" s="17">
        <f t="shared" si="9"/>
        <v>0</v>
      </c>
      <c r="AR7" s="19">
        <f t="shared" si="10"/>
        <v>0</v>
      </c>
      <c r="AS7" s="13"/>
      <c r="AT7" s="15"/>
      <c r="AU7" s="15"/>
      <c r="AV7" s="15"/>
      <c r="AW7" s="17">
        <f t="shared" si="11"/>
        <v>0</v>
      </c>
      <c r="AX7" s="17">
        <f t="shared" si="11"/>
        <v>0</v>
      </c>
      <c r="AY7" s="19">
        <f t="shared" si="12"/>
        <v>0</v>
      </c>
      <c r="AZ7" s="13"/>
      <c r="BA7" s="15"/>
      <c r="BB7" s="15"/>
      <c r="BC7" s="15"/>
      <c r="BD7" s="17">
        <f t="shared" si="13"/>
        <v>0</v>
      </c>
      <c r="BE7" s="17">
        <f t="shared" si="13"/>
        <v>0</v>
      </c>
      <c r="BF7" s="19">
        <f t="shared" si="14"/>
        <v>0</v>
      </c>
      <c r="BG7" s="42"/>
      <c r="BH7" s="74"/>
      <c r="BI7" s="15"/>
      <c r="BJ7" s="15"/>
      <c r="BK7" s="17">
        <f t="shared" si="15"/>
        <v>0</v>
      </c>
      <c r="BL7" s="17">
        <f t="shared" si="15"/>
        <v>0</v>
      </c>
      <c r="BM7" s="73">
        <f t="shared" si="16"/>
        <v>0</v>
      </c>
      <c r="BN7" s="42"/>
      <c r="BO7" s="74"/>
      <c r="BP7" s="74"/>
      <c r="BQ7" s="74"/>
      <c r="BR7" s="17">
        <f t="shared" si="17"/>
        <v>0</v>
      </c>
      <c r="BS7" s="17">
        <f t="shared" si="17"/>
        <v>0</v>
      </c>
      <c r="BT7" s="73">
        <f t="shared" si="18"/>
        <v>0</v>
      </c>
      <c r="BU7" s="42"/>
      <c r="BV7" s="74"/>
      <c r="BW7" s="74"/>
      <c r="BX7" s="74">
        <v>1</v>
      </c>
      <c r="BY7" s="17">
        <f t="shared" si="19"/>
        <v>0</v>
      </c>
      <c r="BZ7" s="17">
        <f t="shared" si="19"/>
        <v>1</v>
      </c>
      <c r="CA7" s="73">
        <f t="shared" si="20"/>
        <v>1</v>
      </c>
      <c r="CB7" s="42"/>
      <c r="CC7" s="74"/>
      <c r="CD7" s="74">
        <v>1</v>
      </c>
      <c r="CE7" s="158"/>
      <c r="CF7" s="17">
        <f t="shared" si="21"/>
        <v>1</v>
      </c>
      <c r="CG7" s="17">
        <f t="shared" si="21"/>
        <v>0</v>
      </c>
      <c r="CH7" s="73">
        <f t="shared" si="22"/>
        <v>1</v>
      </c>
      <c r="CI7" s="74"/>
      <c r="CJ7" s="74"/>
      <c r="CK7" s="74">
        <v>2</v>
      </c>
      <c r="CL7" s="168"/>
      <c r="CM7" s="17">
        <f t="shared" si="23"/>
        <v>2</v>
      </c>
      <c r="CN7" s="17">
        <f t="shared" si="24"/>
        <v>0</v>
      </c>
      <c r="CO7" s="73">
        <f t="shared" si="25"/>
        <v>2</v>
      </c>
      <c r="CP7" s="238"/>
      <c r="CQ7" s="74"/>
      <c r="CR7" s="74">
        <v>1</v>
      </c>
      <c r="CS7" s="74">
        <v>1</v>
      </c>
      <c r="CT7" s="17">
        <f t="shared" si="26"/>
        <v>1</v>
      </c>
      <c r="CU7" s="17">
        <f t="shared" si="27"/>
        <v>1</v>
      </c>
      <c r="CV7" s="73">
        <f t="shared" si="28"/>
        <v>2</v>
      </c>
      <c r="CW7" s="42"/>
      <c r="CX7" s="74"/>
      <c r="CY7" s="74"/>
      <c r="CZ7" s="74">
        <v>2</v>
      </c>
      <c r="DA7" s="17">
        <f t="shared" si="29"/>
        <v>0</v>
      </c>
      <c r="DB7" s="17">
        <f t="shared" si="30"/>
        <v>2</v>
      </c>
      <c r="DC7" s="73">
        <f t="shared" si="31"/>
        <v>2</v>
      </c>
      <c r="DD7" s="42"/>
      <c r="DE7" s="74">
        <v>1</v>
      </c>
      <c r="DF7" s="74"/>
      <c r="DG7" s="74"/>
      <c r="DH7" s="102">
        <f t="shared" si="32"/>
        <v>0</v>
      </c>
      <c r="DI7" s="102">
        <f t="shared" si="33"/>
        <v>3</v>
      </c>
      <c r="DJ7" s="73">
        <f t="shared" si="34"/>
        <v>3</v>
      </c>
      <c r="DK7" s="42"/>
      <c r="DL7" s="74"/>
      <c r="DM7" s="74"/>
      <c r="DN7" s="74"/>
      <c r="DO7" s="102">
        <f t="shared" si="35"/>
        <v>0</v>
      </c>
      <c r="DP7" s="102">
        <f t="shared" si="36"/>
        <v>0</v>
      </c>
      <c r="DQ7" s="73">
        <f t="shared" si="37"/>
        <v>0</v>
      </c>
      <c r="DR7" s="146">
        <f t="shared" si="38"/>
        <v>4</v>
      </c>
      <c r="DS7" s="147">
        <f t="shared" ca="1" si="39"/>
        <v>1.9607843137254902E-2</v>
      </c>
      <c r="DT7" s="148">
        <f t="shared" si="40"/>
        <v>7</v>
      </c>
      <c r="DU7" s="147">
        <f t="shared" ca="1" si="41"/>
        <v>3.4313725490196081E-2</v>
      </c>
      <c r="DV7" s="148">
        <f t="shared" si="42"/>
        <v>11</v>
      </c>
      <c r="DW7" s="147">
        <f t="shared" ca="1" si="43"/>
        <v>5.3921568627450983E-2</v>
      </c>
      <c r="DX7" s="148">
        <f t="shared" si="44"/>
        <v>0</v>
      </c>
      <c r="DY7" s="148">
        <f t="shared" si="45"/>
        <v>1</v>
      </c>
      <c r="DZ7" s="148">
        <f t="shared" si="46"/>
        <v>1</v>
      </c>
    </row>
    <row r="8" spans="1:130" ht="15.75" thickBot="1" x14ac:dyDescent="0.3">
      <c r="A8" s="42">
        <v>11</v>
      </c>
      <c r="B8" s="296" t="s">
        <v>244</v>
      </c>
      <c r="C8" s="202" t="str">
        <f t="shared" si="0"/>
        <v>לירון 11</v>
      </c>
      <c r="D8" s="28" t="s">
        <v>6</v>
      </c>
      <c r="E8" s="28" t="s">
        <v>7</v>
      </c>
      <c r="F8" s="41" t="s">
        <v>245</v>
      </c>
      <c r="G8" s="39">
        <v>43282</v>
      </c>
      <c r="H8" s="82"/>
      <c r="I8" s="16"/>
      <c r="J8" s="100"/>
      <c r="K8" s="101"/>
      <c r="L8" s="101"/>
      <c r="M8" s="101"/>
      <c r="N8" s="102"/>
      <c r="O8" s="102"/>
      <c r="P8" s="18"/>
      <c r="Q8" s="13"/>
      <c r="R8" s="15"/>
      <c r="S8" s="15"/>
      <c r="T8" s="15"/>
      <c r="U8" s="17"/>
      <c r="V8" s="17"/>
      <c r="W8" s="19"/>
      <c r="X8" s="13"/>
      <c r="Y8" s="15"/>
      <c r="Z8" s="15"/>
      <c r="AA8" s="15"/>
      <c r="AB8" s="20"/>
      <c r="AC8" s="20"/>
      <c r="AD8" s="21"/>
      <c r="AE8" s="13"/>
      <c r="AF8" s="15"/>
      <c r="AG8" s="15"/>
      <c r="AH8" s="15"/>
      <c r="AI8" s="17"/>
      <c r="AJ8" s="17"/>
      <c r="AK8" s="19"/>
      <c r="AL8" s="13"/>
      <c r="AM8" s="15"/>
      <c r="AN8" s="15"/>
      <c r="AO8" s="15"/>
      <c r="AP8" s="17"/>
      <c r="AQ8" s="17"/>
      <c r="AR8" s="19"/>
      <c r="AS8" s="13"/>
      <c r="AT8" s="15"/>
      <c r="AU8" s="15"/>
      <c r="AV8" s="15"/>
      <c r="AW8" s="17"/>
      <c r="AX8" s="17"/>
      <c r="AY8" s="19"/>
      <c r="AZ8" s="13"/>
      <c r="BA8" s="15"/>
      <c r="BB8" s="15"/>
      <c r="BC8" s="15"/>
      <c r="BD8" s="17"/>
      <c r="BE8" s="17"/>
      <c r="BF8" s="19"/>
      <c r="BG8" s="42"/>
      <c r="BH8" s="74"/>
      <c r="BI8" s="15"/>
      <c r="BJ8" s="15"/>
      <c r="BK8" s="17"/>
      <c r="BL8" s="17"/>
      <c r="BM8" s="73"/>
      <c r="BN8" s="42"/>
      <c r="BO8" s="74"/>
      <c r="BP8" s="74"/>
      <c r="BQ8" s="74"/>
      <c r="BR8" s="17"/>
      <c r="BS8" s="17"/>
      <c r="BT8" s="73"/>
      <c r="BU8" s="42"/>
      <c r="BV8" s="74"/>
      <c r="BW8" s="74"/>
      <c r="BX8" s="74"/>
      <c r="BY8" s="17"/>
      <c r="BZ8" s="17"/>
      <c r="CA8" s="73"/>
      <c r="CB8" s="42"/>
      <c r="CC8" s="74"/>
      <c r="CD8" s="74"/>
      <c r="CE8" s="158"/>
      <c r="CF8" s="17"/>
      <c r="CG8" s="17"/>
      <c r="CH8" s="73"/>
      <c r="CI8" s="74"/>
      <c r="CJ8" s="74"/>
      <c r="CK8" s="74"/>
      <c r="CL8" s="168"/>
      <c r="CM8" s="17">
        <f t="shared" si="23"/>
        <v>0</v>
      </c>
      <c r="CN8" s="17">
        <f t="shared" si="24"/>
        <v>0</v>
      </c>
      <c r="CO8" s="73">
        <f t="shared" si="25"/>
        <v>0</v>
      </c>
      <c r="CP8" s="238"/>
      <c r="CQ8" s="74"/>
      <c r="CR8" s="74">
        <v>2</v>
      </c>
      <c r="CS8" s="74"/>
      <c r="CT8" s="17">
        <f t="shared" si="26"/>
        <v>2</v>
      </c>
      <c r="CU8" s="17">
        <f t="shared" si="27"/>
        <v>0</v>
      </c>
      <c r="CV8" s="73">
        <f t="shared" si="28"/>
        <v>2</v>
      </c>
      <c r="CW8" s="42">
        <v>1</v>
      </c>
      <c r="CX8" s="74"/>
      <c r="CY8" s="74">
        <v>1</v>
      </c>
      <c r="CZ8" s="74"/>
      <c r="DA8" s="17">
        <f t="shared" si="29"/>
        <v>4</v>
      </c>
      <c r="DB8" s="17">
        <f t="shared" si="30"/>
        <v>0</v>
      </c>
      <c r="DC8" s="73">
        <f t="shared" si="31"/>
        <v>4</v>
      </c>
      <c r="DD8" s="42">
        <v>1</v>
      </c>
      <c r="DE8" s="74"/>
      <c r="DF8" s="74">
        <v>2</v>
      </c>
      <c r="DG8" s="74"/>
      <c r="DH8" s="102">
        <f t="shared" si="32"/>
        <v>5</v>
      </c>
      <c r="DI8" s="102">
        <f t="shared" si="33"/>
        <v>0</v>
      </c>
      <c r="DJ8" s="73">
        <f t="shared" si="34"/>
        <v>5</v>
      </c>
      <c r="DK8" s="42"/>
      <c r="DL8" s="74"/>
      <c r="DM8" s="74"/>
      <c r="DN8" s="74"/>
      <c r="DO8" s="102">
        <f t="shared" si="35"/>
        <v>0</v>
      </c>
      <c r="DP8" s="102">
        <f t="shared" si="36"/>
        <v>0</v>
      </c>
      <c r="DQ8" s="73">
        <f t="shared" si="37"/>
        <v>0</v>
      </c>
      <c r="DR8" s="146">
        <f t="shared" si="38"/>
        <v>11</v>
      </c>
      <c r="DS8" s="147">
        <f t="shared" ca="1" si="39"/>
        <v>0.13414634146341464</v>
      </c>
      <c r="DT8" s="148">
        <f t="shared" si="40"/>
        <v>0</v>
      </c>
      <c r="DU8" s="147">
        <f t="shared" ca="1" si="41"/>
        <v>0</v>
      </c>
      <c r="DV8" s="148">
        <f t="shared" si="42"/>
        <v>11</v>
      </c>
      <c r="DW8" s="147">
        <f t="shared" ca="1" si="43"/>
        <v>0.13414634146341464</v>
      </c>
      <c r="DX8" s="148">
        <f t="shared" si="44"/>
        <v>2</v>
      </c>
      <c r="DY8" s="148">
        <f t="shared" si="45"/>
        <v>0</v>
      </c>
      <c r="DZ8" s="148">
        <f t="shared" si="46"/>
        <v>2</v>
      </c>
    </row>
    <row r="9" spans="1:130" ht="15.75" thickBot="1" x14ac:dyDescent="0.3">
      <c r="A9" s="13">
        <v>11</v>
      </c>
      <c r="B9" s="14" t="s">
        <v>9</v>
      </c>
      <c r="C9" s="34" t="str">
        <f t="shared" si="0"/>
        <v>עדן 11</v>
      </c>
      <c r="D9" s="15" t="s">
        <v>6</v>
      </c>
      <c r="E9" s="15" t="s">
        <v>7</v>
      </c>
      <c r="F9" s="41" t="s">
        <v>174</v>
      </c>
      <c r="G9" s="39">
        <v>42887</v>
      </c>
      <c r="H9" s="22">
        <v>43490</v>
      </c>
      <c r="I9" s="51"/>
      <c r="J9" s="100">
        <v>1</v>
      </c>
      <c r="K9" s="101"/>
      <c r="L9" s="101">
        <v>4</v>
      </c>
      <c r="M9" s="101"/>
      <c r="N9" s="102">
        <f t="shared" ref="N9:N37" si="47">J9*3+L9</f>
        <v>7</v>
      </c>
      <c r="O9" s="102">
        <f t="shared" ref="O9:O37" si="48">K9*3+M9</f>
        <v>0</v>
      </c>
      <c r="P9" s="18">
        <f t="shared" ref="P9:P37" si="49">O9+N9</f>
        <v>7</v>
      </c>
      <c r="Q9" s="13"/>
      <c r="R9" s="15"/>
      <c r="S9" s="15">
        <v>3</v>
      </c>
      <c r="T9" s="15"/>
      <c r="U9" s="17">
        <f t="shared" ref="U9:U37" si="50">Q9*3+S9</f>
        <v>3</v>
      </c>
      <c r="V9" s="17">
        <f t="shared" ref="V9:V37" si="51">R9*3+T9</f>
        <v>0</v>
      </c>
      <c r="W9" s="19">
        <f t="shared" ref="W9:W33" si="52">V9+U9</f>
        <v>3</v>
      </c>
      <c r="X9" s="13">
        <v>1</v>
      </c>
      <c r="Y9" s="15">
        <v>1</v>
      </c>
      <c r="Z9" s="15"/>
      <c r="AA9" s="15">
        <v>1</v>
      </c>
      <c r="AB9" s="20">
        <f t="shared" ref="AB9:AB37" si="53">X9*3+Z9</f>
        <v>3</v>
      </c>
      <c r="AC9" s="20">
        <f t="shared" ref="AC9:AC37" si="54">Y9*3+AA9</f>
        <v>4</v>
      </c>
      <c r="AD9" s="21">
        <f t="shared" ref="AD9:AD37" si="55">AC9+AB9</f>
        <v>7</v>
      </c>
      <c r="AE9" s="13"/>
      <c r="AF9" s="15"/>
      <c r="AG9" s="15">
        <v>1</v>
      </c>
      <c r="AH9" s="15"/>
      <c r="AI9" s="17">
        <f t="shared" ref="AI9:AI37" si="56">AE9*3+AG9</f>
        <v>1</v>
      </c>
      <c r="AJ9" s="17">
        <f t="shared" ref="AJ9:AJ37" si="57">AF9*3+AH9</f>
        <v>0</v>
      </c>
      <c r="AK9" s="19">
        <f t="shared" ref="AK9:AK37" si="58">AJ9+AI9</f>
        <v>1</v>
      </c>
      <c r="AL9" s="13"/>
      <c r="AM9" s="15"/>
      <c r="AN9" s="15">
        <v>2</v>
      </c>
      <c r="AO9" s="15"/>
      <c r="AP9" s="17">
        <f t="shared" ref="AP9:AP37" si="59">AL9*3+AN9</f>
        <v>2</v>
      </c>
      <c r="AQ9" s="17">
        <f t="shared" ref="AQ9:AQ37" si="60">AM9*3+AO9</f>
        <v>0</v>
      </c>
      <c r="AR9" s="19">
        <f t="shared" ref="AR9:AR37" si="61">AQ9+AP9</f>
        <v>2</v>
      </c>
      <c r="AS9" s="13">
        <v>1</v>
      </c>
      <c r="AT9" s="15"/>
      <c r="AU9" s="15"/>
      <c r="AV9" s="15"/>
      <c r="AW9" s="17">
        <f t="shared" ref="AW9:AW37" si="62">AS9*3+AU9</f>
        <v>3</v>
      </c>
      <c r="AX9" s="17">
        <f t="shared" ref="AX9:AX37" si="63">AT9*3+AV9</f>
        <v>0</v>
      </c>
      <c r="AY9" s="19">
        <f t="shared" ref="AY9:AY37" si="64">AX9+AW9</f>
        <v>3</v>
      </c>
      <c r="AZ9" s="13"/>
      <c r="BA9" s="15"/>
      <c r="BB9" s="15">
        <v>3</v>
      </c>
      <c r="BC9" s="15"/>
      <c r="BD9" s="17">
        <f t="shared" ref="BD9:BD37" si="65">AZ9*3+BB9</f>
        <v>3</v>
      </c>
      <c r="BE9" s="17">
        <f t="shared" ref="BE9:BE37" si="66">BA9*3+BC9</f>
        <v>0</v>
      </c>
      <c r="BF9" s="19">
        <f t="shared" ref="BF9:BF37" si="67">BE9+BD9</f>
        <v>3</v>
      </c>
      <c r="BG9" s="42"/>
      <c r="BH9" s="74">
        <v>1</v>
      </c>
      <c r="BI9" s="74"/>
      <c r="BJ9" s="15"/>
      <c r="BK9" s="17">
        <f t="shared" ref="BK9:BK37" si="68">BG9*3+BI9</f>
        <v>0</v>
      </c>
      <c r="BL9" s="17">
        <f t="shared" ref="BL9:BL37" si="69">BH9*3+BJ9</f>
        <v>3</v>
      </c>
      <c r="BM9" s="73">
        <f t="shared" ref="BM9:BM37" si="70">BL9+BK9</f>
        <v>3</v>
      </c>
      <c r="BN9" s="42">
        <v>1</v>
      </c>
      <c r="BO9" s="74"/>
      <c r="BP9" s="74"/>
      <c r="BQ9" s="74"/>
      <c r="BR9" s="17">
        <f t="shared" ref="BR9:BR37" si="71">BN9*3+BP9</f>
        <v>3</v>
      </c>
      <c r="BS9" s="17">
        <f t="shared" ref="BS9:BS37" si="72">BO9*3+BQ9</f>
        <v>0</v>
      </c>
      <c r="BT9" s="73">
        <f t="shared" ref="BT9:BT37" si="73">BS9+BR9</f>
        <v>3</v>
      </c>
      <c r="BU9" s="42"/>
      <c r="BV9" s="74"/>
      <c r="BW9" s="74">
        <v>4</v>
      </c>
      <c r="BX9" s="74"/>
      <c r="BY9" s="17">
        <f t="shared" ref="BY9:BY37" si="74">BU9*3+BW9</f>
        <v>4</v>
      </c>
      <c r="BZ9" s="17">
        <f t="shared" ref="BZ9:BZ37" si="75">BV9*3+BX9</f>
        <v>0</v>
      </c>
      <c r="CA9" s="73">
        <f t="shared" ref="CA9:CA37" si="76">BZ9+BY9</f>
        <v>4</v>
      </c>
      <c r="CB9" s="42"/>
      <c r="CC9" s="74"/>
      <c r="CD9" s="74">
        <v>3</v>
      </c>
      <c r="CE9" s="158"/>
      <c r="CF9" s="17">
        <f t="shared" ref="CF9:CF37" si="77">CB9*3+CD9</f>
        <v>3</v>
      </c>
      <c r="CG9" s="17">
        <f t="shared" ref="CG9:CG37" si="78">CC9*3+CE9</f>
        <v>0</v>
      </c>
      <c r="CH9" s="73">
        <f t="shared" ref="CH9:CH37" si="79">CG9+CF9</f>
        <v>3</v>
      </c>
      <c r="CI9" s="74">
        <v>1</v>
      </c>
      <c r="CJ9" s="74"/>
      <c r="CK9" s="74">
        <v>1</v>
      </c>
      <c r="CL9" s="168"/>
      <c r="CM9" s="17">
        <f t="shared" si="23"/>
        <v>4</v>
      </c>
      <c r="CN9" s="17">
        <f t="shared" si="24"/>
        <v>0</v>
      </c>
      <c r="CO9" s="73">
        <f t="shared" si="25"/>
        <v>4</v>
      </c>
      <c r="CP9" s="238"/>
      <c r="CQ9" s="74"/>
      <c r="CR9" s="74">
        <v>1</v>
      </c>
      <c r="CS9" s="74"/>
      <c r="CT9" s="17">
        <f t="shared" si="26"/>
        <v>1</v>
      </c>
      <c r="CU9" s="17">
        <f t="shared" si="27"/>
        <v>0</v>
      </c>
      <c r="CV9" s="73">
        <f t="shared" si="28"/>
        <v>1</v>
      </c>
      <c r="CW9" s="42">
        <v>1</v>
      </c>
      <c r="CX9" s="74"/>
      <c r="CY9" s="74">
        <v>1</v>
      </c>
      <c r="CZ9" s="74">
        <v>1</v>
      </c>
      <c r="DA9" s="17">
        <f t="shared" si="29"/>
        <v>4</v>
      </c>
      <c r="DB9" s="17">
        <f t="shared" si="30"/>
        <v>1</v>
      </c>
      <c r="DC9" s="73">
        <f t="shared" si="31"/>
        <v>5</v>
      </c>
      <c r="DD9" s="42">
        <v>1</v>
      </c>
      <c r="DE9" s="74"/>
      <c r="DF9" s="74">
        <v>2</v>
      </c>
      <c r="DG9" s="74"/>
      <c r="DH9" s="102">
        <f t="shared" si="32"/>
        <v>5</v>
      </c>
      <c r="DI9" s="102">
        <f t="shared" si="33"/>
        <v>0</v>
      </c>
      <c r="DJ9" s="73">
        <f t="shared" si="34"/>
        <v>5</v>
      </c>
      <c r="DK9" s="42"/>
      <c r="DL9" s="74"/>
      <c r="DM9" s="74"/>
      <c r="DN9" s="74"/>
      <c r="DO9" s="102">
        <f t="shared" si="35"/>
        <v>0</v>
      </c>
      <c r="DP9" s="102">
        <f t="shared" si="36"/>
        <v>0</v>
      </c>
      <c r="DQ9" s="73">
        <f t="shared" si="37"/>
        <v>0</v>
      </c>
      <c r="DR9" s="146">
        <f t="shared" si="38"/>
        <v>46</v>
      </c>
      <c r="DS9" s="147">
        <f t="shared" ca="1" si="39"/>
        <v>9.6436058700209645E-2</v>
      </c>
      <c r="DT9" s="148">
        <f t="shared" si="40"/>
        <v>8</v>
      </c>
      <c r="DU9" s="147">
        <f t="shared" ca="1" si="41"/>
        <v>1.6771488469601678E-2</v>
      </c>
      <c r="DV9" s="148">
        <f t="shared" si="42"/>
        <v>54</v>
      </c>
      <c r="DW9" s="147">
        <f t="shared" ca="1" si="43"/>
        <v>0.11320754716981132</v>
      </c>
      <c r="DX9" s="148">
        <f t="shared" si="44"/>
        <v>7</v>
      </c>
      <c r="DY9" s="148">
        <f t="shared" si="45"/>
        <v>2</v>
      </c>
      <c r="DZ9" s="148">
        <f t="shared" si="46"/>
        <v>9</v>
      </c>
    </row>
    <row r="10" spans="1:130" ht="15.75" thickBot="1" x14ac:dyDescent="0.3">
      <c r="A10" s="13">
        <v>679</v>
      </c>
      <c r="B10" s="32" t="s">
        <v>8</v>
      </c>
      <c r="C10" s="34" t="str">
        <f t="shared" si="0"/>
        <v>מירב 679</v>
      </c>
      <c r="D10" s="15" t="s">
        <v>6</v>
      </c>
      <c r="E10" s="15" t="s">
        <v>7</v>
      </c>
      <c r="F10" s="41" t="s">
        <v>174</v>
      </c>
      <c r="G10" s="39">
        <v>42887</v>
      </c>
      <c r="H10" s="22">
        <v>43421</v>
      </c>
      <c r="I10" s="16"/>
      <c r="J10" s="100">
        <v>1</v>
      </c>
      <c r="K10" s="101"/>
      <c r="L10" s="101">
        <v>3</v>
      </c>
      <c r="M10" s="101">
        <v>1</v>
      </c>
      <c r="N10" s="102">
        <f t="shared" si="47"/>
        <v>6</v>
      </c>
      <c r="O10" s="102">
        <f t="shared" si="48"/>
        <v>1</v>
      </c>
      <c r="P10" s="18">
        <f t="shared" si="49"/>
        <v>7</v>
      </c>
      <c r="Q10" s="13"/>
      <c r="R10" s="15"/>
      <c r="S10" s="15">
        <v>1</v>
      </c>
      <c r="T10" s="15">
        <v>1</v>
      </c>
      <c r="U10" s="17">
        <f t="shared" si="50"/>
        <v>1</v>
      </c>
      <c r="V10" s="17">
        <f t="shared" si="51"/>
        <v>1</v>
      </c>
      <c r="W10" s="19">
        <f t="shared" si="52"/>
        <v>2</v>
      </c>
      <c r="X10" s="13"/>
      <c r="Y10" s="15"/>
      <c r="Z10" s="15">
        <v>3</v>
      </c>
      <c r="AA10" s="15"/>
      <c r="AB10" s="20">
        <f t="shared" si="53"/>
        <v>3</v>
      </c>
      <c r="AC10" s="20">
        <f t="shared" si="54"/>
        <v>0</v>
      </c>
      <c r="AD10" s="21">
        <f t="shared" si="55"/>
        <v>3</v>
      </c>
      <c r="AE10" s="13">
        <v>1</v>
      </c>
      <c r="AF10" s="15">
        <v>1</v>
      </c>
      <c r="AG10" s="15">
        <v>1</v>
      </c>
      <c r="AH10" s="15">
        <v>1</v>
      </c>
      <c r="AI10" s="17">
        <f t="shared" si="56"/>
        <v>4</v>
      </c>
      <c r="AJ10" s="17">
        <f t="shared" si="57"/>
        <v>4</v>
      </c>
      <c r="AK10" s="19">
        <f t="shared" si="58"/>
        <v>8</v>
      </c>
      <c r="AL10" s="13"/>
      <c r="AM10" s="15"/>
      <c r="AN10" s="15">
        <v>1</v>
      </c>
      <c r="AO10" s="15">
        <v>1</v>
      </c>
      <c r="AP10" s="17">
        <f t="shared" si="59"/>
        <v>1</v>
      </c>
      <c r="AQ10" s="17">
        <f t="shared" si="60"/>
        <v>1</v>
      </c>
      <c r="AR10" s="19">
        <f t="shared" si="61"/>
        <v>2</v>
      </c>
      <c r="AS10" s="13"/>
      <c r="AT10" s="15"/>
      <c r="AU10" s="15">
        <v>1</v>
      </c>
      <c r="AV10" s="15">
        <v>2</v>
      </c>
      <c r="AW10" s="17">
        <f t="shared" si="62"/>
        <v>1</v>
      </c>
      <c r="AX10" s="17">
        <f t="shared" si="63"/>
        <v>2</v>
      </c>
      <c r="AY10" s="19">
        <f t="shared" si="64"/>
        <v>3</v>
      </c>
      <c r="AZ10" s="13"/>
      <c r="BA10" s="15"/>
      <c r="BB10" s="15">
        <v>2</v>
      </c>
      <c r="BC10" s="15">
        <v>1</v>
      </c>
      <c r="BD10" s="17">
        <f t="shared" si="65"/>
        <v>2</v>
      </c>
      <c r="BE10" s="17">
        <f t="shared" si="66"/>
        <v>1</v>
      </c>
      <c r="BF10" s="19">
        <f t="shared" si="67"/>
        <v>3</v>
      </c>
      <c r="BG10" s="42"/>
      <c r="BH10" s="74"/>
      <c r="BI10" s="15">
        <v>2</v>
      </c>
      <c r="BJ10" s="15">
        <v>1</v>
      </c>
      <c r="BK10" s="17">
        <f t="shared" si="68"/>
        <v>2</v>
      </c>
      <c r="BL10" s="17">
        <f t="shared" si="69"/>
        <v>1</v>
      </c>
      <c r="BM10" s="73">
        <f t="shared" si="70"/>
        <v>3</v>
      </c>
      <c r="BN10" s="42">
        <v>1</v>
      </c>
      <c r="BO10" s="74"/>
      <c r="BP10" s="74">
        <v>2</v>
      </c>
      <c r="BQ10" s="74"/>
      <c r="BR10" s="17">
        <f t="shared" si="71"/>
        <v>5</v>
      </c>
      <c r="BS10" s="17">
        <f t="shared" si="72"/>
        <v>0</v>
      </c>
      <c r="BT10" s="73">
        <f t="shared" si="73"/>
        <v>5</v>
      </c>
      <c r="BU10" s="42"/>
      <c r="BV10" s="74"/>
      <c r="BW10" s="74">
        <v>1</v>
      </c>
      <c r="BX10" s="74"/>
      <c r="BY10" s="17">
        <f t="shared" si="74"/>
        <v>1</v>
      </c>
      <c r="BZ10" s="17">
        <f t="shared" si="75"/>
        <v>0</v>
      </c>
      <c r="CA10" s="73">
        <f t="shared" si="76"/>
        <v>1</v>
      </c>
      <c r="CB10" s="42"/>
      <c r="CC10" s="74"/>
      <c r="CD10" s="74">
        <v>2</v>
      </c>
      <c r="CE10" s="158"/>
      <c r="CF10" s="17">
        <f t="shared" si="77"/>
        <v>2</v>
      </c>
      <c r="CG10" s="17">
        <f t="shared" si="78"/>
        <v>0</v>
      </c>
      <c r="CH10" s="73">
        <f t="shared" si="79"/>
        <v>2</v>
      </c>
      <c r="CI10" s="74">
        <v>1</v>
      </c>
      <c r="CJ10" s="74"/>
      <c r="CK10" s="74"/>
      <c r="CL10" s="168"/>
      <c r="CM10" s="17">
        <f t="shared" si="23"/>
        <v>3</v>
      </c>
      <c r="CN10" s="17">
        <f t="shared" si="24"/>
        <v>0</v>
      </c>
      <c r="CO10" s="73">
        <f t="shared" si="25"/>
        <v>3</v>
      </c>
      <c r="CP10" s="238"/>
      <c r="CQ10" s="74"/>
      <c r="CR10" s="74">
        <v>2</v>
      </c>
      <c r="CS10" s="74"/>
      <c r="CT10" s="17">
        <f t="shared" si="26"/>
        <v>2</v>
      </c>
      <c r="CU10" s="17">
        <f t="shared" si="27"/>
        <v>0</v>
      </c>
      <c r="CV10" s="73">
        <f t="shared" si="28"/>
        <v>2</v>
      </c>
      <c r="CW10" s="42"/>
      <c r="CX10" s="74"/>
      <c r="CY10" s="74">
        <v>1</v>
      </c>
      <c r="CZ10" s="74">
        <v>1</v>
      </c>
      <c r="DA10" s="17">
        <f t="shared" si="29"/>
        <v>1</v>
      </c>
      <c r="DB10" s="17">
        <f t="shared" si="30"/>
        <v>1</v>
      </c>
      <c r="DC10" s="73">
        <f t="shared" si="31"/>
        <v>2</v>
      </c>
      <c r="DD10" s="42">
        <v>1</v>
      </c>
      <c r="DE10" s="74"/>
      <c r="DF10" s="74">
        <v>2</v>
      </c>
      <c r="DG10" s="74"/>
      <c r="DH10" s="102">
        <f t="shared" si="32"/>
        <v>5</v>
      </c>
      <c r="DI10" s="102">
        <f t="shared" si="33"/>
        <v>0</v>
      </c>
      <c r="DJ10" s="73">
        <f t="shared" si="34"/>
        <v>5</v>
      </c>
      <c r="DK10" s="42"/>
      <c r="DL10" s="74"/>
      <c r="DM10" s="74"/>
      <c r="DN10" s="74"/>
      <c r="DO10" s="102">
        <f t="shared" si="35"/>
        <v>0</v>
      </c>
      <c r="DP10" s="102">
        <f t="shared" si="36"/>
        <v>0</v>
      </c>
      <c r="DQ10" s="73">
        <f t="shared" si="37"/>
        <v>0</v>
      </c>
      <c r="DR10" s="146">
        <f t="shared" si="38"/>
        <v>39</v>
      </c>
      <c r="DS10" s="147">
        <f t="shared" ca="1" si="39"/>
        <v>8.1761006289308172E-2</v>
      </c>
      <c r="DT10" s="148">
        <f t="shared" si="40"/>
        <v>12</v>
      </c>
      <c r="DU10" s="147">
        <f t="shared" ca="1" si="41"/>
        <v>2.5157232704402517E-2</v>
      </c>
      <c r="DV10" s="148">
        <f t="shared" si="42"/>
        <v>51</v>
      </c>
      <c r="DW10" s="147">
        <f t="shared" ca="1" si="43"/>
        <v>0.1069182389937107</v>
      </c>
      <c r="DX10" s="148">
        <f t="shared" si="44"/>
        <v>5</v>
      </c>
      <c r="DY10" s="148">
        <f t="shared" si="45"/>
        <v>1</v>
      </c>
      <c r="DZ10" s="148">
        <f t="shared" si="46"/>
        <v>6</v>
      </c>
    </row>
    <row r="11" spans="1:130" ht="15.75" thickBot="1" x14ac:dyDescent="0.3">
      <c r="A11" s="42">
        <v>679</v>
      </c>
      <c r="B11" s="43" t="s">
        <v>14</v>
      </c>
      <c r="C11" s="34" t="str">
        <f t="shared" si="0"/>
        <v>אופיר 679</v>
      </c>
      <c r="D11" s="15" t="s">
        <v>6</v>
      </c>
      <c r="E11" s="28" t="s">
        <v>7</v>
      </c>
      <c r="F11" s="41" t="s">
        <v>177</v>
      </c>
      <c r="G11" s="39">
        <v>42979</v>
      </c>
      <c r="H11" s="22"/>
      <c r="I11" s="16"/>
      <c r="J11" s="100"/>
      <c r="K11" s="101"/>
      <c r="L11" s="101"/>
      <c r="M11" s="101"/>
      <c r="N11" s="102">
        <f t="shared" si="47"/>
        <v>0</v>
      </c>
      <c r="O11" s="102">
        <f t="shared" si="48"/>
        <v>0</v>
      </c>
      <c r="P11" s="18">
        <f t="shared" si="49"/>
        <v>0</v>
      </c>
      <c r="Q11" s="13"/>
      <c r="R11" s="15"/>
      <c r="S11" s="15"/>
      <c r="T11" s="15"/>
      <c r="U11" s="17">
        <f t="shared" si="50"/>
        <v>0</v>
      </c>
      <c r="V11" s="17">
        <f t="shared" si="51"/>
        <v>0</v>
      </c>
      <c r="W11" s="19">
        <f t="shared" si="52"/>
        <v>0</v>
      </c>
      <c r="X11" s="13"/>
      <c r="Y11" s="15"/>
      <c r="Z11" s="15"/>
      <c r="AA11" s="15"/>
      <c r="AB11" s="20">
        <f t="shared" si="53"/>
        <v>0</v>
      </c>
      <c r="AC11" s="20">
        <f t="shared" si="54"/>
        <v>0</v>
      </c>
      <c r="AD11" s="21">
        <f t="shared" si="55"/>
        <v>0</v>
      </c>
      <c r="AE11" s="13"/>
      <c r="AF11" s="15"/>
      <c r="AG11" s="15">
        <v>2</v>
      </c>
      <c r="AH11" s="15"/>
      <c r="AI11" s="17">
        <f t="shared" si="56"/>
        <v>2</v>
      </c>
      <c r="AJ11" s="17">
        <f t="shared" si="57"/>
        <v>0</v>
      </c>
      <c r="AK11" s="19">
        <f t="shared" si="58"/>
        <v>2</v>
      </c>
      <c r="AL11" s="13"/>
      <c r="AM11" s="15"/>
      <c r="AN11" s="15">
        <v>5</v>
      </c>
      <c r="AO11" s="15"/>
      <c r="AP11" s="17">
        <f t="shared" si="59"/>
        <v>5</v>
      </c>
      <c r="AQ11" s="17">
        <f t="shared" si="60"/>
        <v>0</v>
      </c>
      <c r="AR11" s="19">
        <f t="shared" si="61"/>
        <v>5</v>
      </c>
      <c r="AS11" s="13">
        <v>1</v>
      </c>
      <c r="AT11" s="15"/>
      <c r="AU11" s="15">
        <v>3</v>
      </c>
      <c r="AV11" s="15"/>
      <c r="AW11" s="17">
        <f t="shared" si="62"/>
        <v>6</v>
      </c>
      <c r="AX11" s="17">
        <f t="shared" si="63"/>
        <v>0</v>
      </c>
      <c r="AY11" s="19">
        <f t="shared" si="64"/>
        <v>6</v>
      </c>
      <c r="AZ11" s="13"/>
      <c r="BA11" s="15"/>
      <c r="BB11" s="15"/>
      <c r="BC11" s="15"/>
      <c r="BD11" s="17">
        <f t="shared" si="65"/>
        <v>0</v>
      </c>
      <c r="BE11" s="17">
        <f t="shared" si="66"/>
        <v>0</v>
      </c>
      <c r="BF11" s="19">
        <f t="shared" si="67"/>
        <v>0</v>
      </c>
      <c r="BG11" s="42"/>
      <c r="BH11" s="74"/>
      <c r="BI11" s="15">
        <v>5</v>
      </c>
      <c r="BJ11" s="15">
        <v>2</v>
      </c>
      <c r="BK11" s="17">
        <f t="shared" si="68"/>
        <v>5</v>
      </c>
      <c r="BL11" s="17">
        <f t="shared" si="69"/>
        <v>2</v>
      </c>
      <c r="BM11" s="73">
        <f t="shared" si="70"/>
        <v>7</v>
      </c>
      <c r="BN11" s="42">
        <v>1</v>
      </c>
      <c r="BO11" s="74"/>
      <c r="BP11" s="74">
        <v>-1</v>
      </c>
      <c r="BQ11" s="74"/>
      <c r="BR11" s="17">
        <f t="shared" si="71"/>
        <v>2</v>
      </c>
      <c r="BS11" s="17">
        <f t="shared" si="72"/>
        <v>0</v>
      </c>
      <c r="BT11" s="73">
        <f t="shared" si="73"/>
        <v>2</v>
      </c>
      <c r="BU11" s="42"/>
      <c r="BV11" s="74"/>
      <c r="BW11" s="74">
        <v>2</v>
      </c>
      <c r="BX11" s="74"/>
      <c r="BY11" s="17">
        <f t="shared" si="74"/>
        <v>2</v>
      </c>
      <c r="BZ11" s="17">
        <f t="shared" si="75"/>
        <v>0</v>
      </c>
      <c r="CA11" s="73">
        <f t="shared" si="76"/>
        <v>2</v>
      </c>
      <c r="CB11" s="42"/>
      <c r="CC11" s="74"/>
      <c r="CD11" s="295"/>
      <c r="CE11" s="159"/>
      <c r="CF11" s="17">
        <f t="shared" si="77"/>
        <v>0</v>
      </c>
      <c r="CG11" s="17">
        <f t="shared" si="78"/>
        <v>0</v>
      </c>
      <c r="CH11" s="73">
        <f t="shared" si="79"/>
        <v>0</v>
      </c>
      <c r="CI11" s="74"/>
      <c r="CJ11" s="74"/>
      <c r="CK11" s="74">
        <v>1</v>
      </c>
      <c r="CL11" s="168"/>
      <c r="CM11" s="17">
        <f t="shared" si="23"/>
        <v>1</v>
      </c>
      <c r="CN11" s="17">
        <f t="shared" si="24"/>
        <v>0</v>
      </c>
      <c r="CO11" s="73">
        <f t="shared" si="25"/>
        <v>1</v>
      </c>
      <c r="CP11" s="238">
        <v>2</v>
      </c>
      <c r="CQ11" s="74"/>
      <c r="CR11" s="74">
        <v>1</v>
      </c>
      <c r="CS11" s="74"/>
      <c r="CT11" s="17">
        <f t="shared" si="26"/>
        <v>7</v>
      </c>
      <c r="CU11" s="17">
        <f t="shared" si="27"/>
        <v>0</v>
      </c>
      <c r="CV11" s="73">
        <f t="shared" si="28"/>
        <v>7</v>
      </c>
      <c r="CW11" s="42"/>
      <c r="CX11" s="74"/>
      <c r="CY11" s="74">
        <v>4</v>
      </c>
      <c r="CZ11" s="74"/>
      <c r="DA11" s="17">
        <f t="shared" si="29"/>
        <v>4</v>
      </c>
      <c r="DB11" s="17">
        <f t="shared" si="30"/>
        <v>0</v>
      </c>
      <c r="DC11" s="73">
        <f t="shared" si="31"/>
        <v>4</v>
      </c>
      <c r="DD11" s="42"/>
      <c r="DE11" s="74"/>
      <c r="DF11" s="74">
        <v>5</v>
      </c>
      <c r="DG11" s="74"/>
      <c r="DH11" s="102">
        <f t="shared" si="32"/>
        <v>5</v>
      </c>
      <c r="DI11" s="102">
        <f t="shared" si="33"/>
        <v>0</v>
      </c>
      <c r="DJ11" s="73">
        <f t="shared" si="34"/>
        <v>5</v>
      </c>
      <c r="DK11" s="42"/>
      <c r="DL11" s="74"/>
      <c r="DM11" s="74"/>
      <c r="DN11" s="74"/>
      <c r="DO11" s="102">
        <f t="shared" si="35"/>
        <v>0</v>
      </c>
      <c r="DP11" s="102">
        <f t="shared" si="36"/>
        <v>0</v>
      </c>
      <c r="DQ11" s="73">
        <f t="shared" si="37"/>
        <v>0</v>
      </c>
      <c r="DR11" s="146">
        <f t="shared" si="38"/>
        <v>39</v>
      </c>
      <c r="DS11" s="147">
        <f t="shared" ca="1" si="39"/>
        <v>0.1012987012987013</v>
      </c>
      <c r="DT11" s="148">
        <f t="shared" si="40"/>
        <v>2</v>
      </c>
      <c r="DU11" s="147">
        <f t="shared" ca="1" si="41"/>
        <v>5.1948051948051948E-3</v>
      </c>
      <c r="DV11" s="148">
        <f t="shared" si="42"/>
        <v>41</v>
      </c>
      <c r="DW11" s="147">
        <f t="shared" ca="1" si="43"/>
        <v>0.1064935064935065</v>
      </c>
      <c r="DX11" s="148">
        <f t="shared" si="44"/>
        <v>4</v>
      </c>
      <c r="DY11" s="148">
        <f t="shared" si="45"/>
        <v>0</v>
      </c>
      <c r="DZ11" s="148">
        <f t="shared" si="46"/>
        <v>4</v>
      </c>
    </row>
    <row r="12" spans="1:130" ht="15.75" thickBot="1" x14ac:dyDescent="0.3">
      <c r="A12" s="154" t="s">
        <v>71</v>
      </c>
      <c r="B12" s="32" t="s">
        <v>232</v>
      </c>
      <c r="C12" s="34" t="str">
        <f t="shared" si="0"/>
        <v>מאיה אחודה</v>
      </c>
      <c r="D12" s="28" t="s">
        <v>6</v>
      </c>
      <c r="E12" s="28" t="s">
        <v>7</v>
      </c>
      <c r="F12" s="41" t="s">
        <v>207</v>
      </c>
      <c r="G12" s="39">
        <v>43200</v>
      </c>
      <c r="H12" s="22"/>
      <c r="I12" s="51" t="s">
        <v>231</v>
      </c>
      <c r="J12" s="100"/>
      <c r="K12" s="101"/>
      <c r="L12" s="101"/>
      <c r="M12" s="101"/>
      <c r="N12" s="102">
        <f t="shared" si="47"/>
        <v>0</v>
      </c>
      <c r="O12" s="102">
        <f t="shared" si="48"/>
        <v>0</v>
      </c>
      <c r="P12" s="18">
        <f t="shared" si="49"/>
        <v>0</v>
      </c>
      <c r="Q12" s="13"/>
      <c r="R12" s="15"/>
      <c r="S12" s="15"/>
      <c r="T12" s="15"/>
      <c r="U12" s="17">
        <f t="shared" si="50"/>
        <v>0</v>
      </c>
      <c r="V12" s="17">
        <f t="shared" si="51"/>
        <v>0</v>
      </c>
      <c r="W12" s="19">
        <f t="shared" si="52"/>
        <v>0</v>
      </c>
      <c r="X12" s="13"/>
      <c r="Y12" s="15"/>
      <c r="Z12" s="15"/>
      <c r="AA12" s="15"/>
      <c r="AB12" s="20">
        <f t="shared" si="53"/>
        <v>0</v>
      </c>
      <c r="AC12" s="20">
        <f t="shared" si="54"/>
        <v>0</v>
      </c>
      <c r="AD12" s="21">
        <f t="shared" si="55"/>
        <v>0</v>
      </c>
      <c r="AE12" s="13"/>
      <c r="AF12" s="15"/>
      <c r="AG12" s="15"/>
      <c r="AH12" s="15"/>
      <c r="AI12" s="17">
        <f t="shared" si="56"/>
        <v>0</v>
      </c>
      <c r="AJ12" s="17">
        <f t="shared" si="57"/>
        <v>0</v>
      </c>
      <c r="AK12" s="19">
        <f t="shared" si="58"/>
        <v>0</v>
      </c>
      <c r="AL12" s="13"/>
      <c r="AM12" s="15"/>
      <c r="AN12" s="15"/>
      <c r="AO12" s="15"/>
      <c r="AP12" s="17">
        <f t="shared" si="59"/>
        <v>0</v>
      </c>
      <c r="AQ12" s="17">
        <f t="shared" si="60"/>
        <v>0</v>
      </c>
      <c r="AR12" s="19">
        <f t="shared" si="61"/>
        <v>0</v>
      </c>
      <c r="AS12" s="13"/>
      <c r="AT12" s="15"/>
      <c r="AU12" s="15"/>
      <c r="AV12" s="15"/>
      <c r="AW12" s="17">
        <f t="shared" si="62"/>
        <v>0</v>
      </c>
      <c r="AX12" s="17">
        <f t="shared" si="63"/>
        <v>0</v>
      </c>
      <c r="AY12" s="19">
        <f t="shared" si="64"/>
        <v>0</v>
      </c>
      <c r="AZ12" s="13"/>
      <c r="BA12" s="15"/>
      <c r="BB12" s="15"/>
      <c r="BC12" s="15"/>
      <c r="BD12" s="17">
        <f t="shared" si="65"/>
        <v>0</v>
      </c>
      <c r="BE12" s="17">
        <f t="shared" si="66"/>
        <v>0</v>
      </c>
      <c r="BF12" s="19">
        <f t="shared" si="67"/>
        <v>0</v>
      </c>
      <c r="BG12" s="42"/>
      <c r="BH12" s="74"/>
      <c r="BI12" s="74"/>
      <c r="BJ12" s="15"/>
      <c r="BK12" s="17">
        <f t="shared" si="68"/>
        <v>0</v>
      </c>
      <c r="BL12" s="17">
        <f t="shared" si="69"/>
        <v>0</v>
      </c>
      <c r="BM12" s="73">
        <f t="shared" si="70"/>
        <v>0</v>
      </c>
      <c r="BN12" s="42"/>
      <c r="BO12" s="74"/>
      <c r="BP12" s="74"/>
      <c r="BQ12" s="74"/>
      <c r="BR12" s="17">
        <f t="shared" si="71"/>
        <v>0</v>
      </c>
      <c r="BS12" s="17">
        <f t="shared" si="72"/>
        <v>0</v>
      </c>
      <c r="BT12" s="73">
        <f t="shared" si="73"/>
        <v>0</v>
      </c>
      <c r="BU12" s="42"/>
      <c r="BV12" s="74"/>
      <c r="BW12" s="74"/>
      <c r="BX12" s="74"/>
      <c r="BY12" s="17">
        <f t="shared" si="74"/>
        <v>0</v>
      </c>
      <c r="BZ12" s="17">
        <f t="shared" si="75"/>
        <v>0</v>
      </c>
      <c r="CA12" s="73">
        <f t="shared" si="76"/>
        <v>0</v>
      </c>
      <c r="CB12" s="42"/>
      <c r="CC12" s="74"/>
      <c r="CD12" s="74"/>
      <c r="CE12" s="158"/>
      <c r="CF12" s="17">
        <f t="shared" si="77"/>
        <v>0</v>
      </c>
      <c r="CG12" s="17">
        <f t="shared" si="78"/>
        <v>0</v>
      </c>
      <c r="CH12" s="73">
        <f t="shared" si="79"/>
        <v>0</v>
      </c>
      <c r="CI12" s="74">
        <v>1</v>
      </c>
      <c r="CJ12" s="74"/>
      <c r="CK12" s="74">
        <v>2</v>
      </c>
      <c r="CL12" s="168"/>
      <c r="CM12" s="17">
        <f t="shared" si="23"/>
        <v>5</v>
      </c>
      <c r="CN12" s="17">
        <f t="shared" si="24"/>
        <v>0</v>
      </c>
      <c r="CO12" s="73">
        <f t="shared" si="25"/>
        <v>5</v>
      </c>
      <c r="CP12" s="238">
        <v>1</v>
      </c>
      <c r="CQ12" s="74"/>
      <c r="CR12" s="74">
        <v>3</v>
      </c>
      <c r="CS12" s="74"/>
      <c r="CT12" s="17">
        <f t="shared" si="26"/>
        <v>6</v>
      </c>
      <c r="CU12" s="17">
        <f t="shared" si="27"/>
        <v>0</v>
      </c>
      <c r="CV12" s="73">
        <f t="shared" si="28"/>
        <v>6</v>
      </c>
      <c r="CW12" s="42"/>
      <c r="CX12" s="74"/>
      <c r="CY12" s="74">
        <v>1</v>
      </c>
      <c r="CZ12" s="74"/>
      <c r="DA12" s="17">
        <f t="shared" si="29"/>
        <v>1</v>
      </c>
      <c r="DB12" s="17">
        <f t="shared" si="30"/>
        <v>0</v>
      </c>
      <c r="DC12" s="73">
        <f t="shared" si="31"/>
        <v>1</v>
      </c>
      <c r="DD12" s="42"/>
      <c r="DE12" s="74">
        <v>1</v>
      </c>
      <c r="DF12" s="74">
        <v>2</v>
      </c>
      <c r="DG12" s="74"/>
      <c r="DH12" s="102">
        <f t="shared" si="32"/>
        <v>2</v>
      </c>
      <c r="DI12" s="102">
        <f t="shared" si="33"/>
        <v>3</v>
      </c>
      <c r="DJ12" s="73">
        <f t="shared" si="34"/>
        <v>5</v>
      </c>
      <c r="DK12" s="42"/>
      <c r="DL12" s="74"/>
      <c r="DM12" s="74"/>
      <c r="DN12" s="74"/>
      <c r="DO12" s="102">
        <f t="shared" si="35"/>
        <v>0</v>
      </c>
      <c r="DP12" s="102">
        <f t="shared" si="36"/>
        <v>0</v>
      </c>
      <c r="DQ12" s="73">
        <f t="shared" si="37"/>
        <v>0</v>
      </c>
      <c r="DR12" s="146">
        <f t="shared" si="38"/>
        <v>14</v>
      </c>
      <c r="DS12" s="147">
        <f t="shared" ca="1" si="39"/>
        <v>8.5365853658536592E-2</v>
      </c>
      <c r="DT12" s="148">
        <f t="shared" si="40"/>
        <v>3</v>
      </c>
      <c r="DU12" s="147">
        <f t="shared" ca="1" si="41"/>
        <v>1.8292682926829267E-2</v>
      </c>
      <c r="DV12" s="148">
        <f t="shared" si="42"/>
        <v>17</v>
      </c>
      <c r="DW12" s="147">
        <f t="shared" ca="1" si="43"/>
        <v>0.10365853658536586</v>
      </c>
      <c r="DX12" s="148">
        <f t="shared" si="44"/>
        <v>2</v>
      </c>
      <c r="DY12" s="148">
        <f t="shared" si="45"/>
        <v>1</v>
      </c>
      <c r="DZ12" s="148">
        <f t="shared" si="46"/>
        <v>3</v>
      </c>
    </row>
    <row r="13" spans="1:130" ht="15.75" thickBot="1" x14ac:dyDescent="0.3">
      <c r="A13" s="42">
        <v>679</v>
      </c>
      <c r="B13" s="296" t="s">
        <v>191</v>
      </c>
      <c r="C13" s="202" t="str">
        <f t="shared" si="0"/>
        <v>חן 679</v>
      </c>
      <c r="D13" s="28" t="s">
        <v>6</v>
      </c>
      <c r="E13" s="28" t="s">
        <v>7</v>
      </c>
      <c r="F13" s="41" t="s">
        <v>193</v>
      </c>
      <c r="G13" s="39">
        <v>43160</v>
      </c>
      <c r="H13" s="82"/>
      <c r="I13" s="51" t="s">
        <v>282</v>
      </c>
      <c r="J13" s="100"/>
      <c r="K13" s="101"/>
      <c r="L13" s="101"/>
      <c r="M13" s="101"/>
      <c r="N13" s="102">
        <f t="shared" si="47"/>
        <v>0</v>
      </c>
      <c r="O13" s="102">
        <f t="shared" si="48"/>
        <v>0</v>
      </c>
      <c r="P13" s="18">
        <f t="shared" si="49"/>
        <v>0</v>
      </c>
      <c r="Q13" s="13"/>
      <c r="R13" s="15"/>
      <c r="S13" s="15"/>
      <c r="T13" s="15"/>
      <c r="U13" s="17">
        <f t="shared" si="50"/>
        <v>0</v>
      </c>
      <c r="V13" s="17">
        <f t="shared" si="51"/>
        <v>0</v>
      </c>
      <c r="W13" s="19">
        <f t="shared" si="52"/>
        <v>0</v>
      </c>
      <c r="X13" s="13"/>
      <c r="Y13" s="15"/>
      <c r="Z13" s="15"/>
      <c r="AA13" s="15"/>
      <c r="AB13" s="20">
        <f t="shared" si="53"/>
        <v>0</v>
      </c>
      <c r="AC13" s="20">
        <f t="shared" si="54"/>
        <v>0</v>
      </c>
      <c r="AD13" s="21">
        <f t="shared" si="55"/>
        <v>0</v>
      </c>
      <c r="AE13" s="13"/>
      <c r="AF13" s="15"/>
      <c r="AG13" s="15"/>
      <c r="AH13" s="15"/>
      <c r="AI13" s="17">
        <f t="shared" si="56"/>
        <v>0</v>
      </c>
      <c r="AJ13" s="17">
        <f t="shared" si="57"/>
        <v>0</v>
      </c>
      <c r="AK13" s="19">
        <f t="shared" si="58"/>
        <v>0</v>
      </c>
      <c r="AL13" s="13"/>
      <c r="AM13" s="15"/>
      <c r="AN13" s="15"/>
      <c r="AO13" s="15"/>
      <c r="AP13" s="17">
        <f t="shared" si="59"/>
        <v>0</v>
      </c>
      <c r="AQ13" s="17">
        <f t="shared" si="60"/>
        <v>0</v>
      </c>
      <c r="AR13" s="19">
        <f t="shared" si="61"/>
        <v>0</v>
      </c>
      <c r="AS13" s="13"/>
      <c r="AT13" s="15"/>
      <c r="AU13" s="15"/>
      <c r="AV13" s="15"/>
      <c r="AW13" s="17">
        <f t="shared" si="62"/>
        <v>0</v>
      </c>
      <c r="AX13" s="17">
        <f t="shared" si="63"/>
        <v>0</v>
      </c>
      <c r="AY13" s="19">
        <f t="shared" si="64"/>
        <v>0</v>
      </c>
      <c r="AZ13" s="13"/>
      <c r="BA13" s="15"/>
      <c r="BB13" s="15"/>
      <c r="BC13" s="15"/>
      <c r="BD13" s="17">
        <f t="shared" si="65"/>
        <v>0</v>
      </c>
      <c r="BE13" s="17">
        <f t="shared" si="66"/>
        <v>0</v>
      </c>
      <c r="BF13" s="19">
        <f t="shared" si="67"/>
        <v>0</v>
      </c>
      <c r="BG13" s="42"/>
      <c r="BH13" s="74"/>
      <c r="BI13" s="15"/>
      <c r="BJ13" s="15"/>
      <c r="BK13" s="17">
        <f t="shared" si="68"/>
        <v>0</v>
      </c>
      <c r="BL13" s="17">
        <f t="shared" si="69"/>
        <v>0</v>
      </c>
      <c r="BM13" s="73">
        <f t="shared" si="70"/>
        <v>0</v>
      </c>
      <c r="BN13" s="42"/>
      <c r="BO13" s="74"/>
      <c r="BP13" s="74"/>
      <c r="BQ13" s="74"/>
      <c r="BR13" s="17">
        <f t="shared" si="71"/>
        <v>0</v>
      </c>
      <c r="BS13" s="17">
        <f t="shared" si="72"/>
        <v>0</v>
      </c>
      <c r="BT13" s="73">
        <f t="shared" si="73"/>
        <v>0</v>
      </c>
      <c r="BU13" s="42"/>
      <c r="BV13" s="74"/>
      <c r="BW13" s="74"/>
      <c r="BX13" s="74"/>
      <c r="BY13" s="17">
        <f t="shared" si="74"/>
        <v>0</v>
      </c>
      <c r="BZ13" s="17">
        <f t="shared" si="75"/>
        <v>0</v>
      </c>
      <c r="CA13" s="73">
        <f t="shared" si="76"/>
        <v>0</v>
      </c>
      <c r="CB13" s="42">
        <v>1</v>
      </c>
      <c r="CC13" s="74"/>
      <c r="CD13" s="74">
        <v>2</v>
      </c>
      <c r="CE13" s="158"/>
      <c r="CF13" s="17">
        <f t="shared" si="77"/>
        <v>5</v>
      </c>
      <c r="CG13" s="17">
        <f t="shared" si="78"/>
        <v>0</v>
      </c>
      <c r="CH13" s="73">
        <f t="shared" si="79"/>
        <v>5</v>
      </c>
      <c r="CI13" s="74">
        <v>1</v>
      </c>
      <c r="CJ13" s="74"/>
      <c r="CK13" s="74">
        <v>3</v>
      </c>
      <c r="CL13" s="168"/>
      <c r="CM13" s="17">
        <f t="shared" si="23"/>
        <v>6</v>
      </c>
      <c r="CN13" s="17">
        <f t="shared" si="24"/>
        <v>0</v>
      </c>
      <c r="CO13" s="73">
        <f t="shared" si="25"/>
        <v>6</v>
      </c>
      <c r="CP13" s="238">
        <v>1</v>
      </c>
      <c r="CQ13" s="74"/>
      <c r="CR13" s="74">
        <v>2</v>
      </c>
      <c r="CS13" s="74">
        <v>1</v>
      </c>
      <c r="CT13" s="17">
        <f t="shared" si="26"/>
        <v>5</v>
      </c>
      <c r="CU13" s="17">
        <f t="shared" si="27"/>
        <v>1</v>
      </c>
      <c r="CV13" s="73">
        <f t="shared" si="28"/>
        <v>6</v>
      </c>
      <c r="CW13" s="42"/>
      <c r="CX13" s="74"/>
      <c r="CY13" s="74"/>
      <c r="CZ13" s="74"/>
      <c r="DA13" s="17">
        <f t="shared" si="29"/>
        <v>0</v>
      </c>
      <c r="DB13" s="17">
        <f t="shared" si="30"/>
        <v>0</v>
      </c>
      <c r="DC13" s="73">
        <f t="shared" si="31"/>
        <v>0</v>
      </c>
      <c r="DD13" s="42">
        <v>1</v>
      </c>
      <c r="DE13" s="74"/>
      <c r="DF13" s="74">
        <v>1</v>
      </c>
      <c r="DG13" s="74"/>
      <c r="DH13" s="102">
        <f t="shared" si="32"/>
        <v>4</v>
      </c>
      <c r="DI13" s="102">
        <f t="shared" si="33"/>
        <v>0</v>
      </c>
      <c r="DJ13" s="73">
        <f t="shared" si="34"/>
        <v>4</v>
      </c>
      <c r="DK13" s="42"/>
      <c r="DL13" s="74"/>
      <c r="DM13" s="74"/>
      <c r="DN13" s="74"/>
      <c r="DO13" s="102">
        <f t="shared" si="35"/>
        <v>0</v>
      </c>
      <c r="DP13" s="102">
        <f t="shared" si="36"/>
        <v>0</v>
      </c>
      <c r="DQ13" s="73">
        <f t="shared" si="37"/>
        <v>0</v>
      </c>
      <c r="DR13" s="146">
        <f t="shared" si="38"/>
        <v>20</v>
      </c>
      <c r="DS13" s="147">
        <f t="shared" ca="1" si="39"/>
        <v>9.8039215686274508E-2</v>
      </c>
      <c r="DT13" s="148">
        <f t="shared" si="40"/>
        <v>1</v>
      </c>
      <c r="DU13" s="147">
        <f t="shared" ca="1" si="41"/>
        <v>4.9019607843137254E-3</v>
      </c>
      <c r="DV13" s="148">
        <f t="shared" si="42"/>
        <v>21</v>
      </c>
      <c r="DW13" s="147">
        <f t="shared" ca="1" si="43"/>
        <v>0.10294117647058823</v>
      </c>
      <c r="DX13" s="148">
        <f t="shared" si="44"/>
        <v>4</v>
      </c>
      <c r="DY13" s="148">
        <f t="shared" si="45"/>
        <v>0</v>
      </c>
      <c r="DZ13" s="148">
        <f t="shared" si="46"/>
        <v>4</v>
      </c>
    </row>
    <row r="14" spans="1:130" ht="15.75" thickBot="1" x14ac:dyDescent="0.3">
      <c r="A14" s="42">
        <v>679</v>
      </c>
      <c r="B14" s="296" t="s">
        <v>52</v>
      </c>
      <c r="C14" s="34" t="str">
        <f t="shared" si="0"/>
        <v>אלכס 679</v>
      </c>
      <c r="D14" s="15" t="s">
        <v>6</v>
      </c>
      <c r="E14" s="28" t="s">
        <v>7</v>
      </c>
      <c r="F14" s="41" t="s">
        <v>177</v>
      </c>
      <c r="G14" s="39">
        <v>42979</v>
      </c>
      <c r="H14" s="22">
        <v>43573</v>
      </c>
      <c r="I14" s="16"/>
      <c r="J14" s="100"/>
      <c r="K14" s="101"/>
      <c r="L14" s="101"/>
      <c r="M14" s="101"/>
      <c r="N14" s="102">
        <f t="shared" si="47"/>
        <v>0</v>
      </c>
      <c r="O14" s="102">
        <f t="shared" si="48"/>
        <v>0</v>
      </c>
      <c r="P14" s="18">
        <f t="shared" si="49"/>
        <v>0</v>
      </c>
      <c r="Q14" s="13"/>
      <c r="R14" s="15"/>
      <c r="S14" s="15"/>
      <c r="T14" s="15"/>
      <c r="U14" s="17">
        <f t="shared" si="50"/>
        <v>0</v>
      </c>
      <c r="V14" s="17">
        <f t="shared" si="51"/>
        <v>0</v>
      </c>
      <c r="W14" s="19">
        <f t="shared" si="52"/>
        <v>0</v>
      </c>
      <c r="X14" s="13"/>
      <c r="Y14" s="15"/>
      <c r="Z14" s="15"/>
      <c r="AA14" s="15"/>
      <c r="AB14" s="20">
        <f t="shared" si="53"/>
        <v>0</v>
      </c>
      <c r="AC14" s="20">
        <f t="shared" si="54"/>
        <v>0</v>
      </c>
      <c r="AD14" s="21">
        <f t="shared" si="55"/>
        <v>0</v>
      </c>
      <c r="AE14" s="13">
        <v>1</v>
      </c>
      <c r="AF14" s="15"/>
      <c r="AG14" s="15"/>
      <c r="AH14" s="15"/>
      <c r="AI14" s="17">
        <f t="shared" si="56"/>
        <v>3</v>
      </c>
      <c r="AJ14" s="17">
        <f t="shared" si="57"/>
        <v>0</v>
      </c>
      <c r="AK14" s="19">
        <f t="shared" si="58"/>
        <v>3</v>
      </c>
      <c r="AL14" s="13"/>
      <c r="AM14" s="15"/>
      <c r="AN14" s="15">
        <v>4</v>
      </c>
      <c r="AO14" s="15"/>
      <c r="AP14" s="17">
        <f t="shared" si="59"/>
        <v>4</v>
      </c>
      <c r="AQ14" s="17">
        <f t="shared" si="60"/>
        <v>0</v>
      </c>
      <c r="AR14" s="19">
        <f t="shared" si="61"/>
        <v>4</v>
      </c>
      <c r="AS14" s="13"/>
      <c r="AT14" s="15"/>
      <c r="AU14" s="15">
        <v>4</v>
      </c>
      <c r="AV14" s="15"/>
      <c r="AW14" s="17">
        <f t="shared" si="62"/>
        <v>4</v>
      </c>
      <c r="AX14" s="17">
        <f t="shared" si="63"/>
        <v>0</v>
      </c>
      <c r="AY14" s="19">
        <f t="shared" si="64"/>
        <v>4</v>
      </c>
      <c r="AZ14" s="13">
        <v>1</v>
      </c>
      <c r="BA14" s="15"/>
      <c r="BB14" s="15"/>
      <c r="BC14" s="15"/>
      <c r="BD14" s="17">
        <f t="shared" si="65"/>
        <v>3</v>
      </c>
      <c r="BE14" s="17">
        <f t="shared" si="66"/>
        <v>0</v>
      </c>
      <c r="BF14" s="19">
        <f t="shared" si="67"/>
        <v>3</v>
      </c>
      <c r="BG14" s="42"/>
      <c r="BH14" s="74"/>
      <c r="BI14" s="15">
        <v>2</v>
      </c>
      <c r="BJ14" s="15">
        <v>1</v>
      </c>
      <c r="BK14" s="17">
        <f t="shared" si="68"/>
        <v>2</v>
      </c>
      <c r="BL14" s="17">
        <f t="shared" si="69"/>
        <v>1</v>
      </c>
      <c r="BM14" s="73">
        <f t="shared" si="70"/>
        <v>3</v>
      </c>
      <c r="BN14" s="42">
        <v>1</v>
      </c>
      <c r="BO14" s="74"/>
      <c r="BP14" s="74">
        <v>2</v>
      </c>
      <c r="BQ14" s="74">
        <v>1</v>
      </c>
      <c r="BR14" s="17">
        <f t="shared" si="71"/>
        <v>5</v>
      </c>
      <c r="BS14" s="17">
        <f t="shared" si="72"/>
        <v>1</v>
      </c>
      <c r="BT14" s="73">
        <f t="shared" si="73"/>
        <v>6</v>
      </c>
      <c r="BU14" s="42"/>
      <c r="BV14" s="74"/>
      <c r="BW14" s="74">
        <v>1</v>
      </c>
      <c r="BX14" s="74"/>
      <c r="BY14" s="17">
        <f t="shared" si="74"/>
        <v>1</v>
      </c>
      <c r="BZ14" s="17">
        <f t="shared" si="75"/>
        <v>0</v>
      </c>
      <c r="CA14" s="73">
        <f t="shared" si="76"/>
        <v>1</v>
      </c>
      <c r="CB14" s="42"/>
      <c r="CC14" s="74"/>
      <c r="CD14" s="295">
        <v>2</v>
      </c>
      <c r="CE14" s="159"/>
      <c r="CF14" s="17">
        <f t="shared" si="77"/>
        <v>2</v>
      </c>
      <c r="CG14" s="17">
        <f t="shared" si="78"/>
        <v>0</v>
      </c>
      <c r="CH14" s="73">
        <f t="shared" si="79"/>
        <v>2</v>
      </c>
      <c r="CI14" s="74">
        <v>1</v>
      </c>
      <c r="CJ14" s="74"/>
      <c r="CK14" s="74">
        <v>1</v>
      </c>
      <c r="CL14" s="168">
        <v>1</v>
      </c>
      <c r="CM14" s="17">
        <f t="shared" si="23"/>
        <v>4</v>
      </c>
      <c r="CN14" s="17">
        <f t="shared" si="24"/>
        <v>1</v>
      </c>
      <c r="CO14" s="73">
        <f t="shared" si="25"/>
        <v>5</v>
      </c>
      <c r="CP14" s="238"/>
      <c r="CQ14" s="74"/>
      <c r="CR14" s="74">
        <v>2</v>
      </c>
      <c r="CS14" s="74"/>
      <c r="CT14" s="17">
        <f t="shared" si="26"/>
        <v>2</v>
      </c>
      <c r="CU14" s="17">
        <f t="shared" si="27"/>
        <v>0</v>
      </c>
      <c r="CV14" s="73">
        <f t="shared" si="28"/>
        <v>2</v>
      </c>
      <c r="CW14" s="42">
        <v>1</v>
      </c>
      <c r="CX14" s="74"/>
      <c r="CY14" s="74"/>
      <c r="CZ14" s="74"/>
      <c r="DA14" s="17">
        <f t="shared" si="29"/>
        <v>3</v>
      </c>
      <c r="DB14" s="17">
        <f t="shared" si="30"/>
        <v>0</v>
      </c>
      <c r="DC14" s="73">
        <f t="shared" si="31"/>
        <v>3</v>
      </c>
      <c r="DD14" s="42"/>
      <c r="DE14" s="74">
        <v>1</v>
      </c>
      <c r="DF14" s="74">
        <v>1</v>
      </c>
      <c r="DG14" s="74"/>
      <c r="DH14" s="102">
        <f t="shared" si="32"/>
        <v>1</v>
      </c>
      <c r="DI14" s="102">
        <f t="shared" si="33"/>
        <v>3</v>
      </c>
      <c r="DJ14" s="73">
        <f t="shared" si="34"/>
        <v>4</v>
      </c>
      <c r="DK14" s="42"/>
      <c r="DL14" s="74"/>
      <c r="DM14" s="74"/>
      <c r="DN14" s="74"/>
      <c r="DO14" s="102">
        <f t="shared" si="35"/>
        <v>0</v>
      </c>
      <c r="DP14" s="102">
        <f t="shared" si="36"/>
        <v>0</v>
      </c>
      <c r="DQ14" s="73">
        <f t="shared" si="37"/>
        <v>0</v>
      </c>
      <c r="DR14" s="146">
        <f t="shared" si="38"/>
        <v>34</v>
      </c>
      <c r="DS14" s="147">
        <f t="shared" ca="1" si="39"/>
        <v>8.8311688311688313E-2</v>
      </c>
      <c r="DT14" s="148">
        <f t="shared" si="40"/>
        <v>6</v>
      </c>
      <c r="DU14" s="147">
        <f t="shared" ca="1" si="41"/>
        <v>1.5584415584415584E-2</v>
      </c>
      <c r="DV14" s="148">
        <f t="shared" si="42"/>
        <v>40</v>
      </c>
      <c r="DW14" s="147">
        <f t="shared" ca="1" si="43"/>
        <v>0.1038961038961039</v>
      </c>
      <c r="DX14" s="148">
        <f t="shared" si="44"/>
        <v>5</v>
      </c>
      <c r="DY14" s="148">
        <f t="shared" si="45"/>
        <v>1</v>
      </c>
      <c r="DZ14" s="148">
        <f t="shared" si="46"/>
        <v>6</v>
      </c>
    </row>
    <row r="15" spans="1:130" ht="15.75" thickBot="1" x14ac:dyDescent="0.3">
      <c r="A15" s="13">
        <v>474</v>
      </c>
      <c r="B15" s="32" t="s">
        <v>148</v>
      </c>
      <c r="C15" s="34" t="str">
        <f t="shared" si="0"/>
        <v>אתי 474</v>
      </c>
      <c r="D15" s="15" t="s">
        <v>6</v>
      </c>
      <c r="E15" s="28" t="s">
        <v>7</v>
      </c>
      <c r="F15" s="41" t="s">
        <v>180</v>
      </c>
      <c r="G15" s="39">
        <v>43101</v>
      </c>
      <c r="H15" s="41"/>
      <c r="I15" s="16"/>
      <c r="J15" s="100"/>
      <c r="K15" s="101"/>
      <c r="L15" s="101"/>
      <c r="M15" s="101"/>
      <c r="N15" s="102">
        <f t="shared" si="47"/>
        <v>0</v>
      </c>
      <c r="O15" s="102">
        <f t="shared" si="48"/>
        <v>0</v>
      </c>
      <c r="P15" s="18">
        <f t="shared" si="49"/>
        <v>0</v>
      </c>
      <c r="Q15" s="13"/>
      <c r="R15" s="15"/>
      <c r="S15" s="15"/>
      <c r="T15" s="15"/>
      <c r="U15" s="17">
        <f t="shared" si="50"/>
        <v>0</v>
      </c>
      <c r="V15" s="17">
        <f t="shared" si="51"/>
        <v>0</v>
      </c>
      <c r="W15" s="19">
        <f t="shared" si="52"/>
        <v>0</v>
      </c>
      <c r="X15" s="13"/>
      <c r="Y15" s="15"/>
      <c r="Z15" s="15"/>
      <c r="AA15" s="15"/>
      <c r="AB15" s="20">
        <f t="shared" si="53"/>
        <v>0</v>
      </c>
      <c r="AC15" s="20">
        <f t="shared" si="54"/>
        <v>0</v>
      </c>
      <c r="AD15" s="21">
        <f t="shared" si="55"/>
        <v>0</v>
      </c>
      <c r="AE15" s="13"/>
      <c r="AF15" s="15"/>
      <c r="AG15" s="15"/>
      <c r="AH15" s="15"/>
      <c r="AI15" s="17">
        <f t="shared" si="56"/>
        <v>0</v>
      </c>
      <c r="AJ15" s="17">
        <f t="shared" si="57"/>
        <v>0</v>
      </c>
      <c r="AK15" s="19">
        <f t="shared" si="58"/>
        <v>0</v>
      </c>
      <c r="AL15" s="13"/>
      <c r="AM15" s="15"/>
      <c r="AN15" s="15"/>
      <c r="AO15" s="15"/>
      <c r="AP15" s="17">
        <f t="shared" si="59"/>
        <v>0</v>
      </c>
      <c r="AQ15" s="17">
        <f t="shared" si="60"/>
        <v>0</v>
      </c>
      <c r="AR15" s="19">
        <f t="shared" si="61"/>
        <v>0</v>
      </c>
      <c r="AS15" s="13"/>
      <c r="AT15" s="15"/>
      <c r="AU15" s="15"/>
      <c r="AV15" s="15"/>
      <c r="AW15" s="17">
        <f t="shared" si="62"/>
        <v>0</v>
      </c>
      <c r="AX15" s="17">
        <f t="shared" si="63"/>
        <v>0</v>
      </c>
      <c r="AY15" s="19">
        <f t="shared" si="64"/>
        <v>0</v>
      </c>
      <c r="AZ15" s="13"/>
      <c r="BA15" s="15"/>
      <c r="BB15" s="15"/>
      <c r="BC15" s="15"/>
      <c r="BD15" s="17">
        <f t="shared" si="65"/>
        <v>0</v>
      </c>
      <c r="BE15" s="17">
        <f t="shared" si="66"/>
        <v>0</v>
      </c>
      <c r="BF15" s="19">
        <f t="shared" si="67"/>
        <v>0</v>
      </c>
      <c r="BG15" s="42">
        <v>1</v>
      </c>
      <c r="BH15" s="74"/>
      <c r="BI15" s="15"/>
      <c r="BJ15" s="15"/>
      <c r="BK15" s="17">
        <f t="shared" si="68"/>
        <v>3</v>
      </c>
      <c r="BL15" s="17">
        <f t="shared" si="69"/>
        <v>0</v>
      </c>
      <c r="BM15" s="73">
        <f t="shared" si="70"/>
        <v>3</v>
      </c>
      <c r="BN15" s="42"/>
      <c r="BO15" s="74"/>
      <c r="BP15" s="74">
        <v>4</v>
      </c>
      <c r="BQ15" s="74"/>
      <c r="BR15" s="17">
        <f t="shared" si="71"/>
        <v>4</v>
      </c>
      <c r="BS15" s="17">
        <f t="shared" si="72"/>
        <v>0</v>
      </c>
      <c r="BT15" s="73">
        <f t="shared" si="73"/>
        <v>4</v>
      </c>
      <c r="BU15" s="42"/>
      <c r="BV15" s="74"/>
      <c r="BW15" s="74">
        <v>3</v>
      </c>
      <c r="BX15" s="74"/>
      <c r="BY15" s="17">
        <f t="shared" si="74"/>
        <v>3</v>
      </c>
      <c r="BZ15" s="17">
        <f t="shared" si="75"/>
        <v>0</v>
      </c>
      <c r="CA15" s="73">
        <f t="shared" si="76"/>
        <v>3</v>
      </c>
      <c r="CB15" s="42">
        <v>1</v>
      </c>
      <c r="CC15" s="74"/>
      <c r="CD15" s="74">
        <v>1</v>
      </c>
      <c r="CE15" s="158"/>
      <c r="CF15" s="17">
        <f t="shared" si="77"/>
        <v>4</v>
      </c>
      <c r="CG15" s="17">
        <f t="shared" si="78"/>
        <v>0</v>
      </c>
      <c r="CH15" s="73">
        <f t="shared" si="79"/>
        <v>4</v>
      </c>
      <c r="CI15" s="74"/>
      <c r="CJ15" s="74"/>
      <c r="CK15" s="74">
        <v>1</v>
      </c>
      <c r="CL15" s="168">
        <v>1</v>
      </c>
      <c r="CM15" s="17">
        <f t="shared" si="23"/>
        <v>1</v>
      </c>
      <c r="CN15" s="17">
        <f t="shared" si="24"/>
        <v>1</v>
      </c>
      <c r="CO15" s="73">
        <f t="shared" si="25"/>
        <v>2</v>
      </c>
      <c r="CP15" s="238">
        <v>1</v>
      </c>
      <c r="CQ15" s="74"/>
      <c r="CR15" s="74">
        <v>1</v>
      </c>
      <c r="CS15" s="74"/>
      <c r="CT15" s="17">
        <f t="shared" si="26"/>
        <v>4</v>
      </c>
      <c r="CU15" s="17">
        <f t="shared" si="27"/>
        <v>0</v>
      </c>
      <c r="CV15" s="73">
        <f t="shared" si="28"/>
        <v>4</v>
      </c>
      <c r="CW15" s="42"/>
      <c r="CX15" s="74"/>
      <c r="CY15" s="74">
        <v>2</v>
      </c>
      <c r="CZ15" s="74"/>
      <c r="DA15" s="17">
        <f t="shared" si="29"/>
        <v>2</v>
      </c>
      <c r="DB15" s="17">
        <f t="shared" si="30"/>
        <v>0</v>
      </c>
      <c r="DC15" s="73">
        <f t="shared" si="31"/>
        <v>2</v>
      </c>
      <c r="DD15" s="42">
        <v>1</v>
      </c>
      <c r="DE15" s="74"/>
      <c r="DF15" s="74"/>
      <c r="DG15" s="74">
        <v>2</v>
      </c>
      <c r="DH15" s="102">
        <f t="shared" si="32"/>
        <v>3</v>
      </c>
      <c r="DI15" s="102">
        <f t="shared" si="33"/>
        <v>2</v>
      </c>
      <c r="DJ15" s="73">
        <f t="shared" si="34"/>
        <v>5</v>
      </c>
      <c r="DK15" s="42"/>
      <c r="DL15" s="74"/>
      <c r="DM15" s="74"/>
      <c r="DN15" s="74"/>
      <c r="DO15" s="102">
        <f t="shared" si="35"/>
        <v>0</v>
      </c>
      <c r="DP15" s="102">
        <f t="shared" si="36"/>
        <v>0</v>
      </c>
      <c r="DQ15" s="73">
        <f t="shared" si="37"/>
        <v>0</v>
      </c>
      <c r="DR15" s="146">
        <f t="shared" si="38"/>
        <v>24</v>
      </c>
      <c r="DS15" s="147">
        <f t="shared" ca="1" si="39"/>
        <v>9.125475285171103E-2</v>
      </c>
      <c r="DT15" s="148">
        <f t="shared" si="40"/>
        <v>3</v>
      </c>
      <c r="DU15" s="147">
        <f t="shared" ca="1" si="41"/>
        <v>1.1406844106463879E-2</v>
      </c>
      <c r="DV15" s="148">
        <f t="shared" si="42"/>
        <v>27</v>
      </c>
      <c r="DW15" s="147">
        <f t="shared" ca="1" si="43"/>
        <v>0.10266159695817491</v>
      </c>
      <c r="DX15" s="148">
        <f t="shared" si="44"/>
        <v>4</v>
      </c>
      <c r="DY15" s="148">
        <f t="shared" si="45"/>
        <v>0</v>
      </c>
      <c r="DZ15" s="148">
        <f t="shared" si="46"/>
        <v>4</v>
      </c>
    </row>
    <row r="16" spans="1:130" ht="15.75" thickBot="1" x14ac:dyDescent="0.3">
      <c r="A16" s="13">
        <v>11</v>
      </c>
      <c r="B16" s="32" t="s">
        <v>148</v>
      </c>
      <c r="C16" s="34" t="str">
        <f t="shared" si="0"/>
        <v>אתי 11</v>
      </c>
      <c r="D16" s="28" t="s">
        <v>6</v>
      </c>
      <c r="E16" s="28" t="s">
        <v>7</v>
      </c>
      <c r="F16" s="41" t="s">
        <v>241</v>
      </c>
      <c r="G16" s="39">
        <v>43252</v>
      </c>
      <c r="H16" s="82"/>
      <c r="I16" s="16"/>
      <c r="J16" s="100"/>
      <c r="K16" s="101"/>
      <c r="L16" s="101"/>
      <c r="M16" s="101"/>
      <c r="N16" s="102">
        <f t="shared" si="47"/>
        <v>0</v>
      </c>
      <c r="O16" s="102">
        <f t="shared" si="48"/>
        <v>0</v>
      </c>
      <c r="P16" s="18">
        <f t="shared" si="49"/>
        <v>0</v>
      </c>
      <c r="Q16" s="13"/>
      <c r="R16" s="15"/>
      <c r="S16" s="15"/>
      <c r="T16" s="15"/>
      <c r="U16" s="17">
        <f t="shared" si="50"/>
        <v>0</v>
      </c>
      <c r="V16" s="17">
        <f t="shared" si="51"/>
        <v>0</v>
      </c>
      <c r="W16" s="19">
        <f t="shared" si="52"/>
        <v>0</v>
      </c>
      <c r="X16" s="13"/>
      <c r="Y16" s="15"/>
      <c r="Z16" s="15"/>
      <c r="AA16" s="15"/>
      <c r="AB16" s="20">
        <f t="shared" si="53"/>
        <v>0</v>
      </c>
      <c r="AC16" s="20">
        <f t="shared" si="54"/>
        <v>0</v>
      </c>
      <c r="AD16" s="21">
        <f t="shared" si="55"/>
        <v>0</v>
      </c>
      <c r="AE16" s="13"/>
      <c r="AF16" s="15"/>
      <c r="AG16" s="15"/>
      <c r="AH16" s="15"/>
      <c r="AI16" s="17">
        <f t="shared" si="56"/>
        <v>0</v>
      </c>
      <c r="AJ16" s="17">
        <f t="shared" si="57"/>
        <v>0</v>
      </c>
      <c r="AK16" s="19">
        <f t="shared" si="58"/>
        <v>0</v>
      </c>
      <c r="AL16" s="13"/>
      <c r="AM16" s="15"/>
      <c r="AN16" s="15"/>
      <c r="AO16" s="15"/>
      <c r="AP16" s="17">
        <f t="shared" si="59"/>
        <v>0</v>
      </c>
      <c r="AQ16" s="17">
        <f t="shared" si="60"/>
        <v>0</v>
      </c>
      <c r="AR16" s="19">
        <f t="shared" si="61"/>
        <v>0</v>
      </c>
      <c r="AS16" s="13"/>
      <c r="AT16" s="15"/>
      <c r="AU16" s="15"/>
      <c r="AV16" s="15"/>
      <c r="AW16" s="17">
        <f t="shared" si="62"/>
        <v>0</v>
      </c>
      <c r="AX16" s="17">
        <f t="shared" si="63"/>
        <v>0</v>
      </c>
      <c r="AY16" s="19">
        <f t="shared" si="64"/>
        <v>0</v>
      </c>
      <c r="AZ16" s="13"/>
      <c r="BA16" s="15"/>
      <c r="BB16" s="15"/>
      <c r="BC16" s="15"/>
      <c r="BD16" s="17">
        <f t="shared" si="65"/>
        <v>0</v>
      </c>
      <c r="BE16" s="17">
        <f t="shared" si="66"/>
        <v>0</v>
      </c>
      <c r="BF16" s="19">
        <f t="shared" si="67"/>
        <v>0</v>
      </c>
      <c r="BG16" s="42"/>
      <c r="BH16" s="74"/>
      <c r="BI16" s="15"/>
      <c r="BJ16" s="15"/>
      <c r="BK16" s="17">
        <f t="shared" si="68"/>
        <v>0</v>
      </c>
      <c r="BL16" s="17">
        <f t="shared" si="69"/>
        <v>0</v>
      </c>
      <c r="BM16" s="73">
        <f t="shared" si="70"/>
        <v>0</v>
      </c>
      <c r="BN16" s="42"/>
      <c r="BO16" s="74"/>
      <c r="BP16" s="74"/>
      <c r="BQ16" s="74"/>
      <c r="BR16" s="17">
        <f t="shared" si="71"/>
        <v>0</v>
      </c>
      <c r="BS16" s="17">
        <f t="shared" si="72"/>
        <v>0</v>
      </c>
      <c r="BT16" s="73">
        <f t="shared" si="73"/>
        <v>0</v>
      </c>
      <c r="BU16" s="42"/>
      <c r="BV16" s="74"/>
      <c r="BW16" s="74"/>
      <c r="BX16" s="74"/>
      <c r="BY16" s="17">
        <f t="shared" si="74"/>
        <v>0</v>
      </c>
      <c r="BZ16" s="17">
        <f t="shared" si="75"/>
        <v>0</v>
      </c>
      <c r="CA16" s="73">
        <f t="shared" si="76"/>
        <v>0</v>
      </c>
      <c r="CB16" s="42"/>
      <c r="CC16" s="74"/>
      <c r="CD16" s="74"/>
      <c r="CE16" s="158"/>
      <c r="CF16" s="17">
        <f t="shared" si="77"/>
        <v>0</v>
      </c>
      <c r="CG16" s="17">
        <f t="shared" si="78"/>
        <v>0</v>
      </c>
      <c r="CH16" s="73">
        <f t="shared" si="79"/>
        <v>0</v>
      </c>
      <c r="CI16" s="74"/>
      <c r="CJ16" s="74"/>
      <c r="CK16" s="74"/>
      <c r="CL16" s="168"/>
      <c r="CM16" s="17">
        <f t="shared" si="23"/>
        <v>0</v>
      </c>
      <c r="CN16" s="17">
        <f t="shared" si="24"/>
        <v>0</v>
      </c>
      <c r="CO16" s="73">
        <f t="shared" si="25"/>
        <v>0</v>
      </c>
      <c r="CP16" s="238"/>
      <c r="CQ16" s="74"/>
      <c r="CR16" s="74">
        <v>3</v>
      </c>
      <c r="CS16" s="74"/>
      <c r="CT16" s="17">
        <f t="shared" si="26"/>
        <v>3</v>
      </c>
      <c r="CU16" s="17">
        <f t="shared" si="27"/>
        <v>0</v>
      </c>
      <c r="CV16" s="73">
        <f t="shared" si="28"/>
        <v>3</v>
      </c>
      <c r="CW16" s="42">
        <v>1</v>
      </c>
      <c r="CX16" s="74"/>
      <c r="CY16" s="74">
        <v>1</v>
      </c>
      <c r="CZ16" s="74"/>
      <c r="DA16" s="17">
        <f t="shared" si="29"/>
        <v>4</v>
      </c>
      <c r="DB16" s="17">
        <f t="shared" si="30"/>
        <v>0</v>
      </c>
      <c r="DC16" s="73">
        <f t="shared" si="31"/>
        <v>4</v>
      </c>
      <c r="DD16" s="42"/>
      <c r="DE16" s="74"/>
      <c r="DF16" s="74">
        <v>3</v>
      </c>
      <c r="DG16" s="74">
        <v>1</v>
      </c>
      <c r="DH16" s="102">
        <f t="shared" si="32"/>
        <v>3</v>
      </c>
      <c r="DI16" s="102">
        <f t="shared" si="33"/>
        <v>1</v>
      </c>
      <c r="DJ16" s="73">
        <f t="shared" si="34"/>
        <v>4</v>
      </c>
      <c r="DK16" s="42"/>
      <c r="DL16" s="74"/>
      <c r="DM16" s="74"/>
      <c r="DN16" s="74"/>
      <c r="DO16" s="102">
        <f t="shared" si="35"/>
        <v>0</v>
      </c>
      <c r="DP16" s="102">
        <f t="shared" si="36"/>
        <v>0</v>
      </c>
      <c r="DQ16" s="73">
        <f t="shared" si="37"/>
        <v>0</v>
      </c>
      <c r="DR16" s="146">
        <f t="shared" si="38"/>
        <v>10</v>
      </c>
      <c r="DS16" s="147">
        <f t="shared" ca="1" si="39"/>
        <v>8.9285714285714288E-2</v>
      </c>
      <c r="DT16" s="148">
        <f t="shared" si="40"/>
        <v>1</v>
      </c>
      <c r="DU16" s="147">
        <f t="shared" ca="1" si="41"/>
        <v>8.9285714285714281E-3</v>
      </c>
      <c r="DV16" s="148">
        <f t="shared" si="42"/>
        <v>11</v>
      </c>
      <c r="DW16" s="147">
        <f t="shared" ca="1" si="43"/>
        <v>9.8214285714285712E-2</v>
      </c>
      <c r="DX16" s="148">
        <f t="shared" si="44"/>
        <v>1</v>
      </c>
      <c r="DY16" s="148">
        <f t="shared" si="45"/>
        <v>0</v>
      </c>
      <c r="DZ16" s="148">
        <f t="shared" si="46"/>
        <v>1</v>
      </c>
    </row>
    <row r="17" spans="1:130" ht="15.75" thickBot="1" x14ac:dyDescent="0.3">
      <c r="A17" s="42">
        <v>9</v>
      </c>
      <c r="B17" s="43" t="s">
        <v>51</v>
      </c>
      <c r="C17" s="202" t="str">
        <f t="shared" si="0"/>
        <v>כלנית 9</v>
      </c>
      <c r="D17" s="28" t="s">
        <v>6</v>
      </c>
      <c r="E17" s="28" t="s">
        <v>7</v>
      </c>
      <c r="F17" s="41" t="s">
        <v>177</v>
      </c>
      <c r="G17" s="39">
        <v>42979</v>
      </c>
      <c r="H17" s="22"/>
      <c r="I17" s="51" t="s">
        <v>282</v>
      </c>
      <c r="J17" s="100"/>
      <c r="K17" s="101"/>
      <c r="L17" s="101"/>
      <c r="M17" s="101"/>
      <c r="N17" s="102">
        <f t="shared" si="47"/>
        <v>0</v>
      </c>
      <c r="O17" s="102">
        <f t="shared" si="48"/>
        <v>0</v>
      </c>
      <c r="P17" s="18">
        <f t="shared" si="49"/>
        <v>0</v>
      </c>
      <c r="Q17" s="13"/>
      <c r="R17" s="15"/>
      <c r="S17" s="15"/>
      <c r="T17" s="15"/>
      <c r="U17" s="17">
        <f t="shared" si="50"/>
        <v>0</v>
      </c>
      <c r="V17" s="17">
        <f t="shared" si="51"/>
        <v>0</v>
      </c>
      <c r="W17" s="19">
        <f t="shared" si="52"/>
        <v>0</v>
      </c>
      <c r="X17" s="13"/>
      <c r="Y17" s="15"/>
      <c r="Z17" s="15"/>
      <c r="AA17" s="15"/>
      <c r="AB17" s="20">
        <f t="shared" si="53"/>
        <v>0</v>
      </c>
      <c r="AC17" s="20">
        <f t="shared" si="54"/>
        <v>0</v>
      </c>
      <c r="AD17" s="21">
        <f t="shared" si="55"/>
        <v>0</v>
      </c>
      <c r="AE17" s="13">
        <v>1</v>
      </c>
      <c r="AF17" s="15"/>
      <c r="AG17" s="15">
        <v>2</v>
      </c>
      <c r="AH17" s="15"/>
      <c r="AI17" s="17">
        <f t="shared" si="56"/>
        <v>5</v>
      </c>
      <c r="AJ17" s="17">
        <f t="shared" si="57"/>
        <v>0</v>
      </c>
      <c r="AK17" s="19">
        <f t="shared" si="58"/>
        <v>5</v>
      </c>
      <c r="AL17" s="13">
        <v>1</v>
      </c>
      <c r="AM17" s="15"/>
      <c r="AN17" s="15"/>
      <c r="AO17" s="15"/>
      <c r="AP17" s="17">
        <f t="shared" si="59"/>
        <v>3</v>
      </c>
      <c r="AQ17" s="17">
        <f t="shared" si="60"/>
        <v>0</v>
      </c>
      <c r="AR17" s="19">
        <f t="shared" si="61"/>
        <v>3</v>
      </c>
      <c r="AS17" s="13"/>
      <c r="AT17" s="15"/>
      <c r="AU17" s="15">
        <v>4</v>
      </c>
      <c r="AV17" s="15"/>
      <c r="AW17" s="17">
        <f t="shared" si="62"/>
        <v>4</v>
      </c>
      <c r="AX17" s="17">
        <f t="shared" si="63"/>
        <v>0</v>
      </c>
      <c r="AY17" s="19">
        <f t="shared" si="64"/>
        <v>4</v>
      </c>
      <c r="AZ17" s="13"/>
      <c r="BA17" s="15"/>
      <c r="BB17" s="15">
        <v>2</v>
      </c>
      <c r="BC17" s="15">
        <v>1</v>
      </c>
      <c r="BD17" s="17">
        <f t="shared" si="65"/>
        <v>2</v>
      </c>
      <c r="BE17" s="17">
        <f t="shared" si="66"/>
        <v>1</v>
      </c>
      <c r="BF17" s="19">
        <f t="shared" si="67"/>
        <v>3</v>
      </c>
      <c r="BG17" s="42">
        <v>1</v>
      </c>
      <c r="BH17" s="74"/>
      <c r="BI17" s="74">
        <v>1</v>
      </c>
      <c r="BJ17" s="15"/>
      <c r="BK17" s="17">
        <f t="shared" si="68"/>
        <v>4</v>
      </c>
      <c r="BL17" s="17">
        <f t="shared" si="69"/>
        <v>0</v>
      </c>
      <c r="BM17" s="73">
        <f t="shared" si="70"/>
        <v>4</v>
      </c>
      <c r="BN17" s="42"/>
      <c r="BO17" s="74"/>
      <c r="BP17" s="74">
        <v>3</v>
      </c>
      <c r="BQ17" s="74">
        <v>1</v>
      </c>
      <c r="BR17" s="17">
        <f t="shared" si="71"/>
        <v>3</v>
      </c>
      <c r="BS17" s="17">
        <f t="shared" si="72"/>
        <v>1</v>
      </c>
      <c r="BT17" s="73">
        <f t="shared" si="73"/>
        <v>4</v>
      </c>
      <c r="BU17" s="42"/>
      <c r="BV17" s="74">
        <v>1</v>
      </c>
      <c r="BW17" s="74"/>
      <c r="BX17" s="74">
        <v>1</v>
      </c>
      <c r="BY17" s="17">
        <f t="shared" si="74"/>
        <v>0</v>
      </c>
      <c r="BZ17" s="17">
        <f t="shared" si="75"/>
        <v>4</v>
      </c>
      <c r="CA17" s="73">
        <f t="shared" si="76"/>
        <v>4</v>
      </c>
      <c r="CB17" s="42"/>
      <c r="CC17" s="74"/>
      <c r="CD17" s="74"/>
      <c r="CE17" s="158"/>
      <c r="CF17" s="17">
        <f t="shared" si="77"/>
        <v>0</v>
      </c>
      <c r="CG17" s="17">
        <f t="shared" si="78"/>
        <v>0</v>
      </c>
      <c r="CH17" s="73">
        <f t="shared" si="79"/>
        <v>0</v>
      </c>
      <c r="CI17" s="74">
        <v>1</v>
      </c>
      <c r="CJ17" s="74"/>
      <c r="CK17" s="74">
        <v>1</v>
      </c>
      <c r="CL17" s="168"/>
      <c r="CM17" s="17">
        <f t="shared" si="23"/>
        <v>4</v>
      </c>
      <c r="CN17" s="17">
        <f t="shared" si="24"/>
        <v>0</v>
      </c>
      <c r="CO17" s="73">
        <f t="shared" si="25"/>
        <v>4</v>
      </c>
      <c r="CP17" s="238"/>
      <c r="CQ17" s="74"/>
      <c r="CR17" s="74">
        <v>2</v>
      </c>
      <c r="CS17" s="74"/>
      <c r="CT17" s="17">
        <f t="shared" si="26"/>
        <v>2</v>
      </c>
      <c r="CU17" s="17">
        <f t="shared" si="27"/>
        <v>0</v>
      </c>
      <c r="CV17" s="73">
        <f t="shared" si="28"/>
        <v>2</v>
      </c>
      <c r="CW17" s="42"/>
      <c r="CX17" s="74"/>
      <c r="CY17" s="74">
        <v>1</v>
      </c>
      <c r="CZ17" s="74"/>
      <c r="DA17" s="17">
        <f t="shared" si="29"/>
        <v>1</v>
      </c>
      <c r="DB17" s="17">
        <f t="shared" si="30"/>
        <v>0</v>
      </c>
      <c r="DC17" s="73">
        <f t="shared" si="31"/>
        <v>1</v>
      </c>
      <c r="DD17" s="42">
        <v>1</v>
      </c>
      <c r="DE17" s="74"/>
      <c r="DF17" s="74">
        <v>2</v>
      </c>
      <c r="DG17" s="74"/>
      <c r="DH17" s="102">
        <f t="shared" si="32"/>
        <v>5</v>
      </c>
      <c r="DI17" s="102">
        <f t="shared" si="33"/>
        <v>0</v>
      </c>
      <c r="DJ17" s="73">
        <f t="shared" si="34"/>
        <v>5</v>
      </c>
      <c r="DK17" s="42"/>
      <c r="DL17" s="74"/>
      <c r="DM17" s="74"/>
      <c r="DN17" s="74"/>
      <c r="DO17" s="102">
        <f t="shared" si="35"/>
        <v>0</v>
      </c>
      <c r="DP17" s="102">
        <f t="shared" si="36"/>
        <v>0</v>
      </c>
      <c r="DQ17" s="73">
        <f t="shared" si="37"/>
        <v>0</v>
      </c>
      <c r="DR17" s="146">
        <f t="shared" si="38"/>
        <v>33</v>
      </c>
      <c r="DS17" s="147">
        <f t="shared" ca="1" si="39"/>
        <v>8.5714285714285715E-2</v>
      </c>
      <c r="DT17" s="148">
        <f t="shared" si="40"/>
        <v>6</v>
      </c>
      <c r="DU17" s="147">
        <f t="shared" ca="1" si="41"/>
        <v>1.5584415584415584E-2</v>
      </c>
      <c r="DV17" s="148">
        <f t="shared" si="42"/>
        <v>39</v>
      </c>
      <c r="DW17" s="147">
        <f t="shared" ca="1" si="43"/>
        <v>0.1012987012987013</v>
      </c>
      <c r="DX17" s="148">
        <f t="shared" si="44"/>
        <v>5</v>
      </c>
      <c r="DY17" s="148">
        <f t="shared" si="45"/>
        <v>1</v>
      </c>
      <c r="DZ17" s="148">
        <f t="shared" si="46"/>
        <v>6</v>
      </c>
    </row>
    <row r="18" spans="1:130" ht="15.75" thickBot="1" x14ac:dyDescent="0.3">
      <c r="A18" s="13">
        <v>474</v>
      </c>
      <c r="B18" s="32" t="s">
        <v>86</v>
      </c>
      <c r="C18" s="14" t="str">
        <f t="shared" si="0"/>
        <v>יהל אור 474</v>
      </c>
      <c r="D18" s="15" t="s">
        <v>6</v>
      </c>
      <c r="E18" s="15" t="s">
        <v>7</v>
      </c>
      <c r="F18" s="41" t="s">
        <v>175</v>
      </c>
      <c r="G18" s="39">
        <v>42917</v>
      </c>
      <c r="H18" s="22"/>
      <c r="I18" s="16"/>
      <c r="J18" s="100"/>
      <c r="K18" s="101"/>
      <c r="L18" s="101"/>
      <c r="M18" s="101"/>
      <c r="N18" s="102">
        <f t="shared" si="47"/>
        <v>0</v>
      </c>
      <c r="O18" s="102">
        <f t="shared" si="48"/>
        <v>0</v>
      </c>
      <c r="P18" s="18">
        <f t="shared" si="49"/>
        <v>0</v>
      </c>
      <c r="Q18" s="13"/>
      <c r="R18" s="15"/>
      <c r="S18" s="15">
        <v>4</v>
      </c>
      <c r="T18" s="15"/>
      <c r="U18" s="17">
        <f t="shared" si="50"/>
        <v>4</v>
      </c>
      <c r="V18" s="17">
        <f t="shared" si="51"/>
        <v>0</v>
      </c>
      <c r="W18" s="19">
        <f t="shared" si="52"/>
        <v>4</v>
      </c>
      <c r="X18" s="13">
        <v>1</v>
      </c>
      <c r="Y18" s="15"/>
      <c r="Z18" s="15">
        <v>1</v>
      </c>
      <c r="AA18" s="15"/>
      <c r="AB18" s="20">
        <f t="shared" si="53"/>
        <v>4</v>
      </c>
      <c r="AC18" s="20">
        <f t="shared" si="54"/>
        <v>0</v>
      </c>
      <c r="AD18" s="21">
        <f t="shared" si="55"/>
        <v>4</v>
      </c>
      <c r="AE18" s="13"/>
      <c r="AF18" s="15"/>
      <c r="AG18" s="15">
        <v>2</v>
      </c>
      <c r="AH18" s="15">
        <v>2</v>
      </c>
      <c r="AI18" s="17">
        <f t="shared" si="56"/>
        <v>2</v>
      </c>
      <c r="AJ18" s="17">
        <f t="shared" si="57"/>
        <v>2</v>
      </c>
      <c r="AK18" s="19">
        <f t="shared" si="58"/>
        <v>4</v>
      </c>
      <c r="AL18" s="13"/>
      <c r="AM18" s="15"/>
      <c r="AN18" s="15">
        <v>2</v>
      </c>
      <c r="AO18" s="15">
        <v>1</v>
      </c>
      <c r="AP18" s="17">
        <f t="shared" si="59"/>
        <v>2</v>
      </c>
      <c r="AQ18" s="17">
        <f t="shared" si="60"/>
        <v>1</v>
      </c>
      <c r="AR18" s="19">
        <f t="shared" si="61"/>
        <v>3</v>
      </c>
      <c r="AS18" s="13">
        <v>1</v>
      </c>
      <c r="AT18" s="15"/>
      <c r="AU18" s="15"/>
      <c r="AV18" s="15"/>
      <c r="AW18" s="17">
        <f t="shared" si="62"/>
        <v>3</v>
      </c>
      <c r="AX18" s="17">
        <f t="shared" si="63"/>
        <v>0</v>
      </c>
      <c r="AY18" s="19">
        <f t="shared" si="64"/>
        <v>3</v>
      </c>
      <c r="AZ18" s="13"/>
      <c r="BA18" s="15"/>
      <c r="BB18" s="15">
        <v>3</v>
      </c>
      <c r="BC18" s="15"/>
      <c r="BD18" s="17">
        <f t="shared" si="65"/>
        <v>3</v>
      </c>
      <c r="BE18" s="17">
        <f t="shared" si="66"/>
        <v>0</v>
      </c>
      <c r="BF18" s="19">
        <f t="shared" si="67"/>
        <v>3</v>
      </c>
      <c r="BG18" s="42">
        <v>1</v>
      </c>
      <c r="BH18" s="74"/>
      <c r="BI18" s="15"/>
      <c r="BJ18" s="15">
        <v>1</v>
      </c>
      <c r="BK18" s="17">
        <f t="shared" si="68"/>
        <v>3</v>
      </c>
      <c r="BL18" s="17">
        <f t="shared" si="69"/>
        <v>1</v>
      </c>
      <c r="BM18" s="73">
        <f t="shared" si="70"/>
        <v>4</v>
      </c>
      <c r="BN18" s="42">
        <v>1</v>
      </c>
      <c r="BO18" s="74"/>
      <c r="BP18" s="74">
        <v>3</v>
      </c>
      <c r="BQ18" s="74"/>
      <c r="BR18" s="17">
        <f t="shared" si="71"/>
        <v>6</v>
      </c>
      <c r="BS18" s="17">
        <f t="shared" si="72"/>
        <v>0</v>
      </c>
      <c r="BT18" s="73">
        <f t="shared" si="73"/>
        <v>6</v>
      </c>
      <c r="BU18" s="42"/>
      <c r="BV18" s="74"/>
      <c r="BW18" s="74">
        <v>1</v>
      </c>
      <c r="BX18" s="74">
        <v>1</v>
      </c>
      <c r="BY18" s="17">
        <f t="shared" si="74"/>
        <v>1</v>
      </c>
      <c r="BZ18" s="17">
        <f t="shared" si="75"/>
        <v>1</v>
      </c>
      <c r="CA18" s="73">
        <f t="shared" si="76"/>
        <v>2</v>
      </c>
      <c r="CB18" s="42"/>
      <c r="CC18" s="74"/>
      <c r="CD18" s="74">
        <v>2</v>
      </c>
      <c r="CE18" s="158"/>
      <c r="CF18" s="17">
        <f t="shared" si="77"/>
        <v>2</v>
      </c>
      <c r="CG18" s="17">
        <f t="shared" si="78"/>
        <v>0</v>
      </c>
      <c r="CH18" s="73">
        <f t="shared" si="79"/>
        <v>2</v>
      </c>
      <c r="CI18" s="74">
        <v>1</v>
      </c>
      <c r="CJ18" s="74"/>
      <c r="CK18" s="74"/>
      <c r="CL18" s="168"/>
      <c r="CM18" s="17">
        <f t="shared" si="23"/>
        <v>3</v>
      </c>
      <c r="CN18" s="17">
        <f t="shared" si="24"/>
        <v>0</v>
      </c>
      <c r="CO18" s="73">
        <f t="shared" si="25"/>
        <v>3</v>
      </c>
      <c r="CP18" s="238"/>
      <c r="CQ18" s="74"/>
      <c r="CR18" s="74">
        <v>1</v>
      </c>
      <c r="CS18" s="74"/>
      <c r="CT18" s="17">
        <f t="shared" si="26"/>
        <v>1</v>
      </c>
      <c r="CU18" s="17">
        <f t="shared" si="27"/>
        <v>0</v>
      </c>
      <c r="CV18" s="73">
        <f t="shared" si="28"/>
        <v>1</v>
      </c>
      <c r="CW18" s="42"/>
      <c r="CX18" s="74"/>
      <c r="CY18" s="74">
        <v>2</v>
      </c>
      <c r="CZ18" s="74"/>
      <c r="DA18" s="17">
        <f t="shared" si="29"/>
        <v>2</v>
      </c>
      <c r="DB18" s="17">
        <f t="shared" si="30"/>
        <v>0</v>
      </c>
      <c r="DC18" s="73">
        <f t="shared" si="31"/>
        <v>2</v>
      </c>
      <c r="DD18" s="42">
        <v>1</v>
      </c>
      <c r="DE18" s="74"/>
      <c r="DF18" s="74">
        <v>1</v>
      </c>
      <c r="DG18" s="74"/>
      <c r="DH18" s="102">
        <f t="shared" si="32"/>
        <v>4</v>
      </c>
      <c r="DI18" s="102">
        <f t="shared" si="33"/>
        <v>0</v>
      </c>
      <c r="DJ18" s="73">
        <f t="shared" si="34"/>
        <v>4</v>
      </c>
      <c r="DK18" s="42"/>
      <c r="DL18" s="74"/>
      <c r="DM18" s="74"/>
      <c r="DN18" s="74"/>
      <c r="DO18" s="102">
        <f t="shared" si="35"/>
        <v>0</v>
      </c>
      <c r="DP18" s="102">
        <f t="shared" si="36"/>
        <v>0</v>
      </c>
      <c r="DQ18" s="73">
        <f t="shared" si="37"/>
        <v>0</v>
      </c>
      <c r="DR18" s="146">
        <f t="shared" si="38"/>
        <v>40</v>
      </c>
      <c r="DS18" s="147">
        <f t="shared" ca="1" si="39"/>
        <v>8.9485458612975396E-2</v>
      </c>
      <c r="DT18" s="148">
        <f t="shared" si="40"/>
        <v>5</v>
      </c>
      <c r="DU18" s="147">
        <f t="shared" ca="1" si="41"/>
        <v>1.1185682326621925E-2</v>
      </c>
      <c r="DV18" s="148">
        <f t="shared" si="42"/>
        <v>45</v>
      </c>
      <c r="DW18" s="147">
        <f t="shared" ca="1" si="43"/>
        <v>0.10067114093959732</v>
      </c>
      <c r="DX18" s="148">
        <f t="shared" si="44"/>
        <v>6</v>
      </c>
      <c r="DY18" s="148">
        <f t="shared" si="45"/>
        <v>0</v>
      </c>
      <c r="DZ18" s="148">
        <f t="shared" si="46"/>
        <v>6</v>
      </c>
    </row>
    <row r="19" spans="1:130" ht="15.75" thickBot="1" x14ac:dyDescent="0.3">
      <c r="A19" s="13">
        <v>9</v>
      </c>
      <c r="B19" s="14" t="s">
        <v>10</v>
      </c>
      <c r="C19" s="34" t="str">
        <f t="shared" si="0"/>
        <v>בר 9</v>
      </c>
      <c r="D19" s="15" t="s">
        <v>6</v>
      </c>
      <c r="E19" s="15" t="s">
        <v>7</v>
      </c>
      <c r="F19" s="41" t="s">
        <v>175</v>
      </c>
      <c r="G19" s="39">
        <v>42917</v>
      </c>
      <c r="H19" s="22">
        <v>43560</v>
      </c>
      <c r="I19" s="51"/>
      <c r="J19" s="100"/>
      <c r="K19" s="101"/>
      <c r="L19" s="101"/>
      <c r="M19" s="101"/>
      <c r="N19" s="102">
        <f t="shared" si="47"/>
        <v>0</v>
      </c>
      <c r="O19" s="102">
        <f t="shared" si="48"/>
        <v>0</v>
      </c>
      <c r="P19" s="18">
        <f t="shared" si="49"/>
        <v>0</v>
      </c>
      <c r="Q19" s="13">
        <v>1</v>
      </c>
      <c r="R19" s="15"/>
      <c r="S19" s="15">
        <v>2</v>
      </c>
      <c r="T19" s="15"/>
      <c r="U19" s="17">
        <f t="shared" si="50"/>
        <v>5</v>
      </c>
      <c r="V19" s="17">
        <f t="shared" si="51"/>
        <v>0</v>
      </c>
      <c r="W19" s="19">
        <f t="shared" si="52"/>
        <v>5</v>
      </c>
      <c r="X19" s="13"/>
      <c r="Y19" s="15"/>
      <c r="Z19" s="15">
        <v>2</v>
      </c>
      <c r="AA19" s="15"/>
      <c r="AB19" s="20">
        <f t="shared" si="53"/>
        <v>2</v>
      </c>
      <c r="AC19" s="20">
        <f t="shared" si="54"/>
        <v>0</v>
      </c>
      <c r="AD19" s="21">
        <f t="shared" si="55"/>
        <v>2</v>
      </c>
      <c r="AE19" s="13"/>
      <c r="AF19" s="15">
        <v>1</v>
      </c>
      <c r="AG19" s="15">
        <v>2</v>
      </c>
      <c r="AH19" s="15">
        <v>1</v>
      </c>
      <c r="AI19" s="17">
        <f t="shared" si="56"/>
        <v>2</v>
      </c>
      <c r="AJ19" s="17">
        <f t="shared" si="57"/>
        <v>4</v>
      </c>
      <c r="AK19" s="19">
        <f t="shared" si="58"/>
        <v>6</v>
      </c>
      <c r="AL19" s="13">
        <v>1</v>
      </c>
      <c r="AM19" s="15"/>
      <c r="AN19" s="15"/>
      <c r="AO19" s="15"/>
      <c r="AP19" s="17">
        <f t="shared" si="59"/>
        <v>3</v>
      </c>
      <c r="AQ19" s="17">
        <f t="shared" si="60"/>
        <v>0</v>
      </c>
      <c r="AR19" s="19">
        <f t="shared" si="61"/>
        <v>3</v>
      </c>
      <c r="AS19" s="13"/>
      <c r="AT19" s="15"/>
      <c r="AU19" s="15">
        <v>2</v>
      </c>
      <c r="AV19" s="15"/>
      <c r="AW19" s="17">
        <f t="shared" si="62"/>
        <v>2</v>
      </c>
      <c r="AX19" s="17">
        <f t="shared" si="63"/>
        <v>0</v>
      </c>
      <c r="AY19" s="19">
        <f t="shared" si="64"/>
        <v>2</v>
      </c>
      <c r="AZ19" s="13"/>
      <c r="BA19" s="15"/>
      <c r="BB19" s="15">
        <v>1</v>
      </c>
      <c r="BC19" s="15"/>
      <c r="BD19" s="17">
        <f t="shared" si="65"/>
        <v>1</v>
      </c>
      <c r="BE19" s="17">
        <f t="shared" si="66"/>
        <v>0</v>
      </c>
      <c r="BF19" s="19">
        <f t="shared" si="67"/>
        <v>1</v>
      </c>
      <c r="BG19" s="42">
        <v>1</v>
      </c>
      <c r="BH19" s="74"/>
      <c r="BI19" s="15">
        <v>3</v>
      </c>
      <c r="BJ19" s="15"/>
      <c r="BK19" s="17">
        <f t="shared" si="68"/>
        <v>6</v>
      </c>
      <c r="BL19" s="17">
        <f t="shared" si="69"/>
        <v>0</v>
      </c>
      <c r="BM19" s="73">
        <f t="shared" si="70"/>
        <v>6</v>
      </c>
      <c r="BN19" s="42"/>
      <c r="BO19" s="74"/>
      <c r="BP19" s="74">
        <v>3</v>
      </c>
      <c r="BQ19" s="74"/>
      <c r="BR19" s="17">
        <f t="shared" si="71"/>
        <v>3</v>
      </c>
      <c r="BS19" s="17">
        <f t="shared" si="72"/>
        <v>0</v>
      </c>
      <c r="BT19" s="73">
        <f t="shared" si="73"/>
        <v>3</v>
      </c>
      <c r="BU19" s="42">
        <v>1</v>
      </c>
      <c r="BV19" s="74"/>
      <c r="BW19" s="74"/>
      <c r="BX19" s="74"/>
      <c r="BY19" s="17">
        <f t="shared" si="74"/>
        <v>3</v>
      </c>
      <c r="BZ19" s="17">
        <f t="shared" si="75"/>
        <v>0</v>
      </c>
      <c r="CA19" s="73">
        <f t="shared" si="76"/>
        <v>3</v>
      </c>
      <c r="CB19" s="42"/>
      <c r="CC19" s="74"/>
      <c r="CD19" s="74">
        <v>1</v>
      </c>
      <c r="CE19" s="158">
        <v>1</v>
      </c>
      <c r="CF19" s="17">
        <f t="shared" si="77"/>
        <v>1</v>
      </c>
      <c r="CG19" s="17">
        <f t="shared" si="78"/>
        <v>1</v>
      </c>
      <c r="CH19" s="73">
        <f t="shared" si="79"/>
        <v>2</v>
      </c>
      <c r="CI19" s="74"/>
      <c r="CJ19" s="74"/>
      <c r="CK19" s="74">
        <v>2</v>
      </c>
      <c r="CL19" s="168"/>
      <c r="CM19" s="17">
        <f t="shared" si="23"/>
        <v>2</v>
      </c>
      <c r="CN19" s="17">
        <f t="shared" si="24"/>
        <v>0</v>
      </c>
      <c r="CO19" s="73">
        <f t="shared" si="25"/>
        <v>2</v>
      </c>
      <c r="CP19" s="238">
        <v>1</v>
      </c>
      <c r="CQ19" s="74"/>
      <c r="CR19" s="74">
        <v>1</v>
      </c>
      <c r="CS19" s="74"/>
      <c r="CT19" s="17">
        <f t="shared" si="26"/>
        <v>4</v>
      </c>
      <c r="CU19" s="17">
        <f t="shared" si="27"/>
        <v>0</v>
      </c>
      <c r="CV19" s="73">
        <f t="shared" si="28"/>
        <v>4</v>
      </c>
      <c r="CW19" s="42"/>
      <c r="CX19" s="74">
        <v>1</v>
      </c>
      <c r="CY19" s="74">
        <v>2</v>
      </c>
      <c r="CZ19" s="74"/>
      <c r="DA19" s="17">
        <f t="shared" si="29"/>
        <v>2</v>
      </c>
      <c r="DB19" s="17">
        <f t="shared" si="30"/>
        <v>3</v>
      </c>
      <c r="DC19" s="73">
        <f t="shared" si="31"/>
        <v>5</v>
      </c>
      <c r="DD19" s="42"/>
      <c r="DE19" s="74"/>
      <c r="DF19" s="74">
        <v>1</v>
      </c>
      <c r="DG19" s="74"/>
      <c r="DH19" s="102">
        <f t="shared" si="32"/>
        <v>1</v>
      </c>
      <c r="DI19" s="102">
        <f t="shared" si="33"/>
        <v>0</v>
      </c>
      <c r="DJ19" s="73">
        <f t="shared" si="34"/>
        <v>1</v>
      </c>
      <c r="DK19" s="42"/>
      <c r="DL19" s="74"/>
      <c r="DM19" s="74"/>
      <c r="DN19" s="74"/>
      <c r="DO19" s="102">
        <f t="shared" si="35"/>
        <v>0</v>
      </c>
      <c r="DP19" s="102">
        <f t="shared" si="36"/>
        <v>0</v>
      </c>
      <c r="DQ19" s="73">
        <f t="shared" si="37"/>
        <v>0</v>
      </c>
      <c r="DR19" s="146">
        <f t="shared" si="38"/>
        <v>37</v>
      </c>
      <c r="DS19" s="147">
        <f t="shared" ca="1" si="39"/>
        <v>8.2774049217002238E-2</v>
      </c>
      <c r="DT19" s="148">
        <f t="shared" si="40"/>
        <v>8</v>
      </c>
      <c r="DU19" s="147">
        <f t="shared" ca="1" si="41"/>
        <v>1.7897091722595078E-2</v>
      </c>
      <c r="DV19" s="148">
        <f t="shared" si="42"/>
        <v>45</v>
      </c>
      <c r="DW19" s="147">
        <f t="shared" ca="1" si="43"/>
        <v>0.10067114093959731</v>
      </c>
      <c r="DX19" s="148">
        <f t="shared" si="44"/>
        <v>6</v>
      </c>
      <c r="DY19" s="148">
        <f t="shared" si="45"/>
        <v>2</v>
      </c>
      <c r="DZ19" s="148">
        <f t="shared" si="46"/>
        <v>8</v>
      </c>
    </row>
    <row r="20" spans="1:130" ht="15.75" thickBot="1" x14ac:dyDescent="0.3">
      <c r="A20" s="42">
        <v>679</v>
      </c>
      <c r="B20" s="43" t="s">
        <v>12</v>
      </c>
      <c r="C20" s="202" t="str">
        <f t="shared" si="0"/>
        <v>שיר 679</v>
      </c>
      <c r="D20" s="28" t="s">
        <v>6</v>
      </c>
      <c r="E20" s="15" t="s">
        <v>7</v>
      </c>
      <c r="F20" s="41" t="s">
        <v>175</v>
      </c>
      <c r="G20" s="39">
        <v>42917</v>
      </c>
      <c r="H20" s="22">
        <v>43558</v>
      </c>
      <c r="I20" s="16"/>
      <c r="J20" s="100"/>
      <c r="K20" s="101"/>
      <c r="L20" s="101"/>
      <c r="M20" s="101"/>
      <c r="N20" s="102">
        <f t="shared" si="47"/>
        <v>0</v>
      </c>
      <c r="O20" s="102">
        <f t="shared" si="48"/>
        <v>0</v>
      </c>
      <c r="P20" s="18">
        <f t="shared" si="49"/>
        <v>0</v>
      </c>
      <c r="Q20" s="13">
        <v>1</v>
      </c>
      <c r="R20" s="15"/>
      <c r="S20" s="15"/>
      <c r="T20" s="15"/>
      <c r="U20" s="17">
        <f t="shared" si="50"/>
        <v>3</v>
      </c>
      <c r="V20" s="17">
        <f t="shared" si="51"/>
        <v>0</v>
      </c>
      <c r="W20" s="19">
        <f t="shared" si="52"/>
        <v>3</v>
      </c>
      <c r="X20" s="13">
        <v>1</v>
      </c>
      <c r="Y20" s="15"/>
      <c r="Z20" s="15">
        <v>1</v>
      </c>
      <c r="AA20" s="15"/>
      <c r="AB20" s="20">
        <f t="shared" si="53"/>
        <v>4</v>
      </c>
      <c r="AC20" s="20">
        <f t="shared" si="54"/>
        <v>0</v>
      </c>
      <c r="AD20" s="21">
        <f t="shared" si="55"/>
        <v>4</v>
      </c>
      <c r="AE20" s="13"/>
      <c r="AF20" s="15"/>
      <c r="AG20" s="15">
        <v>1</v>
      </c>
      <c r="AH20" s="15">
        <v>2</v>
      </c>
      <c r="AI20" s="17">
        <f t="shared" si="56"/>
        <v>1</v>
      </c>
      <c r="AJ20" s="17">
        <f t="shared" si="57"/>
        <v>2</v>
      </c>
      <c r="AK20" s="19">
        <f t="shared" si="58"/>
        <v>3</v>
      </c>
      <c r="AL20" s="13"/>
      <c r="AM20" s="15"/>
      <c r="AN20" s="15">
        <v>2</v>
      </c>
      <c r="AO20" s="15"/>
      <c r="AP20" s="17">
        <f t="shared" si="59"/>
        <v>2</v>
      </c>
      <c r="AQ20" s="17">
        <f t="shared" si="60"/>
        <v>0</v>
      </c>
      <c r="AR20" s="19">
        <f t="shared" si="61"/>
        <v>2</v>
      </c>
      <c r="AS20" s="13"/>
      <c r="AT20" s="15"/>
      <c r="AU20" s="15">
        <v>3</v>
      </c>
      <c r="AV20" s="15"/>
      <c r="AW20" s="17">
        <f t="shared" si="62"/>
        <v>3</v>
      </c>
      <c r="AX20" s="17">
        <f t="shared" si="63"/>
        <v>0</v>
      </c>
      <c r="AY20" s="19">
        <f t="shared" si="64"/>
        <v>3</v>
      </c>
      <c r="AZ20" s="13">
        <v>1</v>
      </c>
      <c r="BA20" s="15"/>
      <c r="BB20" s="15">
        <v>1</v>
      </c>
      <c r="BC20" s="15">
        <v>1</v>
      </c>
      <c r="BD20" s="17">
        <f t="shared" si="65"/>
        <v>4</v>
      </c>
      <c r="BE20" s="17">
        <f t="shared" si="66"/>
        <v>1</v>
      </c>
      <c r="BF20" s="19">
        <f t="shared" si="67"/>
        <v>5</v>
      </c>
      <c r="BG20" s="42">
        <v>1</v>
      </c>
      <c r="BH20" s="74"/>
      <c r="BI20" s="74">
        <v>1</v>
      </c>
      <c r="BJ20" s="15">
        <v>1</v>
      </c>
      <c r="BK20" s="17">
        <f t="shared" si="68"/>
        <v>4</v>
      </c>
      <c r="BL20" s="17">
        <f t="shared" si="69"/>
        <v>1</v>
      </c>
      <c r="BM20" s="73">
        <f t="shared" si="70"/>
        <v>5</v>
      </c>
      <c r="BN20" s="42"/>
      <c r="BO20" s="74"/>
      <c r="BP20" s="74"/>
      <c r="BQ20" s="74">
        <v>2</v>
      </c>
      <c r="BR20" s="17">
        <f t="shared" si="71"/>
        <v>0</v>
      </c>
      <c r="BS20" s="17">
        <f t="shared" si="72"/>
        <v>2</v>
      </c>
      <c r="BT20" s="73">
        <f t="shared" si="73"/>
        <v>2</v>
      </c>
      <c r="BU20" s="42"/>
      <c r="BV20" s="74">
        <v>1</v>
      </c>
      <c r="BW20" s="74"/>
      <c r="BX20" s="74">
        <v>2</v>
      </c>
      <c r="BY20" s="17">
        <f t="shared" si="74"/>
        <v>0</v>
      </c>
      <c r="BZ20" s="17">
        <f t="shared" si="75"/>
        <v>5</v>
      </c>
      <c r="CA20" s="73">
        <f t="shared" si="76"/>
        <v>5</v>
      </c>
      <c r="CB20" s="42"/>
      <c r="CC20" s="74">
        <v>1</v>
      </c>
      <c r="CD20" s="74"/>
      <c r="CE20" s="158"/>
      <c r="CF20" s="17">
        <f t="shared" si="77"/>
        <v>0</v>
      </c>
      <c r="CG20" s="17">
        <f t="shared" si="78"/>
        <v>3</v>
      </c>
      <c r="CH20" s="73">
        <f t="shared" si="79"/>
        <v>3</v>
      </c>
      <c r="CI20" s="74"/>
      <c r="CJ20" s="74"/>
      <c r="CK20" s="74">
        <v>1</v>
      </c>
      <c r="CL20" s="168"/>
      <c r="CM20" s="17">
        <f t="shared" si="23"/>
        <v>1</v>
      </c>
      <c r="CN20" s="17">
        <f t="shared" si="24"/>
        <v>0</v>
      </c>
      <c r="CO20" s="73">
        <f t="shared" si="25"/>
        <v>1</v>
      </c>
      <c r="CP20" s="238"/>
      <c r="CQ20" s="74">
        <v>1</v>
      </c>
      <c r="CR20" s="74"/>
      <c r="CS20" s="74">
        <v>1</v>
      </c>
      <c r="CT20" s="17">
        <f t="shared" si="26"/>
        <v>0</v>
      </c>
      <c r="CU20" s="17">
        <f t="shared" si="27"/>
        <v>4</v>
      </c>
      <c r="CV20" s="73">
        <f t="shared" si="28"/>
        <v>4</v>
      </c>
      <c r="CW20" s="42"/>
      <c r="CX20" s="74"/>
      <c r="CY20" s="74"/>
      <c r="CZ20" s="74">
        <v>1</v>
      </c>
      <c r="DA20" s="17">
        <f t="shared" si="29"/>
        <v>0</v>
      </c>
      <c r="DB20" s="17">
        <f t="shared" si="30"/>
        <v>1</v>
      </c>
      <c r="DC20" s="73">
        <f t="shared" si="31"/>
        <v>1</v>
      </c>
      <c r="DD20" s="42"/>
      <c r="DE20" s="74"/>
      <c r="DF20" s="74">
        <v>1</v>
      </c>
      <c r="DG20" s="74">
        <v>3</v>
      </c>
      <c r="DH20" s="102">
        <f t="shared" si="32"/>
        <v>1</v>
      </c>
      <c r="DI20" s="102">
        <f t="shared" si="33"/>
        <v>3</v>
      </c>
      <c r="DJ20" s="73">
        <f t="shared" si="34"/>
        <v>4</v>
      </c>
      <c r="DK20" s="42"/>
      <c r="DL20" s="74"/>
      <c r="DM20" s="74"/>
      <c r="DN20" s="74"/>
      <c r="DO20" s="102">
        <f t="shared" si="35"/>
        <v>0</v>
      </c>
      <c r="DP20" s="102">
        <f t="shared" si="36"/>
        <v>0</v>
      </c>
      <c r="DQ20" s="73">
        <f t="shared" si="37"/>
        <v>0</v>
      </c>
      <c r="DR20" s="146">
        <f t="shared" si="38"/>
        <v>23</v>
      </c>
      <c r="DS20" s="147">
        <f t="shared" ca="1" si="39"/>
        <v>5.145413870246085E-2</v>
      </c>
      <c r="DT20" s="148">
        <f t="shared" si="40"/>
        <v>22</v>
      </c>
      <c r="DU20" s="147">
        <f t="shared" ca="1" si="41"/>
        <v>4.9217002237136466E-2</v>
      </c>
      <c r="DV20" s="148">
        <f t="shared" si="42"/>
        <v>45</v>
      </c>
      <c r="DW20" s="147">
        <f t="shared" ca="1" si="43"/>
        <v>0.10067114093959731</v>
      </c>
      <c r="DX20" s="148">
        <f t="shared" si="44"/>
        <v>5</v>
      </c>
      <c r="DY20" s="148">
        <f t="shared" si="45"/>
        <v>3</v>
      </c>
      <c r="DZ20" s="148">
        <f t="shared" si="46"/>
        <v>8</v>
      </c>
    </row>
    <row r="21" spans="1:130" ht="15.75" thickBot="1" x14ac:dyDescent="0.3">
      <c r="A21" s="42" t="s">
        <v>71</v>
      </c>
      <c r="B21" s="32" t="s">
        <v>160</v>
      </c>
      <c r="C21" s="34" t="str">
        <f t="shared" si="0"/>
        <v>תאיר אחודה</v>
      </c>
      <c r="D21" s="28" t="s">
        <v>6</v>
      </c>
      <c r="E21" s="28" t="s">
        <v>7</v>
      </c>
      <c r="F21" s="41" t="s">
        <v>181</v>
      </c>
      <c r="G21" s="39">
        <v>43132</v>
      </c>
      <c r="H21" s="41"/>
      <c r="I21" s="51" t="s">
        <v>192</v>
      </c>
      <c r="J21" s="100"/>
      <c r="K21" s="101"/>
      <c r="L21" s="101"/>
      <c r="M21" s="101"/>
      <c r="N21" s="102">
        <f t="shared" si="47"/>
        <v>0</v>
      </c>
      <c r="O21" s="102">
        <f t="shared" si="48"/>
        <v>0</v>
      </c>
      <c r="P21" s="18">
        <f t="shared" si="49"/>
        <v>0</v>
      </c>
      <c r="Q21" s="13"/>
      <c r="R21" s="15"/>
      <c r="S21" s="15"/>
      <c r="T21" s="15"/>
      <c r="U21" s="17">
        <f t="shared" si="50"/>
        <v>0</v>
      </c>
      <c r="V21" s="17">
        <f t="shared" si="51"/>
        <v>0</v>
      </c>
      <c r="W21" s="19">
        <f t="shared" si="52"/>
        <v>0</v>
      </c>
      <c r="X21" s="13"/>
      <c r="Y21" s="15"/>
      <c r="Z21" s="15"/>
      <c r="AA21" s="15"/>
      <c r="AB21" s="20">
        <f t="shared" si="53"/>
        <v>0</v>
      </c>
      <c r="AC21" s="20">
        <f t="shared" si="54"/>
        <v>0</v>
      </c>
      <c r="AD21" s="21">
        <f t="shared" si="55"/>
        <v>0</v>
      </c>
      <c r="AE21" s="13"/>
      <c r="AF21" s="15"/>
      <c r="AG21" s="15"/>
      <c r="AH21" s="15"/>
      <c r="AI21" s="17">
        <f t="shared" si="56"/>
        <v>0</v>
      </c>
      <c r="AJ21" s="17">
        <f t="shared" si="57"/>
        <v>0</v>
      </c>
      <c r="AK21" s="19">
        <f t="shared" si="58"/>
        <v>0</v>
      </c>
      <c r="AL21" s="13"/>
      <c r="AM21" s="15"/>
      <c r="AN21" s="15"/>
      <c r="AO21" s="15"/>
      <c r="AP21" s="17">
        <f t="shared" si="59"/>
        <v>0</v>
      </c>
      <c r="AQ21" s="17">
        <f t="shared" si="60"/>
        <v>0</v>
      </c>
      <c r="AR21" s="19">
        <f t="shared" si="61"/>
        <v>0</v>
      </c>
      <c r="AS21" s="13"/>
      <c r="AT21" s="15"/>
      <c r="AU21" s="15"/>
      <c r="AV21" s="15"/>
      <c r="AW21" s="17">
        <f t="shared" si="62"/>
        <v>0</v>
      </c>
      <c r="AX21" s="17">
        <f t="shared" si="63"/>
        <v>0</v>
      </c>
      <c r="AY21" s="19">
        <f t="shared" si="64"/>
        <v>0</v>
      </c>
      <c r="AZ21" s="13"/>
      <c r="BA21" s="15"/>
      <c r="BB21" s="15"/>
      <c r="BC21" s="15"/>
      <c r="BD21" s="17">
        <f t="shared" si="65"/>
        <v>0</v>
      </c>
      <c r="BE21" s="17">
        <f t="shared" si="66"/>
        <v>0</v>
      </c>
      <c r="BF21" s="19">
        <f t="shared" si="67"/>
        <v>0</v>
      </c>
      <c r="BG21" s="42"/>
      <c r="BH21" s="74"/>
      <c r="BI21" s="15"/>
      <c r="BJ21" s="15"/>
      <c r="BK21" s="17">
        <f t="shared" si="68"/>
        <v>0</v>
      </c>
      <c r="BL21" s="17">
        <f t="shared" si="69"/>
        <v>0</v>
      </c>
      <c r="BM21" s="73">
        <f t="shared" si="70"/>
        <v>0</v>
      </c>
      <c r="BN21" s="42">
        <v>1</v>
      </c>
      <c r="BO21" s="74"/>
      <c r="BP21" s="74">
        <v>2</v>
      </c>
      <c r="BQ21" s="74"/>
      <c r="BR21" s="17">
        <f t="shared" si="71"/>
        <v>5</v>
      </c>
      <c r="BS21" s="17">
        <f t="shared" si="72"/>
        <v>0</v>
      </c>
      <c r="BT21" s="73">
        <f t="shared" si="73"/>
        <v>5</v>
      </c>
      <c r="BU21" s="42"/>
      <c r="BV21" s="74"/>
      <c r="BW21" s="74">
        <v>3</v>
      </c>
      <c r="BX21" s="74"/>
      <c r="BY21" s="17">
        <f t="shared" si="74"/>
        <v>3</v>
      </c>
      <c r="BZ21" s="17">
        <f t="shared" si="75"/>
        <v>0</v>
      </c>
      <c r="CA21" s="73">
        <f t="shared" si="76"/>
        <v>3</v>
      </c>
      <c r="CB21" s="42"/>
      <c r="CC21" s="74"/>
      <c r="CD21" s="74">
        <v>3</v>
      </c>
      <c r="CE21" s="158"/>
      <c r="CF21" s="17">
        <f t="shared" si="77"/>
        <v>3</v>
      </c>
      <c r="CG21" s="17">
        <f t="shared" si="78"/>
        <v>0</v>
      </c>
      <c r="CH21" s="73">
        <f t="shared" si="79"/>
        <v>3</v>
      </c>
      <c r="CI21" s="74"/>
      <c r="CJ21" s="74"/>
      <c r="CK21" s="74">
        <v>1</v>
      </c>
      <c r="CL21" s="168">
        <v>1</v>
      </c>
      <c r="CM21" s="17">
        <f t="shared" si="23"/>
        <v>1</v>
      </c>
      <c r="CN21" s="17">
        <f t="shared" si="24"/>
        <v>1</v>
      </c>
      <c r="CO21" s="73">
        <f t="shared" si="25"/>
        <v>2</v>
      </c>
      <c r="CP21" s="238"/>
      <c r="CQ21" s="74"/>
      <c r="CR21" s="74">
        <v>3</v>
      </c>
      <c r="CS21" s="74"/>
      <c r="CT21" s="17">
        <f t="shared" si="26"/>
        <v>3</v>
      </c>
      <c r="CU21" s="17">
        <f t="shared" si="27"/>
        <v>0</v>
      </c>
      <c r="CV21" s="73">
        <f t="shared" si="28"/>
        <v>3</v>
      </c>
      <c r="CW21" s="42"/>
      <c r="CX21" s="74"/>
      <c r="CY21" s="74">
        <v>3</v>
      </c>
      <c r="CZ21" s="74"/>
      <c r="DA21" s="17">
        <f t="shared" si="29"/>
        <v>3</v>
      </c>
      <c r="DB21" s="17">
        <f t="shared" si="30"/>
        <v>0</v>
      </c>
      <c r="DC21" s="73">
        <f t="shared" si="31"/>
        <v>3</v>
      </c>
      <c r="DD21" s="42"/>
      <c r="DE21" s="74"/>
      <c r="DF21" s="74">
        <v>4</v>
      </c>
      <c r="DG21" s="74"/>
      <c r="DH21" s="102">
        <f t="shared" si="32"/>
        <v>4</v>
      </c>
      <c r="DI21" s="102">
        <f t="shared" si="33"/>
        <v>0</v>
      </c>
      <c r="DJ21" s="73">
        <f t="shared" si="34"/>
        <v>4</v>
      </c>
      <c r="DK21" s="42"/>
      <c r="DL21" s="74"/>
      <c r="DM21" s="74"/>
      <c r="DN21" s="74"/>
      <c r="DO21" s="102">
        <f t="shared" si="35"/>
        <v>0</v>
      </c>
      <c r="DP21" s="102">
        <f t="shared" si="36"/>
        <v>0</v>
      </c>
      <c r="DQ21" s="73">
        <f t="shared" si="37"/>
        <v>0</v>
      </c>
      <c r="DR21" s="146">
        <f t="shared" si="38"/>
        <v>22</v>
      </c>
      <c r="DS21" s="147">
        <f t="shared" ca="1" si="39"/>
        <v>9.4827586206896547E-2</v>
      </c>
      <c r="DT21" s="148">
        <f t="shared" si="40"/>
        <v>1</v>
      </c>
      <c r="DU21" s="147">
        <f t="shared" ca="1" si="41"/>
        <v>4.3103448275862068E-3</v>
      </c>
      <c r="DV21" s="148">
        <f t="shared" si="42"/>
        <v>23</v>
      </c>
      <c r="DW21" s="147">
        <f t="shared" ca="1" si="43"/>
        <v>9.9137931034482749E-2</v>
      </c>
      <c r="DX21" s="148">
        <f t="shared" si="44"/>
        <v>1</v>
      </c>
      <c r="DY21" s="148">
        <f t="shared" si="45"/>
        <v>0</v>
      </c>
      <c r="DZ21" s="148">
        <f t="shared" si="46"/>
        <v>1</v>
      </c>
    </row>
    <row r="22" spans="1:130" ht="15.75" thickBot="1" x14ac:dyDescent="0.3">
      <c r="A22" s="42" t="s">
        <v>71</v>
      </c>
      <c r="B22" s="32" t="s">
        <v>150</v>
      </c>
      <c r="C22" s="34" t="str">
        <f t="shared" si="0"/>
        <v>נועה אחודה</v>
      </c>
      <c r="D22" s="15" t="s">
        <v>6</v>
      </c>
      <c r="E22" s="28" t="s">
        <v>7</v>
      </c>
      <c r="F22" s="41" t="s">
        <v>180</v>
      </c>
      <c r="G22" s="39">
        <v>43101</v>
      </c>
      <c r="H22" s="41"/>
      <c r="I22" s="16"/>
      <c r="J22" s="100"/>
      <c r="K22" s="101"/>
      <c r="L22" s="101"/>
      <c r="M22" s="101"/>
      <c r="N22" s="102">
        <f t="shared" si="47"/>
        <v>0</v>
      </c>
      <c r="O22" s="102">
        <f t="shared" si="48"/>
        <v>0</v>
      </c>
      <c r="P22" s="18">
        <f t="shared" si="49"/>
        <v>0</v>
      </c>
      <c r="Q22" s="13"/>
      <c r="R22" s="15"/>
      <c r="S22" s="15"/>
      <c r="T22" s="15"/>
      <c r="U22" s="17">
        <f t="shared" si="50"/>
        <v>0</v>
      </c>
      <c r="V22" s="17">
        <f t="shared" si="51"/>
        <v>0</v>
      </c>
      <c r="W22" s="19">
        <f t="shared" si="52"/>
        <v>0</v>
      </c>
      <c r="X22" s="13"/>
      <c r="Y22" s="15"/>
      <c r="Z22" s="15"/>
      <c r="AA22" s="15"/>
      <c r="AB22" s="20">
        <f t="shared" si="53"/>
        <v>0</v>
      </c>
      <c r="AC22" s="20">
        <f t="shared" si="54"/>
        <v>0</v>
      </c>
      <c r="AD22" s="21">
        <f t="shared" si="55"/>
        <v>0</v>
      </c>
      <c r="AE22" s="13"/>
      <c r="AF22" s="15"/>
      <c r="AG22" s="15"/>
      <c r="AH22" s="15"/>
      <c r="AI22" s="17">
        <f t="shared" si="56"/>
        <v>0</v>
      </c>
      <c r="AJ22" s="17">
        <f t="shared" si="57"/>
        <v>0</v>
      </c>
      <c r="AK22" s="19">
        <f t="shared" si="58"/>
        <v>0</v>
      </c>
      <c r="AL22" s="13"/>
      <c r="AM22" s="15"/>
      <c r="AN22" s="15"/>
      <c r="AO22" s="15"/>
      <c r="AP22" s="17">
        <f t="shared" si="59"/>
        <v>0</v>
      </c>
      <c r="AQ22" s="17">
        <f t="shared" si="60"/>
        <v>0</v>
      </c>
      <c r="AR22" s="19">
        <f t="shared" si="61"/>
        <v>0</v>
      </c>
      <c r="AS22" s="13"/>
      <c r="AT22" s="15"/>
      <c r="AU22" s="15"/>
      <c r="AV22" s="15"/>
      <c r="AW22" s="17">
        <f t="shared" si="62"/>
        <v>0</v>
      </c>
      <c r="AX22" s="17">
        <f t="shared" si="63"/>
        <v>0</v>
      </c>
      <c r="AY22" s="19">
        <f t="shared" si="64"/>
        <v>0</v>
      </c>
      <c r="AZ22" s="13"/>
      <c r="BA22" s="15"/>
      <c r="BB22" s="15"/>
      <c r="BC22" s="15"/>
      <c r="BD22" s="17">
        <f t="shared" si="65"/>
        <v>0</v>
      </c>
      <c r="BE22" s="17">
        <f t="shared" si="66"/>
        <v>0</v>
      </c>
      <c r="BF22" s="19">
        <f t="shared" si="67"/>
        <v>0</v>
      </c>
      <c r="BG22" s="42">
        <v>1</v>
      </c>
      <c r="BH22" s="74"/>
      <c r="BI22" s="15"/>
      <c r="BJ22" s="15"/>
      <c r="BK22" s="17">
        <f t="shared" si="68"/>
        <v>3</v>
      </c>
      <c r="BL22" s="17">
        <f t="shared" si="69"/>
        <v>0</v>
      </c>
      <c r="BM22" s="73">
        <f t="shared" si="70"/>
        <v>3</v>
      </c>
      <c r="BN22" s="42">
        <v>1</v>
      </c>
      <c r="BO22" s="74"/>
      <c r="BP22" s="74">
        <v>1</v>
      </c>
      <c r="BQ22" s="74"/>
      <c r="BR22" s="17">
        <f t="shared" si="71"/>
        <v>4</v>
      </c>
      <c r="BS22" s="17">
        <f t="shared" si="72"/>
        <v>0</v>
      </c>
      <c r="BT22" s="73">
        <f t="shared" si="73"/>
        <v>4</v>
      </c>
      <c r="BU22" s="42"/>
      <c r="BV22" s="74"/>
      <c r="BW22" s="74">
        <v>4</v>
      </c>
      <c r="BX22" s="74"/>
      <c r="BY22" s="17">
        <f t="shared" si="74"/>
        <v>4</v>
      </c>
      <c r="BZ22" s="17">
        <f t="shared" si="75"/>
        <v>0</v>
      </c>
      <c r="CA22" s="73">
        <f t="shared" si="76"/>
        <v>4</v>
      </c>
      <c r="CB22" s="42"/>
      <c r="CC22" s="74">
        <v>1</v>
      </c>
      <c r="CD22" s="74">
        <v>1</v>
      </c>
      <c r="CE22" s="158"/>
      <c r="CF22" s="17">
        <f t="shared" si="77"/>
        <v>1</v>
      </c>
      <c r="CG22" s="17">
        <f t="shared" si="78"/>
        <v>3</v>
      </c>
      <c r="CH22" s="73">
        <f t="shared" si="79"/>
        <v>4</v>
      </c>
      <c r="CI22" s="74"/>
      <c r="CJ22" s="74"/>
      <c r="CK22" s="74"/>
      <c r="CL22" s="168">
        <v>1</v>
      </c>
      <c r="CM22" s="17">
        <f t="shared" si="23"/>
        <v>0</v>
      </c>
      <c r="CN22" s="17">
        <f t="shared" si="24"/>
        <v>1</v>
      </c>
      <c r="CO22" s="73">
        <f t="shared" si="25"/>
        <v>1</v>
      </c>
      <c r="CP22" s="238">
        <v>1</v>
      </c>
      <c r="CQ22" s="74"/>
      <c r="CR22" s="74">
        <v>1</v>
      </c>
      <c r="CS22" s="74"/>
      <c r="CT22" s="17">
        <f t="shared" si="26"/>
        <v>4</v>
      </c>
      <c r="CU22" s="17">
        <f t="shared" si="27"/>
        <v>0</v>
      </c>
      <c r="CV22" s="73">
        <f t="shared" si="28"/>
        <v>4</v>
      </c>
      <c r="CW22" s="42"/>
      <c r="CX22" s="74"/>
      <c r="CY22" s="74">
        <v>3</v>
      </c>
      <c r="CZ22" s="74"/>
      <c r="DA22" s="17">
        <f t="shared" si="29"/>
        <v>3</v>
      </c>
      <c r="DB22" s="17">
        <f t="shared" si="30"/>
        <v>0</v>
      </c>
      <c r="DC22" s="73">
        <f t="shared" si="31"/>
        <v>3</v>
      </c>
      <c r="DD22" s="42">
        <v>1</v>
      </c>
      <c r="DE22" s="74"/>
      <c r="DF22" s="74"/>
      <c r="DG22" s="74"/>
      <c r="DH22" s="102">
        <f t="shared" si="32"/>
        <v>3</v>
      </c>
      <c r="DI22" s="102">
        <f t="shared" si="33"/>
        <v>0</v>
      </c>
      <c r="DJ22" s="73">
        <f t="shared" si="34"/>
        <v>3</v>
      </c>
      <c r="DK22" s="42"/>
      <c r="DL22" s="74"/>
      <c r="DM22" s="74"/>
      <c r="DN22" s="74"/>
      <c r="DO22" s="102">
        <f t="shared" si="35"/>
        <v>0</v>
      </c>
      <c r="DP22" s="102">
        <f t="shared" si="36"/>
        <v>0</v>
      </c>
      <c r="DQ22" s="73">
        <f t="shared" si="37"/>
        <v>0</v>
      </c>
      <c r="DR22" s="146">
        <f t="shared" si="38"/>
        <v>22</v>
      </c>
      <c r="DS22" s="147">
        <f t="shared" ca="1" si="39"/>
        <v>8.3650190114068435E-2</v>
      </c>
      <c r="DT22" s="148">
        <f t="shared" si="40"/>
        <v>4</v>
      </c>
      <c r="DU22" s="147">
        <f t="shared" ca="1" si="41"/>
        <v>1.5209125475285171E-2</v>
      </c>
      <c r="DV22" s="148">
        <f t="shared" si="42"/>
        <v>26</v>
      </c>
      <c r="DW22" s="147">
        <f t="shared" ca="1" si="43"/>
        <v>9.8859315589353611E-2</v>
      </c>
      <c r="DX22" s="148">
        <f t="shared" si="44"/>
        <v>4</v>
      </c>
      <c r="DY22" s="148">
        <f t="shared" si="45"/>
        <v>1</v>
      </c>
      <c r="DZ22" s="148">
        <f t="shared" si="46"/>
        <v>5</v>
      </c>
    </row>
    <row r="23" spans="1:130" ht="15.75" thickBot="1" x14ac:dyDescent="0.3">
      <c r="A23" s="42" t="s">
        <v>71</v>
      </c>
      <c r="B23" s="32" t="s">
        <v>151</v>
      </c>
      <c r="C23" s="14" t="str">
        <f t="shared" si="0"/>
        <v>עמית אחודה</v>
      </c>
      <c r="D23" s="15" t="s">
        <v>6</v>
      </c>
      <c r="E23" s="28" t="s">
        <v>7</v>
      </c>
      <c r="F23" s="41" t="s">
        <v>180</v>
      </c>
      <c r="G23" s="39">
        <v>43101</v>
      </c>
      <c r="H23" s="41"/>
      <c r="I23" s="16"/>
      <c r="J23" s="100"/>
      <c r="K23" s="101"/>
      <c r="L23" s="101"/>
      <c r="M23" s="101"/>
      <c r="N23" s="102">
        <f t="shared" si="47"/>
        <v>0</v>
      </c>
      <c r="O23" s="102">
        <f t="shared" si="48"/>
        <v>0</v>
      </c>
      <c r="P23" s="18">
        <f t="shared" si="49"/>
        <v>0</v>
      </c>
      <c r="Q23" s="13"/>
      <c r="R23" s="15"/>
      <c r="S23" s="15"/>
      <c r="T23" s="15"/>
      <c r="U23" s="17">
        <f t="shared" si="50"/>
        <v>0</v>
      </c>
      <c r="V23" s="17">
        <f t="shared" si="51"/>
        <v>0</v>
      </c>
      <c r="W23" s="19">
        <f t="shared" si="52"/>
        <v>0</v>
      </c>
      <c r="X23" s="13"/>
      <c r="Y23" s="15"/>
      <c r="Z23" s="15"/>
      <c r="AA23" s="15"/>
      <c r="AB23" s="20">
        <f t="shared" si="53"/>
        <v>0</v>
      </c>
      <c r="AC23" s="20">
        <f t="shared" si="54"/>
        <v>0</v>
      </c>
      <c r="AD23" s="21">
        <f t="shared" si="55"/>
        <v>0</v>
      </c>
      <c r="AE23" s="13"/>
      <c r="AF23" s="15"/>
      <c r="AG23" s="15"/>
      <c r="AH23" s="15"/>
      <c r="AI23" s="17">
        <f t="shared" si="56"/>
        <v>0</v>
      </c>
      <c r="AJ23" s="17">
        <f t="shared" si="57"/>
        <v>0</v>
      </c>
      <c r="AK23" s="19">
        <f t="shared" si="58"/>
        <v>0</v>
      </c>
      <c r="AL23" s="13"/>
      <c r="AM23" s="15"/>
      <c r="AN23" s="15"/>
      <c r="AO23" s="15"/>
      <c r="AP23" s="17">
        <f t="shared" si="59"/>
        <v>0</v>
      </c>
      <c r="AQ23" s="17">
        <f t="shared" si="60"/>
        <v>0</v>
      </c>
      <c r="AR23" s="19">
        <f t="shared" si="61"/>
        <v>0</v>
      </c>
      <c r="AS23" s="13"/>
      <c r="AT23" s="15"/>
      <c r="AU23" s="15"/>
      <c r="AV23" s="15"/>
      <c r="AW23" s="17">
        <f t="shared" si="62"/>
        <v>0</v>
      </c>
      <c r="AX23" s="17">
        <f t="shared" si="63"/>
        <v>0</v>
      </c>
      <c r="AY23" s="19">
        <f t="shared" si="64"/>
        <v>0</v>
      </c>
      <c r="AZ23" s="13"/>
      <c r="BA23" s="15"/>
      <c r="BB23" s="15"/>
      <c r="BC23" s="15"/>
      <c r="BD23" s="17">
        <f t="shared" si="65"/>
        <v>0</v>
      </c>
      <c r="BE23" s="17">
        <f t="shared" si="66"/>
        <v>0</v>
      </c>
      <c r="BF23" s="19">
        <f t="shared" si="67"/>
        <v>0</v>
      </c>
      <c r="BG23" s="42">
        <v>1</v>
      </c>
      <c r="BH23" s="74"/>
      <c r="BI23" s="15"/>
      <c r="BJ23" s="15"/>
      <c r="BK23" s="17">
        <f t="shared" si="68"/>
        <v>3</v>
      </c>
      <c r="BL23" s="17">
        <f t="shared" si="69"/>
        <v>0</v>
      </c>
      <c r="BM23" s="73">
        <f t="shared" si="70"/>
        <v>3</v>
      </c>
      <c r="BN23" s="42"/>
      <c r="BO23" s="74">
        <v>1</v>
      </c>
      <c r="BP23" s="74">
        <v>2</v>
      </c>
      <c r="BQ23" s="74"/>
      <c r="BR23" s="17">
        <f t="shared" si="71"/>
        <v>2</v>
      </c>
      <c r="BS23" s="17">
        <f t="shared" si="72"/>
        <v>3</v>
      </c>
      <c r="BT23" s="73">
        <f t="shared" si="73"/>
        <v>5</v>
      </c>
      <c r="BU23" s="42"/>
      <c r="BV23" s="74"/>
      <c r="BW23" s="74">
        <v>3</v>
      </c>
      <c r="BX23" s="74"/>
      <c r="BY23" s="17">
        <f t="shared" si="74"/>
        <v>3</v>
      </c>
      <c r="BZ23" s="17">
        <f t="shared" si="75"/>
        <v>0</v>
      </c>
      <c r="CA23" s="73">
        <f t="shared" si="76"/>
        <v>3</v>
      </c>
      <c r="CB23" s="42">
        <v>1</v>
      </c>
      <c r="CC23" s="74"/>
      <c r="CD23" s="74"/>
      <c r="CE23" s="158"/>
      <c r="CF23" s="17">
        <f t="shared" si="77"/>
        <v>3</v>
      </c>
      <c r="CG23" s="17">
        <f t="shared" si="78"/>
        <v>0</v>
      </c>
      <c r="CH23" s="73">
        <f t="shared" si="79"/>
        <v>3</v>
      </c>
      <c r="CI23" s="74"/>
      <c r="CJ23" s="74"/>
      <c r="CK23" s="74">
        <v>1</v>
      </c>
      <c r="CL23" s="168"/>
      <c r="CM23" s="17">
        <f t="shared" si="23"/>
        <v>1</v>
      </c>
      <c r="CN23" s="17">
        <f t="shared" si="24"/>
        <v>0</v>
      </c>
      <c r="CO23" s="73">
        <f t="shared" si="25"/>
        <v>1</v>
      </c>
      <c r="CP23" s="238">
        <v>1</v>
      </c>
      <c r="CQ23" s="74">
        <v>1</v>
      </c>
      <c r="CR23" s="74"/>
      <c r="CS23" s="74"/>
      <c r="CT23" s="17">
        <f t="shared" si="26"/>
        <v>3</v>
      </c>
      <c r="CU23" s="17">
        <f t="shared" si="27"/>
        <v>3</v>
      </c>
      <c r="CV23" s="73">
        <f t="shared" si="28"/>
        <v>6</v>
      </c>
      <c r="CW23" s="42"/>
      <c r="CX23" s="74"/>
      <c r="CY23" s="74">
        <v>2</v>
      </c>
      <c r="CZ23" s="74"/>
      <c r="DA23" s="17">
        <f t="shared" si="29"/>
        <v>2</v>
      </c>
      <c r="DB23" s="17">
        <f t="shared" si="30"/>
        <v>0</v>
      </c>
      <c r="DC23" s="73">
        <f t="shared" si="31"/>
        <v>2</v>
      </c>
      <c r="DD23" s="42">
        <v>1</v>
      </c>
      <c r="DE23" s="74"/>
      <c r="DF23" s="74"/>
      <c r="DG23" s="74"/>
      <c r="DH23" s="102">
        <f t="shared" si="32"/>
        <v>3</v>
      </c>
      <c r="DI23" s="102">
        <f t="shared" si="33"/>
        <v>0</v>
      </c>
      <c r="DJ23" s="73">
        <f t="shared" si="34"/>
        <v>3</v>
      </c>
      <c r="DK23" s="42"/>
      <c r="DL23" s="74"/>
      <c r="DM23" s="74"/>
      <c r="DN23" s="74"/>
      <c r="DO23" s="102">
        <f t="shared" si="35"/>
        <v>0</v>
      </c>
      <c r="DP23" s="102">
        <f t="shared" si="36"/>
        <v>0</v>
      </c>
      <c r="DQ23" s="73">
        <f t="shared" si="37"/>
        <v>0</v>
      </c>
      <c r="DR23" s="146">
        <f t="shared" si="38"/>
        <v>20</v>
      </c>
      <c r="DS23" s="147">
        <f t="shared" ca="1" si="39"/>
        <v>7.6045627376425853E-2</v>
      </c>
      <c r="DT23" s="148">
        <f t="shared" si="40"/>
        <v>6</v>
      </c>
      <c r="DU23" s="147">
        <f t="shared" ca="1" si="41"/>
        <v>2.2813688212927757E-2</v>
      </c>
      <c r="DV23" s="148">
        <f t="shared" si="42"/>
        <v>26</v>
      </c>
      <c r="DW23" s="147">
        <f t="shared" ca="1" si="43"/>
        <v>9.8859315589353611E-2</v>
      </c>
      <c r="DX23" s="148">
        <f t="shared" si="44"/>
        <v>4</v>
      </c>
      <c r="DY23" s="148">
        <f t="shared" si="45"/>
        <v>2</v>
      </c>
      <c r="DZ23" s="148">
        <f t="shared" si="46"/>
        <v>6</v>
      </c>
    </row>
    <row r="24" spans="1:130" ht="15.75" thickBot="1" x14ac:dyDescent="0.3">
      <c r="A24" s="13">
        <v>9</v>
      </c>
      <c r="B24" s="32" t="s">
        <v>121</v>
      </c>
      <c r="C24" s="34" t="str">
        <f t="shared" si="0"/>
        <v>ירדן 9</v>
      </c>
      <c r="D24" s="28" t="s">
        <v>6</v>
      </c>
      <c r="E24" s="28" t="s">
        <v>7</v>
      </c>
      <c r="F24" s="41" t="s">
        <v>179</v>
      </c>
      <c r="G24" s="39">
        <v>43040</v>
      </c>
      <c r="H24" s="248"/>
      <c r="I24" s="16"/>
      <c r="J24" s="100"/>
      <c r="K24" s="101"/>
      <c r="L24" s="101"/>
      <c r="M24" s="101"/>
      <c r="N24" s="102">
        <f t="shared" si="47"/>
        <v>0</v>
      </c>
      <c r="O24" s="102">
        <f t="shared" si="48"/>
        <v>0</v>
      </c>
      <c r="P24" s="18">
        <f t="shared" si="49"/>
        <v>0</v>
      </c>
      <c r="Q24" s="13"/>
      <c r="R24" s="15"/>
      <c r="S24" s="15"/>
      <c r="T24" s="15"/>
      <c r="U24" s="17">
        <f t="shared" si="50"/>
        <v>0</v>
      </c>
      <c r="V24" s="17">
        <f t="shared" si="51"/>
        <v>0</v>
      </c>
      <c r="W24" s="19">
        <f t="shared" si="52"/>
        <v>0</v>
      </c>
      <c r="X24" s="13"/>
      <c r="Y24" s="15"/>
      <c r="Z24" s="15"/>
      <c r="AA24" s="15"/>
      <c r="AB24" s="20">
        <f t="shared" si="53"/>
        <v>0</v>
      </c>
      <c r="AC24" s="20">
        <f t="shared" si="54"/>
        <v>0</v>
      </c>
      <c r="AD24" s="21">
        <f t="shared" si="55"/>
        <v>0</v>
      </c>
      <c r="AE24" s="13"/>
      <c r="AF24" s="15"/>
      <c r="AG24" s="15"/>
      <c r="AH24" s="15"/>
      <c r="AI24" s="17">
        <f t="shared" si="56"/>
        <v>0</v>
      </c>
      <c r="AJ24" s="17">
        <f t="shared" si="57"/>
        <v>0</v>
      </c>
      <c r="AK24" s="19">
        <f t="shared" si="58"/>
        <v>0</v>
      </c>
      <c r="AL24" s="13"/>
      <c r="AM24" s="15"/>
      <c r="AN24" s="15"/>
      <c r="AO24" s="15"/>
      <c r="AP24" s="17">
        <f t="shared" si="59"/>
        <v>0</v>
      </c>
      <c r="AQ24" s="17">
        <f t="shared" si="60"/>
        <v>0</v>
      </c>
      <c r="AR24" s="19">
        <f t="shared" si="61"/>
        <v>0</v>
      </c>
      <c r="AS24" s="13">
        <v>1</v>
      </c>
      <c r="AT24" s="15"/>
      <c r="AU24" s="15"/>
      <c r="AV24" s="15"/>
      <c r="AW24" s="17">
        <f t="shared" si="62"/>
        <v>3</v>
      </c>
      <c r="AX24" s="17">
        <f t="shared" si="63"/>
        <v>0</v>
      </c>
      <c r="AY24" s="19">
        <f t="shared" si="64"/>
        <v>3</v>
      </c>
      <c r="AZ24" s="13"/>
      <c r="BA24" s="15"/>
      <c r="BB24" s="15">
        <v>3</v>
      </c>
      <c r="BC24" s="15"/>
      <c r="BD24" s="17">
        <f t="shared" si="65"/>
        <v>3</v>
      </c>
      <c r="BE24" s="17">
        <f t="shared" si="66"/>
        <v>0</v>
      </c>
      <c r="BF24" s="19">
        <f t="shared" si="67"/>
        <v>3</v>
      </c>
      <c r="BG24" s="42">
        <v>1</v>
      </c>
      <c r="BH24" s="74"/>
      <c r="BI24" s="74">
        <v>1</v>
      </c>
      <c r="BJ24" s="15"/>
      <c r="BK24" s="17">
        <f t="shared" si="68"/>
        <v>4</v>
      </c>
      <c r="BL24" s="17">
        <f t="shared" si="69"/>
        <v>0</v>
      </c>
      <c r="BM24" s="73">
        <f t="shared" si="70"/>
        <v>4</v>
      </c>
      <c r="BN24" s="42"/>
      <c r="BO24" s="74"/>
      <c r="BP24" s="74">
        <v>4</v>
      </c>
      <c r="BQ24" s="74"/>
      <c r="BR24" s="17">
        <f t="shared" si="71"/>
        <v>4</v>
      </c>
      <c r="BS24" s="17">
        <f t="shared" si="72"/>
        <v>0</v>
      </c>
      <c r="BT24" s="73">
        <f t="shared" si="73"/>
        <v>4</v>
      </c>
      <c r="BU24" s="42">
        <v>1</v>
      </c>
      <c r="BV24" s="74"/>
      <c r="BW24" s="74"/>
      <c r="BX24" s="74"/>
      <c r="BY24" s="17">
        <f t="shared" si="74"/>
        <v>3</v>
      </c>
      <c r="BZ24" s="17">
        <f t="shared" si="75"/>
        <v>0</v>
      </c>
      <c r="CA24" s="73">
        <f t="shared" si="76"/>
        <v>3</v>
      </c>
      <c r="CB24" s="42"/>
      <c r="CC24" s="74"/>
      <c r="CD24" s="74">
        <v>2</v>
      </c>
      <c r="CE24" s="158"/>
      <c r="CF24" s="17">
        <f t="shared" si="77"/>
        <v>2</v>
      </c>
      <c r="CG24" s="17">
        <f t="shared" si="78"/>
        <v>0</v>
      </c>
      <c r="CH24" s="73">
        <f t="shared" si="79"/>
        <v>2</v>
      </c>
      <c r="CI24" s="74"/>
      <c r="CJ24" s="74"/>
      <c r="CK24" s="74">
        <v>1</v>
      </c>
      <c r="CL24" s="168"/>
      <c r="CM24" s="17">
        <f t="shared" si="23"/>
        <v>1</v>
      </c>
      <c r="CN24" s="17">
        <f t="shared" si="24"/>
        <v>0</v>
      </c>
      <c r="CO24" s="73">
        <f t="shared" si="25"/>
        <v>1</v>
      </c>
      <c r="CP24" s="238"/>
      <c r="CQ24" s="74">
        <v>1</v>
      </c>
      <c r="CR24" s="74">
        <v>2</v>
      </c>
      <c r="CS24" s="74"/>
      <c r="CT24" s="17">
        <f t="shared" si="26"/>
        <v>2</v>
      </c>
      <c r="CU24" s="17">
        <f t="shared" si="27"/>
        <v>3</v>
      </c>
      <c r="CV24" s="73">
        <f t="shared" si="28"/>
        <v>5</v>
      </c>
      <c r="CW24" s="42">
        <v>1</v>
      </c>
      <c r="CX24" s="74"/>
      <c r="CY24" s="74"/>
      <c r="CZ24" s="74">
        <v>1</v>
      </c>
      <c r="DA24" s="17">
        <f t="shared" si="29"/>
        <v>3</v>
      </c>
      <c r="DB24" s="17">
        <f t="shared" si="30"/>
        <v>1</v>
      </c>
      <c r="DC24" s="73">
        <f t="shared" si="31"/>
        <v>4</v>
      </c>
      <c r="DD24" s="42">
        <v>1</v>
      </c>
      <c r="DE24" s="74"/>
      <c r="DF24" s="74"/>
      <c r="DG24" s="74"/>
      <c r="DH24" s="102">
        <f t="shared" si="32"/>
        <v>3</v>
      </c>
      <c r="DI24" s="102">
        <f t="shared" si="33"/>
        <v>0</v>
      </c>
      <c r="DJ24" s="73">
        <f t="shared" si="34"/>
        <v>3</v>
      </c>
      <c r="DK24" s="42"/>
      <c r="DL24" s="74"/>
      <c r="DM24" s="74"/>
      <c r="DN24" s="74"/>
      <c r="DO24" s="102">
        <f t="shared" si="35"/>
        <v>0</v>
      </c>
      <c r="DP24" s="102">
        <f t="shared" si="36"/>
        <v>0</v>
      </c>
      <c r="DQ24" s="73">
        <f t="shared" si="37"/>
        <v>0</v>
      </c>
      <c r="DR24" s="146">
        <f t="shared" si="38"/>
        <v>28</v>
      </c>
      <c r="DS24" s="147">
        <f t="shared" ca="1" si="39"/>
        <v>8.6419753086419748E-2</v>
      </c>
      <c r="DT24" s="148">
        <f t="shared" si="40"/>
        <v>4</v>
      </c>
      <c r="DU24" s="147">
        <f t="shared" ca="1" si="41"/>
        <v>1.2345679012345678E-2</v>
      </c>
      <c r="DV24" s="148">
        <f t="shared" si="42"/>
        <v>32</v>
      </c>
      <c r="DW24" s="147">
        <f t="shared" ca="1" si="43"/>
        <v>9.8765432098765427E-2</v>
      </c>
      <c r="DX24" s="148">
        <f t="shared" si="44"/>
        <v>5</v>
      </c>
      <c r="DY24" s="148">
        <f t="shared" si="45"/>
        <v>1</v>
      </c>
      <c r="DZ24" s="148">
        <f t="shared" si="46"/>
        <v>6</v>
      </c>
    </row>
    <row r="25" spans="1:130" ht="15.75" thickBot="1" x14ac:dyDescent="0.3">
      <c r="A25" s="154" t="s">
        <v>13</v>
      </c>
      <c r="B25" s="32" t="s">
        <v>123</v>
      </c>
      <c r="C25" s="34" t="str">
        <f t="shared" si="0"/>
        <v>רבקה מפאוג</v>
      </c>
      <c r="D25" s="28" t="s">
        <v>6</v>
      </c>
      <c r="E25" s="28" t="s">
        <v>7</v>
      </c>
      <c r="F25" s="41" t="s">
        <v>179</v>
      </c>
      <c r="G25" s="39">
        <v>43040</v>
      </c>
      <c r="H25" s="248"/>
      <c r="I25" s="16"/>
      <c r="J25" s="100"/>
      <c r="K25" s="101"/>
      <c r="L25" s="101"/>
      <c r="M25" s="101"/>
      <c r="N25" s="102">
        <f t="shared" si="47"/>
        <v>0</v>
      </c>
      <c r="O25" s="102">
        <f t="shared" si="48"/>
        <v>0</v>
      </c>
      <c r="P25" s="18">
        <f t="shared" si="49"/>
        <v>0</v>
      </c>
      <c r="Q25" s="13"/>
      <c r="R25" s="15"/>
      <c r="S25" s="15"/>
      <c r="T25" s="15"/>
      <c r="U25" s="17">
        <f t="shared" si="50"/>
        <v>0</v>
      </c>
      <c r="V25" s="17">
        <f t="shared" si="51"/>
        <v>0</v>
      </c>
      <c r="W25" s="19">
        <f t="shared" si="52"/>
        <v>0</v>
      </c>
      <c r="X25" s="13"/>
      <c r="Y25" s="15"/>
      <c r="Z25" s="15"/>
      <c r="AA25" s="15"/>
      <c r="AB25" s="20">
        <f t="shared" si="53"/>
        <v>0</v>
      </c>
      <c r="AC25" s="20">
        <f t="shared" si="54"/>
        <v>0</v>
      </c>
      <c r="AD25" s="21">
        <f t="shared" si="55"/>
        <v>0</v>
      </c>
      <c r="AE25" s="13"/>
      <c r="AF25" s="15"/>
      <c r="AG25" s="15"/>
      <c r="AH25" s="15"/>
      <c r="AI25" s="17">
        <f t="shared" si="56"/>
        <v>0</v>
      </c>
      <c r="AJ25" s="17">
        <f t="shared" si="57"/>
        <v>0</v>
      </c>
      <c r="AK25" s="19">
        <f t="shared" si="58"/>
        <v>0</v>
      </c>
      <c r="AL25" s="13"/>
      <c r="AM25" s="15"/>
      <c r="AN25" s="15"/>
      <c r="AO25" s="15"/>
      <c r="AP25" s="17">
        <f t="shared" si="59"/>
        <v>0</v>
      </c>
      <c r="AQ25" s="17">
        <f t="shared" si="60"/>
        <v>0</v>
      </c>
      <c r="AR25" s="19">
        <f t="shared" si="61"/>
        <v>0</v>
      </c>
      <c r="AS25" s="13"/>
      <c r="AT25" s="15"/>
      <c r="AU25" s="15">
        <v>1</v>
      </c>
      <c r="AV25" s="15"/>
      <c r="AW25" s="17">
        <f t="shared" si="62"/>
        <v>1</v>
      </c>
      <c r="AX25" s="17">
        <f t="shared" si="63"/>
        <v>0</v>
      </c>
      <c r="AY25" s="19">
        <f t="shared" si="64"/>
        <v>1</v>
      </c>
      <c r="AZ25" s="13">
        <v>1</v>
      </c>
      <c r="BA25" s="15"/>
      <c r="BB25" s="15">
        <v>2</v>
      </c>
      <c r="BC25" s="15"/>
      <c r="BD25" s="17">
        <f t="shared" si="65"/>
        <v>5</v>
      </c>
      <c r="BE25" s="17">
        <f t="shared" si="66"/>
        <v>0</v>
      </c>
      <c r="BF25" s="19">
        <f t="shared" si="67"/>
        <v>5</v>
      </c>
      <c r="BG25" s="42"/>
      <c r="BH25" s="74"/>
      <c r="BI25" s="15">
        <v>3</v>
      </c>
      <c r="BJ25" s="15"/>
      <c r="BK25" s="17">
        <f t="shared" si="68"/>
        <v>3</v>
      </c>
      <c r="BL25" s="17">
        <f t="shared" si="69"/>
        <v>0</v>
      </c>
      <c r="BM25" s="73">
        <f t="shared" si="70"/>
        <v>3</v>
      </c>
      <c r="BN25" s="42"/>
      <c r="BO25" s="74"/>
      <c r="BP25" s="74">
        <v>4</v>
      </c>
      <c r="BQ25" s="74"/>
      <c r="BR25" s="17">
        <f t="shared" si="71"/>
        <v>4</v>
      </c>
      <c r="BS25" s="17">
        <f t="shared" si="72"/>
        <v>0</v>
      </c>
      <c r="BT25" s="73">
        <f t="shared" si="73"/>
        <v>4</v>
      </c>
      <c r="BU25" s="42">
        <v>1</v>
      </c>
      <c r="BV25" s="74"/>
      <c r="BW25" s="74">
        <v>1</v>
      </c>
      <c r="BX25" s="74">
        <v>1</v>
      </c>
      <c r="BY25" s="17">
        <f t="shared" si="74"/>
        <v>4</v>
      </c>
      <c r="BZ25" s="17">
        <f t="shared" si="75"/>
        <v>1</v>
      </c>
      <c r="CA25" s="73">
        <f t="shared" si="76"/>
        <v>5</v>
      </c>
      <c r="CB25" s="42">
        <v>1</v>
      </c>
      <c r="CC25" s="74"/>
      <c r="CD25" s="74"/>
      <c r="CE25" s="158"/>
      <c r="CF25" s="17">
        <f t="shared" si="77"/>
        <v>3</v>
      </c>
      <c r="CG25" s="17">
        <f t="shared" si="78"/>
        <v>0</v>
      </c>
      <c r="CH25" s="73">
        <f t="shared" si="79"/>
        <v>3</v>
      </c>
      <c r="CI25" s="74"/>
      <c r="CJ25" s="74"/>
      <c r="CK25" s="74"/>
      <c r="CL25" s="168"/>
      <c r="CM25" s="17">
        <f t="shared" si="23"/>
        <v>0</v>
      </c>
      <c r="CN25" s="17">
        <f t="shared" si="24"/>
        <v>0</v>
      </c>
      <c r="CO25" s="73">
        <f t="shared" si="25"/>
        <v>0</v>
      </c>
      <c r="CP25" s="238"/>
      <c r="CQ25" s="74"/>
      <c r="CR25" s="74">
        <v>2</v>
      </c>
      <c r="CS25" s="74">
        <v>1</v>
      </c>
      <c r="CT25" s="17">
        <f t="shared" si="26"/>
        <v>2</v>
      </c>
      <c r="CU25" s="17">
        <f t="shared" si="27"/>
        <v>1</v>
      </c>
      <c r="CV25" s="73">
        <f t="shared" si="28"/>
        <v>3</v>
      </c>
      <c r="CW25" s="42">
        <v>1</v>
      </c>
      <c r="CX25" s="74"/>
      <c r="CY25" s="74">
        <v>1</v>
      </c>
      <c r="CZ25" s="74"/>
      <c r="DA25" s="17">
        <f t="shared" si="29"/>
        <v>4</v>
      </c>
      <c r="DB25" s="17">
        <f t="shared" si="30"/>
        <v>0</v>
      </c>
      <c r="DC25" s="73">
        <f t="shared" si="31"/>
        <v>4</v>
      </c>
      <c r="DD25" s="42"/>
      <c r="DE25" s="74">
        <v>1</v>
      </c>
      <c r="DF25" s="74">
        <v>1</v>
      </c>
      <c r="DG25" s="74"/>
      <c r="DH25" s="102">
        <f t="shared" si="32"/>
        <v>1</v>
      </c>
      <c r="DI25" s="102">
        <f t="shared" si="33"/>
        <v>3</v>
      </c>
      <c r="DJ25" s="73">
        <f t="shared" si="34"/>
        <v>4</v>
      </c>
      <c r="DK25" s="42"/>
      <c r="DL25" s="74"/>
      <c r="DM25" s="74"/>
      <c r="DN25" s="74"/>
      <c r="DO25" s="102">
        <f t="shared" si="35"/>
        <v>0</v>
      </c>
      <c r="DP25" s="102">
        <f t="shared" si="36"/>
        <v>0</v>
      </c>
      <c r="DQ25" s="73">
        <f t="shared" si="37"/>
        <v>0</v>
      </c>
      <c r="DR25" s="146">
        <f t="shared" si="38"/>
        <v>27</v>
      </c>
      <c r="DS25" s="147">
        <f t="shared" ca="1" si="39"/>
        <v>8.3333333333333329E-2</v>
      </c>
      <c r="DT25" s="148">
        <f t="shared" si="40"/>
        <v>5</v>
      </c>
      <c r="DU25" s="147">
        <f t="shared" ca="1" si="41"/>
        <v>1.5432098765432098E-2</v>
      </c>
      <c r="DV25" s="148">
        <f t="shared" si="42"/>
        <v>32</v>
      </c>
      <c r="DW25" s="147">
        <f t="shared" ca="1" si="43"/>
        <v>9.8765432098765427E-2</v>
      </c>
      <c r="DX25" s="148">
        <f t="shared" si="44"/>
        <v>4</v>
      </c>
      <c r="DY25" s="148">
        <f t="shared" si="45"/>
        <v>1</v>
      </c>
      <c r="DZ25" s="148">
        <f t="shared" si="46"/>
        <v>5</v>
      </c>
    </row>
    <row r="26" spans="1:130" ht="15.75" thickBot="1" x14ac:dyDescent="0.3">
      <c r="A26" s="42">
        <v>9</v>
      </c>
      <c r="B26" s="43" t="s">
        <v>11</v>
      </c>
      <c r="C26" s="202" t="str">
        <f t="shared" si="0"/>
        <v>שקד 9</v>
      </c>
      <c r="D26" s="15" t="s">
        <v>6</v>
      </c>
      <c r="E26" s="28" t="s">
        <v>7</v>
      </c>
      <c r="F26" s="41" t="s">
        <v>178</v>
      </c>
      <c r="G26" s="39">
        <v>43009</v>
      </c>
      <c r="H26" s="248"/>
      <c r="I26" s="51" t="s">
        <v>282</v>
      </c>
      <c r="J26" s="100"/>
      <c r="K26" s="101"/>
      <c r="L26" s="101"/>
      <c r="M26" s="101"/>
      <c r="N26" s="102">
        <f t="shared" si="47"/>
        <v>0</v>
      </c>
      <c r="O26" s="102">
        <f t="shared" si="48"/>
        <v>0</v>
      </c>
      <c r="P26" s="18">
        <f t="shared" si="49"/>
        <v>0</v>
      </c>
      <c r="Q26" s="13"/>
      <c r="R26" s="15"/>
      <c r="S26" s="15"/>
      <c r="T26" s="15"/>
      <c r="U26" s="17">
        <f t="shared" si="50"/>
        <v>0</v>
      </c>
      <c r="V26" s="17">
        <f t="shared" si="51"/>
        <v>0</v>
      </c>
      <c r="W26" s="19">
        <f t="shared" si="52"/>
        <v>0</v>
      </c>
      <c r="X26" s="13"/>
      <c r="Y26" s="15"/>
      <c r="Z26" s="15"/>
      <c r="AA26" s="15"/>
      <c r="AB26" s="20">
        <f t="shared" si="53"/>
        <v>0</v>
      </c>
      <c r="AC26" s="20">
        <f t="shared" si="54"/>
        <v>0</v>
      </c>
      <c r="AD26" s="21">
        <f t="shared" si="55"/>
        <v>0</v>
      </c>
      <c r="AE26" s="13"/>
      <c r="AF26" s="15"/>
      <c r="AG26" s="15">
        <v>1</v>
      </c>
      <c r="AH26" s="15"/>
      <c r="AI26" s="17">
        <f t="shared" si="56"/>
        <v>1</v>
      </c>
      <c r="AJ26" s="17">
        <f t="shared" si="57"/>
        <v>0</v>
      </c>
      <c r="AK26" s="19">
        <f t="shared" si="58"/>
        <v>1</v>
      </c>
      <c r="AL26" s="13">
        <v>1</v>
      </c>
      <c r="AM26" s="15"/>
      <c r="AN26" s="15">
        <v>2</v>
      </c>
      <c r="AO26" s="15"/>
      <c r="AP26" s="17">
        <f t="shared" si="59"/>
        <v>5</v>
      </c>
      <c r="AQ26" s="17">
        <f t="shared" si="60"/>
        <v>0</v>
      </c>
      <c r="AR26" s="19">
        <f t="shared" si="61"/>
        <v>5</v>
      </c>
      <c r="AS26" s="13"/>
      <c r="AT26" s="15"/>
      <c r="AU26" s="15">
        <v>4</v>
      </c>
      <c r="AV26" s="15"/>
      <c r="AW26" s="17">
        <f t="shared" si="62"/>
        <v>4</v>
      </c>
      <c r="AX26" s="17">
        <f t="shared" si="63"/>
        <v>0</v>
      </c>
      <c r="AY26" s="19">
        <f t="shared" si="64"/>
        <v>4</v>
      </c>
      <c r="AZ26" s="13"/>
      <c r="BA26" s="15"/>
      <c r="BB26" s="15">
        <v>2</v>
      </c>
      <c r="BC26" s="15">
        <v>1</v>
      </c>
      <c r="BD26" s="17">
        <f t="shared" si="65"/>
        <v>2</v>
      </c>
      <c r="BE26" s="17">
        <f t="shared" si="66"/>
        <v>1</v>
      </c>
      <c r="BF26" s="19">
        <f t="shared" si="67"/>
        <v>3</v>
      </c>
      <c r="BG26" s="42">
        <v>1</v>
      </c>
      <c r="BH26" s="74"/>
      <c r="BI26" s="74">
        <v>1</v>
      </c>
      <c r="BJ26" s="15"/>
      <c r="BK26" s="17">
        <f t="shared" si="68"/>
        <v>4</v>
      </c>
      <c r="BL26" s="17">
        <f t="shared" si="69"/>
        <v>0</v>
      </c>
      <c r="BM26" s="73">
        <f t="shared" si="70"/>
        <v>4</v>
      </c>
      <c r="BN26" s="42">
        <v>1</v>
      </c>
      <c r="BO26" s="74"/>
      <c r="BP26" s="74">
        <v>1</v>
      </c>
      <c r="BQ26" s="74"/>
      <c r="BR26" s="17">
        <f t="shared" si="71"/>
        <v>4</v>
      </c>
      <c r="BS26" s="17">
        <f t="shared" si="72"/>
        <v>0</v>
      </c>
      <c r="BT26" s="73">
        <f t="shared" si="73"/>
        <v>4</v>
      </c>
      <c r="BU26" s="42"/>
      <c r="BV26" s="74"/>
      <c r="BW26" s="74">
        <v>1</v>
      </c>
      <c r="BX26" s="74"/>
      <c r="BY26" s="17">
        <f t="shared" si="74"/>
        <v>1</v>
      </c>
      <c r="BZ26" s="17">
        <f t="shared" si="75"/>
        <v>0</v>
      </c>
      <c r="CA26" s="73">
        <f t="shared" si="76"/>
        <v>1</v>
      </c>
      <c r="CB26" s="42"/>
      <c r="CC26" s="74"/>
      <c r="CD26" s="74">
        <v>1</v>
      </c>
      <c r="CE26" s="158"/>
      <c r="CF26" s="17">
        <f t="shared" si="77"/>
        <v>1</v>
      </c>
      <c r="CG26" s="17">
        <f t="shared" si="78"/>
        <v>0</v>
      </c>
      <c r="CH26" s="73">
        <f t="shared" si="79"/>
        <v>1</v>
      </c>
      <c r="CI26" s="74"/>
      <c r="CJ26" s="74">
        <v>1</v>
      </c>
      <c r="CK26" s="74">
        <v>1</v>
      </c>
      <c r="CL26" s="168"/>
      <c r="CM26" s="17">
        <f t="shared" si="23"/>
        <v>1</v>
      </c>
      <c r="CN26" s="17">
        <f t="shared" si="24"/>
        <v>3</v>
      </c>
      <c r="CO26" s="73">
        <f t="shared" si="25"/>
        <v>4</v>
      </c>
      <c r="CP26" s="238"/>
      <c r="CQ26" s="74"/>
      <c r="CR26" s="74">
        <v>2</v>
      </c>
      <c r="CS26" s="74"/>
      <c r="CT26" s="17">
        <f t="shared" si="26"/>
        <v>2</v>
      </c>
      <c r="CU26" s="17">
        <f t="shared" si="27"/>
        <v>0</v>
      </c>
      <c r="CV26" s="73">
        <f t="shared" si="28"/>
        <v>2</v>
      </c>
      <c r="CW26" s="42">
        <v>1</v>
      </c>
      <c r="CX26" s="74"/>
      <c r="CY26" s="74"/>
      <c r="CZ26" s="74"/>
      <c r="DA26" s="17">
        <f t="shared" si="29"/>
        <v>3</v>
      </c>
      <c r="DB26" s="17">
        <f t="shared" si="30"/>
        <v>0</v>
      </c>
      <c r="DC26" s="73">
        <f t="shared" si="31"/>
        <v>3</v>
      </c>
      <c r="DD26" s="42"/>
      <c r="DE26" s="74"/>
      <c r="DF26" s="74">
        <v>3</v>
      </c>
      <c r="DG26" s="74"/>
      <c r="DH26" s="102">
        <f t="shared" si="32"/>
        <v>3</v>
      </c>
      <c r="DI26" s="102">
        <f t="shared" si="33"/>
        <v>0</v>
      </c>
      <c r="DJ26" s="73">
        <f t="shared" si="34"/>
        <v>3</v>
      </c>
      <c r="DK26" s="42"/>
      <c r="DL26" s="74"/>
      <c r="DM26" s="74"/>
      <c r="DN26" s="74"/>
      <c r="DO26" s="102">
        <f t="shared" si="35"/>
        <v>0</v>
      </c>
      <c r="DP26" s="102">
        <f t="shared" si="36"/>
        <v>0</v>
      </c>
      <c r="DQ26" s="73">
        <f t="shared" si="37"/>
        <v>0</v>
      </c>
      <c r="DR26" s="146">
        <f t="shared" si="38"/>
        <v>31</v>
      </c>
      <c r="DS26" s="147">
        <f t="shared" ca="1" si="39"/>
        <v>8.7323943661971826E-2</v>
      </c>
      <c r="DT26" s="148">
        <f t="shared" si="40"/>
        <v>4</v>
      </c>
      <c r="DU26" s="147">
        <f t="shared" ca="1" si="41"/>
        <v>1.1267605633802818E-2</v>
      </c>
      <c r="DV26" s="148">
        <f t="shared" si="42"/>
        <v>35</v>
      </c>
      <c r="DW26" s="147">
        <f t="shared" ca="1" si="43"/>
        <v>9.8591549295774641E-2</v>
      </c>
      <c r="DX26" s="148">
        <f t="shared" si="44"/>
        <v>4</v>
      </c>
      <c r="DY26" s="148">
        <f t="shared" si="45"/>
        <v>1</v>
      </c>
      <c r="DZ26" s="148">
        <f t="shared" si="46"/>
        <v>5</v>
      </c>
    </row>
    <row r="27" spans="1:130" ht="15.75" thickBot="1" x14ac:dyDescent="0.3">
      <c r="A27" s="13">
        <v>209</v>
      </c>
      <c r="B27" s="32" t="s">
        <v>122</v>
      </c>
      <c r="C27" s="34" t="str">
        <f t="shared" si="0"/>
        <v>ולריה 209</v>
      </c>
      <c r="D27" s="28" t="s">
        <v>6</v>
      </c>
      <c r="E27" s="28" t="s">
        <v>7</v>
      </c>
      <c r="F27" s="41" t="s">
        <v>179</v>
      </c>
      <c r="G27" s="39">
        <v>43040</v>
      </c>
      <c r="H27" s="248"/>
      <c r="I27" s="16"/>
      <c r="J27" s="100"/>
      <c r="K27" s="101"/>
      <c r="L27" s="101"/>
      <c r="M27" s="101"/>
      <c r="N27" s="102">
        <f t="shared" si="47"/>
        <v>0</v>
      </c>
      <c r="O27" s="102">
        <f t="shared" si="48"/>
        <v>0</v>
      </c>
      <c r="P27" s="18">
        <f t="shared" si="49"/>
        <v>0</v>
      </c>
      <c r="Q27" s="13"/>
      <c r="R27" s="15"/>
      <c r="S27" s="15"/>
      <c r="T27" s="15"/>
      <c r="U27" s="17">
        <f t="shared" si="50"/>
        <v>0</v>
      </c>
      <c r="V27" s="17">
        <f t="shared" si="51"/>
        <v>0</v>
      </c>
      <c r="W27" s="19">
        <f t="shared" si="52"/>
        <v>0</v>
      </c>
      <c r="X27" s="13"/>
      <c r="Y27" s="15"/>
      <c r="Z27" s="15"/>
      <c r="AA27" s="15"/>
      <c r="AB27" s="20">
        <f t="shared" si="53"/>
        <v>0</v>
      </c>
      <c r="AC27" s="20">
        <f t="shared" si="54"/>
        <v>0</v>
      </c>
      <c r="AD27" s="21">
        <f t="shared" si="55"/>
        <v>0</v>
      </c>
      <c r="AE27" s="13"/>
      <c r="AF27" s="15"/>
      <c r="AG27" s="15"/>
      <c r="AH27" s="15"/>
      <c r="AI27" s="17">
        <f t="shared" si="56"/>
        <v>0</v>
      </c>
      <c r="AJ27" s="17">
        <f t="shared" si="57"/>
        <v>0</v>
      </c>
      <c r="AK27" s="19">
        <f t="shared" si="58"/>
        <v>0</v>
      </c>
      <c r="AL27" s="13"/>
      <c r="AM27" s="15"/>
      <c r="AN27" s="15"/>
      <c r="AO27" s="15"/>
      <c r="AP27" s="17">
        <f t="shared" si="59"/>
        <v>0</v>
      </c>
      <c r="AQ27" s="17">
        <f t="shared" si="60"/>
        <v>0</v>
      </c>
      <c r="AR27" s="19">
        <f t="shared" si="61"/>
        <v>0</v>
      </c>
      <c r="AS27" s="13"/>
      <c r="AT27" s="15"/>
      <c r="AU27" s="15">
        <v>1</v>
      </c>
      <c r="AV27" s="15"/>
      <c r="AW27" s="17">
        <f t="shared" si="62"/>
        <v>1</v>
      </c>
      <c r="AX27" s="17">
        <f t="shared" si="63"/>
        <v>0</v>
      </c>
      <c r="AY27" s="19">
        <f t="shared" si="64"/>
        <v>1</v>
      </c>
      <c r="AZ27" s="13">
        <v>1</v>
      </c>
      <c r="BA27" s="15"/>
      <c r="BB27" s="15">
        <v>2</v>
      </c>
      <c r="BC27" s="15"/>
      <c r="BD27" s="17">
        <f t="shared" si="65"/>
        <v>5</v>
      </c>
      <c r="BE27" s="17">
        <f t="shared" si="66"/>
        <v>0</v>
      </c>
      <c r="BF27" s="19">
        <f t="shared" si="67"/>
        <v>5</v>
      </c>
      <c r="BG27" s="42"/>
      <c r="BH27" s="74"/>
      <c r="BI27" s="15">
        <v>3</v>
      </c>
      <c r="BJ27" s="15"/>
      <c r="BK27" s="17">
        <f t="shared" si="68"/>
        <v>3</v>
      </c>
      <c r="BL27" s="17">
        <f t="shared" si="69"/>
        <v>0</v>
      </c>
      <c r="BM27" s="73">
        <f t="shared" si="70"/>
        <v>3</v>
      </c>
      <c r="BN27" s="42"/>
      <c r="BO27" s="74">
        <v>1</v>
      </c>
      <c r="BP27" s="74">
        <v>3</v>
      </c>
      <c r="BQ27" s="74"/>
      <c r="BR27" s="17">
        <f t="shared" si="71"/>
        <v>3</v>
      </c>
      <c r="BS27" s="17">
        <f t="shared" si="72"/>
        <v>3</v>
      </c>
      <c r="BT27" s="73">
        <f t="shared" si="73"/>
        <v>6</v>
      </c>
      <c r="BU27" s="42">
        <v>1</v>
      </c>
      <c r="BV27" s="74"/>
      <c r="BW27" s="74">
        <v>1</v>
      </c>
      <c r="BX27" s="74"/>
      <c r="BY27" s="17">
        <f t="shared" si="74"/>
        <v>4</v>
      </c>
      <c r="BZ27" s="17">
        <f t="shared" si="75"/>
        <v>0</v>
      </c>
      <c r="CA27" s="73">
        <f t="shared" si="76"/>
        <v>4</v>
      </c>
      <c r="CB27" s="42"/>
      <c r="CC27" s="74"/>
      <c r="CD27" s="74">
        <v>1</v>
      </c>
      <c r="CE27" s="158"/>
      <c r="CF27" s="17">
        <f t="shared" si="77"/>
        <v>1</v>
      </c>
      <c r="CG27" s="17">
        <f t="shared" si="78"/>
        <v>0</v>
      </c>
      <c r="CH27" s="73">
        <f t="shared" si="79"/>
        <v>1</v>
      </c>
      <c r="CI27" s="74"/>
      <c r="CJ27" s="74"/>
      <c r="CK27" s="74">
        <v>2</v>
      </c>
      <c r="CL27" s="168"/>
      <c r="CM27" s="17">
        <f t="shared" si="23"/>
        <v>2</v>
      </c>
      <c r="CN27" s="17">
        <f t="shared" si="24"/>
        <v>0</v>
      </c>
      <c r="CO27" s="73">
        <f t="shared" si="25"/>
        <v>2</v>
      </c>
      <c r="CP27" s="238">
        <v>1</v>
      </c>
      <c r="CQ27" s="74"/>
      <c r="CR27" s="74">
        <v>1</v>
      </c>
      <c r="CS27" s="74"/>
      <c r="CT27" s="17">
        <f t="shared" si="26"/>
        <v>4</v>
      </c>
      <c r="CU27" s="17">
        <f t="shared" si="27"/>
        <v>0</v>
      </c>
      <c r="CV27" s="73">
        <f t="shared" si="28"/>
        <v>4</v>
      </c>
      <c r="CW27" s="42"/>
      <c r="CX27" s="74"/>
      <c r="CY27" s="74">
        <v>2</v>
      </c>
      <c r="CZ27" s="74"/>
      <c r="DA27" s="17">
        <f t="shared" si="29"/>
        <v>2</v>
      </c>
      <c r="DB27" s="17">
        <f t="shared" si="30"/>
        <v>0</v>
      </c>
      <c r="DC27" s="73">
        <f t="shared" si="31"/>
        <v>2</v>
      </c>
      <c r="DD27" s="42">
        <v>1</v>
      </c>
      <c r="DE27" s="74"/>
      <c r="DF27" s="74"/>
      <c r="DG27" s="74"/>
      <c r="DH27" s="102">
        <f t="shared" si="32"/>
        <v>3</v>
      </c>
      <c r="DI27" s="102">
        <f t="shared" si="33"/>
        <v>0</v>
      </c>
      <c r="DJ27" s="73">
        <f t="shared" si="34"/>
        <v>3</v>
      </c>
      <c r="DK27" s="42"/>
      <c r="DL27" s="74"/>
      <c r="DM27" s="74"/>
      <c r="DN27" s="74"/>
      <c r="DO27" s="102">
        <f t="shared" si="35"/>
        <v>0</v>
      </c>
      <c r="DP27" s="102">
        <f t="shared" si="36"/>
        <v>0</v>
      </c>
      <c r="DQ27" s="73">
        <f t="shared" si="37"/>
        <v>0</v>
      </c>
      <c r="DR27" s="146">
        <f t="shared" si="38"/>
        <v>28</v>
      </c>
      <c r="DS27" s="147">
        <f t="shared" ca="1" si="39"/>
        <v>8.6419753086419748E-2</v>
      </c>
      <c r="DT27" s="148">
        <f t="shared" si="40"/>
        <v>3</v>
      </c>
      <c r="DU27" s="147">
        <f t="shared" ca="1" si="41"/>
        <v>9.2592592592592587E-3</v>
      </c>
      <c r="DV27" s="148">
        <f t="shared" si="42"/>
        <v>31</v>
      </c>
      <c r="DW27" s="147">
        <f t="shared" ca="1" si="43"/>
        <v>9.5679012345679007E-2</v>
      </c>
      <c r="DX27" s="148">
        <f t="shared" si="44"/>
        <v>4</v>
      </c>
      <c r="DY27" s="148">
        <f t="shared" si="45"/>
        <v>1</v>
      </c>
      <c r="DZ27" s="148">
        <f t="shared" si="46"/>
        <v>5</v>
      </c>
    </row>
    <row r="28" spans="1:130" ht="15.75" thickBot="1" x14ac:dyDescent="0.3">
      <c r="A28" s="13">
        <v>209</v>
      </c>
      <c r="B28" s="32" t="s">
        <v>141</v>
      </c>
      <c r="C28" s="34" t="str">
        <f t="shared" si="0"/>
        <v>אלינה 209</v>
      </c>
      <c r="D28" s="28" t="s">
        <v>6</v>
      </c>
      <c r="E28" s="28" t="s">
        <v>7</v>
      </c>
      <c r="F28" s="41" t="s">
        <v>180</v>
      </c>
      <c r="G28" s="39">
        <v>43101</v>
      </c>
      <c r="H28" s="220">
        <v>43490</v>
      </c>
      <c r="I28" s="16"/>
      <c r="J28" s="100"/>
      <c r="K28" s="101"/>
      <c r="L28" s="101"/>
      <c r="M28" s="101"/>
      <c r="N28" s="102">
        <f t="shared" si="47"/>
        <v>0</v>
      </c>
      <c r="O28" s="102">
        <f t="shared" si="48"/>
        <v>0</v>
      </c>
      <c r="P28" s="18">
        <f t="shared" si="49"/>
        <v>0</v>
      </c>
      <c r="Q28" s="13"/>
      <c r="R28" s="15"/>
      <c r="S28" s="15"/>
      <c r="T28" s="15"/>
      <c r="U28" s="17">
        <f t="shared" si="50"/>
        <v>0</v>
      </c>
      <c r="V28" s="17">
        <f t="shared" si="51"/>
        <v>0</v>
      </c>
      <c r="W28" s="19">
        <f t="shared" si="52"/>
        <v>0</v>
      </c>
      <c r="X28" s="13"/>
      <c r="Y28" s="15"/>
      <c r="Z28" s="15"/>
      <c r="AA28" s="15"/>
      <c r="AB28" s="20">
        <f t="shared" si="53"/>
        <v>0</v>
      </c>
      <c r="AC28" s="20">
        <f t="shared" si="54"/>
        <v>0</v>
      </c>
      <c r="AD28" s="21">
        <f t="shared" si="55"/>
        <v>0</v>
      </c>
      <c r="AE28" s="13"/>
      <c r="AF28" s="15"/>
      <c r="AG28" s="15"/>
      <c r="AH28" s="15"/>
      <c r="AI28" s="17">
        <f t="shared" si="56"/>
        <v>0</v>
      </c>
      <c r="AJ28" s="17">
        <f t="shared" si="57"/>
        <v>0</v>
      </c>
      <c r="AK28" s="19">
        <f t="shared" si="58"/>
        <v>0</v>
      </c>
      <c r="AL28" s="13"/>
      <c r="AM28" s="15"/>
      <c r="AN28" s="15"/>
      <c r="AO28" s="15"/>
      <c r="AP28" s="17">
        <f t="shared" si="59"/>
        <v>0</v>
      </c>
      <c r="AQ28" s="17">
        <f t="shared" si="60"/>
        <v>0</v>
      </c>
      <c r="AR28" s="19">
        <f t="shared" si="61"/>
        <v>0</v>
      </c>
      <c r="AS28" s="13"/>
      <c r="AT28" s="15"/>
      <c r="AU28" s="15"/>
      <c r="AV28" s="15"/>
      <c r="AW28" s="17">
        <f t="shared" si="62"/>
        <v>0</v>
      </c>
      <c r="AX28" s="17">
        <f t="shared" si="63"/>
        <v>0</v>
      </c>
      <c r="AY28" s="19">
        <f t="shared" si="64"/>
        <v>0</v>
      </c>
      <c r="AZ28" s="13">
        <v>1</v>
      </c>
      <c r="BA28" s="15"/>
      <c r="BB28" s="15"/>
      <c r="BC28" s="15"/>
      <c r="BD28" s="17">
        <f t="shared" si="65"/>
        <v>3</v>
      </c>
      <c r="BE28" s="17">
        <f t="shared" si="66"/>
        <v>0</v>
      </c>
      <c r="BF28" s="19">
        <f t="shared" si="67"/>
        <v>3</v>
      </c>
      <c r="BG28" s="42"/>
      <c r="BH28" s="74">
        <v>1</v>
      </c>
      <c r="BI28" s="74">
        <v>1</v>
      </c>
      <c r="BJ28" s="15"/>
      <c r="BK28" s="17">
        <f t="shared" si="68"/>
        <v>1</v>
      </c>
      <c r="BL28" s="17">
        <f t="shared" si="69"/>
        <v>3</v>
      </c>
      <c r="BM28" s="73">
        <f t="shared" si="70"/>
        <v>4</v>
      </c>
      <c r="BN28" s="42"/>
      <c r="BO28" s="74"/>
      <c r="BP28" s="74">
        <v>1</v>
      </c>
      <c r="BQ28" s="74"/>
      <c r="BR28" s="17">
        <f t="shared" si="71"/>
        <v>1</v>
      </c>
      <c r="BS28" s="17">
        <f t="shared" si="72"/>
        <v>0</v>
      </c>
      <c r="BT28" s="73">
        <f t="shared" si="73"/>
        <v>1</v>
      </c>
      <c r="BU28" s="42">
        <v>1</v>
      </c>
      <c r="BV28" s="74"/>
      <c r="BW28" s="74"/>
      <c r="BX28" s="74"/>
      <c r="BY28" s="17">
        <f t="shared" si="74"/>
        <v>3</v>
      </c>
      <c r="BZ28" s="17">
        <f t="shared" si="75"/>
        <v>0</v>
      </c>
      <c r="CA28" s="73">
        <f t="shared" si="76"/>
        <v>3</v>
      </c>
      <c r="CB28" s="42"/>
      <c r="CC28" s="74"/>
      <c r="CD28" s="74">
        <v>2</v>
      </c>
      <c r="CE28" s="158"/>
      <c r="CF28" s="17">
        <f t="shared" si="77"/>
        <v>2</v>
      </c>
      <c r="CG28" s="17">
        <f t="shared" si="78"/>
        <v>0</v>
      </c>
      <c r="CH28" s="73">
        <f t="shared" si="79"/>
        <v>2</v>
      </c>
      <c r="CI28" s="74"/>
      <c r="CJ28" s="74">
        <v>1</v>
      </c>
      <c r="CK28" s="74">
        <v>2</v>
      </c>
      <c r="CL28" s="168"/>
      <c r="CM28" s="17">
        <f t="shared" si="23"/>
        <v>2</v>
      </c>
      <c r="CN28" s="17">
        <f t="shared" si="24"/>
        <v>3</v>
      </c>
      <c r="CO28" s="73">
        <f t="shared" si="25"/>
        <v>5</v>
      </c>
      <c r="CP28" s="238"/>
      <c r="CQ28" s="74"/>
      <c r="CR28" s="74"/>
      <c r="CS28" s="74"/>
      <c r="CT28" s="17">
        <f t="shared" si="26"/>
        <v>0</v>
      </c>
      <c r="CU28" s="17">
        <f t="shared" si="27"/>
        <v>0</v>
      </c>
      <c r="CV28" s="73">
        <f t="shared" si="28"/>
        <v>0</v>
      </c>
      <c r="CW28" s="42">
        <v>1</v>
      </c>
      <c r="CX28" s="74"/>
      <c r="CY28" s="74">
        <v>1</v>
      </c>
      <c r="CZ28" s="74"/>
      <c r="DA28" s="17">
        <f t="shared" si="29"/>
        <v>4</v>
      </c>
      <c r="DB28" s="17">
        <f t="shared" si="30"/>
        <v>0</v>
      </c>
      <c r="DC28" s="73">
        <f t="shared" si="31"/>
        <v>4</v>
      </c>
      <c r="DD28" s="42">
        <v>1</v>
      </c>
      <c r="DE28" s="74"/>
      <c r="DF28" s="74"/>
      <c r="DG28" s="74"/>
      <c r="DH28" s="102">
        <f t="shared" si="32"/>
        <v>3</v>
      </c>
      <c r="DI28" s="102">
        <f t="shared" si="33"/>
        <v>0</v>
      </c>
      <c r="DJ28" s="73">
        <f t="shared" si="34"/>
        <v>3</v>
      </c>
      <c r="DK28" s="42"/>
      <c r="DL28" s="74"/>
      <c r="DM28" s="74"/>
      <c r="DN28" s="74"/>
      <c r="DO28" s="102">
        <f t="shared" si="35"/>
        <v>0</v>
      </c>
      <c r="DP28" s="102">
        <f t="shared" si="36"/>
        <v>0</v>
      </c>
      <c r="DQ28" s="73">
        <f t="shared" si="37"/>
        <v>0</v>
      </c>
      <c r="DR28" s="146">
        <f t="shared" si="38"/>
        <v>19</v>
      </c>
      <c r="DS28" s="147">
        <f t="shared" ca="1" si="39"/>
        <v>7.2243346007604556E-2</v>
      </c>
      <c r="DT28" s="148">
        <f t="shared" si="40"/>
        <v>6</v>
      </c>
      <c r="DU28" s="147">
        <f t="shared" ca="1" si="41"/>
        <v>2.2813688212927757E-2</v>
      </c>
      <c r="DV28" s="148">
        <f t="shared" si="42"/>
        <v>25</v>
      </c>
      <c r="DW28" s="147">
        <f t="shared" ca="1" si="43"/>
        <v>9.5057034220532313E-2</v>
      </c>
      <c r="DX28" s="148">
        <f t="shared" si="44"/>
        <v>4</v>
      </c>
      <c r="DY28" s="148">
        <f t="shared" si="45"/>
        <v>2</v>
      </c>
      <c r="DZ28" s="148">
        <f t="shared" si="46"/>
        <v>6</v>
      </c>
    </row>
    <row r="29" spans="1:130" ht="15.75" thickBot="1" x14ac:dyDescent="0.3">
      <c r="A29" s="13">
        <v>11</v>
      </c>
      <c r="B29" s="32" t="s">
        <v>204</v>
      </c>
      <c r="C29" s="34" t="str">
        <f t="shared" si="0"/>
        <v>גל 11</v>
      </c>
      <c r="D29" s="28" t="s">
        <v>6</v>
      </c>
      <c r="E29" s="28" t="s">
        <v>7</v>
      </c>
      <c r="F29" s="41" t="s">
        <v>207</v>
      </c>
      <c r="G29" s="39">
        <v>43191</v>
      </c>
      <c r="H29" s="82"/>
      <c r="I29" s="16"/>
      <c r="J29" s="100"/>
      <c r="K29" s="101"/>
      <c r="L29" s="101"/>
      <c r="M29" s="101"/>
      <c r="N29" s="102">
        <f t="shared" si="47"/>
        <v>0</v>
      </c>
      <c r="O29" s="102">
        <f t="shared" si="48"/>
        <v>0</v>
      </c>
      <c r="P29" s="18">
        <f t="shared" si="49"/>
        <v>0</v>
      </c>
      <c r="Q29" s="13"/>
      <c r="R29" s="15"/>
      <c r="S29" s="15"/>
      <c r="T29" s="15"/>
      <c r="U29" s="17">
        <f t="shared" si="50"/>
        <v>0</v>
      </c>
      <c r="V29" s="17">
        <f t="shared" si="51"/>
        <v>0</v>
      </c>
      <c r="W29" s="19">
        <f t="shared" si="52"/>
        <v>0</v>
      </c>
      <c r="X29" s="13"/>
      <c r="Y29" s="15"/>
      <c r="Z29" s="15"/>
      <c r="AA29" s="15"/>
      <c r="AB29" s="20">
        <f t="shared" si="53"/>
        <v>0</v>
      </c>
      <c r="AC29" s="20">
        <f t="shared" si="54"/>
        <v>0</v>
      </c>
      <c r="AD29" s="21">
        <f t="shared" si="55"/>
        <v>0</v>
      </c>
      <c r="AE29" s="13"/>
      <c r="AF29" s="15"/>
      <c r="AG29" s="15"/>
      <c r="AH29" s="15"/>
      <c r="AI29" s="17">
        <f t="shared" si="56"/>
        <v>0</v>
      </c>
      <c r="AJ29" s="17">
        <f t="shared" si="57"/>
        <v>0</v>
      </c>
      <c r="AK29" s="19">
        <f t="shared" si="58"/>
        <v>0</v>
      </c>
      <c r="AL29" s="13"/>
      <c r="AM29" s="15"/>
      <c r="AN29" s="15"/>
      <c r="AO29" s="15"/>
      <c r="AP29" s="17">
        <f t="shared" si="59"/>
        <v>0</v>
      </c>
      <c r="AQ29" s="17">
        <f t="shared" si="60"/>
        <v>0</v>
      </c>
      <c r="AR29" s="19">
        <f t="shared" si="61"/>
        <v>0</v>
      </c>
      <c r="AS29" s="13"/>
      <c r="AT29" s="15"/>
      <c r="AU29" s="15"/>
      <c r="AV29" s="15"/>
      <c r="AW29" s="17">
        <f t="shared" si="62"/>
        <v>0</v>
      </c>
      <c r="AX29" s="17">
        <f t="shared" si="63"/>
        <v>0</v>
      </c>
      <c r="AY29" s="19">
        <f t="shared" si="64"/>
        <v>0</v>
      </c>
      <c r="AZ29" s="13"/>
      <c r="BA29" s="15"/>
      <c r="BB29" s="15"/>
      <c r="BC29" s="15"/>
      <c r="BD29" s="17">
        <f t="shared" si="65"/>
        <v>0</v>
      </c>
      <c r="BE29" s="17">
        <f t="shared" si="66"/>
        <v>0</v>
      </c>
      <c r="BF29" s="19">
        <f t="shared" si="67"/>
        <v>0</v>
      </c>
      <c r="BG29" s="42"/>
      <c r="BH29" s="74"/>
      <c r="BI29" s="15"/>
      <c r="BJ29" s="15"/>
      <c r="BK29" s="17">
        <f t="shared" si="68"/>
        <v>0</v>
      </c>
      <c r="BL29" s="17">
        <f t="shared" si="69"/>
        <v>0</v>
      </c>
      <c r="BM29" s="73">
        <f t="shared" si="70"/>
        <v>0</v>
      </c>
      <c r="BN29" s="42"/>
      <c r="BO29" s="74"/>
      <c r="BP29" s="74"/>
      <c r="BQ29" s="74"/>
      <c r="BR29" s="17">
        <f t="shared" si="71"/>
        <v>0</v>
      </c>
      <c r="BS29" s="17">
        <f t="shared" si="72"/>
        <v>0</v>
      </c>
      <c r="BT29" s="73">
        <f t="shared" si="73"/>
        <v>0</v>
      </c>
      <c r="BU29" s="42"/>
      <c r="BV29" s="74"/>
      <c r="BW29" s="74">
        <v>1</v>
      </c>
      <c r="BX29" s="74"/>
      <c r="BY29" s="17">
        <f t="shared" si="74"/>
        <v>1</v>
      </c>
      <c r="BZ29" s="17">
        <f t="shared" si="75"/>
        <v>0</v>
      </c>
      <c r="CA29" s="73">
        <f t="shared" si="76"/>
        <v>1</v>
      </c>
      <c r="CB29" s="42"/>
      <c r="CC29" s="74"/>
      <c r="CD29" s="74">
        <v>2</v>
      </c>
      <c r="CE29" s="158"/>
      <c r="CF29" s="17">
        <f t="shared" si="77"/>
        <v>2</v>
      </c>
      <c r="CG29" s="17">
        <f t="shared" si="78"/>
        <v>0</v>
      </c>
      <c r="CH29" s="73">
        <f t="shared" si="79"/>
        <v>2</v>
      </c>
      <c r="CI29" s="74">
        <v>1</v>
      </c>
      <c r="CJ29" s="74"/>
      <c r="CK29" s="74">
        <v>1</v>
      </c>
      <c r="CL29" s="168"/>
      <c r="CM29" s="17">
        <f t="shared" si="23"/>
        <v>4</v>
      </c>
      <c r="CN29" s="17">
        <f t="shared" si="24"/>
        <v>0</v>
      </c>
      <c r="CO29" s="73">
        <f t="shared" si="25"/>
        <v>4</v>
      </c>
      <c r="CP29" s="238"/>
      <c r="CQ29" s="74"/>
      <c r="CR29" s="74">
        <v>1</v>
      </c>
      <c r="CS29" s="74">
        <v>1</v>
      </c>
      <c r="CT29" s="17">
        <f t="shared" si="26"/>
        <v>1</v>
      </c>
      <c r="CU29" s="17">
        <f t="shared" si="27"/>
        <v>1</v>
      </c>
      <c r="CV29" s="73">
        <f t="shared" si="28"/>
        <v>2</v>
      </c>
      <c r="CW29" s="42">
        <v>1</v>
      </c>
      <c r="CX29" s="74"/>
      <c r="CY29" s="74">
        <v>2</v>
      </c>
      <c r="CZ29" s="74"/>
      <c r="DA29" s="17">
        <f t="shared" si="29"/>
        <v>5</v>
      </c>
      <c r="DB29" s="17">
        <f t="shared" si="30"/>
        <v>0</v>
      </c>
      <c r="DC29" s="73">
        <f t="shared" si="31"/>
        <v>5</v>
      </c>
      <c r="DD29" s="42"/>
      <c r="DE29" s="74"/>
      <c r="DF29" s="74">
        <v>2</v>
      </c>
      <c r="DG29" s="74"/>
      <c r="DH29" s="102">
        <f t="shared" si="32"/>
        <v>2</v>
      </c>
      <c r="DI29" s="102">
        <f t="shared" si="33"/>
        <v>0</v>
      </c>
      <c r="DJ29" s="73">
        <f t="shared" si="34"/>
        <v>2</v>
      </c>
      <c r="DK29" s="42"/>
      <c r="DL29" s="74"/>
      <c r="DM29" s="74"/>
      <c r="DN29" s="74"/>
      <c r="DO29" s="102">
        <f t="shared" si="35"/>
        <v>0</v>
      </c>
      <c r="DP29" s="102">
        <f t="shared" si="36"/>
        <v>0</v>
      </c>
      <c r="DQ29" s="73">
        <f t="shared" si="37"/>
        <v>0</v>
      </c>
      <c r="DR29" s="146">
        <f t="shared" si="38"/>
        <v>15</v>
      </c>
      <c r="DS29" s="147">
        <f t="shared" ca="1" si="39"/>
        <v>8.6705202312138727E-2</v>
      </c>
      <c r="DT29" s="148">
        <f t="shared" si="40"/>
        <v>1</v>
      </c>
      <c r="DU29" s="147">
        <f t="shared" ca="1" si="41"/>
        <v>5.7803468208092483E-3</v>
      </c>
      <c r="DV29" s="148">
        <f t="shared" si="42"/>
        <v>16</v>
      </c>
      <c r="DW29" s="147">
        <f t="shared" ca="1" si="43"/>
        <v>9.2485549132947972E-2</v>
      </c>
      <c r="DX29" s="148">
        <f t="shared" si="44"/>
        <v>2</v>
      </c>
      <c r="DY29" s="148">
        <f t="shared" si="45"/>
        <v>0</v>
      </c>
      <c r="DZ29" s="148">
        <f t="shared" si="46"/>
        <v>2</v>
      </c>
    </row>
    <row r="30" spans="1:130" ht="15.75" thickBot="1" x14ac:dyDescent="0.3">
      <c r="A30" s="13">
        <v>474</v>
      </c>
      <c r="B30" s="32" t="s">
        <v>206</v>
      </c>
      <c r="C30" s="34" t="str">
        <f t="shared" si="0"/>
        <v>לירוז 474</v>
      </c>
      <c r="D30" s="28" t="s">
        <v>6</v>
      </c>
      <c r="E30" s="28" t="s">
        <v>7</v>
      </c>
      <c r="F30" s="41" t="s">
        <v>207</v>
      </c>
      <c r="G30" s="39">
        <v>43191</v>
      </c>
      <c r="H30" s="82"/>
      <c r="I30" s="16"/>
      <c r="J30" s="100"/>
      <c r="K30" s="101"/>
      <c r="L30" s="101"/>
      <c r="M30" s="101"/>
      <c r="N30" s="102">
        <f t="shared" si="47"/>
        <v>0</v>
      </c>
      <c r="O30" s="102">
        <f t="shared" si="48"/>
        <v>0</v>
      </c>
      <c r="P30" s="18">
        <f t="shared" si="49"/>
        <v>0</v>
      </c>
      <c r="Q30" s="13"/>
      <c r="R30" s="15"/>
      <c r="S30" s="15"/>
      <c r="T30" s="15"/>
      <c r="U30" s="17">
        <f t="shared" si="50"/>
        <v>0</v>
      </c>
      <c r="V30" s="17">
        <f t="shared" si="51"/>
        <v>0</v>
      </c>
      <c r="W30" s="19">
        <f t="shared" si="52"/>
        <v>0</v>
      </c>
      <c r="X30" s="13"/>
      <c r="Y30" s="15"/>
      <c r="Z30" s="15"/>
      <c r="AA30" s="15"/>
      <c r="AB30" s="20">
        <f t="shared" si="53"/>
        <v>0</v>
      </c>
      <c r="AC30" s="20">
        <f t="shared" si="54"/>
        <v>0</v>
      </c>
      <c r="AD30" s="21">
        <f t="shared" si="55"/>
        <v>0</v>
      </c>
      <c r="AE30" s="13"/>
      <c r="AF30" s="15"/>
      <c r="AG30" s="15"/>
      <c r="AH30" s="15"/>
      <c r="AI30" s="17">
        <f t="shared" si="56"/>
        <v>0</v>
      </c>
      <c r="AJ30" s="17">
        <f t="shared" si="57"/>
        <v>0</v>
      </c>
      <c r="AK30" s="19">
        <f t="shared" si="58"/>
        <v>0</v>
      </c>
      <c r="AL30" s="13"/>
      <c r="AM30" s="15"/>
      <c r="AN30" s="15"/>
      <c r="AO30" s="15"/>
      <c r="AP30" s="17">
        <f t="shared" si="59"/>
        <v>0</v>
      </c>
      <c r="AQ30" s="17">
        <f t="shared" si="60"/>
        <v>0</v>
      </c>
      <c r="AR30" s="19">
        <f t="shared" si="61"/>
        <v>0</v>
      </c>
      <c r="AS30" s="13"/>
      <c r="AT30" s="15"/>
      <c r="AU30" s="15"/>
      <c r="AV30" s="15"/>
      <c r="AW30" s="17">
        <f t="shared" si="62"/>
        <v>0</v>
      </c>
      <c r="AX30" s="17">
        <f t="shared" si="63"/>
        <v>0</v>
      </c>
      <c r="AY30" s="19">
        <f t="shared" si="64"/>
        <v>0</v>
      </c>
      <c r="AZ30" s="13"/>
      <c r="BA30" s="15"/>
      <c r="BB30" s="15"/>
      <c r="BC30" s="15"/>
      <c r="BD30" s="17">
        <f t="shared" si="65"/>
        <v>0</v>
      </c>
      <c r="BE30" s="17">
        <f t="shared" si="66"/>
        <v>0</v>
      </c>
      <c r="BF30" s="19">
        <f t="shared" si="67"/>
        <v>0</v>
      </c>
      <c r="BG30" s="42"/>
      <c r="BH30" s="74"/>
      <c r="BI30" s="15"/>
      <c r="BJ30" s="15"/>
      <c r="BK30" s="17">
        <f t="shared" si="68"/>
        <v>0</v>
      </c>
      <c r="BL30" s="17">
        <f t="shared" si="69"/>
        <v>0</v>
      </c>
      <c r="BM30" s="73">
        <f t="shared" si="70"/>
        <v>0</v>
      </c>
      <c r="BN30" s="42"/>
      <c r="BO30" s="74"/>
      <c r="BP30" s="74"/>
      <c r="BQ30" s="74"/>
      <c r="BR30" s="17">
        <f t="shared" si="71"/>
        <v>0</v>
      </c>
      <c r="BS30" s="17">
        <f t="shared" si="72"/>
        <v>0</v>
      </c>
      <c r="BT30" s="73">
        <f t="shared" si="73"/>
        <v>0</v>
      </c>
      <c r="BU30" s="42"/>
      <c r="BV30" s="74"/>
      <c r="BW30" s="74"/>
      <c r="BX30" s="74"/>
      <c r="BY30" s="17">
        <f t="shared" si="74"/>
        <v>0</v>
      </c>
      <c r="BZ30" s="17">
        <f t="shared" si="75"/>
        <v>0</v>
      </c>
      <c r="CA30" s="73">
        <f t="shared" si="76"/>
        <v>0</v>
      </c>
      <c r="CB30" s="42">
        <v>1</v>
      </c>
      <c r="CC30" s="74"/>
      <c r="CD30" s="74">
        <v>1</v>
      </c>
      <c r="CE30" s="158"/>
      <c r="CF30" s="17">
        <f t="shared" si="77"/>
        <v>4</v>
      </c>
      <c r="CG30" s="17">
        <f t="shared" si="78"/>
        <v>0</v>
      </c>
      <c r="CH30" s="73">
        <f t="shared" si="79"/>
        <v>4</v>
      </c>
      <c r="CI30" s="74"/>
      <c r="CJ30" s="74"/>
      <c r="CK30" s="74">
        <v>2</v>
      </c>
      <c r="CL30" s="168"/>
      <c r="CM30" s="17">
        <f t="shared" si="23"/>
        <v>2</v>
      </c>
      <c r="CN30" s="17">
        <f t="shared" si="24"/>
        <v>0</v>
      </c>
      <c r="CO30" s="73">
        <f t="shared" si="25"/>
        <v>2</v>
      </c>
      <c r="CP30" s="238"/>
      <c r="CQ30" s="74"/>
      <c r="CR30" s="74">
        <v>3</v>
      </c>
      <c r="CS30" s="74">
        <v>1</v>
      </c>
      <c r="CT30" s="17">
        <f t="shared" si="26"/>
        <v>3</v>
      </c>
      <c r="CU30" s="17">
        <f t="shared" si="27"/>
        <v>1</v>
      </c>
      <c r="CV30" s="73">
        <f t="shared" si="28"/>
        <v>4</v>
      </c>
      <c r="CW30" s="42">
        <v>1</v>
      </c>
      <c r="CX30" s="74"/>
      <c r="CY30" s="74"/>
      <c r="CZ30" s="74"/>
      <c r="DA30" s="17">
        <f t="shared" si="29"/>
        <v>3</v>
      </c>
      <c r="DB30" s="17">
        <f t="shared" si="30"/>
        <v>0</v>
      </c>
      <c r="DC30" s="73">
        <f t="shared" si="31"/>
        <v>3</v>
      </c>
      <c r="DD30" s="42"/>
      <c r="DE30" s="74"/>
      <c r="DF30" s="74">
        <v>3</v>
      </c>
      <c r="DG30" s="74"/>
      <c r="DH30" s="102">
        <f t="shared" si="32"/>
        <v>3</v>
      </c>
      <c r="DI30" s="102">
        <f t="shared" si="33"/>
        <v>0</v>
      </c>
      <c r="DJ30" s="73">
        <f t="shared" si="34"/>
        <v>3</v>
      </c>
      <c r="DK30" s="42"/>
      <c r="DL30" s="74"/>
      <c r="DM30" s="74"/>
      <c r="DN30" s="74"/>
      <c r="DO30" s="102">
        <f t="shared" si="35"/>
        <v>0</v>
      </c>
      <c r="DP30" s="102">
        <f t="shared" si="36"/>
        <v>0</v>
      </c>
      <c r="DQ30" s="73">
        <f t="shared" si="37"/>
        <v>0</v>
      </c>
      <c r="DR30" s="146">
        <f t="shared" si="38"/>
        <v>15</v>
      </c>
      <c r="DS30" s="147">
        <f t="shared" ca="1" si="39"/>
        <v>8.6705202312138727E-2</v>
      </c>
      <c r="DT30" s="148">
        <f t="shared" si="40"/>
        <v>1</v>
      </c>
      <c r="DU30" s="147">
        <f t="shared" ca="1" si="41"/>
        <v>5.7803468208092483E-3</v>
      </c>
      <c r="DV30" s="148">
        <f t="shared" si="42"/>
        <v>16</v>
      </c>
      <c r="DW30" s="147">
        <f t="shared" ca="1" si="43"/>
        <v>9.2485549132947972E-2</v>
      </c>
      <c r="DX30" s="148">
        <f t="shared" si="44"/>
        <v>2</v>
      </c>
      <c r="DY30" s="148">
        <f t="shared" si="45"/>
        <v>0</v>
      </c>
      <c r="DZ30" s="148">
        <f t="shared" si="46"/>
        <v>2</v>
      </c>
    </row>
    <row r="31" spans="1:130" ht="15.75" thickBot="1" x14ac:dyDescent="0.3">
      <c r="A31" s="13">
        <v>474</v>
      </c>
      <c r="B31" s="32" t="s">
        <v>205</v>
      </c>
      <c r="C31" s="34" t="str">
        <f t="shared" si="0"/>
        <v>רוני 474</v>
      </c>
      <c r="D31" s="28" t="s">
        <v>6</v>
      </c>
      <c r="E31" s="28" t="s">
        <v>7</v>
      </c>
      <c r="F31" s="41" t="s">
        <v>207</v>
      </c>
      <c r="G31" s="39">
        <v>43191</v>
      </c>
      <c r="H31" s="82"/>
      <c r="I31" s="16"/>
      <c r="J31" s="100"/>
      <c r="K31" s="101"/>
      <c r="L31" s="101"/>
      <c r="M31" s="101"/>
      <c r="N31" s="102">
        <f t="shared" si="47"/>
        <v>0</v>
      </c>
      <c r="O31" s="102">
        <f t="shared" si="48"/>
        <v>0</v>
      </c>
      <c r="P31" s="18">
        <f t="shared" si="49"/>
        <v>0</v>
      </c>
      <c r="Q31" s="13"/>
      <c r="R31" s="15"/>
      <c r="S31" s="15"/>
      <c r="T31" s="15"/>
      <c r="U31" s="17">
        <f t="shared" si="50"/>
        <v>0</v>
      </c>
      <c r="V31" s="17">
        <f t="shared" si="51"/>
        <v>0</v>
      </c>
      <c r="W31" s="19">
        <f t="shared" si="52"/>
        <v>0</v>
      </c>
      <c r="X31" s="13"/>
      <c r="Y31" s="15"/>
      <c r="Z31" s="15"/>
      <c r="AA31" s="15"/>
      <c r="AB31" s="20">
        <f t="shared" si="53"/>
        <v>0</v>
      </c>
      <c r="AC31" s="20">
        <f t="shared" si="54"/>
        <v>0</v>
      </c>
      <c r="AD31" s="21">
        <f t="shared" si="55"/>
        <v>0</v>
      </c>
      <c r="AE31" s="13"/>
      <c r="AF31" s="15"/>
      <c r="AG31" s="15"/>
      <c r="AH31" s="15"/>
      <c r="AI31" s="17">
        <f t="shared" si="56"/>
        <v>0</v>
      </c>
      <c r="AJ31" s="17">
        <f t="shared" si="57"/>
        <v>0</v>
      </c>
      <c r="AK31" s="19">
        <f t="shared" si="58"/>
        <v>0</v>
      </c>
      <c r="AL31" s="13"/>
      <c r="AM31" s="15"/>
      <c r="AN31" s="15"/>
      <c r="AO31" s="15"/>
      <c r="AP31" s="17">
        <f t="shared" si="59"/>
        <v>0</v>
      </c>
      <c r="AQ31" s="17">
        <f t="shared" si="60"/>
        <v>0</v>
      </c>
      <c r="AR31" s="19">
        <f t="shared" si="61"/>
        <v>0</v>
      </c>
      <c r="AS31" s="13"/>
      <c r="AT31" s="15"/>
      <c r="AU31" s="15"/>
      <c r="AV31" s="15"/>
      <c r="AW31" s="17">
        <f t="shared" si="62"/>
        <v>0</v>
      </c>
      <c r="AX31" s="17">
        <f t="shared" si="63"/>
        <v>0</v>
      </c>
      <c r="AY31" s="19">
        <f t="shared" si="64"/>
        <v>0</v>
      </c>
      <c r="AZ31" s="13"/>
      <c r="BA31" s="15"/>
      <c r="BB31" s="15"/>
      <c r="BC31" s="15"/>
      <c r="BD31" s="17">
        <f t="shared" si="65"/>
        <v>0</v>
      </c>
      <c r="BE31" s="17">
        <f t="shared" si="66"/>
        <v>0</v>
      </c>
      <c r="BF31" s="19">
        <f t="shared" si="67"/>
        <v>0</v>
      </c>
      <c r="BG31" s="42"/>
      <c r="BH31" s="74"/>
      <c r="BI31" s="15"/>
      <c r="BJ31" s="15"/>
      <c r="BK31" s="17">
        <f t="shared" si="68"/>
        <v>0</v>
      </c>
      <c r="BL31" s="17">
        <f t="shared" si="69"/>
        <v>0</v>
      </c>
      <c r="BM31" s="73">
        <f t="shared" si="70"/>
        <v>0</v>
      </c>
      <c r="BN31" s="42"/>
      <c r="BO31" s="74"/>
      <c r="BP31" s="74"/>
      <c r="BQ31" s="74"/>
      <c r="BR31" s="17">
        <f t="shared" si="71"/>
        <v>0</v>
      </c>
      <c r="BS31" s="17">
        <f t="shared" si="72"/>
        <v>0</v>
      </c>
      <c r="BT31" s="73">
        <f t="shared" si="73"/>
        <v>0</v>
      </c>
      <c r="BU31" s="42"/>
      <c r="BV31" s="74"/>
      <c r="BW31" s="74">
        <v>1</v>
      </c>
      <c r="BX31" s="74"/>
      <c r="BY31" s="17">
        <f t="shared" si="74"/>
        <v>1</v>
      </c>
      <c r="BZ31" s="17">
        <f t="shared" si="75"/>
        <v>0</v>
      </c>
      <c r="CA31" s="73">
        <f t="shared" si="76"/>
        <v>1</v>
      </c>
      <c r="CB31" s="42"/>
      <c r="CC31" s="74"/>
      <c r="CD31" s="74">
        <v>2</v>
      </c>
      <c r="CE31" s="158"/>
      <c r="CF31" s="17">
        <f t="shared" si="77"/>
        <v>2</v>
      </c>
      <c r="CG31" s="17">
        <f t="shared" si="78"/>
        <v>0</v>
      </c>
      <c r="CH31" s="73">
        <f t="shared" si="79"/>
        <v>2</v>
      </c>
      <c r="CI31" s="74">
        <v>1</v>
      </c>
      <c r="CJ31" s="74"/>
      <c r="CK31" s="74"/>
      <c r="CL31" s="168"/>
      <c r="CM31" s="17">
        <f t="shared" si="23"/>
        <v>3</v>
      </c>
      <c r="CN31" s="17">
        <f t="shared" si="24"/>
        <v>0</v>
      </c>
      <c r="CO31" s="73">
        <f t="shared" si="25"/>
        <v>3</v>
      </c>
      <c r="CP31" s="238"/>
      <c r="CQ31" s="74"/>
      <c r="CR31" s="74">
        <v>3</v>
      </c>
      <c r="CS31" s="74">
        <v>1</v>
      </c>
      <c r="CT31" s="17">
        <f t="shared" si="26"/>
        <v>3</v>
      </c>
      <c r="CU31" s="17">
        <f t="shared" si="27"/>
        <v>1</v>
      </c>
      <c r="CV31" s="73">
        <f t="shared" si="28"/>
        <v>4</v>
      </c>
      <c r="CW31" s="42">
        <v>1</v>
      </c>
      <c r="CX31" s="74"/>
      <c r="CY31" s="74"/>
      <c r="CZ31" s="74"/>
      <c r="DA31" s="17">
        <f t="shared" si="29"/>
        <v>3</v>
      </c>
      <c r="DB31" s="17">
        <f t="shared" si="30"/>
        <v>0</v>
      </c>
      <c r="DC31" s="73">
        <f t="shared" si="31"/>
        <v>3</v>
      </c>
      <c r="DD31" s="42"/>
      <c r="DE31" s="74"/>
      <c r="DF31" s="74">
        <v>3</v>
      </c>
      <c r="DG31" s="74"/>
      <c r="DH31" s="102">
        <f t="shared" si="32"/>
        <v>3</v>
      </c>
      <c r="DI31" s="102">
        <f t="shared" si="33"/>
        <v>0</v>
      </c>
      <c r="DJ31" s="73">
        <f t="shared" si="34"/>
        <v>3</v>
      </c>
      <c r="DK31" s="42"/>
      <c r="DL31" s="74"/>
      <c r="DM31" s="74"/>
      <c r="DN31" s="74"/>
      <c r="DO31" s="102">
        <f t="shared" si="35"/>
        <v>0</v>
      </c>
      <c r="DP31" s="102">
        <f t="shared" si="36"/>
        <v>0</v>
      </c>
      <c r="DQ31" s="73">
        <f t="shared" si="37"/>
        <v>0</v>
      </c>
      <c r="DR31" s="146">
        <f t="shared" si="38"/>
        <v>15</v>
      </c>
      <c r="DS31" s="147">
        <f t="shared" ca="1" si="39"/>
        <v>8.6705202312138727E-2</v>
      </c>
      <c r="DT31" s="148">
        <f t="shared" si="40"/>
        <v>1</v>
      </c>
      <c r="DU31" s="147">
        <f t="shared" ca="1" si="41"/>
        <v>5.7803468208092483E-3</v>
      </c>
      <c r="DV31" s="148">
        <f t="shared" si="42"/>
        <v>16</v>
      </c>
      <c r="DW31" s="147">
        <f t="shared" ca="1" si="43"/>
        <v>9.2485549132947972E-2</v>
      </c>
      <c r="DX31" s="148">
        <f t="shared" si="44"/>
        <v>2</v>
      </c>
      <c r="DY31" s="148">
        <f t="shared" si="45"/>
        <v>0</v>
      </c>
      <c r="DZ31" s="148">
        <f t="shared" si="46"/>
        <v>2</v>
      </c>
    </row>
    <row r="32" spans="1:130" ht="15.75" thickBot="1" x14ac:dyDescent="0.3">
      <c r="A32" s="154" t="s">
        <v>71</v>
      </c>
      <c r="B32" s="32" t="s">
        <v>12</v>
      </c>
      <c r="C32" s="34" t="str">
        <f t="shared" si="0"/>
        <v>שיר אחודה</v>
      </c>
      <c r="D32" s="28" t="s">
        <v>6</v>
      </c>
      <c r="E32" s="28" t="s">
        <v>7</v>
      </c>
      <c r="F32" s="41" t="s">
        <v>241</v>
      </c>
      <c r="G32" s="39">
        <v>43252</v>
      </c>
      <c r="H32" s="82"/>
      <c r="I32" s="16"/>
      <c r="J32" s="100"/>
      <c r="K32" s="101"/>
      <c r="L32" s="101"/>
      <c r="M32" s="101"/>
      <c r="N32" s="102">
        <f t="shared" si="47"/>
        <v>0</v>
      </c>
      <c r="O32" s="102">
        <f t="shared" si="48"/>
        <v>0</v>
      </c>
      <c r="P32" s="18">
        <f t="shared" si="49"/>
        <v>0</v>
      </c>
      <c r="Q32" s="13"/>
      <c r="R32" s="15"/>
      <c r="S32" s="15"/>
      <c r="T32" s="15"/>
      <c r="U32" s="17">
        <f t="shared" si="50"/>
        <v>0</v>
      </c>
      <c r="V32" s="17">
        <f t="shared" si="51"/>
        <v>0</v>
      </c>
      <c r="W32" s="19">
        <f t="shared" si="52"/>
        <v>0</v>
      </c>
      <c r="X32" s="13"/>
      <c r="Y32" s="15"/>
      <c r="Z32" s="15"/>
      <c r="AA32" s="15"/>
      <c r="AB32" s="20">
        <f t="shared" si="53"/>
        <v>0</v>
      </c>
      <c r="AC32" s="20">
        <f t="shared" si="54"/>
        <v>0</v>
      </c>
      <c r="AD32" s="21">
        <f t="shared" si="55"/>
        <v>0</v>
      </c>
      <c r="AE32" s="13"/>
      <c r="AF32" s="15"/>
      <c r="AG32" s="15"/>
      <c r="AH32" s="15"/>
      <c r="AI32" s="17">
        <f t="shared" si="56"/>
        <v>0</v>
      </c>
      <c r="AJ32" s="17">
        <f t="shared" si="57"/>
        <v>0</v>
      </c>
      <c r="AK32" s="19">
        <f t="shared" si="58"/>
        <v>0</v>
      </c>
      <c r="AL32" s="13"/>
      <c r="AM32" s="15"/>
      <c r="AN32" s="15"/>
      <c r="AO32" s="15"/>
      <c r="AP32" s="17">
        <f t="shared" si="59"/>
        <v>0</v>
      </c>
      <c r="AQ32" s="17">
        <f t="shared" si="60"/>
        <v>0</v>
      </c>
      <c r="AR32" s="19">
        <f t="shared" si="61"/>
        <v>0</v>
      </c>
      <c r="AS32" s="13"/>
      <c r="AT32" s="15"/>
      <c r="AU32" s="15"/>
      <c r="AV32" s="15"/>
      <c r="AW32" s="17">
        <f t="shared" si="62"/>
        <v>0</v>
      </c>
      <c r="AX32" s="17">
        <f t="shared" si="63"/>
        <v>0</v>
      </c>
      <c r="AY32" s="19">
        <f t="shared" si="64"/>
        <v>0</v>
      </c>
      <c r="AZ32" s="13"/>
      <c r="BA32" s="15"/>
      <c r="BB32" s="15"/>
      <c r="BC32" s="15"/>
      <c r="BD32" s="17">
        <f t="shared" si="65"/>
        <v>0</v>
      </c>
      <c r="BE32" s="17">
        <f t="shared" si="66"/>
        <v>0</v>
      </c>
      <c r="BF32" s="19">
        <f t="shared" si="67"/>
        <v>0</v>
      </c>
      <c r="BG32" s="42"/>
      <c r="BH32" s="74"/>
      <c r="BI32" s="15"/>
      <c r="BJ32" s="15"/>
      <c r="BK32" s="17">
        <f t="shared" si="68"/>
        <v>0</v>
      </c>
      <c r="BL32" s="17">
        <f t="shared" si="69"/>
        <v>0</v>
      </c>
      <c r="BM32" s="73">
        <f t="shared" si="70"/>
        <v>0</v>
      </c>
      <c r="BN32" s="42"/>
      <c r="BO32" s="74"/>
      <c r="BP32" s="74"/>
      <c r="BQ32" s="74"/>
      <c r="BR32" s="17">
        <f t="shared" si="71"/>
        <v>0</v>
      </c>
      <c r="BS32" s="17">
        <f t="shared" si="72"/>
        <v>0</v>
      </c>
      <c r="BT32" s="73">
        <f t="shared" si="73"/>
        <v>0</v>
      </c>
      <c r="BU32" s="42"/>
      <c r="BV32" s="74"/>
      <c r="BW32" s="74"/>
      <c r="BX32" s="74"/>
      <c r="BY32" s="17">
        <f t="shared" si="74"/>
        <v>0</v>
      </c>
      <c r="BZ32" s="17">
        <f t="shared" si="75"/>
        <v>0</v>
      </c>
      <c r="CA32" s="73">
        <f t="shared" si="76"/>
        <v>0</v>
      </c>
      <c r="CB32" s="42"/>
      <c r="CC32" s="74"/>
      <c r="CD32" s="74"/>
      <c r="CE32" s="158"/>
      <c r="CF32" s="17">
        <f t="shared" si="77"/>
        <v>0</v>
      </c>
      <c r="CG32" s="17">
        <f t="shared" si="78"/>
        <v>0</v>
      </c>
      <c r="CH32" s="73">
        <f t="shared" si="79"/>
        <v>0</v>
      </c>
      <c r="CI32" s="74"/>
      <c r="CJ32" s="74"/>
      <c r="CK32" s="74"/>
      <c r="CL32" s="168"/>
      <c r="CM32" s="17">
        <f t="shared" si="23"/>
        <v>0</v>
      </c>
      <c r="CN32" s="17">
        <f t="shared" si="24"/>
        <v>0</v>
      </c>
      <c r="CO32" s="73">
        <f t="shared" si="25"/>
        <v>0</v>
      </c>
      <c r="CP32" s="238">
        <v>1</v>
      </c>
      <c r="CQ32" s="74"/>
      <c r="CR32" s="74">
        <v>1</v>
      </c>
      <c r="CS32" s="74"/>
      <c r="CT32" s="17">
        <f t="shared" si="26"/>
        <v>4</v>
      </c>
      <c r="CU32" s="17">
        <f t="shared" si="27"/>
        <v>0</v>
      </c>
      <c r="CV32" s="73">
        <f t="shared" si="28"/>
        <v>4</v>
      </c>
      <c r="CW32" s="42"/>
      <c r="CX32" s="74"/>
      <c r="CY32" s="74">
        <v>3</v>
      </c>
      <c r="CZ32" s="74"/>
      <c r="DA32" s="17">
        <f t="shared" si="29"/>
        <v>3</v>
      </c>
      <c r="DB32" s="17">
        <f t="shared" si="30"/>
        <v>0</v>
      </c>
      <c r="DC32" s="73">
        <f t="shared" si="31"/>
        <v>3</v>
      </c>
      <c r="DD32" s="42"/>
      <c r="DE32" s="74"/>
      <c r="DF32" s="74">
        <v>3</v>
      </c>
      <c r="DG32" s="74"/>
      <c r="DH32" s="102">
        <f t="shared" si="32"/>
        <v>3</v>
      </c>
      <c r="DI32" s="102">
        <f t="shared" si="33"/>
        <v>0</v>
      </c>
      <c r="DJ32" s="73">
        <f t="shared" si="34"/>
        <v>3</v>
      </c>
      <c r="DK32" s="42"/>
      <c r="DL32" s="74"/>
      <c r="DM32" s="74"/>
      <c r="DN32" s="74"/>
      <c r="DO32" s="102">
        <f t="shared" si="35"/>
        <v>0</v>
      </c>
      <c r="DP32" s="102">
        <f t="shared" si="36"/>
        <v>0</v>
      </c>
      <c r="DQ32" s="73">
        <f t="shared" si="37"/>
        <v>0</v>
      </c>
      <c r="DR32" s="146">
        <f t="shared" si="38"/>
        <v>10</v>
      </c>
      <c r="DS32" s="147">
        <f t="shared" ca="1" si="39"/>
        <v>8.9285714285714288E-2</v>
      </c>
      <c r="DT32" s="148">
        <f t="shared" si="40"/>
        <v>0</v>
      </c>
      <c r="DU32" s="147">
        <f t="shared" ca="1" si="41"/>
        <v>0</v>
      </c>
      <c r="DV32" s="148">
        <f t="shared" si="42"/>
        <v>10</v>
      </c>
      <c r="DW32" s="147">
        <f t="shared" ca="1" si="43"/>
        <v>8.9285714285714288E-2</v>
      </c>
      <c r="DX32" s="148">
        <f t="shared" si="44"/>
        <v>1</v>
      </c>
      <c r="DY32" s="148">
        <f t="shared" si="45"/>
        <v>0</v>
      </c>
      <c r="DZ32" s="148">
        <f t="shared" si="46"/>
        <v>1</v>
      </c>
    </row>
    <row r="33" spans="1:130" ht="15.75" thickBot="1" x14ac:dyDescent="0.3">
      <c r="A33" s="241" t="s">
        <v>15</v>
      </c>
      <c r="B33" s="37" t="s">
        <v>150</v>
      </c>
      <c r="C33" s="202" t="str">
        <f t="shared" si="0"/>
        <v>נועה מרחבים</v>
      </c>
      <c r="D33" s="62" t="s">
        <v>6</v>
      </c>
      <c r="E33" s="62" t="s">
        <v>7</v>
      </c>
      <c r="F33" s="41" t="s">
        <v>193</v>
      </c>
      <c r="G33" s="39">
        <v>43160</v>
      </c>
      <c r="H33" s="41"/>
      <c r="I33" s="114" t="s">
        <v>192</v>
      </c>
      <c r="J33" s="103"/>
      <c r="K33" s="104"/>
      <c r="L33" s="104"/>
      <c r="M33" s="104"/>
      <c r="N33" s="102">
        <f t="shared" si="47"/>
        <v>0</v>
      </c>
      <c r="O33" s="102">
        <f t="shared" si="48"/>
        <v>0</v>
      </c>
      <c r="P33" s="18">
        <f t="shared" si="49"/>
        <v>0</v>
      </c>
      <c r="Q33" s="33"/>
      <c r="R33" s="35"/>
      <c r="S33" s="35"/>
      <c r="T33" s="35"/>
      <c r="U33" s="17">
        <f t="shared" si="50"/>
        <v>0</v>
      </c>
      <c r="V33" s="17">
        <f t="shared" si="51"/>
        <v>0</v>
      </c>
      <c r="W33" s="19">
        <f t="shared" si="52"/>
        <v>0</v>
      </c>
      <c r="X33" s="13"/>
      <c r="Y33" s="15"/>
      <c r="Z33" s="15"/>
      <c r="AA33" s="15"/>
      <c r="AB33" s="20">
        <f t="shared" si="53"/>
        <v>0</v>
      </c>
      <c r="AC33" s="20">
        <f t="shared" si="54"/>
        <v>0</v>
      </c>
      <c r="AD33" s="21">
        <f t="shared" si="55"/>
        <v>0</v>
      </c>
      <c r="AE33" s="33"/>
      <c r="AF33" s="35"/>
      <c r="AG33" s="35"/>
      <c r="AH33" s="35"/>
      <c r="AI33" s="17">
        <f t="shared" si="56"/>
        <v>0</v>
      </c>
      <c r="AJ33" s="17">
        <f t="shared" si="57"/>
        <v>0</v>
      </c>
      <c r="AK33" s="19">
        <f t="shared" si="58"/>
        <v>0</v>
      </c>
      <c r="AL33" s="33"/>
      <c r="AM33" s="35"/>
      <c r="AN33" s="35"/>
      <c r="AO33" s="35"/>
      <c r="AP33" s="17">
        <f t="shared" si="59"/>
        <v>0</v>
      </c>
      <c r="AQ33" s="17">
        <f t="shared" si="60"/>
        <v>0</v>
      </c>
      <c r="AR33" s="19">
        <f t="shared" si="61"/>
        <v>0</v>
      </c>
      <c r="AS33" s="33"/>
      <c r="AT33" s="35"/>
      <c r="AU33" s="35"/>
      <c r="AV33" s="35"/>
      <c r="AW33" s="17">
        <f t="shared" si="62"/>
        <v>0</v>
      </c>
      <c r="AX33" s="17">
        <f t="shared" si="63"/>
        <v>0</v>
      </c>
      <c r="AY33" s="19">
        <f t="shared" si="64"/>
        <v>0</v>
      </c>
      <c r="AZ33" s="33"/>
      <c r="BA33" s="35"/>
      <c r="BB33" s="35"/>
      <c r="BC33" s="35"/>
      <c r="BD33" s="17">
        <f t="shared" si="65"/>
        <v>0</v>
      </c>
      <c r="BE33" s="17">
        <f t="shared" si="66"/>
        <v>0</v>
      </c>
      <c r="BF33" s="19">
        <f t="shared" si="67"/>
        <v>0</v>
      </c>
      <c r="BG33" s="99"/>
      <c r="BH33" s="109"/>
      <c r="BI33" s="35"/>
      <c r="BJ33" s="35"/>
      <c r="BK33" s="17">
        <f t="shared" si="68"/>
        <v>0</v>
      </c>
      <c r="BL33" s="17">
        <f t="shared" si="69"/>
        <v>0</v>
      </c>
      <c r="BM33" s="73">
        <f t="shared" si="70"/>
        <v>0</v>
      </c>
      <c r="BN33" s="42"/>
      <c r="BO33" s="74"/>
      <c r="BP33" s="74"/>
      <c r="BQ33" s="74"/>
      <c r="BR33" s="17">
        <f t="shared" si="71"/>
        <v>0</v>
      </c>
      <c r="BS33" s="17">
        <f t="shared" si="72"/>
        <v>0</v>
      </c>
      <c r="BT33" s="73">
        <f t="shared" si="73"/>
        <v>0</v>
      </c>
      <c r="BU33" s="42"/>
      <c r="BV33" s="74"/>
      <c r="BW33" s="74">
        <v>3</v>
      </c>
      <c r="BX33" s="74"/>
      <c r="BY33" s="17">
        <f t="shared" si="74"/>
        <v>3</v>
      </c>
      <c r="BZ33" s="17">
        <f t="shared" si="75"/>
        <v>0</v>
      </c>
      <c r="CA33" s="73">
        <f t="shared" si="76"/>
        <v>3</v>
      </c>
      <c r="CB33" s="42"/>
      <c r="CC33" s="74"/>
      <c r="CD33" s="74">
        <v>2</v>
      </c>
      <c r="CE33" s="158"/>
      <c r="CF33" s="17">
        <f t="shared" si="77"/>
        <v>2</v>
      </c>
      <c r="CG33" s="17">
        <f t="shared" si="78"/>
        <v>0</v>
      </c>
      <c r="CH33" s="73">
        <f t="shared" si="79"/>
        <v>2</v>
      </c>
      <c r="CI33" s="74"/>
      <c r="CJ33" s="74"/>
      <c r="CK33" s="74">
        <v>2</v>
      </c>
      <c r="CL33" s="168"/>
      <c r="CM33" s="17">
        <f t="shared" si="23"/>
        <v>2</v>
      </c>
      <c r="CN33" s="17">
        <f t="shared" si="24"/>
        <v>0</v>
      </c>
      <c r="CO33" s="73">
        <f t="shared" si="25"/>
        <v>2</v>
      </c>
      <c r="CP33" s="238"/>
      <c r="CQ33" s="74"/>
      <c r="CR33" s="74">
        <v>3</v>
      </c>
      <c r="CS33" s="74">
        <v>1</v>
      </c>
      <c r="CT33" s="17">
        <f t="shared" si="26"/>
        <v>3</v>
      </c>
      <c r="CU33" s="17">
        <f t="shared" si="27"/>
        <v>1</v>
      </c>
      <c r="CV33" s="73">
        <f t="shared" si="28"/>
        <v>4</v>
      </c>
      <c r="CW33" s="42"/>
      <c r="CX33" s="74"/>
      <c r="CY33" s="74">
        <v>2</v>
      </c>
      <c r="CZ33" s="74"/>
      <c r="DA33" s="17">
        <f t="shared" si="29"/>
        <v>2</v>
      </c>
      <c r="DB33" s="17">
        <f t="shared" si="30"/>
        <v>0</v>
      </c>
      <c r="DC33" s="73">
        <f t="shared" si="31"/>
        <v>2</v>
      </c>
      <c r="DD33" s="42"/>
      <c r="DE33" s="74"/>
      <c r="DF33" s="74">
        <v>4</v>
      </c>
      <c r="DG33" s="74"/>
      <c r="DH33" s="102">
        <f t="shared" si="32"/>
        <v>4</v>
      </c>
      <c r="DI33" s="102">
        <f t="shared" si="33"/>
        <v>0</v>
      </c>
      <c r="DJ33" s="73">
        <f t="shared" si="34"/>
        <v>4</v>
      </c>
      <c r="DK33" s="42"/>
      <c r="DL33" s="74"/>
      <c r="DM33" s="74"/>
      <c r="DN33" s="74"/>
      <c r="DO33" s="102">
        <f t="shared" si="35"/>
        <v>0</v>
      </c>
      <c r="DP33" s="102">
        <f t="shared" si="36"/>
        <v>0</v>
      </c>
      <c r="DQ33" s="73">
        <f t="shared" si="37"/>
        <v>0</v>
      </c>
      <c r="DR33" s="146">
        <f t="shared" si="38"/>
        <v>16</v>
      </c>
      <c r="DS33" s="147">
        <f t="shared" ca="1" si="39"/>
        <v>7.8431372549019607E-2</v>
      </c>
      <c r="DT33" s="148">
        <f t="shared" si="40"/>
        <v>1</v>
      </c>
      <c r="DU33" s="147">
        <f t="shared" ca="1" si="41"/>
        <v>4.9019607843137254E-3</v>
      </c>
      <c r="DV33" s="148">
        <f t="shared" si="42"/>
        <v>17</v>
      </c>
      <c r="DW33" s="147">
        <f t="shared" ca="1" si="43"/>
        <v>8.3333333333333329E-2</v>
      </c>
      <c r="DX33" s="148">
        <f t="shared" si="44"/>
        <v>0</v>
      </c>
      <c r="DY33" s="148">
        <f t="shared" si="45"/>
        <v>0</v>
      </c>
      <c r="DZ33" s="148">
        <f t="shared" si="46"/>
        <v>0</v>
      </c>
    </row>
    <row r="34" spans="1:130" ht="15.75" thickBot="1" x14ac:dyDescent="0.3">
      <c r="A34" s="299">
        <v>11</v>
      </c>
      <c r="B34" s="201" t="s">
        <v>161</v>
      </c>
      <c r="C34" s="149" t="str">
        <f t="shared" si="0"/>
        <v>ניקול 11</v>
      </c>
      <c r="D34" s="62" t="s">
        <v>6</v>
      </c>
      <c r="E34" s="62" t="s">
        <v>7</v>
      </c>
      <c r="F34" s="41" t="s">
        <v>181</v>
      </c>
      <c r="G34" s="39">
        <v>43132</v>
      </c>
      <c r="H34" s="82"/>
      <c r="I34" s="143"/>
      <c r="J34" s="103"/>
      <c r="K34" s="104"/>
      <c r="L34" s="104"/>
      <c r="M34" s="104"/>
      <c r="N34" s="102">
        <f t="shared" si="47"/>
        <v>0</v>
      </c>
      <c r="O34" s="102">
        <f t="shared" si="48"/>
        <v>0</v>
      </c>
      <c r="P34" s="18">
        <f t="shared" si="49"/>
        <v>0</v>
      </c>
      <c r="Q34" s="33"/>
      <c r="R34" s="35"/>
      <c r="S34" s="35"/>
      <c r="T34" s="35"/>
      <c r="U34" s="17">
        <f t="shared" si="50"/>
        <v>0</v>
      </c>
      <c r="V34" s="17">
        <f t="shared" si="51"/>
        <v>0</v>
      </c>
      <c r="W34" s="19">
        <v>0</v>
      </c>
      <c r="X34" s="13"/>
      <c r="Y34" s="15"/>
      <c r="Z34" s="15"/>
      <c r="AA34" s="15"/>
      <c r="AB34" s="20">
        <f t="shared" si="53"/>
        <v>0</v>
      </c>
      <c r="AC34" s="20">
        <f t="shared" si="54"/>
        <v>0</v>
      </c>
      <c r="AD34" s="21">
        <f t="shared" si="55"/>
        <v>0</v>
      </c>
      <c r="AE34" s="33"/>
      <c r="AF34" s="35"/>
      <c r="AG34" s="35"/>
      <c r="AH34" s="35"/>
      <c r="AI34" s="17">
        <f t="shared" si="56"/>
        <v>0</v>
      </c>
      <c r="AJ34" s="17">
        <f t="shared" si="57"/>
        <v>0</v>
      </c>
      <c r="AK34" s="19">
        <f t="shared" si="58"/>
        <v>0</v>
      </c>
      <c r="AL34" s="33"/>
      <c r="AM34" s="35"/>
      <c r="AN34" s="35"/>
      <c r="AO34" s="35"/>
      <c r="AP34" s="17">
        <f t="shared" si="59"/>
        <v>0</v>
      </c>
      <c r="AQ34" s="17">
        <f t="shared" si="60"/>
        <v>0</v>
      </c>
      <c r="AR34" s="19">
        <f t="shared" si="61"/>
        <v>0</v>
      </c>
      <c r="AS34" s="33"/>
      <c r="AT34" s="35"/>
      <c r="AU34" s="35"/>
      <c r="AV34" s="35"/>
      <c r="AW34" s="17">
        <f t="shared" si="62"/>
        <v>0</v>
      </c>
      <c r="AX34" s="17">
        <f t="shared" si="63"/>
        <v>0</v>
      </c>
      <c r="AY34" s="19">
        <f t="shared" si="64"/>
        <v>0</v>
      </c>
      <c r="AZ34" s="33"/>
      <c r="BA34" s="35"/>
      <c r="BB34" s="35"/>
      <c r="BC34" s="35"/>
      <c r="BD34" s="17">
        <f t="shared" si="65"/>
        <v>0</v>
      </c>
      <c r="BE34" s="17">
        <f t="shared" si="66"/>
        <v>0</v>
      </c>
      <c r="BF34" s="19">
        <f t="shared" si="67"/>
        <v>0</v>
      </c>
      <c r="BG34" s="99"/>
      <c r="BH34" s="109"/>
      <c r="BI34" s="35"/>
      <c r="BJ34" s="35"/>
      <c r="BK34" s="17">
        <f t="shared" si="68"/>
        <v>0</v>
      </c>
      <c r="BL34" s="17">
        <f t="shared" si="69"/>
        <v>0</v>
      </c>
      <c r="BM34" s="73">
        <f t="shared" si="70"/>
        <v>0</v>
      </c>
      <c r="BN34" s="42">
        <v>1</v>
      </c>
      <c r="BO34" s="74"/>
      <c r="BP34" s="74">
        <v>2</v>
      </c>
      <c r="BQ34" s="74"/>
      <c r="BR34" s="17">
        <f t="shared" si="71"/>
        <v>5</v>
      </c>
      <c r="BS34" s="17">
        <f t="shared" si="72"/>
        <v>0</v>
      </c>
      <c r="BT34" s="73">
        <f t="shared" si="73"/>
        <v>5</v>
      </c>
      <c r="BU34" s="42">
        <v>1</v>
      </c>
      <c r="BV34" s="74"/>
      <c r="BW34" s="74">
        <v>1</v>
      </c>
      <c r="BX34" s="74"/>
      <c r="BY34" s="17">
        <f t="shared" si="74"/>
        <v>4</v>
      </c>
      <c r="BZ34" s="17">
        <f t="shared" si="75"/>
        <v>0</v>
      </c>
      <c r="CA34" s="73">
        <f t="shared" si="76"/>
        <v>4</v>
      </c>
      <c r="CB34" s="42"/>
      <c r="CC34" s="74"/>
      <c r="CD34" s="74">
        <v>2</v>
      </c>
      <c r="CE34" s="158"/>
      <c r="CF34" s="17">
        <f t="shared" si="77"/>
        <v>2</v>
      </c>
      <c r="CG34" s="17">
        <f t="shared" si="78"/>
        <v>0</v>
      </c>
      <c r="CH34" s="73">
        <f t="shared" si="79"/>
        <v>2</v>
      </c>
      <c r="CI34" s="74"/>
      <c r="CJ34" s="74"/>
      <c r="CK34" s="74"/>
      <c r="CL34" s="168"/>
      <c r="CM34" s="17">
        <f t="shared" si="23"/>
        <v>0</v>
      </c>
      <c r="CN34" s="17">
        <f t="shared" si="24"/>
        <v>0</v>
      </c>
      <c r="CO34" s="73">
        <f t="shared" si="25"/>
        <v>0</v>
      </c>
      <c r="CP34" s="238"/>
      <c r="CQ34" s="74"/>
      <c r="CR34" s="74"/>
      <c r="CS34" s="74">
        <v>1</v>
      </c>
      <c r="CT34" s="17">
        <f t="shared" si="26"/>
        <v>0</v>
      </c>
      <c r="CU34" s="17">
        <f t="shared" si="27"/>
        <v>1</v>
      </c>
      <c r="CV34" s="73">
        <f t="shared" si="28"/>
        <v>1</v>
      </c>
      <c r="CW34" s="42"/>
      <c r="CX34" s="74"/>
      <c r="CY34" s="74">
        <v>2</v>
      </c>
      <c r="CZ34" s="74"/>
      <c r="DA34" s="17">
        <f t="shared" si="29"/>
        <v>2</v>
      </c>
      <c r="DB34" s="17">
        <f t="shared" si="30"/>
        <v>0</v>
      </c>
      <c r="DC34" s="73">
        <f t="shared" si="31"/>
        <v>2</v>
      </c>
      <c r="DD34" s="42">
        <v>1</v>
      </c>
      <c r="DE34" s="74"/>
      <c r="DF34" s="74">
        <v>1</v>
      </c>
      <c r="DG34" s="74"/>
      <c r="DH34" s="102">
        <f t="shared" si="32"/>
        <v>4</v>
      </c>
      <c r="DI34" s="102">
        <f t="shared" si="33"/>
        <v>0</v>
      </c>
      <c r="DJ34" s="73">
        <f t="shared" si="34"/>
        <v>4</v>
      </c>
      <c r="DK34" s="42"/>
      <c r="DL34" s="74"/>
      <c r="DM34" s="74"/>
      <c r="DN34" s="74"/>
      <c r="DO34" s="102">
        <f t="shared" si="35"/>
        <v>0</v>
      </c>
      <c r="DP34" s="102">
        <f t="shared" si="36"/>
        <v>0</v>
      </c>
      <c r="DQ34" s="73">
        <f t="shared" si="37"/>
        <v>0</v>
      </c>
      <c r="DR34" s="146">
        <f t="shared" si="38"/>
        <v>17</v>
      </c>
      <c r="DS34" s="147">
        <f t="shared" ca="1" si="39"/>
        <v>7.3275862068965511E-2</v>
      </c>
      <c r="DT34" s="148">
        <f t="shared" si="40"/>
        <v>1</v>
      </c>
      <c r="DU34" s="147">
        <f t="shared" ca="1" si="41"/>
        <v>4.3103448275862068E-3</v>
      </c>
      <c r="DV34" s="148">
        <f t="shared" si="42"/>
        <v>18</v>
      </c>
      <c r="DW34" s="147">
        <f t="shared" ca="1" si="43"/>
        <v>7.7586206896551713E-2</v>
      </c>
      <c r="DX34" s="148">
        <f t="shared" si="44"/>
        <v>3</v>
      </c>
      <c r="DY34" s="148">
        <f t="shared" si="45"/>
        <v>0</v>
      </c>
      <c r="DZ34" s="148">
        <f t="shared" si="46"/>
        <v>3</v>
      </c>
    </row>
    <row r="35" spans="1:130" ht="15.75" thickBot="1" x14ac:dyDescent="0.3">
      <c r="A35" s="247" t="s">
        <v>13</v>
      </c>
      <c r="B35" s="201" t="s">
        <v>150</v>
      </c>
      <c r="C35" s="149" t="str">
        <f t="shared" si="0"/>
        <v>נועה מפאוג</v>
      </c>
      <c r="D35" s="62" t="s">
        <v>6</v>
      </c>
      <c r="E35" s="62" t="s">
        <v>7</v>
      </c>
      <c r="F35" s="41" t="s">
        <v>180</v>
      </c>
      <c r="G35" s="39">
        <v>43101</v>
      </c>
      <c r="H35" s="41"/>
      <c r="I35" s="143"/>
      <c r="J35" s="103"/>
      <c r="K35" s="104"/>
      <c r="L35" s="104"/>
      <c r="M35" s="104"/>
      <c r="N35" s="102">
        <f t="shared" si="47"/>
        <v>0</v>
      </c>
      <c r="O35" s="102">
        <f t="shared" si="48"/>
        <v>0</v>
      </c>
      <c r="P35" s="18">
        <f t="shared" si="49"/>
        <v>0</v>
      </c>
      <c r="Q35" s="33"/>
      <c r="R35" s="35"/>
      <c r="S35" s="35"/>
      <c r="T35" s="35"/>
      <c r="U35" s="17">
        <f t="shared" si="50"/>
        <v>0</v>
      </c>
      <c r="V35" s="17">
        <f t="shared" si="51"/>
        <v>0</v>
      </c>
      <c r="W35" s="19">
        <f>V35+U35</f>
        <v>0</v>
      </c>
      <c r="X35" s="13"/>
      <c r="Y35" s="15"/>
      <c r="Z35" s="15"/>
      <c r="AA35" s="15"/>
      <c r="AB35" s="20">
        <f t="shared" si="53"/>
        <v>0</v>
      </c>
      <c r="AC35" s="20">
        <f t="shared" si="54"/>
        <v>0</v>
      </c>
      <c r="AD35" s="21">
        <f t="shared" si="55"/>
        <v>0</v>
      </c>
      <c r="AE35" s="33"/>
      <c r="AF35" s="35"/>
      <c r="AG35" s="35"/>
      <c r="AH35" s="35"/>
      <c r="AI35" s="17">
        <f t="shared" si="56"/>
        <v>0</v>
      </c>
      <c r="AJ35" s="17">
        <f t="shared" si="57"/>
        <v>0</v>
      </c>
      <c r="AK35" s="19">
        <f t="shared" si="58"/>
        <v>0</v>
      </c>
      <c r="AL35" s="33"/>
      <c r="AM35" s="35"/>
      <c r="AN35" s="35"/>
      <c r="AO35" s="35"/>
      <c r="AP35" s="17">
        <f t="shared" si="59"/>
        <v>0</v>
      </c>
      <c r="AQ35" s="17">
        <f t="shared" si="60"/>
        <v>0</v>
      </c>
      <c r="AR35" s="19">
        <f t="shared" si="61"/>
        <v>0</v>
      </c>
      <c r="AS35" s="33"/>
      <c r="AT35" s="35"/>
      <c r="AU35" s="35"/>
      <c r="AV35" s="35"/>
      <c r="AW35" s="17">
        <f t="shared" si="62"/>
        <v>0</v>
      </c>
      <c r="AX35" s="17">
        <f t="shared" si="63"/>
        <v>0</v>
      </c>
      <c r="AY35" s="19">
        <f t="shared" si="64"/>
        <v>0</v>
      </c>
      <c r="AZ35" s="33"/>
      <c r="BA35" s="35"/>
      <c r="BB35" s="35"/>
      <c r="BC35" s="35"/>
      <c r="BD35" s="17">
        <f t="shared" si="65"/>
        <v>0</v>
      </c>
      <c r="BE35" s="17">
        <f t="shared" si="66"/>
        <v>0</v>
      </c>
      <c r="BF35" s="19">
        <f t="shared" si="67"/>
        <v>0</v>
      </c>
      <c r="BG35" s="99"/>
      <c r="BH35" s="109"/>
      <c r="BI35" s="109">
        <v>2</v>
      </c>
      <c r="BJ35" s="35"/>
      <c r="BK35" s="17">
        <f t="shared" si="68"/>
        <v>2</v>
      </c>
      <c r="BL35" s="17">
        <f t="shared" si="69"/>
        <v>0</v>
      </c>
      <c r="BM35" s="73">
        <f t="shared" si="70"/>
        <v>2</v>
      </c>
      <c r="BN35" s="42">
        <v>1</v>
      </c>
      <c r="BO35" s="74"/>
      <c r="BP35" s="74">
        <v>2</v>
      </c>
      <c r="BQ35" s="74"/>
      <c r="BR35" s="17">
        <f t="shared" si="71"/>
        <v>5</v>
      </c>
      <c r="BS35" s="17">
        <f t="shared" si="72"/>
        <v>0</v>
      </c>
      <c r="BT35" s="73">
        <f t="shared" si="73"/>
        <v>5</v>
      </c>
      <c r="BU35" s="42"/>
      <c r="BV35" s="74"/>
      <c r="BW35" s="74">
        <v>2</v>
      </c>
      <c r="BX35" s="74"/>
      <c r="BY35" s="17">
        <f t="shared" si="74"/>
        <v>2</v>
      </c>
      <c r="BZ35" s="17">
        <f t="shared" si="75"/>
        <v>0</v>
      </c>
      <c r="CA35" s="73">
        <f t="shared" si="76"/>
        <v>2</v>
      </c>
      <c r="CB35" s="156"/>
      <c r="CC35" s="74"/>
      <c r="CD35" s="74">
        <v>1</v>
      </c>
      <c r="CE35" s="158"/>
      <c r="CF35" s="17">
        <f t="shared" si="77"/>
        <v>1</v>
      </c>
      <c r="CG35" s="17">
        <f t="shared" si="78"/>
        <v>0</v>
      </c>
      <c r="CH35" s="73">
        <f t="shared" si="79"/>
        <v>1</v>
      </c>
      <c r="CI35" s="74"/>
      <c r="CJ35" s="74"/>
      <c r="CK35" s="74">
        <v>3</v>
      </c>
      <c r="CL35" s="168">
        <v>2</v>
      </c>
      <c r="CM35" s="17">
        <f t="shared" si="23"/>
        <v>3</v>
      </c>
      <c r="CN35" s="17">
        <f t="shared" si="24"/>
        <v>2</v>
      </c>
      <c r="CO35" s="73">
        <f t="shared" si="25"/>
        <v>5</v>
      </c>
      <c r="CP35" s="238"/>
      <c r="CQ35" s="74"/>
      <c r="CR35" s="74"/>
      <c r="CS35" s="74"/>
      <c r="CT35" s="17">
        <f t="shared" si="26"/>
        <v>0</v>
      </c>
      <c r="CU35" s="17">
        <f t="shared" si="27"/>
        <v>0</v>
      </c>
      <c r="CV35" s="73">
        <f t="shared" si="28"/>
        <v>0</v>
      </c>
      <c r="CW35" s="42"/>
      <c r="CX35" s="74"/>
      <c r="CY35" s="74"/>
      <c r="CZ35" s="74"/>
      <c r="DA35" s="17">
        <f t="shared" si="29"/>
        <v>0</v>
      </c>
      <c r="DB35" s="17">
        <f t="shared" si="30"/>
        <v>0</v>
      </c>
      <c r="DC35" s="73">
        <f t="shared" si="31"/>
        <v>0</v>
      </c>
      <c r="DD35" s="42"/>
      <c r="DE35" s="74"/>
      <c r="DF35" s="74"/>
      <c r="DG35" s="74"/>
      <c r="DH35" s="102">
        <f t="shared" si="32"/>
        <v>0</v>
      </c>
      <c r="DI35" s="102">
        <f t="shared" si="33"/>
        <v>0</v>
      </c>
      <c r="DJ35" s="73">
        <f t="shared" si="34"/>
        <v>0</v>
      </c>
      <c r="DK35" s="42"/>
      <c r="DL35" s="74"/>
      <c r="DM35" s="74"/>
      <c r="DN35" s="74"/>
      <c r="DO35" s="102">
        <f t="shared" si="35"/>
        <v>0</v>
      </c>
      <c r="DP35" s="102">
        <f t="shared" si="36"/>
        <v>0</v>
      </c>
      <c r="DQ35" s="73">
        <f t="shared" si="37"/>
        <v>0</v>
      </c>
      <c r="DR35" s="146">
        <f t="shared" si="38"/>
        <v>13</v>
      </c>
      <c r="DS35" s="147">
        <f t="shared" ca="1" si="39"/>
        <v>4.9429657794676805E-2</v>
      </c>
      <c r="DT35" s="148">
        <f t="shared" si="40"/>
        <v>2</v>
      </c>
      <c r="DU35" s="147">
        <f t="shared" ca="1" si="41"/>
        <v>7.6045627376425855E-3</v>
      </c>
      <c r="DV35" s="148">
        <f t="shared" si="42"/>
        <v>15</v>
      </c>
      <c r="DW35" s="147">
        <f t="shared" ca="1" si="43"/>
        <v>5.7034220532319393E-2</v>
      </c>
      <c r="DX35" s="148">
        <f t="shared" si="44"/>
        <v>1</v>
      </c>
      <c r="DY35" s="148">
        <f t="shared" si="45"/>
        <v>0</v>
      </c>
      <c r="DZ35" s="148">
        <f t="shared" si="46"/>
        <v>1</v>
      </c>
    </row>
    <row r="36" spans="1:130" ht="15.75" thickBot="1" x14ac:dyDescent="0.3">
      <c r="A36" s="299">
        <v>9</v>
      </c>
      <c r="B36" s="201" t="s">
        <v>5</v>
      </c>
      <c r="C36" s="149" t="str">
        <f t="shared" si="0"/>
        <v>מאי 9</v>
      </c>
      <c r="D36" s="62" t="s">
        <v>6</v>
      </c>
      <c r="E36" s="28" t="s">
        <v>7</v>
      </c>
      <c r="F36" s="41" t="s">
        <v>193</v>
      </c>
      <c r="G36" s="39">
        <v>43160</v>
      </c>
      <c r="H36" s="82"/>
      <c r="I36" s="114" t="s">
        <v>279</v>
      </c>
      <c r="J36" s="103"/>
      <c r="K36" s="104"/>
      <c r="L36" s="104"/>
      <c r="M36" s="104"/>
      <c r="N36" s="102">
        <f t="shared" si="47"/>
        <v>0</v>
      </c>
      <c r="O36" s="102">
        <f t="shared" si="48"/>
        <v>0</v>
      </c>
      <c r="P36" s="18">
        <f t="shared" si="49"/>
        <v>0</v>
      </c>
      <c r="Q36" s="33"/>
      <c r="R36" s="35"/>
      <c r="S36" s="35"/>
      <c r="T36" s="35"/>
      <c r="U36" s="17">
        <f t="shared" si="50"/>
        <v>0</v>
      </c>
      <c r="V36" s="17">
        <f t="shared" si="51"/>
        <v>0</v>
      </c>
      <c r="W36" s="19">
        <f>V36+U36</f>
        <v>0</v>
      </c>
      <c r="X36" s="13"/>
      <c r="Y36" s="15"/>
      <c r="Z36" s="15"/>
      <c r="AA36" s="15"/>
      <c r="AB36" s="20">
        <f t="shared" si="53"/>
        <v>0</v>
      </c>
      <c r="AC36" s="20">
        <f t="shared" si="54"/>
        <v>0</v>
      </c>
      <c r="AD36" s="21">
        <f t="shared" si="55"/>
        <v>0</v>
      </c>
      <c r="AE36" s="33"/>
      <c r="AF36" s="35"/>
      <c r="AG36" s="35"/>
      <c r="AH36" s="35"/>
      <c r="AI36" s="17">
        <f t="shared" si="56"/>
        <v>0</v>
      </c>
      <c r="AJ36" s="17">
        <f t="shared" si="57"/>
        <v>0</v>
      </c>
      <c r="AK36" s="19">
        <f t="shared" si="58"/>
        <v>0</v>
      </c>
      <c r="AL36" s="33"/>
      <c r="AM36" s="35"/>
      <c r="AN36" s="35"/>
      <c r="AO36" s="35"/>
      <c r="AP36" s="17">
        <f t="shared" si="59"/>
        <v>0</v>
      </c>
      <c r="AQ36" s="17">
        <f t="shared" si="60"/>
        <v>0</v>
      </c>
      <c r="AR36" s="19">
        <f t="shared" si="61"/>
        <v>0</v>
      </c>
      <c r="AS36" s="33"/>
      <c r="AT36" s="35"/>
      <c r="AU36" s="35"/>
      <c r="AV36" s="35"/>
      <c r="AW36" s="17">
        <f t="shared" si="62"/>
        <v>0</v>
      </c>
      <c r="AX36" s="17">
        <f t="shared" si="63"/>
        <v>0</v>
      </c>
      <c r="AY36" s="19">
        <f t="shared" si="64"/>
        <v>0</v>
      </c>
      <c r="AZ36" s="33"/>
      <c r="BA36" s="35"/>
      <c r="BB36" s="35"/>
      <c r="BC36" s="35"/>
      <c r="BD36" s="17">
        <f t="shared" si="65"/>
        <v>0</v>
      </c>
      <c r="BE36" s="17">
        <f t="shared" si="66"/>
        <v>0</v>
      </c>
      <c r="BF36" s="19">
        <f t="shared" si="67"/>
        <v>0</v>
      </c>
      <c r="BG36" s="99"/>
      <c r="BH36" s="109"/>
      <c r="BI36" s="35"/>
      <c r="BJ36" s="35"/>
      <c r="BK36" s="17">
        <f t="shared" si="68"/>
        <v>0</v>
      </c>
      <c r="BL36" s="17">
        <f t="shared" si="69"/>
        <v>0</v>
      </c>
      <c r="BM36" s="73">
        <f t="shared" si="70"/>
        <v>0</v>
      </c>
      <c r="BN36" s="42"/>
      <c r="BO36" s="74"/>
      <c r="BP36" s="74"/>
      <c r="BQ36" s="74"/>
      <c r="BR36" s="17">
        <f t="shared" si="71"/>
        <v>0</v>
      </c>
      <c r="BS36" s="17">
        <f t="shared" si="72"/>
        <v>0</v>
      </c>
      <c r="BT36" s="73">
        <f t="shared" si="73"/>
        <v>0</v>
      </c>
      <c r="BU36" s="42"/>
      <c r="BV36" s="74"/>
      <c r="BW36" s="74">
        <v>1</v>
      </c>
      <c r="BX36" s="74"/>
      <c r="BY36" s="17">
        <f t="shared" si="74"/>
        <v>1</v>
      </c>
      <c r="BZ36" s="17">
        <f t="shared" si="75"/>
        <v>0</v>
      </c>
      <c r="CA36" s="73">
        <f t="shared" si="76"/>
        <v>1</v>
      </c>
      <c r="CB36" s="156"/>
      <c r="CC36" s="74"/>
      <c r="CD36" s="74"/>
      <c r="CE36" s="158"/>
      <c r="CF36" s="17">
        <f t="shared" si="77"/>
        <v>0</v>
      </c>
      <c r="CG36" s="17">
        <f t="shared" si="78"/>
        <v>0</v>
      </c>
      <c r="CH36" s="73">
        <f t="shared" si="79"/>
        <v>0</v>
      </c>
      <c r="CI36" s="74"/>
      <c r="CJ36" s="74"/>
      <c r="CK36" s="74"/>
      <c r="CL36" s="168"/>
      <c r="CM36" s="17">
        <f t="shared" si="23"/>
        <v>0</v>
      </c>
      <c r="CN36" s="17">
        <f t="shared" si="24"/>
        <v>0</v>
      </c>
      <c r="CO36" s="73">
        <f t="shared" si="25"/>
        <v>0</v>
      </c>
      <c r="CP36" s="238"/>
      <c r="CQ36" s="74"/>
      <c r="CR36" s="74"/>
      <c r="CS36" s="74"/>
      <c r="CT36" s="17">
        <f t="shared" si="26"/>
        <v>0</v>
      </c>
      <c r="CU36" s="17">
        <f t="shared" si="27"/>
        <v>0</v>
      </c>
      <c r="CV36" s="73">
        <f t="shared" si="28"/>
        <v>0</v>
      </c>
      <c r="CW36" s="42"/>
      <c r="CX36" s="74"/>
      <c r="CY36" s="74"/>
      <c r="CZ36" s="74"/>
      <c r="DA36" s="17">
        <f t="shared" si="29"/>
        <v>0</v>
      </c>
      <c r="DB36" s="17">
        <f t="shared" si="30"/>
        <v>0</v>
      </c>
      <c r="DC36" s="73">
        <f t="shared" si="31"/>
        <v>0</v>
      </c>
      <c r="DD36" s="42"/>
      <c r="DE36" s="74"/>
      <c r="DF36" s="74"/>
      <c r="DG36" s="74"/>
      <c r="DH36" s="102">
        <f t="shared" si="32"/>
        <v>0</v>
      </c>
      <c r="DI36" s="102">
        <f t="shared" si="33"/>
        <v>0</v>
      </c>
      <c r="DJ36" s="73">
        <f t="shared" si="34"/>
        <v>0</v>
      </c>
      <c r="DK36" s="42"/>
      <c r="DL36" s="74"/>
      <c r="DM36" s="74"/>
      <c r="DN36" s="74"/>
      <c r="DO36" s="102">
        <f t="shared" si="35"/>
        <v>0</v>
      </c>
      <c r="DP36" s="102">
        <f t="shared" si="36"/>
        <v>0</v>
      </c>
      <c r="DQ36" s="73">
        <f t="shared" si="37"/>
        <v>0</v>
      </c>
      <c r="DR36" s="146">
        <f t="shared" si="38"/>
        <v>1</v>
      </c>
      <c r="DS36" s="147">
        <f t="shared" ca="1" si="39"/>
        <v>4.9019607843137254E-3</v>
      </c>
      <c r="DT36" s="148">
        <f t="shared" si="40"/>
        <v>0</v>
      </c>
      <c r="DU36" s="147">
        <f t="shared" ca="1" si="41"/>
        <v>0</v>
      </c>
      <c r="DV36" s="148">
        <f t="shared" si="42"/>
        <v>1</v>
      </c>
      <c r="DW36" s="147">
        <f t="shared" ca="1" si="43"/>
        <v>4.9019607843137254E-3</v>
      </c>
      <c r="DX36" s="148">
        <f t="shared" si="44"/>
        <v>0</v>
      </c>
      <c r="DY36" s="148">
        <f t="shared" si="45"/>
        <v>0</v>
      </c>
      <c r="DZ36" s="148">
        <f t="shared" si="46"/>
        <v>0</v>
      </c>
    </row>
    <row r="37" spans="1:130" ht="15.75" thickBot="1" x14ac:dyDescent="0.3">
      <c r="A37" s="247" t="s">
        <v>15</v>
      </c>
      <c r="B37" s="201" t="s">
        <v>203</v>
      </c>
      <c r="C37" s="149" t="str">
        <f t="shared" si="0"/>
        <v>דנה מרחבים</v>
      </c>
      <c r="D37" s="62" t="s">
        <v>6</v>
      </c>
      <c r="E37" s="62" t="s">
        <v>7</v>
      </c>
      <c r="F37" s="41" t="s">
        <v>207</v>
      </c>
      <c r="G37" s="39">
        <v>43191</v>
      </c>
      <c r="H37" s="82"/>
      <c r="I37" s="114" t="s">
        <v>279</v>
      </c>
      <c r="J37" s="103"/>
      <c r="K37" s="104"/>
      <c r="L37" s="104"/>
      <c r="M37" s="104"/>
      <c r="N37" s="102">
        <f t="shared" si="47"/>
        <v>0</v>
      </c>
      <c r="O37" s="102">
        <f t="shared" si="48"/>
        <v>0</v>
      </c>
      <c r="P37" s="18">
        <f t="shared" si="49"/>
        <v>0</v>
      </c>
      <c r="Q37" s="33"/>
      <c r="R37" s="35"/>
      <c r="S37" s="35"/>
      <c r="T37" s="35"/>
      <c r="U37" s="17">
        <f t="shared" si="50"/>
        <v>0</v>
      </c>
      <c r="V37" s="17">
        <f t="shared" si="51"/>
        <v>0</v>
      </c>
      <c r="W37" s="19">
        <f>V37+U37</f>
        <v>0</v>
      </c>
      <c r="X37" s="13"/>
      <c r="Y37" s="15"/>
      <c r="Z37" s="15"/>
      <c r="AA37" s="15"/>
      <c r="AB37" s="20">
        <f t="shared" si="53"/>
        <v>0</v>
      </c>
      <c r="AC37" s="20">
        <f t="shared" si="54"/>
        <v>0</v>
      </c>
      <c r="AD37" s="21">
        <f t="shared" si="55"/>
        <v>0</v>
      </c>
      <c r="AE37" s="33"/>
      <c r="AF37" s="35"/>
      <c r="AG37" s="35"/>
      <c r="AH37" s="35"/>
      <c r="AI37" s="17">
        <f t="shared" si="56"/>
        <v>0</v>
      </c>
      <c r="AJ37" s="17">
        <f t="shared" si="57"/>
        <v>0</v>
      </c>
      <c r="AK37" s="19">
        <f t="shared" si="58"/>
        <v>0</v>
      </c>
      <c r="AL37" s="33"/>
      <c r="AM37" s="35"/>
      <c r="AN37" s="35"/>
      <c r="AO37" s="35"/>
      <c r="AP37" s="17">
        <f t="shared" si="59"/>
        <v>0</v>
      </c>
      <c r="AQ37" s="17">
        <f t="shared" si="60"/>
        <v>0</v>
      </c>
      <c r="AR37" s="19">
        <f t="shared" si="61"/>
        <v>0</v>
      </c>
      <c r="AS37" s="33"/>
      <c r="AT37" s="35"/>
      <c r="AU37" s="35"/>
      <c r="AV37" s="35"/>
      <c r="AW37" s="17">
        <f t="shared" si="62"/>
        <v>0</v>
      </c>
      <c r="AX37" s="17">
        <f t="shared" si="63"/>
        <v>0</v>
      </c>
      <c r="AY37" s="19">
        <f t="shared" si="64"/>
        <v>0</v>
      </c>
      <c r="AZ37" s="33"/>
      <c r="BA37" s="35"/>
      <c r="BB37" s="35"/>
      <c r="BC37" s="35"/>
      <c r="BD37" s="17">
        <f t="shared" si="65"/>
        <v>0</v>
      </c>
      <c r="BE37" s="17">
        <f t="shared" si="66"/>
        <v>0</v>
      </c>
      <c r="BF37" s="19">
        <f t="shared" si="67"/>
        <v>0</v>
      </c>
      <c r="BG37" s="99"/>
      <c r="BH37" s="109"/>
      <c r="BI37" s="35"/>
      <c r="BJ37" s="35"/>
      <c r="BK37" s="17">
        <f t="shared" si="68"/>
        <v>0</v>
      </c>
      <c r="BL37" s="17">
        <f t="shared" si="69"/>
        <v>0</v>
      </c>
      <c r="BM37" s="73">
        <f t="shared" si="70"/>
        <v>0</v>
      </c>
      <c r="BN37" s="42"/>
      <c r="BO37" s="74"/>
      <c r="BP37" s="74"/>
      <c r="BQ37" s="74"/>
      <c r="BR37" s="17">
        <f t="shared" si="71"/>
        <v>0</v>
      </c>
      <c r="BS37" s="17">
        <f t="shared" si="72"/>
        <v>0</v>
      </c>
      <c r="BT37" s="73">
        <f t="shared" si="73"/>
        <v>0</v>
      </c>
      <c r="BU37" s="42"/>
      <c r="BV37" s="74"/>
      <c r="BW37" s="74"/>
      <c r="BX37" s="74"/>
      <c r="BY37" s="17">
        <f t="shared" si="74"/>
        <v>0</v>
      </c>
      <c r="BZ37" s="17">
        <f t="shared" si="75"/>
        <v>0</v>
      </c>
      <c r="CA37" s="73">
        <f t="shared" si="76"/>
        <v>0</v>
      </c>
      <c r="CB37" s="42"/>
      <c r="CC37" s="74"/>
      <c r="CD37" s="74"/>
      <c r="CE37" s="158"/>
      <c r="CF37" s="17">
        <f t="shared" si="77"/>
        <v>0</v>
      </c>
      <c r="CG37" s="17">
        <f t="shared" si="78"/>
        <v>0</v>
      </c>
      <c r="CH37" s="73">
        <f t="shared" si="79"/>
        <v>0</v>
      </c>
      <c r="CI37" s="74"/>
      <c r="CJ37" s="74"/>
      <c r="CK37" s="74"/>
      <c r="CL37" s="168"/>
      <c r="CM37" s="17">
        <f t="shared" si="23"/>
        <v>0</v>
      </c>
      <c r="CN37" s="17">
        <f t="shared" si="24"/>
        <v>0</v>
      </c>
      <c r="CO37" s="73">
        <f t="shared" si="25"/>
        <v>0</v>
      </c>
      <c r="CP37" s="238"/>
      <c r="CQ37" s="74"/>
      <c r="CR37" s="74"/>
      <c r="CS37" s="74"/>
      <c r="CT37" s="17">
        <f t="shared" si="26"/>
        <v>0</v>
      </c>
      <c r="CU37" s="17">
        <f t="shared" si="27"/>
        <v>0</v>
      </c>
      <c r="CV37" s="73">
        <f t="shared" si="28"/>
        <v>0</v>
      </c>
      <c r="CW37" s="42"/>
      <c r="CX37" s="74"/>
      <c r="CY37" s="74"/>
      <c r="CZ37" s="74"/>
      <c r="DA37" s="17">
        <f t="shared" si="29"/>
        <v>0</v>
      </c>
      <c r="DB37" s="17">
        <f t="shared" si="30"/>
        <v>0</v>
      </c>
      <c r="DC37" s="73">
        <f t="shared" si="31"/>
        <v>0</v>
      </c>
      <c r="DD37" s="42"/>
      <c r="DE37" s="74"/>
      <c r="DF37" s="74"/>
      <c r="DG37" s="74"/>
      <c r="DH37" s="102">
        <f t="shared" si="32"/>
        <v>0</v>
      </c>
      <c r="DI37" s="102">
        <f t="shared" si="33"/>
        <v>0</v>
      </c>
      <c r="DJ37" s="73">
        <f t="shared" si="34"/>
        <v>0</v>
      </c>
      <c r="DK37" s="42"/>
      <c r="DL37" s="74"/>
      <c r="DM37" s="74"/>
      <c r="DN37" s="74"/>
      <c r="DO37" s="102">
        <f t="shared" si="35"/>
        <v>0</v>
      </c>
      <c r="DP37" s="102">
        <f t="shared" si="36"/>
        <v>0</v>
      </c>
      <c r="DQ37" s="73">
        <f t="shared" si="37"/>
        <v>0</v>
      </c>
      <c r="DR37" s="146">
        <f t="shared" si="38"/>
        <v>0</v>
      </c>
      <c r="DS37" s="147">
        <f t="shared" ca="1" si="39"/>
        <v>0</v>
      </c>
      <c r="DT37" s="148">
        <f t="shared" si="40"/>
        <v>0</v>
      </c>
      <c r="DU37" s="147">
        <f t="shared" ca="1" si="41"/>
        <v>0</v>
      </c>
      <c r="DV37" s="148">
        <f t="shared" si="42"/>
        <v>0</v>
      </c>
      <c r="DW37" s="147">
        <f t="shared" ca="1" si="43"/>
        <v>0</v>
      </c>
      <c r="DX37" s="148">
        <f t="shared" si="44"/>
        <v>0</v>
      </c>
      <c r="DY37" s="148">
        <f t="shared" si="45"/>
        <v>0</v>
      </c>
      <c r="DZ37" s="148">
        <f t="shared" si="46"/>
        <v>0</v>
      </c>
    </row>
    <row r="38" spans="1:130" ht="15.75" thickBot="1" x14ac:dyDescent="0.3">
      <c r="A38" s="241" t="s">
        <v>71</v>
      </c>
      <c r="B38" s="37" t="s">
        <v>205</v>
      </c>
      <c r="C38" s="202" t="str">
        <f t="shared" si="0"/>
        <v>רוני אחודה</v>
      </c>
      <c r="D38" s="62" t="s">
        <v>6</v>
      </c>
      <c r="E38" s="62" t="s">
        <v>6</v>
      </c>
      <c r="F38" s="41" t="s">
        <v>245</v>
      </c>
      <c r="G38" s="39">
        <v>43282</v>
      </c>
      <c r="H38" s="82"/>
      <c r="I38" s="143"/>
      <c r="J38" s="103"/>
      <c r="K38" s="104"/>
      <c r="L38" s="104"/>
      <c r="M38" s="104"/>
      <c r="N38" s="102"/>
      <c r="O38" s="102"/>
      <c r="P38" s="18"/>
      <c r="Q38" s="33"/>
      <c r="R38" s="35"/>
      <c r="S38" s="35"/>
      <c r="T38" s="35"/>
      <c r="U38" s="17"/>
      <c r="V38" s="17"/>
      <c r="W38" s="19"/>
      <c r="X38" s="13"/>
      <c r="Y38" s="15"/>
      <c r="Z38" s="15"/>
      <c r="AA38" s="15"/>
      <c r="AB38" s="20"/>
      <c r="AC38" s="20"/>
      <c r="AD38" s="21"/>
      <c r="AE38" s="33"/>
      <c r="AF38" s="35"/>
      <c r="AG38" s="35"/>
      <c r="AH38" s="35"/>
      <c r="AI38" s="17"/>
      <c r="AJ38" s="17"/>
      <c r="AK38" s="19"/>
      <c r="AL38" s="33"/>
      <c r="AM38" s="35"/>
      <c r="AN38" s="35"/>
      <c r="AO38" s="35"/>
      <c r="AP38" s="17"/>
      <c r="AQ38" s="17"/>
      <c r="AR38" s="19"/>
      <c r="AS38" s="33"/>
      <c r="AT38" s="35"/>
      <c r="AU38" s="35"/>
      <c r="AV38" s="35"/>
      <c r="AW38" s="17"/>
      <c r="AX38" s="17"/>
      <c r="AY38" s="19"/>
      <c r="AZ38" s="33"/>
      <c r="BA38" s="35"/>
      <c r="BB38" s="35"/>
      <c r="BC38" s="35"/>
      <c r="BD38" s="17"/>
      <c r="BE38" s="17"/>
      <c r="BF38" s="19"/>
      <c r="BG38" s="99"/>
      <c r="BH38" s="109"/>
      <c r="BI38" s="35"/>
      <c r="BJ38" s="35"/>
      <c r="BK38" s="17"/>
      <c r="BL38" s="17"/>
      <c r="BM38" s="73"/>
      <c r="BN38" s="42"/>
      <c r="BO38" s="74"/>
      <c r="BP38" s="74"/>
      <c r="BQ38" s="74"/>
      <c r="BR38" s="17"/>
      <c r="BS38" s="17"/>
      <c r="BT38" s="73"/>
      <c r="BU38" s="42"/>
      <c r="BV38" s="74"/>
      <c r="BW38" s="74"/>
      <c r="BX38" s="74"/>
      <c r="BY38" s="17"/>
      <c r="BZ38" s="17"/>
      <c r="CA38" s="73"/>
      <c r="CB38" s="42"/>
      <c r="CC38" s="74"/>
      <c r="CD38" s="74"/>
      <c r="CE38" s="158"/>
      <c r="CF38" s="17"/>
      <c r="CG38" s="17"/>
      <c r="CH38" s="73"/>
      <c r="CI38" s="74"/>
      <c r="CJ38" s="74"/>
      <c r="CK38" s="74"/>
      <c r="CL38" s="168"/>
      <c r="CM38" s="17">
        <f t="shared" si="23"/>
        <v>0</v>
      </c>
      <c r="CN38" s="17">
        <f t="shared" si="24"/>
        <v>0</v>
      </c>
      <c r="CO38" s="73">
        <f t="shared" si="25"/>
        <v>0</v>
      </c>
      <c r="CP38" s="238"/>
      <c r="CQ38" s="74"/>
      <c r="CR38" s="74"/>
      <c r="CS38" s="74"/>
      <c r="CT38" s="17">
        <f t="shared" si="26"/>
        <v>0</v>
      </c>
      <c r="CU38" s="17">
        <f t="shared" si="27"/>
        <v>0</v>
      </c>
      <c r="CV38" s="73">
        <f t="shared" si="28"/>
        <v>0</v>
      </c>
      <c r="CW38" s="42">
        <v>1</v>
      </c>
      <c r="CX38" s="74"/>
      <c r="CY38" s="74">
        <v>1</v>
      </c>
      <c r="CZ38" s="74"/>
      <c r="DA38" s="17">
        <f t="shared" si="29"/>
        <v>4</v>
      </c>
      <c r="DB38" s="17">
        <f t="shared" si="30"/>
        <v>0</v>
      </c>
      <c r="DC38" s="73">
        <f t="shared" si="31"/>
        <v>4</v>
      </c>
      <c r="DD38" s="42">
        <v>1</v>
      </c>
      <c r="DE38" s="74"/>
      <c r="DF38" s="74">
        <v>1</v>
      </c>
      <c r="DG38" s="74"/>
      <c r="DH38" s="102">
        <f t="shared" si="32"/>
        <v>4</v>
      </c>
      <c r="DI38" s="102">
        <f t="shared" si="33"/>
        <v>0</v>
      </c>
      <c r="DJ38" s="73">
        <f t="shared" si="34"/>
        <v>4</v>
      </c>
      <c r="DK38" s="42"/>
      <c r="DL38" s="74"/>
      <c r="DM38" s="74"/>
      <c r="DN38" s="74"/>
      <c r="DO38" s="102">
        <f t="shared" si="35"/>
        <v>0</v>
      </c>
      <c r="DP38" s="102">
        <f t="shared" si="36"/>
        <v>0</v>
      </c>
      <c r="DQ38" s="73">
        <f t="shared" si="37"/>
        <v>0</v>
      </c>
      <c r="DR38" s="146">
        <f t="shared" si="38"/>
        <v>8</v>
      </c>
      <c r="DS38" s="147">
        <f t="shared" ca="1" si="39"/>
        <v>9.7560975609756101E-2</v>
      </c>
      <c r="DT38" s="148">
        <f t="shared" si="40"/>
        <v>0</v>
      </c>
      <c r="DU38" s="147">
        <f t="shared" ca="1" si="41"/>
        <v>0</v>
      </c>
      <c r="DV38" s="148">
        <f t="shared" si="42"/>
        <v>8</v>
      </c>
      <c r="DW38" s="147">
        <f t="shared" ca="1" si="43"/>
        <v>9.7560975609756101E-2</v>
      </c>
      <c r="DX38" s="148">
        <f t="shared" si="44"/>
        <v>2</v>
      </c>
      <c r="DY38" s="148">
        <f t="shared" si="45"/>
        <v>0</v>
      </c>
      <c r="DZ38" s="148">
        <f t="shared" si="46"/>
        <v>2</v>
      </c>
    </row>
    <row r="39" spans="1:130" ht="15.75" thickBot="1" x14ac:dyDescent="0.3">
      <c r="A39" s="33">
        <v>9</v>
      </c>
      <c r="B39" s="91" t="s">
        <v>284</v>
      </c>
      <c r="C39" s="34" t="str">
        <f t="shared" si="0"/>
        <v>דריה 9</v>
      </c>
      <c r="D39" s="62" t="s">
        <v>6</v>
      </c>
      <c r="E39" s="62" t="s">
        <v>6</v>
      </c>
      <c r="F39" s="41" t="s">
        <v>281</v>
      </c>
      <c r="G39" s="39">
        <v>43313</v>
      </c>
      <c r="H39" s="41"/>
      <c r="I39" s="143"/>
      <c r="J39" s="103"/>
      <c r="K39" s="104"/>
      <c r="L39" s="104"/>
      <c r="M39" s="104"/>
      <c r="N39" s="102"/>
      <c r="O39" s="102"/>
      <c r="P39" s="18"/>
      <c r="Q39" s="33"/>
      <c r="R39" s="35"/>
      <c r="S39" s="35"/>
      <c r="T39" s="35"/>
      <c r="U39" s="17"/>
      <c r="V39" s="17"/>
      <c r="W39" s="19"/>
      <c r="X39" s="33"/>
      <c r="Y39" s="35"/>
      <c r="Z39" s="35"/>
      <c r="AA39" s="35"/>
      <c r="AB39" s="20"/>
      <c r="AC39" s="20"/>
      <c r="AD39" s="21"/>
      <c r="AE39" s="33"/>
      <c r="AF39" s="35"/>
      <c r="AG39" s="35"/>
      <c r="AH39" s="35"/>
      <c r="AI39" s="17"/>
      <c r="AJ39" s="17"/>
      <c r="AK39" s="19"/>
      <c r="AL39" s="33"/>
      <c r="AM39" s="35"/>
      <c r="AN39" s="35"/>
      <c r="AO39" s="35"/>
      <c r="AP39" s="17"/>
      <c r="AQ39" s="17"/>
      <c r="AR39" s="19"/>
      <c r="AS39" s="33"/>
      <c r="AT39" s="35"/>
      <c r="AU39" s="35"/>
      <c r="AV39" s="35"/>
      <c r="AW39" s="17"/>
      <c r="AX39" s="17"/>
      <c r="AY39" s="19"/>
      <c r="AZ39" s="33"/>
      <c r="BA39" s="35"/>
      <c r="BB39" s="35"/>
      <c r="BC39" s="35"/>
      <c r="BD39" s="17"/>
      <c r="BE39" s="17"/>
      <c r="BF39" s="19"/>
      <c r="BG39" s="99"/>
      <c r="BH39" s="109"/>
      <c r="BI39" s="109"/>
      <c r="BJ39" s="35"/>
      <c r="BK39" s="17"/>
      <c r="BL39" s="17"/>
      <c r="BM39" s="73"/>
      <c r="BN39" s="99"/>
      <c r="BO39" s="109"/>
      <c r="BP39" s="109"/>
      <c r="BQ39" s="109"/>
      <c r="BR39" s="17"/>
      <c r="BS39" s="17"/>
      <c r="BT39" s="73"/>
      <c r="BU39" s="99"/>
      <c r="BV39" s="109"/>
      <c r="BW39" s="109"/>
      <c r="BX39" s="109"/>
      <c r="BY39" s="17"/>
      <c r="BZ39" s="17"/>
      <c r="CA39" s="73"/>
      <c r="CB39" s="99"/>
      <c r="CC39" s="109"/>
      <c r="CD39" s="109"/>
      <c r="CE39" s="160"/>
      <c r="CF39" s="17"/>
      <c r="CG39" s="17"/>
      <c r="CH39" s="73"/>
      <c r="CI39" s="74"/>
      <c r="CJ39" s="74"/>
      <c r="CK39" s="74"/>
      <c r="CL39" s="168"/>
      <c r="CM39" s="17"/>
      <c r="CN39" s="17"/>
      <c r="CO39" s="73"/>
      <c r="CP39" s="239"/>
      <c r="CQ39" s="109"/>
      <c r="CR39" s="109"/>
      <c r="CS39" s="109"/>
      <c r="CT39" s="17">
        <f t="shared" si="26"/>
        <v>0</v>
      </c>
      <c r="CU39" s="17">
        <f t="shared" si="27"/>
        <v>0</v>
      </c>
      <c r="CV39" s="73">
        <f t="shared" si="28"/>
        <v>0</v>
      </c>
      <c r="CW39" s="99"/>
      <c r="CX39" s="109"/>
      <c r="CY39" s="109"/>
      <c r="CZ39" s="109"/>
      <c r="DA39" s="17">
        <f t="shared" si="29"/>
        <v>0</v>
      </c>
      <c r="DB39" s="17">
        <f t="shared" si="30"/>
        <v>0</v>
      </c>
      <c r="DC39" s="73">
        <f t="shared" si="31"/>
        <v>0</v>
      </c>
      <c r="DD39" s="99">
        <v>1</v>
      </c>
      <c r="DE39" s="109"/>
      <c r="DF39" s="109">
        <v>1</v>
      </c>
      <c r="DG39" s="109"/>
      <c r="DH39" s="102">
        <f t="shared" si="32"/>
        <v>4</v>
      </c>
      <c r="DI39" s="102">
        <f t="shared" si="33"/>
        <v>0</v>
      </c>
      <c r="DJ39" s="73">
        <f t="shared" si="34"/>
        <v>4</v>
      </c>
      <c r="DK39" s="99"/>
      <c r="DL39" s="109"/>
      <c r="DM39" s="109"/>
      <c r="DN39" s="109"/>
      <c r="DO39" s="102">
        <f t="shared" si="35"/>
        <v>0</v>
      </c>
      <c r="DP39" s="102">
        <f t="shared" si="36"/>
        <v>0</v>
      </c>
      <c r="DQ39" s="73">
        <f t="shared" si="37"/>
        <v>0</v>
      </c>
      <c r="DR39" s="146">
        <f t="shared" si="38"/>
        <v>4</v>
      </c>
      <c r="DS39" s="147">
        <f t="shared" ca="1" si="39"/>
        <v>7.8431372549019607E-2</v>
      </c>
      <c r="DT39" s="148">
        <f t="shared" si="40"/>
        <v>0</v>
      </c>
      <c r="DU39" s="147">
        <f t="shared" ca="1" si="41"/>
        <v>0</v>
      </c>
      <c r="DV39" s="148">
        <f t="shared" si="42"/>
        <v>4</v>
      </c>
      <c r="DW39" s="147">
        <f t="shared" ca="1" si="43"/>
        <v>7.8431372549019607E-2</v>
      </c>
      <c r="DX39" s="148">
        <f t="shared" si="44"/>
        <v>1</v>
      </c>
      <c r="DY39" s="148">
        <f t="shared" si="45"/>
        <v>0</v>
      </c>
      <c r="DZ39" s="148">
        <f t="shared" si="46"/>
        <v>1</v>
      </c>
    </row>
    <row r="40" spans="1:130" ht="15.75" thickBot="1" x14ac:dyDescent="0.3">
      <c r="A40" s="241" t="s">
        <v>13</v>
      </c>
      <c r="B40" s="37" t="s">
        <v>280</v>
      </c>
      <c r="C40" s="202" t="str">
        <f t="shared" si="0"/>
        <v>טופז מפאוג</v>
      </c>
      <c r="D40" s="62" t="s">
        <v>6</v>
      </c>
      <c r="E40" s="62" t="s">
        <v>6</v>
      </c>
      <c r="F40" s="41" t="s">
        <v>281</v>
      </c>
      <c r="G40" s="39">
        <v>43313</v>
      </c>
      <c r="H40" s="41"/>
      <c r="I40" s="143"/>
      <c r="J40" s="103"/>
      <c r="K40" s="104"/>
      <c r="L40" s="104"/>
      <c r="M40" s="104"/>
      <c r="N40" s="102"/>
      <c r="O40" s="102"/>
      <c r="P40" s="18"/>
      <c r="Q40" s="33"/>
      <c r="R40" s="35"/>
      <c r="S40" s="35"/>
      <c r="T40" s="35"/>
      <c r="U40" s="17"/>
      <c r="V40" s="17"/>
      <c r="W40" s="19"/>
      <c r="X40" s="33"/>
      <c r="Y40" s="35"/>
      <c r="Z40" s="35"/>
      <c r="AA40" s="35"/>
      <c r="AB40" s="20"/>
      <c r="AC40" s="20"/>
      <c r="AD40" s="21"/>
      <c r="AE40" s="33"/>
      <c r="AF40" s="35"/>
      <c r="AG40" s="35"/>
      <c r="AH40" s="35"/>
      <c r="AI40" s="17"/>
      <c r="AJ40" s="17"/>
      <c r="AK40" s="19"/>
      <c r="AL40" s="33"/>
      <c r="AM40" s="35"/>
      <c r="AN40" s="35"/>
      <c r="AO40" s="35"/>
      <c r="AP40" s="17"/>
      <c r="AQ40" s="17"/>
      <c r="AR40" s="19"/>
      <c r="AS40" s="33"/>
      <c r="AT40" s="35"/>
      <c r="AU40" s="35"/>
      <c r="AV40" s="35"/>
      <c r="AW40" s="17"/>
      <c r="AX40" s="17"/>
      <c r="AY40" s="19"/>
      <c r="AZ40" s="33"/>
      <c r="BA40" s="35"/>
      <c r="BB40" s="35"/>
      <c r="BC40" s="35"/>
      <c r="BD40" s="17"/>
      <c r="BE40" s="17"/>
      <c r="BF40" s="19"/>
      <c r="BG40" s="99"/>
      <c r="BH40" s="109"/>
      <c r="BI40" s="109"/>
      <c r="BJ40" s="35"/>
      <c r="BK40" s="17"/>
      <c r="BL40" s="17"/>
      <c r="BM40" s="73"/>
      <c r="BN40" s="99"/>
      <c r="BO40" s="109"/>
      <c r="BP40" s="109"/>
      <c r="BQ40" s="109"/>
      <c r="BR40" s="17"/>
      <c r="BS40" s="17"/>
      <c r="BT40" s="73"/>
      <c r="BU40" s="99"/>
      <c r="BV40" s="109"/>
      <c r="BW40" s="109"/>
      <c r="BX40" s="109"/>
      <c r="BY40" s="17"/>
      <c r="BZ40" s="17"/>
      <c r="CA40" s="73"/>
      <c r="CB40" s="302"/>
      <c r="CC40" s="109"/>
      <c r="CD40" s="109"/>
      <c r="CE40" s="160"/>
      <c r="CF40" s="17"/>
      <c r="CG40" s="17"/>
      <c r="CH40" s="73"/>
      <c r="CI40" s="74"/>
      <c r="CJ40" s="74"/>
      <c r="CK40" s="74"/>
      <c r="CL40" s="168"/>
      <c r="CM40" s="17"/>
      <c r="CN40" s="17"/>
      <c r="CO40" s="73"/>
      <c r="CP40" s="239"/>
      <c r="CQ40" s="109"/>
      <c r="CR40" s="109"/>
      <c r="CS40" s="109"/>
      <c r="CT40" s="17">
        <f t="shared" si="26"/>
        <v>0</v>
      </c>
      <c r="CU40" s="17">
        <f t="shared" si="27"/>
        <v>0</v>
      </c>
      <c r="CV40" s="73">
        <f t="shared" si="28"/>
        <v>0</v>
      </c>
      <c r="CW40" s="99"/>
      <c r="CX40" s="109"/>
      <c r="CY40" s="109"/>
      <c r="CZ40" s="109"/>
      <c r="DA40" s="17">
        <f t="shared" si="29"/>
        <v>0</v>
      </c>
      <c r="DB40" s="17">
        <f t="shared" si="30"/>
        <v>0</v>
      </c>
      <c r="DC40" s="73">
        <f t="shared" si="31"/>
        <v>0</v>
      </c>
      <c r="DD40" s="99">
        <v>1</v>
      </c>
      <c r="DE40" s="109"/>
      <c r="DF40" s="109">
        <v>1</v>
      </c>
      <c r="DG40" s="109"/>
      <c r="DH40" s="102">
        <f t="shared" si="32"/>
        <v>4</v>
      </c>
      <c r="DI40" s="102">
        <f t="shared" si="33"/>
        <v>0</v>
      </c>
      <c r="DJ40" s="73">
        <f t="shared" si="34"/>
        <v>4</v>
      </c>
      <c r="DK40" s="99"/>
      <c r="DL40" s="109"/>
      <c r="DM40" s="109"/>
      <c r="DN40" s="109"/>
      <c r="DO40" s="102">
        <f t="shared" si="35"/>
        <v>0</v>
      </c>
      <c r="DP40" s="102">
        <f t="shared" si="36"/>
        <v>0</v>
      </c>
      <c r="DQ40" s="73">
        <f t="shared" si="37"/>
        <v>0</v>
      </c>
      <c r="DR40" s="146">
        <f t="shared" si="38"/>
        <v>4</v>
      </c>
      <c r="DS40" s="147">
        <f t="shared" ca="1" si="39"/>
        <v>7.8431372549019607E-2</v>
      </c>
      <c r="DT40" s="148">
        <f t="shared" si="40"/>
        <v>0</v>
      </c>
      <c r="DU40" s="147">
        <f t="shared" ca="1" si="41"/>
        <v>0</v>
      </c>
      <c r="DV40" s="148">
        <f t="shared" si="42"/>
        <v>4</v>
      </c>
      <c r="DW40" s="147">
        <f t="shared" ca="1" si="43"/>
        <v>7.8431372549019607E-2</v>
      </c>
      <c r="DX40" s="148">
        <f t="shared" si="44"/>
        <v>1</v>
      </c>
      <c r="DY40" s="148">
        <f t="shared" si="45"/>
        <v>0</v>
      </c>
      <c r="DZ40" s="148">
        <f t="shared" si="46"/>
        <v>1</v>
      </c>
    </row>
    <row r="41" spans="1:130" ht="15.75" thickBot="1" x14ac:dyDescent="0.3">
      <c r="A41" s="299">
        <v>11</v>
      </c>
      <c r="B41" s="201" t="s">
        <v>194</v>
      </c>
      <c r="C41" s="149" t="str">
        <f t="shared" si="0"/>
        <v>מיכל 11</v>
      </c>
      <c r="D41" s="62" t="s">
        <v>6</v>
      </c>
      <c r="E41" s="62" t="s">
        <v>6</v>
      </c>
      <c r="F41" s="108" t="s">
        <v>193</v>
      </c>
      <c r="G41" s="39">
        <v>43160</v>
      </c>
      <c r="H41" s="41"/>
      <c r="I41" s="114"/>
      <c r="J41" s="103"/>
      <c r="K41" s="104"/>
      <c r="L41" s="104"/>
      <c r="M41" s="104"/>
      <c r="N41" s="102">
        <f>J41*3+L41</f>
        <v>0</v>
      </c>
      <c r="O41" s="102">
        <f>K41*3+M41</f>
        <v>0</v>
      </c>
      <c r="P41" s="18">
        <f>O41+N41</f>
        <v>0</v>
      </c>
      <c r="Q41" s="33"/>
      <c r="R41" s="35"/>
      <c r="S41" s="35"/>
      <c r="T41" s="35"/>
      <c r="U41" s="17">
        <f>Q41*3+S41</f>
        <v>0</v>
      </c>
      <c r="V41" s="17">
        <f>R41*3+T41</f>
        <v>0</v>
      </c>
      <c r="W41" s="19">
        <f>V41+U41</f>
        <v>0</v>
      </c>
      <c r="X41" s="33"/>
      <c r="Y41" s="35"/>
      <c r="Z41" s="35"/>
      <c r="AA41" s="35"/>
      <c r="AB41" s="20">
        <f>X41*3+Z41</f>
        <v>0</v>
      </c>
      <c r="AC41" s="20">
        <f>Y41*3+AA41</f>
        <v>0</v>
      </c>
      <c r="AD41" s="21">
        <f>AC41+AB41</f>
        <v>0</v>
      </c>
      <c r="AE41" s="33"/>
      <c r="AF41" s="35"/>
      <c r="AG41" s="35"/>
      <c r="AH41" s="35"/>
      <c r="AI41" s="17">
        <f>AE41*3+AG41</f>
        <v>0</v>
      </c>
      <c r="AJ41" s="17">
        <f>AF41*3+AH41</f>
        <v>0</v>
      </c>
      <c r="AK41" s="19">
        <f>AJ41+AI41</f>
        <v>0</v>
      </c>
      <c r="AL41" s="33"/>
      <c r="AM41" s="35"/>
      <c r="AN41" s="35"/>
      <c r="AO41" s="35"/>
      <c r="AP41" s="17">
        <f>AL41*3+AN41</f>
        <v>0</v>
      </c>
      <c r="AQ41" s="17">
        <f>AM41*3+AO41</f>
        <v>0</v>
      </c>
      <c r="AR41" s="19">
        <f>AQ41+AP41</f>
        <v>0</v>
      </c>
      <c r="AS41" s="33"/>
      <c r="AT41" s="35"/>
      <c r="AU41" s="35"/>
      <c r="AV41" s="35"/>
      <c r="AW41" s="17">
        <f>AS41*3+AU41</f>
        <v>0</v>
      </c>
      <c r="AX41" s="17">
        <f>AT41*3+AV41</f>
        <v>0</v>
      </c>
      <c r="AY41" s="19">
        <f>AX41+AW41</f>
        <v>0</v>
      </c>
      <c r="AZ41" s="33"/>
      <c r="BA41" s="35"/>
      <c r="BB41" s="35"/>
      <c r="BC41" s="35"/>
      <c r="BD41" s="17">
        <f>AZ41*3+BB41</f>
        <v>0</v>
      </c>
      <c r="BE41" s="17">
        <f>BA41*3+BC41</f>
        <v>0</v>
      </c>
      <c r="BF41" s="19">
        <f>BE41+BD41</f>
        <v>0</v>
      </c>
      <c r="BG41" s="99"/>
      <c r="BH41" s="109"/>
      <c r="BI41" s="35"/>
      <c r="BJ41" s="35"/>
      <c r="BK41" s="17">
        <f>BG41*3+BI41</f>
        <v>0</v>
      </c>
      <c r="BL41" s="17">
        <f>BH41*3+BJ41</f>
        <v>0</v>
      </c>
      <c r="BM41" s="73">
        <f>BL41+BK41</f>
        <v>0</v>
      </c>
      <c r="BN41" s="99"/>
      <c r="BO41" s="109"/>
      <c r="BP41" s="109"/>
      <c r="BQ41" s="109"/>
      <c r="BR41" s="17">
        <f>BN41*3+BP41</f>
        <v>0</v>
      </c>
      <c r="BS41" s="17">
        <f>BO41*3+BQ41</f>
        <v>0</v>
      </c>
      <c r="BT41" s="73">
        <f>BS41+BR41</f>
        <v>0</v>
      </c>
      <c r="BU41" s="99">
        <v>1</v>
      </c>
      <c r="BV41" s="109"/>
      <c r="BW41" s="109"/>
      <c r="BX41" s="109"/>
      <c r="BY41" s="17">
        <f>BU41*3+BW41</f>
        <v>3</v>
      </c>
      <c r="BZ41" s="17">
        <f>BV41*3+BX41</f>
        <v>0</v>
      </c>
      <c r="CA41" s="73">
        <f>BZ41+BY41</f>
        <v>3</v>
      </c>
      <c r="CB41" s="99"/>
      <c r="CC41" s="109"/>
      <c r="CD41" s="109">
        <v>2</v>
      </c>
      <c r="CE41" s="160"/>
      <c r="CF41" s="17">
        <f>CB41*3+CD41</f>
        <v>2</v>
      </c>
      <c r="CG41" s="17">
        <f>CC41*3+CE41</f>
        <v>0</v>
      </c>
      <c r="CH41" s="73">
        <f>CG41+CF41</f>
        <v>2</v>
      </c>
      <c r="CI41" s="74"/>
      <c r="CJ41" s="74"/>
      <c r="CK41" s="74">
        <v>3</v>
      </c>
      <c r="CL41" s="168"/>
      <c r="CM41" s="17">
        <f>CI41*3+CK41</f>
        <v>3</v>
      </c>
      <c r="CN41" s="17">
        <f>CJ41*3+CL41</f>
        <v>0</v>
      </c>
      <c r="CO41" s="73">
        <f>CN41+CM41</f>
        <v>3</v>
      </c>
      <c r="CP41" s="239">
        <v>1</v>
      </c>
      <c r="CQ41" s="109"/>
      <c r="CR41" s="109">
        <v>1</v>
      </c>
      <c r="CS41" s="109"/>
      <c r="CT41" s="17">
        <f t="shared" si="26"/>
        <v>4</v>
      </c>
      <c r="CU41" s="17">
        <f t="shared" si="27"/>
        <v>0</v>
      </c>
      <c r="CV41" s="73">
        <f t="shared" si="28"/>
        <v>4</v>
      </c>
      <c r="CW41" s="99"/>
      <c r="CX41" s="109"/>
      <c r="CY41" s="109">
        <v>4</v>
      </c>
      <c r="CZ41" s="109"/>
      <c r="DA41" s="17">
        <f t="shared" si="29"/>
        <v>4</v>
      </c>
      <c r="DB41" s="17">
        <f t="shared" si="30"/>
        <v>0</v>
      </c>
      <c r="DC41" s="73">
        <f t="shared" si="31"/>
        <v>4</v>
      </c>
      <c r="DD41" s="99"/>
      <c r="DE41" s="109"/>
      <c r="DF41" s="109"/>
      <c r="DG41" s="109"/>
      <c r="DH41" s="102">
        <f t="shared" si="32"/>
        <v>0</v>
      </c>
      <c r="DI41" s="102">
        <f t="shared" si="33"/>
        <v>0</v>
      </c>
      <c r="DJ41" s="73">
        <f t="shared" si="34"/>
        <v>0</v>
      </c>
      <c r="DK41" s="99"/>
      <c r="DL41" s="109"/>
      <c r="DM41" s="109"/>
      <c r="DN41" s="109"/>
      <c r="DO41" s="102">
        <f t="shared" si="35"/>
        <v>0</v>
      </c>
      <c r="DP41" s="102">
        <f t="shared" si="36"/>
        <v>0</v>
      </c>
      <c r="DQ41" s="73">
        <f t="shared" si="37"/>
        <v>0</v>
      </c>
      <c r="DR41" s="146">
        <f t="shared" si="38"/>
        <v>16</v>
      </c>
      <c r="DS41" s="147">
        <f t="shared" ca="1" si="39"/>
        <v>7.8431372549019607E-2</v>
      </c>
      <c r="DT41" s="148">
        <f t="shared" si="40"/>
        <v>0</v>
      </c>
      <c r="DU41" s="147">
        <f t="shared" ca="1" si="41"/>
        <v>0</v>
      </c>
      <c r="DV41" s="148">
        <f t="shared" si="42"/>
        <v>16</v>
      </c>
      <c r="DW41" s="147">
        <f t="shared" ca="1" si="43"/>
        <v>7.8431372549019607E-2</v>
      </c>
      <c r="DX41" s="148">
        <f t="shared" si="44"/>
        <v>2</v>
      </c>
      <c r="DY41" s="148">
        <f t="shared" si="45"/>
        <v>0</v>
      </c>
      <c r="DZ41" s="148">
        <f t="shared" si="46"/>
        <v>2</v>
      </c>
    </row>
    <row r="42" spans="1:130" ht="15.75" thickBot="1" x14ac:dyDescent="0.3">
      <c r="A42" s="303" t="s">
        <v>15</v>
      </c>
      <c r="B42" s="294" t="s">
        <v>230</v>
      </c>
      <c r="C42" s="304" t="str">
        <f t="shared" si="0"/>
        <v>יונתן מרחבים</v>
      </c>
      <c r="D42" s="227" t="s">
        <v>6</v>
      </c>
      <c r="E42" s="227" t="s">
        <v>7</v>
      </c>
      <c r="F42" s="81" t="s">
        <v>229</v>
      </c>
      <c r="G42" s="63">
        <v>43221</v>
      </c>
      <c r="H42" s="284"/>
      <c r="I42" s="285" t="s">
        <v>231</v>
      </c>
      <c r="J42" s="105"/>
      <c r="K42" s="106"/>
      <c r="L42" s="106"/>
      <c r="M42" s="106"/>
      <c r="N42" s="107">
        <f>J42*3+L42</f>
        <v>0</v>
      </c>
      <c r="O42" s="107">
        <f>K42*3+M42</f>
        <v>0</v>
      </c>
      <c r="P42" s="65">
        <f>O42+N42</f>
        <v>0</v>
      </c>
      <c r="Q42" s="66"/>
      <c r="R42" s="67"/>
      <c r="S42" s="67"/>
      <c r="T42" s="67"/>
      <c r="U42" s="79">
        <f>Q42*3+S42</f>
        <v>0</v>
      </c>
      <c r="V42" s="79">
        <f>R42*3+T42</f>
        <v>0</v>
      </c>
      <c r="W42" s="98">
        <f>V42+U42</f>
        <v>0</v>
      </c>
      <c r="X42" s="66"/>
      <c r="Y42" s="67"/>
      <c r="Z42" s="67"/>
      <c r="AA42" s="67"/>
      <c r="AB42" s="64">
        <f>X42*3+Z42</f>
        <v>0</v>
      </c>
      <c r="AC42" s="64">
        <f>Y42*3+AA42</f>
        <v>0</v>
      </c>
      <c r="AD42" s="68">
        <f>AC42+AB42</f>
        <v>0</v>
      </c>
      <c r="AE42" s="66"/>
      <c r="AF42" s="67"/>
      <c r="AG42" s="67"/>
      <c r="AH42" s="67"/>
      <c r="AI42" s="79">
        <f>AE42*3+AG42</f>
        <v>0</v>
      </c>
      <c r="AJ42" s="79">
        <f>AF42*3+AH42</f>
        <v>0</v>
      </c>
      <c r="AK42" s="98">
        <f>AJ42+AI42</f>
        <v>0</v>
      </c>
      <c r="AL42" s="66"/>
      <c r="AM42" s="67"/>
      <c r="AN42" s="67"/>
      <c r="AO42" s="67"/>
      <c r="AP42" s="79">
        <f>AL42*3+AN42</f>
        <v>0</v>
      </c>
      <c r="AQ42" s="79">
        <f>AM42*3+AO42</f>
        <v>0</v>
      </c>
      <c r="AR42" s="98">
        <f>AQ42+AP42</f>
        <v>0</v>
      </c>
      <c r="AS42" s="66"/>
      <c r="AT42" s="67"/>
      <c r="AU42" s="67"/>
      <c r="AV42" s="67"/>
      <c r="AW42" s="79">
        <f>AS42*3+AU42</f>
        <v>0</v>
      </c>
      <c r="AX42" s="79">
        <f>AT42*3+AV42</f>
        <v>0</v>
      </c>
      <c r="AY42" s="98">
        <f>AX42+AW42</f>
        <v>0</v>
      </c>
      <c r="AZ42" s="66"/>
      <c r="BA42" s="67"/>
      <c r="BB42" s="67"/>
      <c r="BC42" s="67"/>
      <c r="BD42" s="79">
        <f>AZ42*3+BB42</f>
        <v>0</v>
      </c>
      <c r="BE42" s="79">
        <f>BA42*3+BC42</f>
        <v>0</v>
      </c>
      <c r="BF42" s="98">
        <f>BE42+BD42</f>
        <v>0</v>
      </c>
      <c r="BG42" s="96"/>
      <c r="BH42" s="75"/>
      <c r="BI42" s="67"/>
      <c r="BJ42" s="67"/>
      <c r="BK42" s="79">
        <f>BG42*3+BI42</f>
        <v>0</v>
      </c>
      <c r="BL42" s="79">
        <f>BH42*3+BJ42</f>
        <v>0</v>
      </c>
      <c r="BM42" s="80">
        <f>BL42+BK42</f>
        <v>0</v>
      </c>
      <c r="BN42" s="96"/>
      <c r="BO42" s="75"/>
      <c r="BP42" s="75"/>
      <c r="BQ42" s="75"/>
      <c r="BR42" s="79">
        <f>BN42*3+BP42</f>
        <v>0</v>
      </c>
      <c r="BS42" s="79">
        <f>BO42*3+BQ42</f>
        <v>0</v>
      </c>
      <c r="BT42" s="80">
        <f>BS42+BR42</f>
        <v>0</v>
      </c>
      <c r="BU42" s="96"/>
      <c r="BV42" s="75"/>
      <c r="BW42" s="75"/>
      <c r="BX42" s="75"/>
      <c r="BY42" s="79">
        <f>BU42*3+BW42</f>
        <v>0</v>
      </c>
      <c r="BZ42" s="79">
        <f>BV42*3+BX42</f>
        <v>0</v>
      </c>
      <c r="CA42" s="80">
        <f>BZ42+BY42</f>
        <v>0</v>
      </c>
      <c r="CB42" s="96"/>
      <c r="CC42" s="75"/>
      <c r="CD42" s="75"/>
      <c r="CE42" s="245"/>
      <c r="CF42" s="79">
        <f>CB42*3+CD42</f>
        <v>0</v>
      </c>
      <c r="CG42" s="79">
        <f>CC42*3+CE42</f>
        <v>0</v>
      </c>
      <c r="CH42" s="80">
        <f>CG42+CF42</f>
        <v>0</v>
      </c>
      <c r="CI42" s="75"/>
      <c r="CJ42" s="75"/>
      <c r="CK42" s="75">
        <v>1</v>
      </c>
      <c r="CL42" s="199"/>
      <c r="CM42" s="79">
        <f>CI42*3+CK42</f>
        <v>1</v>
      </c>
      <c r="CN42" s="79">
        <f>CJ42*3+CL42</f>
        <v>0</v>
      </c>
      <c r="CO42" s="80">
        <f>CN42+CM42</f>
        <v>1</v>
      </c>
      <c r="CP42" s="240"/>
      <c r="CQ42" s="75"/>
      <c r="CR42" s="75">
        <v>3</v>
      </c>
      <c r="CS42" s="75"/>
      <c r="CT42" s="79">
        <f t="shared" si="26"/>
        <v>3</v>
      </c>
      <c r="CU42" s="79">
        <f t="shared" si="27"/>
        <v>0</v>
      </c>
      <c r="CV42" s="80">
        <f t="shared" si="28"/>
        <v>3</v>
      </c>
      <c r="CW42" s="96"/>
      <c r="CX42" s="75"/>
      <c r="CY42" s="75">
        <v>3</v>
      </c>
      <c r="CZ42" s="75"/>
      <c r="DA42" s="79">
        <f t="shared" si="29"/>
        <v>3</v>
      </c>
      <c r="DB42" s="79">
        <f t="shared" si="30"/>
        <v>0</v>
      </c>
      <c r="DC42" s="80">
        <f t="shared" si="31"/>
        <v>3</v>
      </c>
      <c r="DD42" s="96">
        <v>1</v>
      </c>
      <c r="DE42" s="75"/>
      <c r="DF42" s="75">
        <v>1</v>
      </c>
      <c r="DG42" s="75"/>
      <c r="DH42" s="107">
        <f t="shared" si="32"/>
        <v>4</v>
      </c>
      <c r="DI42" s="107">
        <f t="shared" si="33"/>
        <v>0</v>
      </c>
      <c r="DJ42" s="80">
        <f t="shared" si="34"/>
        <v>4</v>
      </c>
      <c r="DK42" s="96"/>
      <c r="DL42" s="75"/>
      <c r="DM42" s="75"/>
      <c r="DN42" s="75"/>
      <c r="DO42" s="107">
        <f t="shared" si="35"/>
        <v>0</v>
      </c>
      <c r="DP42" s="107">
        <f t="shared" si="36"/>
        <v>0</v>
      </c>
      <c r="DQ42" s="80">
        <f t="shared" si="37"/>
        <v>0</v>
      </c>
      <c r="DR42" s="146">
        <f t="shared" si="38"/>
        <v>11</v>
      </c>
      <c r="DS42" s="147">
        <f t="shared" ca="1" si="39"/>
        <v>7.6923076923076927E-2</v>
      </c>
      <c r="DT42" s="148">
        <f t="shared" si="40"/>
        <v>0</v>
      </c>
      <c r="DU42" s="147">
        <f t="shared" ca="1" si="41"/>
        <v>0</v>
      </c>
      <c r="DV42" s="148">
        <f t="shared" si="42"/>
        <v>11</v>
      </c>
      <c r="DW42" s="147">
        <f t="shared" ca="1" si="43"/>
        <v>7.6923076923076927E-2</v>
      </c>
      <c r="DX42" s="148">
        <f t="shared" si="44"/>
        <v>1</v>
      </c>
      <c r="DY42" s="148">
        <f t="shared" si="45"/>
        <v>0</v>
      </c>
      <c r="DZ42" s="148">
        <f t="shared" si="46"/>
        <v>1</v>
      </c>
    </row>
    <row r="43" spans="1:130" x14ac:dyDescent="0.25">
      <c r="A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71"/>
      <c r="BO43" s="71"/>
      <c r="BP43" s="71"/>
      <c r="BQ43" s="71"/>
      <c r="BR43" s="71"/>
      <c r="BS43" s="12"/>
      <c r="BT43" s="12"/>
      <c r="BU43" s="71"/>
      <c r="BV43" s="71"/>
      <c r="BW43" s="71"/>
      <c r="BY43" s="71"/>
      <c r="BZ43" s="12"/>
      <c r="CA43" s="12"/>
      <c r="CB43" s="71"/>
      <c r="CC43" s="71"/>
      <c r="CD43" s="71"/>
      <c r="CE43" s="71"/>
      <c r="CF43" s="71"/>
      <c r="CG43" s="12"/>
      <c r="CH43" s="12"/>
      <c r="CI43" s="71"/>
      <c r="CJ43" s="71"/>
      <c r="CK43" s="71"/>
      <c r="CM43" s="71"/>
      <c r="CN43" s="12"/>
      <c r="CO43" s="12"/>
      <c r="CP43" s="71"/>
      <c r="CQ43" s="71"/>
      <c r="CR43" s="71"/>
      <c r="CS43" s="71"/>
      <c r="CT43" s="71"/>
      <c r="CU43" s="12"/>
      <c r="CV43" s="12"/>
      <c r="CW43" s="71"/>
      <c r="CX43" s="71"/>
      <c r="CY43" s="71"/>
      <c r="CZ43" s="71"/>
      <c r="DA43" s="71"/>
      <c r="DB43" s="12"/>
      <c r="DC43" s="12"/>
      <c r="DD43" s="71"/>
      <c r="DE43" s="71"/>
      <c r="DF43" s="71"/>
      <c r="DG43" s="71"/>
      <c r="DH43" s="292"/>
      <c r="DI43" s="293"/>
      <c r="DJ43" s="293"/>
      <c r="DK43" s="292"/>
      <c r="DL43" s="292"/>
      <c r="DM43" s="292"/>
      <c r="DN43" s="292"/>
      <c r="DO43" s="292"/>
      <c r="DP43" s="293"/>
      <c r="DQ43" s="293"/>
    </row>
    <row r="44" spans="1:130" x14ac:dyDescent="0.25">
      <c r="A44" s="12"/>
      <c r="I44" s="12"/>
      <c r="J44" s="12"/>
      <c r="K44" s="12"/>
      <c r="L44" s="12"/>
      <c r="M44" s="12"/>
      <c r="N44" s="12"/>
      <c r="O44" s="12"/>
      <c r="P44" s="12"/>
      <c r="Q44" s="12"/>
      <c r="R44" s="12"/>
      <c r="S44" s="12"/>
      <c r="T44" s="12"/>
      <c r="U44" s="12"/>
      <c r="V44" s="12"/>
      <c r="W44" s="12"/>
      <c r="X44" s="12"/>
      <c r="Y44" s="12"/>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71"/>
      <c r="BO44" s="71"/>
      <c r="BP44" s="71"/>
      <c r="BQ44" s="71"/>
      <c r="BR44" s="71"/>
      <c r="BS44" s="12"/>
      <c r="BT44" s="12"/>
      <c r="BU44" s="71"/>
      <c r="BV44" s="71"/>
      <c r="BW44" s="71"/>
      <c r="BY44" s="71"/>
      <c r="BZ44" s="12"/>
      <c r="CA44" s="12"/>
      <c r="CB44" s="71"/>
      <c r="CC44" s="71"/>
      <c r="CD44" s="71"/>
      <c r="CE44" s="71"/>
      <c r="CF44" s="71"/>
      <c r="CG44" s="12"/>
      <c r="CH44" s="12"/>
      <c r="CI44" s="71"/>
      <c r="CJ44" s="71"/>
      <c r="CK44" s="71"/>
      <c r="CM44" s="71"/>
      <c r="CN44" s="12"/>
      <c r="CO44" s="12"/>
      <c r="CP44" s="71"/>
      <c r="CQ44" s="71"/>
      <c r="CR44" s="71"/>
      <c r="CS44" s="71"/>
      <c r="CT44" s="71"/>
      <c r="CU44" s="12"/>
      <c r="CV44" s="12"/>
      <c r="CW44" s="71"/>
      <c r="CX44" s="71"/>
      <c r="CY44" s="71"/>
      <c r="CZ44" s="71"/>
      <c r="DA44" s="71"/>
      <c r="DB44" s="12"/>
      <c r="DC44" s="12"/>
      <c r="DD44" s="71"/>
      <c r="DE44" s="71"/>
      <c r="DF44" s="71"/>
      <c r="DG44" s="71"/>
      <c r="DH44" s="292"/>
      <c r="DI44" s="293"/>
      <c r="DJ44" s="293"/>
      <c r="DK44" s="292"/>
      <c r="DL44" s="292"/>
      <c r="DM44" s="292"/>
      <c r="DN44" s="292"/>
      <c r="DO44" s="292"/>
      <c r="DP44" s="293"/>
      <c r="DQ44" s="293"/>
    </row>
    <row r="45" spans="1:130" ht="21" x14ac:dyDescent="0.35">
      <c r="A45" s="12"/>
      <c r="F45" s="249" t="s">
        <v>290</v>
      </c>
      <c r="I45" s="12"/>
      <c r="J45" s="12"/>
      <c r="K45" s="12"/>
      <c r="L45" s="12"/>
      <c r="M45" s="12"/>
      <c r="N45" s="12"/>
      <c r="O45" s="12"/>
      <c r="P45" s="12"/>
      <c r="Q45" s="12"/>
      <c r="R45" s="12"/>
      <c r="S45" s="12"/>
      <c r="T45" s="12"/>
      <c r="U45" s="12"/>
      <c r="V45" s="12"/>
      <c r="W45" s="12"/>
      <c r="X45" s="12"/>
      <c r="Y45" s="12"/>
      <c r="Z45" s="12"/>
      <c r="AA45" s="12"/>
    </row>
    <row r="46" spans="1:130" ht="33.75" x14ac:dyDescent="0.5">
      <c r="A46" s="12"/>
      <c r="C46" s="97"/>
      <c r="I46" s="12"/>
      <c r="J46" s="12"/>
      <c r="K46" s="12"/>
      <c r="L46" s="12"/>
      <c r="M46" s="12"/>
      <c r="N46" s="12"/>
      <c r="O46" s="12"/>
      <c r="P46" s="12"/>
      <c r="Q46" s="12"/>
      <c r="R46" s="12"/>
      <c r="S46" s="12"/>
      <c r="T46" s="12"/>
      <c r="U46" s="12"/>
      <c r="V46" s="12"/>
      <c r="W46" s="12"/>
      <c r="X46" s="12"/>
      <c r="Y46" s="12"/>
      <c r="Z46" s="12"/>
      <c r="AA46" s="12"/>
    </row>
    <row r="47" spans="1:130" x14ac:dyDescent="0.25">
      <c r="A47" s="12"/>
      <c r="I47" s="12"/>
      <c r="J47" s="12"/>
      <c r="K47" s="12"/>
      <c r="L47" s="12"/>
      <c r="M47" s="12"/>
      <c r="N47" s="12"/>
      <c r="O47" s="12"/>
      <c r="P47" s="12"/>
      <c r="Q47" s="12"/>
      <c r="R47" s="12"/>
      <c r="S47" s="12"/>
      <c r="T47" s="12"/>
      <c r="U47" s="12"/>
      <c r="V47" s="12"/>
      <c r="W47" s="12"/>
      <c r="X47" s="12"/>
      <c r="Y47" s="12"/>
      <c r="Z47" s="12"/>
      <c r="AA47" s="12"/>
    </row>
    <row r="48" spans="1:130" x14ac:dyDescent="0.25">
      <c r="A48" s="12"/>
      <c r="I48" s="12"/>
      <c r="J48" s="12"/>
      <c r="K48" s="12"/>
      <c r="L48" s="12"/>
      <c r="M48" s="12"/>
      <c r="N48" s="12"/>
      <c r="O48" s="12"/>
      <c r="P48" s="12"/>
      <c r="Q48" s="12"/>
      <c r="R48" s="12"/>
      <c r="S48" s="12"/>
      <c r="T48" s="12"/>
      <c r="U48" s="12"/>
      <c r="V48" s="12"/>
      <c r="W48" s="12"/>
      <c r="X48" s="12"/>
      <c r="Y48" s="12"/>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71"/>
      <c r="BO48" s="71"/>
      <c r="BP48" s="71"/>
      <c r="BQ48" s="71"/>
      <c r="BR48" s="71"/>
      <c r="BS48" s="12"/>
      <c r="BT48" s="12"/>
      <c r="BU48" s="71"/>
      <c r="BV48" s="71"/>
      <c r="BW48" s="71"/>
      <c r="BY48" s="71"/>
      <c r="BZ48" s="12"/>
      <c r="CA48" s="12"/>
      <c r="CB48" s="71"/>
      <c r="CC48" s="71"/>
      <c r="CD48" s="71"/>
      <c r="CE48" s="71"/>
      <c r="CF48" s="71"/>
      <c r="CG48" s="12"/>
      <c r="CH48" s="12"/>
      <c r="CI48" s="71"/>
      <c r="CJ48" s="71"/>
      <c r="CK48" s="71"/>
      <c r="CM48" s="71"/>
      <c r="CN48" s="12"/>
      <c r="CO48" s="12"/>
      <c r="CP48" s="71"/>
      <c r="CQ48" s="71"/>
      <c r="CR48" s="71"/>
      <c r="CS48" s="71"/>
      <c r="CT48" s="71"/>
      <c r="CU48" s="12"/>
      <c r="CV48" s="12"/>
      <c r="CW48" s="71"/>
      <c r="CX48" s="71"/>
      <c r="CY48" s="71"/>
      <c r="CZ48" s="71"/>
      <c r="DA48" s="71"/>
      <c r="DB48" s="12"/>
      <c r="DC48" s="12"/>
      <c r="DD48" s="71"/>
      <c r="DE48" s="71"/>
      <c r="DF48" s="71"/>
      <c r="DG48" s="71"/>
      <c r="DH48" s="292"/>
      <c r="DI48" s="293"/>
      <c r="DJ48" s="293"/>
      <c r="DK48" s="292"/>
      <c r="DL48" s="292"/>
      <c r="DM48" s="292"/>
      <c r="DN48" s="292"/>
      <c r="DO48" s="292"/>
      <c r="DP48" s="293"/>
      <c r="DQ48" s="293"/>
    </row>
    <row r="49" spans="1:121" x14ac:dyDescent="0.25">
      <c r="A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71"/>
      <c r="BO49" s="71"/>
      <c r="BP49" s="71"/>
      <c r="BQ49" s="71"/>
      <c r="BR49" s="71"/>
      <c r="BS49" s="12"/>
      <c r="BT49" s="12"/>
      <c r="BU49" s="71"/>
      <c r="BV49" s="71"/>
      <c r="BW49" s="71"/>
      <c r="BY49" s="71"/>
      <c r="BZ49" s="12"/>
      <c r="CA49" s="12"/>
      <c r="CB49" s="71"/>
      <c r="CC49" s="71"/>
      <c r="CD49" s="71"/>
      <c r="CE49" s="71"/>
      <c r="CF49" s="71"/>
      <c r="CG49" s="12"/>
      <c r="CH49" s="12"/>
      <c r="CI49" s="71"/>
      <c r="CJ49" s="71"/>
      <c r="CK49" s="71"/>
      <c r="CM49" s="71"/>
      <c r="CN49" s="12"/>
      <c r="CO49" s="12"/>
      <c r="CP49" s="71"/>
      <c r="CQ49" s="71"/>
      <c r="CR49" s="71"/>
      <c r="CS49" s="71"/>
      <c r="CT49" s="71"/>
      <c r="CU49" s="12"/>
      <c r="CV49" s="12"/>
      <c r="CW49" s="71"/>
      <c r="CX49" s="71"/>
      <c r="CY49" s="71"/>
      <c r="CZ49" s="71"/>
      <c r="DA49" s="71"/>
      <c r="DB49" s="12"/>
      <c r="DC49" s="12"/>
      <c r="DD49" s="71"/>
      <c r="DE49" s="71"/>
      <c r="DF49" s="71"/>
      <c r="DG49" s="71"/>
      <c r="DH49" s="292"/>
      <c r="DI49" s="293"/>
      <c r="DJ49" s="293"/>
      <c r="DK49" s="292"/>
      <c r="DL49" s="292"/>
      <c r="DM49" s="292"/>
      <c r="DN49" s="292"/>
      <c r="DO49" s="292"/>
      <c r="DP49" s="293"/>
      <c r="DQ49" s="293"/>
    </row>
    <row r="50" spans="1:121" x14ac:dyDescent="0.25">
      <c r="A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71"/>
      <c r="BO50" s="71"/>
      <c r="BP50" s="71"/>
      <c r="BQ50" s="71"/>
      <c r="BR50" s="71"/>
      <c r="BS50" s="12"/>
      <c r="BT50" s="12"/>
      <c r="BU50" s="71"/>
      <c r="BV50" s="71"/>
      <c r="BW50" s="71"/>
      <c r="BY50" s="71"/>
      <c r="BZ50" s="12"/>
      <c r="CA50" s="12"/>
      <c r="CB50" s="71"/>
      <c r="CC50" s="71"/>
      <c r="CD50" s="71"/>
      <c r="CE50" s="71"/>
      <c r="CF50" s="71"/>
      <c r="CG50" s="12"/>
      <c r="CH50" s="12"/>
      <c r="CI50" s="71"/>
      <c r="CJ50" s="71"/>
      <c r="CK50" s="71"/>
      <c r="CM50" s="71"/>
      <c r="CN50" s="12"/>
      <c r="CO50" s="12"/>
      <c r="CP50" s="71"/>
      <c r="CQ50" s="71"/>
      <c r="CR50" s="71"/>
      <c r="CS50" s="71"/>
      <c r="CT50" s="71"/>
      <c r="CU50" s="12"/>
      <c r="CV50" s="12"/>
      <c r="CW50" s="71"/>
      <c r="CX50" s="71"/>
      <c r="CY50" s="71"/>
      <c r="CZ50" s="71"/>
      <c r="DA50" s="71"/>
      <c r="DB50" s="12"/>
      <c r="DC50" s="12"/>
      <c r="DD50" s="71"/>
      <c r="DE50" s="71"/>
      <c r="DF50" s="71"/>
      <c r="DG50" s="71"/>
      <c r="DH50" s="292"/>
      <c r="DI50" s="293"/>
      <c r="DJ50" s="293"/>
      <c r="DK50" s="292"/>
      <c r="DL50" s="292"/>
      <c r="DM50" s="292"/>
      <c r="DN50" s="292"/>
      <c r="DO50" s="292"/>
      <c r="DP50" s="293"/>
      <c r="DQ50" s="293"/>
    </row>
    <row r="51" spans="1:121" x14ac:dyDescent="0.25">
      <c r="A51" s="12"/>
      <c r="I51" s="12"/>
      <c r="J51" s="12"/>
      <c r="K51" s="12"/>
      <c r="L51" s="12"/>
      <c r="M51" s="12"/>
      <c r="N51" s="12"/>
      <c r="O51" s="12"/>
      <c r="P51" s="12"/>
      <c r="Q51" s="12"/>
      <c r="R51" s="12"/>
      <c r="S51" s="12"/>
      <c r="T51" s="12"/>
      <c r="U51" s="12"/>
      <c r="V51" s="12"/>
      <c r="W51" s="12"/>
      <c r="X51" s="12"/>
      <c r="Y51" s="12"/>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71"/>
      <c r="BO51" s="71"/>
      <c r="BP51" s="71"/>
      <c r="BQ51" s="71"/>
      <c r="BR51" s="71"/>
      <c r="BS51" s="12"/>
      <c r="BT51" s="12"/>
      <c r="BU51" s="71"/>
      <c r="BV51" s="71"/>
      <c r="BW51" s="71"/>
      <c r="BY51" s="71"/>
      <c r="BZ51" s="12"/>
      <c r="CA51" s="12"/>
      <c r="CB51" s="71"/>
      <c r="CC51" s="71"/>
      <c r="CD51" s="71"/>
      <c r="CE51" s="71"/>
      <c r="CF51" s="71"/>
      <c r="CG51" s="12"/>
      <c r="CH51" s="12"/>
      <c r="CI51" s="71"/>
      <c r="CJ51" s="71"/>
      <c r="CK51" s="71"/>
      <c r="CM51" s="71"/>
      <c r="CN51" s="12"/>
      <c r="CO51" s="12"/>
      <c r="CP51" s="71"/>
      <c r="CQ51" s="71"/>
      <c r="CR51" s="71"/>
      <c r="CS51" s="71"/>
      <c r="CT51" s="71"/>
      <c r="CU51" s="12"/>
      <c r="CV51" s="12"/>
      <c r="CW51" s="71"/>
      <c r="CX51" s="71"/>
      <c r="CY51" s="71"/>
      <c r="CZ51" s="71"/>
      <c r="DA51" s="71"/>
      <c r="DB51" s="12"/>
      <c r="DC51" s="12"/>
      <c r="DD51" s="71"/>
      <c r="DE51" s="71"/>
      <c r="DF51" s="71"/>
      <c r="DG51" s="71"/>
      <c r="DH51" s="292"/>
      <c r="DI51" s="293"/>
      <c r="DJ51" s="293"/>
      <c r="DK51" s="292"/>
      <c r="DL51" s="292"/>
      <c r="DM51" s="292"/>
      <c r="DN51" s="292"/>
      <c r="DO51" s="292"/>
      <c r="DP51" s="293"/>
      <c r="DQ51" s="293"/>
    </row>
    <row r="52" spans="1:121" x14ac:dyDescent="0.25">
      <c r="A52" s="12"/>
      <c r="I52" s="12"/>
      <c r="J52" s="12"/>
      <c r="K52" s="12"/>
      <c r="L52" s="12"/>
      <c r="M52" s="12"/>
      <c r="N52" s="12"/>
      <c r="O52" s="12"/>
      <c r="P52" s="12"/>
      <c r="Q52" s="12"/>
      <c r="R52" s="12"/>
      <c r="S52" s="12"/>
      <c r="T52" s="12"/>
      <c r="U52" s="12"/>
      <c r="V52" s="12"/>
      <c r="W52" s="12"/>
      <c r="X52" s="12"/>
      <c r="Y52" s="12"/>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71"/>
      <c r="BO52" s="71"/>
      <c r="BP52" s="71"/>
      <c r="BQ52" s="71"/>
      <c r="BR52" s="71"/>
      <c r="BS52" s="12"/>
      <c r="BT52" s="12"/>
      <c r="BU52" s="71"/>
      <c r="BV52" s="71"/>
      <c r="BW52" s="71"/>
      <c r="BY52" s="71"/>
      <c r="BZ52" s="12"/>
      <c r="CA52" s="12"/>
      <c r="CB52" s="71"/>
      <c r="CC52" s="71"/>
      <c r="CD52" s="71"/>
      <c r="CE52" s="71"/>
      <c r="CF52" s="71"/>
      <c r="CG52" s="12"/>
      <c r="CH52" s="12"/>
      <c r="CI52" s="71"/>
      <c r="CJ52" s="71"/>
      <c r="CK52" s="71"/>
      <c r="CM52" s="71"/>
      <c r="CN52" s="12"/>
      <c r="CO52" s="12"/>
      <c r="CP52" s="71"/>
      <c r="CQ52" s="71"/>
      <c r="CR52" s="71"/>
      <c r="CS52" s="71"/>
      <c r="CT52" s="71"/>
      <c r="CU52" s="12"/>
      <c r="CV52" s="12"/>
      <c r="CW52" s="71"/>
      <c r="CX52" s="71"/>
      <c r="CY52" s="71"/>
      <c r="CZ52" s="71"/>
      <c r="DA52" s="71"/>
      <c r="DB52" s="12"/>
      <c r="DC52" s="12"/>
      <c r="DD52" s="71"/>
      <c r="DE52" s="71"/>
      <c r="DF52" s="71"/>
      <c r="DG52" s="71"/>
      <c r="DH52" s="292"/>
      <c r="DI52" s="293"/>
      <c r="DJ52" s="293"/>
      <c r="DK52" s="292"/>
      <c r="DL52" s="292"/>
      <c r="DM52" s="292"/>
      <c r="DN52" s="292"/>
      <c r="DO52" s="292"/>
      <c r="DP52" s="293"/>
      <c r="DQ52" s="293"/>
    </row>
    <row r="53" spans="1:121" x14ac:dyDescent="0.25">
      <c r="A53" s="12"/>
      <c r="I53" s="12"/>
      <c r="J53" s="12"/>
      <c r="K53" s="12"/>
      <c r="L53" s="12"/>
      <c r="M53" s="12"/>
      <c r="N53" s="12"/>
      <c r="O53" s="12"/>
      <c r="P53" s="12"/>
      <c r="Q53" s="12"/>
      <c r="R53" s="12"/>
      <c r="S53" s="12"/>
      <c r="T53" s="12"/>
      <c r="U53" s="12"/>
      <c r="V53" s="12"/>
      <c r="W53" s="12"/>
      <c r="X53" s="12"/>
      <c r="Y53" s="12"/>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71"/>
      <c r="BO53" s="71"/>
      <c r="BP53" s="71"/>
      <c r="BQ53" s="71"/>
      <c r="BR53" s="71"/>
      <c r="BS53" s="12"/>
      <c r="BT53" s="12"/>
      <c r="BU53" s="71"/>
      <c r="BV53" s="71"/>
      <c r="BW53" s="71"/>
      <c r="BY53" s="71"/>
      <c r="BZ53" s="12"/>
      <c r="CA53" s="12"/>
      <c r="CB53" s="71"/>
      <c r="CC53" s="71"/>
      <c r="CD53" s="71"/>
      <c r="CE53" s="71"/>
      <c r="CF53" s="71"/>
      <c r="CG53" s="12"/>
      <c r="CH53" s="12"/>
      <c r="CI53" s="71"/>
      <c r="CJ53" s="71"/>
      <c r="CK53" s="71"/>
      <c r="CM53" s="71"/>
      <c r="CN53" s="12"/>
      <c r="CO53" s="12"/>
      <c r="CP53" s="71"/>
      <c r="CQ53" s="71"/>
      <c r="CR53" s="71"/>
      <c r="CS53" s="71"/>
      <c r="CT53" s="71"/>
      <c r="CU53" s="12"/>
      <c r="CV53" s="12"/>
      <c r="CW53" s="71"/>
      <c r="CX53" s="71"/>
      <c r="CY53" s="71"/>
      <c r="CZ53" s="71"/>
      <c r="DA53" s="71"/>
      <c r="DB53" s="12"/>
      <c r="DC53" s="12"/>
      <c r="DD53" s="71"/>
      <c r="DE53" s="71"/>
      <c r="DF53" s="71"/>
      <c r="DG53" s="71"/>
      <c r="DH53" s="292"/>
      <c r="DI53" s="293"/>
      <c r="DJ53" s="293"/>
      <c r="DK53" s="292"/>
      <c r="DL53" s="292"/>
      <c r="DM53" s="292"/>
      <c r="DN53" s="292"/>
      <c r="DO53" s="292"/>
      <c r="DP53" s="293"/>
      <c r="DQ53" s="293"/>
    </row>
    <row r="54" spans="1:121" x14ac:dyDescent="0.25">
      <c r="A54" s="12"/>
      <c r="I54" s="12"/>
      <c r="J54" s="12"/>
      <c r="K54" s="12"/>
      <c r="L54" s="12"/>
      <c r="M54" s="12"/>
      <c r="N54" s="12"/>
      <c r="O54" s="12"/>
      <c r="P54" s="12"/>
      <c r="Q54" s="12"/>
      <c r="R54" s="12"/>
      <c r="S54" s="12"/>
      <c r="T54" s="12"/>
      <c r="U54" s="12"/>
      <c r="V54" s="12"/>
      <c r="W54" s="12"/>
      <c r="X54" s="12"/>
      <c r="Y54" s="12"/>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71"/>
      <c r="BO54" s="71"/>
      <c r="BP54" s="71"/>
      <c r="BQ54" s="71"/>
      <c r="BR54" s="71"/>
      <c r="BS54" s="12"/>
      <c r="BT54" s="12"/>
      <c r="BU54" s="71"/>
      <c r="BV54" s="71"/>
      <c r="BW54" s="71"/>
      <c r="BY54" s="71"/>
      <c r="BZ54" s="12"/>
      <c r="CA54" s="12"/>
      <c r="CB54" s="71"/>
      <c r="CC54" s="71"/>
      <c r="CD54" s="71"/>
      <c r="CE54" s="71"/>
      <c r="CF54" s="71"/>
      <c r="CG54" s="12"/>
      <c r="CH54" s="12"/>
      <c r="CI54" s="71"/>
      <c r="CJ54" s="71"/>
      <c r="CK54" s="71"/>
      <c r="CM54" s="71"/>
      <c r="CN54" s="12"/>
      <c r="CO54" s="12"/>
      <c r="CP54" s="71"/>
      <c r="CQ54" s="71"/>
      <c r="CR54" s="71"/>
      <c r="CS54" s="71"/>
      <c r="CT54" s="71"/>
      <c r="CU54" s="12"/>
      <c r="CV54" s="12"/>
      <c r="CW54" s="71"/>
      <c r="CX54" s="71"/>
      <c r="CY54" s="71"/>
      <c r="CZ54" s="71"/>
      <c r="DA54" s="71"/>
      <c r="DB54" s="12"/>
      <c r="DC54" s="12"/>
      <c r="DD54" s="71"/>
      <c r="DE54" s="71"/>
      <c r="DF54" s="71"/>
      <c r="DG54" s="71"/>
      <c r="DH54" s="292"/>
      <c r="DI54" s="293"/>
      <c r="DJ54" s="293"/>
      <c r="DK54" s="292"/>
      <c r="DL54" s="292"/>
      <c r="DM54" s="292"/>
      <c r="DN54" s="292"/>
      <c r="DO54" s="292"/>
      <c r="DP54" s="293"/>
      <c r="DQ54" s="293"/>
    </row>
    <row r="55" spans="1:121" x14ac:dyDescent="0.25">
      <c r="A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71"/>
      <c r="BO55" s="71"/>
      <c r="BP55" s="71"/>
      <c r="BQ55" s="71"/>
      <c r="BR55" s="71"/>
      <c r="BS55" s="12"/>
      <c r="BT55" s="12"/>
      <c r="BU55" s="71"/>
      <c r="BV55" s="71"/>
      <c r="BW55" s="71"/>
      <c r="BY55" s="71"/>
      <c r="BZ55" s="12"/>
      <c r="CA55" s="12"/>
      <c r="CB55" s="71"/>
      <c r="CC55" s="71"/>
      <c r="CD55" s="71"/>
      <c r="CE55" s="71"/>
      <c r="CF55" s="71"/>
      <c r="CG55" s="12"/>
      <c r="CH55" s="12"/>
      <c r="CI55" s="71"/>
      <c r="CJ55" s="71"/>
      <c r="CK55" s="71"/>
      <c r="CM55" s="71"/>
      <c r="CN55" s="12"/>
      <c r="CO55" s="12"/>
      <c r="CP55" s="71"/>
      <c r="CQ55" s="71"/>
      <c r="CR55" s="71"/>
      <c r="CS55" s="71"/>
      <c r="CT55" s="71"/>
      <c r="CU55" s="12"/>
      <c r="CV55" s="12"/>
      <c r="CW55" s="71"/>
      <c r="CX55" s="71"/>
      <c r="CY55" s="71"/>
      <c r="CZ55" s="71"/>
      <c r="DA55" s="71"/>
      <c r="DB55" s="12"/>
      <c r="DC55" s="12"/>
      <c r="DD55" s="71"/>
      <c r="DE55" s="71"/>
      <c r="DF55" s="71"/>
      <c r="DG55" s="71"/>
      <c r="DH55" s="292"/>
      <c r="DI55" s="293"/>
      <c r="DJ55" s="293"/>
      <c r="DK55" s="292"/>
      <c r="DL55" s="292"/>
      <c r="DM55" s="292"/>
      <c r="DN55" s="292"/>
      <c r="DO55" s="292"/>
      <c r="DP55" s="293"/>
      <c r="DQ55" s="293"/>
    </row>
    <row r="56" spans="1:121" x14ac:dyDescent="0.25">
      <c r="A56" s="12"/>
      <c r="I56" s="12"/>
      <c r="J56" s="12"/>
      <c r="K56" s="12"/>
      <c r="L56" s="12"/>
      <c r="M56" s="12"/>
      <c r="N56" s="12"/>
      <c r="O56" s="12"/>
      <c r="P56" s="12"/>
      <c r="Q56" s="12"/>
      <c r="R56" s="12"/>
      <c r="S56" s="12"/>
      <c r="T56" s="12"/>
      <c r="U56" s="12"/>
      <c r="V56" s="12"/>
      <c r="W56" s="12"/>
      <c r="X56" s="12"/>
      <c r="Y56" s="12"/>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71"/>
      <c r="BO56" s="71"/>
      <c r="BP56" s="71"/>
      <c r="BQ56" s="71"/>
      <c r="BR56" s="71"/>
      <c r="BS56" s="12"/>
      <c r="BT56" s="12"/>
      <c r="BU56" s="71"/>
      <c r="BV56" s="71"/>
      <c r="BW56" s="71"/>
      <c r="BY56" s="71"/>
      <c r="BZ56" s="12"/>
      <c r="CA56" s="12"/>
      <c r="CB56" s="71"/>
      <c r="CC56" s="71"/>
      <c r="CD56" s="71"/>
      <c r="CE56" s="71"/>
      <c r="CF56" s="71"/>
      <c r="CG56" s="12"/>
      <c r="CH56" s="12"/>
      <c r="CI56" s="71"/>
      <c r="CJ56" s="71"/>
      <c r="CK56" s="71"/>
      <c r="CM56" s="71"/>
      <c r="CN56" s="12"/>
      <c r="CO56" s="12"/>
      <c r="CP56" s="71"/>
      <c r="CQ56" s="71"/>
      <c r="CR56" s="71"/>
      <c r="CS56" s="71"/>
      <c r="CT56" s="71"/>
      <c r="CU56" s="12"/>
      <c r="CV56" s="12"/>
      <c r="CW56" s="71"/>
      <c r="CX56" s="71"/>
      <c r="CY56" s="71"/>
      <c r="CZ56" s="71"/>
      <c r="DA56" s="71"/>
      <c r="DB56" s="12"/>
      <c r="DC56" s="12"/>
      <c r="DD56" s="71"/>
      <c r="DE56" s="71"/>
      <c r="DF56" s="71"/>
      <c r="DG56" s="71"/>
      <c r="DH56" s="292"/>
      <c r="DI56" s="293"/>
      <c r="DJ56" s="293"/>
      <c r="DK56" s="292"/>
      <c r="DL56" s="292"/>
      <c r="DM56" s="292"/>
      <c r="DN56" s="292"/>
      <c r="DO56" s="292"/>
      <c r="DP56" s="293"/>
      <c r="DQ56" s="293"/>
    </row>
    <row r="57" spans="1:121" x14ac:dyDescent="0.25">
      <c r="A57" s="12"/>
      <c r="I57" s="12"/>
      <c r="J57" s="12"/>
      <c r="K57" s="12"/>
      <c r="L57" s="12"/>
      <c r="M57" s="12"/>
      <c r="N57" s="12"/>
      <c r="O57" s="12"/>
      <c r="P57" s="12"/>
      <c r="Q57" s="12"/>
      <c r="R57" s="12"/>
      <c r="S57" s="12"/>
      <c r="T57" s="12"/>
      <c r="U57" s="12"/>
      <c r="V57" s="12"/>
      <c r="W57" s="12"/>
      <c r="X57" s="12"/>
      <c r="Y57" s="12"/>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71"/>
      <c r="BO57" s="71"/>
      <c r="BP57" s="71"/>
      <c r="BQ57" s="71"/>
      <c r="BR57" s="71"/>
      <c r="BS57" s="12"/>
      <c r="BT57" s="12"/>
      <c r="BU57" s="71"/>
      <c r="BV57" s="71"/>
      <c r="BW57" s="71"/>
      <c r="BY57" s="71"/>
      <c r="BZ57" s="12"/>
      <c r="CA57" s="12"/>
      <c r="CB57" s="71"/>
      <c r="CC57" s="71"/>
      <c r="CD57" s="71"/>
      <c r="CE57" s="71"/>
      <c r="CF57" s="71"/>
      <c r="CG57" s="12"/>
      <c r="CH57" s="12"/>
      <c r="CI57" s="71"/>
      <c r="CJ57" s="71"/>
      <c r="CK57" s="71"/>
      <c r="CM57" s="71"/>
      <c r="CN57" s="12"/>
      <c r="CO57" s="12"/>
      <c r="CP57" s="71"/>
      <c r="CQ57" s="71"/>
      <c r="CR57" s="71"/>
      <c r="CS57" s="71"/>
      <c r="CT57" s="71"/>
      <c r="CU57" s="12"/>
      <c r="CV57" s="12"/>
      <c r="CW57" s="71"/>
      <c r="CX57" s="71"/>
      <c r="CY57" s="71"/>
      <c r="CZ57" s="71"/>
      <c r="DA57" s="71"/>
      <c r="DB57" s="12"/>
      <c r="DC57" s="12"/>
      <c r="DD57" s="71"/>
      <c r="DE57" s="71"/>
      <c r="DF57" s="71"/>
      <c r="DG57" s="71"/>
      <c r="DH57" s="292"/>
      <c r="DI57" s="293"/>
      <c r="DJ57" s="293"/>
      <c r="DK57" s="292"/>
      <c r="DL57" s="292"/>
      <c r="DM57" s="292"/>
      <c r="DN57" s="292"/>
      <c r="DO57" s="292"/>
      <c r="DP57" s="293"/>
      <c r="DQ57" s="293"/>
    </row>
    <row r="58" spans="1:121" x14ac:dyDescent="0.25">
      <c r="A58" s="12"/>
      <c r="I58" s="12"/>
      <c r="J58" s="12"/>
      <c r="K58" s="12"/>
      <c r="L58" s="12"/>
      <c r="M58" s="12"/>
      <c r="N58" s="12"/>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71"/>
      <c r="BO58" s="71"/>
      <c r="BP58" s="71"/>
      <c r="BQ58" s="71"/>
      <c r="BR58" s="71"/>
      <c r="BS58" s="12"/>
      <c r="BT58" s="12"/>
      <c r="BU58" s="71"/>
      <c r="BV58" s="71"/>
      <c r="BW58" s="71"/>
      <c r="BY58" s="71"/>
      <c r="BZ58" s="12"/>
      <c r="CA58" s="12"/>
      <c r="CB58" s="71"/>
      <c r="CC58" s="71"/>
      <c r="CD58" s="71"/>
      <c r="CE58" s="71"/>
      <c r="CF58" s="71"/>
      <c r="CG58" s="12"/>
      <c r="CH58" s="12"/>
      <c r="CI58" s="71"/>
      <c r="CJ58" s="71"/>
      <c r="CK58" s="71"/>
      <c r="CM58" s="71"/>
      <c r="CN58" s="12"/>
      <c r="CO58" s="12"/>
      <c r="CP58" s="71"/>
      <c r="CQ58" s="71"/>
      <c r="CR58" s="71"/>
      <c r="CS58" s="71"/>
      <c r="CT58" s="71"/>
      <c r="CU58" s="12"/>
      <c r="CV58" s="12"/>
      <c r="CW58" s="71"/>
      <c r="CX58" s="71"/>
      <c r="CY58" s="71"/>
      <c r="CZ58" s="71"/>
      <c r="DA58" s="71"/>
      <c r="DB58" s="12"/>
      <c r="DC58" s="12"/>
      <c r="DD58" s="71"/>
      <c r="DE58" s="71"/>
      <c r="DF58" s="71"/>
      <c r="DG58" s="71"/>
      <c r="DH58" s="292"/>
      <c r="DI58" s="293"/>
      <c r="DJ58" s="293"/>
      <c r="DK58" s="292"/>
      <c r="DL58" s="292"/>
      <c r="DM58" s="292"/>
      <c r="DN58" s="292"/>
      <c r="DO58" s="292"/>
      <c r="DP58" s="293"/>
      <c r="DQ58" s="293"/>
    </row>
    <row r="59" spans="1:121" x14ac:dyDescent="0.25">
      <c r="A59" s="12"/>
      <c r="I59" s="12"/>
      <c r="J59" s="12"/>
      <c r="K59" s="12"/>
      <c r="L59" s="12"/>
      <c r="M59" s="12"/>
      <c r="N59" s="12"/>
      <c r="O59" s="12"/>
      <c r="P59" s="12"/>
      <c r="Q59" s="12"/>
      <c r="R59" s="12"/>
      <c r="S59" s="12"/>
      <c r="T59" s="12"/>
      <c r="U59" s="12"/>
      <c r="V59" s="12"/>
      <c r="W59" s="12"/>
      <c r="X59" s="12"/>
      <c r="Y59" s="12"/>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71"/>
      <c r="BO59" s="71"/>
      <c r="BP59" s="71"/>
      <c r="BQ59" s="71"/>
      <c r="BR59" s="71"/>
      <c r="BS59" s="12"/>
      <c r="BT59" s="12"/>
      <c r="BU59" s="71"/>
      <c r="BV59" s="71"/>
      <c r="BW59" s="71"/>
      <c r="BY59" s="71"/>
      <c r="BZ59" s="12"/>
      <c r="CA59" s="12"/>
      <c r="CB59" s="71"/>
      <c r="CC59" s="71"/>
      <c r="CD59" s="71"/>
      <c r="CE59" s="71"/>
      <c r="CF59" s="71"/>
      <c r="CG59" s="12"/>
      <c r="CH59" s="12"/>
      <c r="CI59" s="71"/>
      <c r="CJ59" s="71"/>
      <c r="CK59" s="71"/>
      <c r="CM59" s="71"/>
      <c r="CN59" s="12"/>
      <c r="CO59" s="12"/>
      <c r="CP59" s="71"/>
      <c r="CQ59" s="71"/>
      <c r="CR59" s="71"/>
      <c r="CS59" s="71"/>
      <c r="CT59" s="71"/>
      <c r="CU59" s="12"/>
      <c r="CV59" s="12"/>
      <c r="CW59" s="71"/>
      <c r="CX59" s="71"/>
      <c r="CY59" s="71"/>
      <c r="CZ59" s="71"/>
      <c r="DA59" s="71"/>
      <c r="DB59" s="12"/>
      <c r="DC59" s="12"/>
      <c r="DD59" s="71"/>
      <c r="DE59" s="71"/>
      <c r="DF59" s="71"/>
      <c r="DG59" s="71"/>
      <c r="DH59" s="292"/>
      <c r="DI59" s="293"/>
      <c r="DJ59" s="293"/>
      <c r="DK59" s="292"/>
      <c r="DL59" s="292"/>
      <c r="DM59" s="292"/>
      <c r="DN59" s="292"/>
      <c r="DO59" s="292"/>
      <c r="DP59" s="293"/>
      <c r="DQ59" s="293"/>
    </row>
    <row r="60" spans="1:121" x14ac:dyDescent="0.25">
      <c r="A60" s="12"/>
      <c r="I60" s="12"/>
      <c r="J60" s="12"/>
      <c r="K60" s="12"/>
      <c r="L60" s="12"/>
      <c r="M60" s="12"/>
      <c r="N60" s="12"/>
      <c r="O60" s="12"/>
      <c r="P60" s="12"/>
      <c r="Q60" s="12"/>
      <c r="R60" s="12"/>
      <c r="S60" s="12"/>
      <c r="T60" s="12"/>
      <c r="U60" s="12"/>
      <c r="V60" s="12"/>
      <c r="W60" s="12"/>
      <c r="X60" s="12"/>
      <c r="Y60" s="12"/>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71"/>
      <c r="BO60" s="71"/>
      <c r="BP60" s="71"/>
      <c r="BQ60" s="71"/>
      <c r="BR60" s="71"/>
      <c r="BS60" s="12"/>
      <c r="BT60" s="12"/>
      <c r="BU60" s="71"/>
      <c r="BV60" s="71"/>
      <c r="BW60" s="71"/>
      <c r="BY60" s="71"/>
      <c r="BZ60" s="12"/>
      <c r="CA60" s="12"/>
      <c r="CB60" s="71"/>
      <c r="CC60" s="71"/>
      <c r="CD60" s="71"/>
      <c r="CE60" s="71"/>
      <c r="CF60" s="71"/>
      <c r="CG60" s="12"/>
      <c r="CH60" s="12"/>
      <c r="CI60" s="71"/>
      <c r="CJ60" s="71"/>
      <c r="CK60" s="71"/>
      <c r="CM60" s="71"/>
      <c r="CN60" s="12"/>
      <c r="CO60" s="12"/>
      <c r="CP60" s="71"/>
      <c r="CQ60" s="71"/>
      <c r="CR60" s="71"/>
      <c r="CS60" s="71"/>
      <c r="CT60" s="71"/>
      <c r="CU60" s="12"/>
      <c r="CV60" s="12"/>
      <c r="CW60" s="71"/>
      <c r="CX60" s="71"/>
      <c r="CY60" s="71"/>
      <c r="CZ60" s="71"/>
      <c r="DA60" s="71"/>
      <c r="DB60" s="12"/>
      <c r="DC60" s="12"/>
      <c r="DD60" s="71"/>
      <c r="DE60" s="71"/>
      <c r="DF60" s="71"/>
      <c r="DG60" s="71"/>
      <c r="DH60" s="292"/>
      <c r="DI60" s="293"/>
      <c r="DJ60" s="293"/>
      <c r="DK60" s="292"/>
      <c r="DL60" s="292"/>
      <c r="DM60" s="292"/>
      <c r="DN60" s="292"/>
      <c r="DO60" s="292"/>
      <c r="DP60" s="293"/>
      <c r="DQ60" s="293"/>
    </row>
    <row r="61" spans="1:121" x14ac:dyDescent="0.25">
      <c r="A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71"/>
      <c r="BO61" s="71"/>
      <c r="BP61" s="71"/>
      <c r="BQ61" s="71"/>
      <c r="BR61" s="71"/>
      <c r="BS61" s="12"/>
      <c r="BT61" s="12"/>
      <c r="BU61" s="71"/>
      <c r="BV61" s="71"/>
      <c r="BW61" s="71"/>
      <c r="BY61" s="71"/>
      <c r="BZ61" s="12"/>
      <c r="CA61" s="12"/>
      <c r="CB61" s="71"/>
      <c r="CC61" s="71"/>
      <c r="CD61" s="71"/>
      <c r="CE61" s="71"/>
      <c r="CF61" s="71"/>
      <c r="CG61" s="12"/>
      <c r="CH61" s="12"/>
      <c r="CI61" s="71"/>
      <c r="CJ61" s="71"/>
      <c r="CK61" s="71"/>
      <c r="CM61" s="71"/>
      <c r="CN61" s="12"/>
      <c r="CO61" s="12"/>
      <c r="CP61" s="71"/>
      <c r="CQ61" s="71"/>
      <c r="CR61" s="71"/>
      <c r="CS61" s="71"/>
      <c r="CT61" s="71"/>
      <c r="CU61" s="12"/>
      <c r="CV61" s="12"/>
      <c r="CW61" s="71"/>
      <c r="CX61" s="71"/>
      <c r="CY61" s="71"/>
      <c r="CZ61" s="71"/>
      <c r="DA61" s="71"/>
      <c r="DB61" s="12"/>
      <c r="DC61" s="12"/>
      <c r="DD61" s="71"/>
      <c r="DE61" s="71"/>
      <c r="DF61" s="71"/>
      <c r="DG61" s="71"/>
      <c r="DH61" s="292"/>
      <c r="DI61" s="293"/>
      <c r="DJ61" s="293"/>
      <c r="DK61" s="292"/>
      <c r="DL61" s="292"/>
      <c r="DM61" s="292"/>
      <c r="DN61" s="292"/>
      <c r="DO61" s="292"/>
      <c r="DP61" s="293"/>
      <c r="DQ61" s="293"/>
    </row>
    <row r="62" spans="1:121" x14ac:dyDescent="0.25">
      <c r="A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71"/>
      <c r="BO62" s="71"/>
      <c r="BP62" s="71"/>
      <c r="BQ62" s="71"/>
      <c r="BR62" s="71"/>
      <c r="BS62" s="12"/>
      <c r="BT62" s="12"/>
      <c r="BU62" s="71"/>
      <c r="BV62" s="71"/>
      <c r="BW62" s="71"/>
      <c r="BY62" s="71"/>
      <c r="BZ62" s="12"/>
      <c r="CA62" s="12"/>
      <c r="CB62" s="71"/>
      <c r="CC62" s="71"/>
      <c r="CD62" s="71"/>
      <c r="CE62" s="71"/>
      <c r="CF62" s="71"/>
      <c r="CG62" s="12"/>
      <c r="CH62" s="12"/>
      <c r="CI62" s="71"/>
      <c r="CJ62" s="71"/>
      <c r="CK62" s="71"/>
      <c r="CM62" s="71"/>
      <c r="CN62" s="12"/>
      <c r="CO62" s="12"/>
      <c r="CP62" s="71"/>
      <c r="CQ62" s="71"/>
      <c r="CR62" s="71"/>
      <c r="CS62" s="71"/>
      <c r="CT62" s="71"/>
      <c r="CU62" s="12"/>
      <c r="CV62" s="12"/>
      <c r="CW62" s="71"/>
      <c r="CX62" s="71"/>
      <c r="CY62" s="71"/>
      <c r="CZ62" s="71"/>
      <c r="DA62" s="71"/>
      <c r="DB62" s="12"/>
      <c r="DC62" s="12"/>
      <c r="DD62" s="71"/>
      <c r="DE62" s="71"/>
      <c r="DF62" s="71"/>
      <c r="DG62" s="71"/>
      <c r="DH62" s="292"/>
      <c r="DI62" s="293"/>
      <c r="DJ62" s="293"/>
      <c r="DK62" s="292"/>
      <c r="DL62" s="292"/>
      <c r="DM62" s="292"/>
      <c r="DN62" s="292"/>
      <c r="DO62" s="292"/>
      <c r="DP62" s="293"/>
      <c r="DQ62" s="293"/>
    </row>
    <row r="63" spans="1:121" x14ac:dyDescent="0.25">
      <c r="A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71"/>
      <c r="BO63" s="71"/>
      <c r="BP63" s="71"/>
      <c r="BQ63" s="71"/>
      <c r="BR63" s="71"/>
      <c r="BS63" s="12"/>
      <c r="BT63" s="12"/>
      <c r="BU63" s="71"/>
      <c r="BV63" s="71"/>
      <c r="BW63" s="71"/>
      <c r="BY63" s="71"/>
      <c r="BZ63" s="12"/>
      <c r="CA63" s="12"/>
      <c r="CB63" s="71"/>
      <c r="CC63" s="71"/>
      <c r="CD63" s="71"/>
      <c r="CE63" s="71"/>
      <c r="CF63" s="71"/>
      <c r="CG63" s="12"/>
      <c r="CH63" s="12"/>
      <c r="CI63" s="71"/>
      <c r="CJ63" s="71"/>
      <c r="CK63" s="71"/>
      <c r="CM63" s="71"/>
      <c r="CN63" s="12"/>
      <c r="CO63" s="12"/>
      <c r="CP63" s="71"/>
      <c r="CQ63" s="71"/>
      <c r="CR63" s="71"/>
      <c r="CS63" s="71"/>
      <c r="CT63" s="71"/>
      <c r="CU63" s="12"/>
      <c r="CV63" s="12"/>
      <c r="CW63" s="71"/>
      <c r="CX63" s="71"/>
      <c r="CY63" s="71"/>
      <c r="CZ63" s="71"/>
      <c r="DA63" s="71"/>
      <c r="DB63" s="12"/>
      <c r="DC63" s="12"/>
      <c r="DD63" s="71"/>
      <c r="DE63" s="71"/>
      <c r="DF63" s="71"/>
      <c r="DG63" s="71"/>
      <c r="DH63" s="292"/>
      <c r="DI63" s="293"/>
      <c r="DJ63" s="293"/>
      <c r="DK63" s="292"/>
      <c r="DL63" s="292"/>
      <c r="DM63" s="292"/>
      <c r="DN63" s="292"/>
      <c r="DO63" s="292"/>
      <c r="DP63" s="293"/>
      <c r="DQ63" s="293"/>
    </row>
    <row r="64" spans="1:121" x14ac:dyDescent="0.25">
      <c r="A64" s="12"/>
      <c r="I64" s="12"/>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71"/>
      <c r="BO64" s="71"/>
      <c r="BP64" s="71"/>
      <c r="BQ64" s="71"/>
      <c r="BR64" s="71"/>
      <c r="BS64" s="12"/>
      <c r="BT64" s="12"/>
      <c r="BU64" s="71"/>
      <c r="BV64" s="71"/>
      <c r="BW64" s="71"/>
      <c r="BY64" s="71"/>
      <c r="BZ64" s="12"/>
      <c r="CA64" s="12"/>
      <c r="CB64" s="71"/>
      <c r="CC64" s="71"/>
      <c r="CD64" s="71"/>
      <c r="CE64" s="71"/>
      <c r="CF64" s="71"/>
      <c r="CG64" s="12"/>
      <c r="CH64" s="12"/>
      <c r="CI64" s="71"/>
      <c r="CJ64" s="71"/>
      <c r="CK64" s="71"/>
      <c r="CM64" s="71"/>
      <c r="CN64" s="12"/>
      <c r="CO64" s="12"/>
      <c r="CP64" s="71"/>
      <c r="CQ64" s="71"/>
      <c r="CR64" s="71"/>
      <c r="CS64" s="71"/>
      <c r="CT64" s="71"/>
      <c r="CU64" s="12"/>
      <c r="CV64" s="12"/>
      <c r="CW64" s="71"/>
      <c r="CX64" s="71"/>
      <c r="CY64" s="71"/>
      <c r="CZ64" s="71"/>
      <c r="DA64" s="71"/>
      <c r="DB64" s="12"/>
      <c r="DC64" s="12"/>
      <c r="DD64" s="71"/>
      <c r="DE64" s="71"/>
      <c r="DF64" s="71"/>
      <c r="DG64" s="71"/>
      <c r="DH64" s="292"/>
      <c r="DI64" s="293"/>
      <c r="DJ64" s="293"/>
      <c r="DK64" s="292"/>
      <c r="DL64" s="292"/>
      <c r="DM64" s="292"/>
      <c r="DN64" s="292"/>
      <c r="DO64" s="292"/>
      <c r="DP64" s="293"/>
      <c r="DQ64" s="293"/>
    </row>
    <row r="65" spans="1:121" x14ac:dyDescent="0.25">
      <c r="A65" s="12"/>
      <c r="I65" s="12"/>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71"/>
      <c r="BO65" s="71"/>
      <c r="BP65" s="71"/>
      <c r="BQ65" s="71"/>
      <c r="BR65" s="71"/>
      <c r="BS65" s="12"/>
      <c r="BT65" s="12"/>
      <c r="BU65" s="71"/>
      <c r="BV65" s="71"/>
      <c r="BW65" s="71"/>
      <c r="BY65" s="71"/>
      <c r="BZ65" s="12"/>
      <c r="CA65" s="12"/>
      <c r="CB65" s="71"/>
      <c r="CC65" s="71"/>
      <c r="CD65" s="71"/>
      <c r="CE65" s="71"/>
      <c r="CF65" s="71"/>
      <c r="CG65" s="12"/>
      <c r="CH65" s="12"/>
      <c r="CI65" s="71"/>
      <c r="CJ65" s="71"/>
      <c r="CK65" s="71"/>
      <c r="CM65" s="71"/>
      <c r="CN65" s="12"/>
      <c r="CO65" s="12"/>
      <c r="CP65" s="71"/>
      <c r="CQ65" s="71"/>
      <c r="CR65" s="71"/>
      <c r="CS65" s="71"/>
      <c r="CT65" s="71"/>
      <c r="CU65" s="12"/>
      <c r="CV65" s="12"/>
      <c r="CW65" s="71"/>
      <c r="CX65" s="71"/>
      <c r="CY65" s="71"/>
      <c r="CZ65" s="71"/>
      <c r="DA65" s="71"/>
      <c r="DB65" s="12"/>
      <c r="DC65" s="12"/>
      <c r="DD65" s="71"/>
      <c r="DE65" s="71"/>
      <c r="DF65" s="71"/>
      <c r="DG65" s="71"/>
      <c r="DH65" s="292"/>
      <c r="DI65" s="293"/>
      <c r="DJ65" s="293"/>
      <c r="DK65" s="292"/>
      <c r="DL65" s="292"/>
      <c r="DM65" s="292"/>
      <c r="DN65" s="292"/>
      <c r="DO65" s="292"/>
      <c r="DP65" s="293"/>
      <c r="DQ65" s="293"/>
    </row>
    <row r="66" spans="1:121" x14ac:dyDescent="0.25">
      <c r="A66" s="12"/>
      <c r="I66" s="12"/>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71"/>
      <c r="BO66" s="71"/>
      <c r="BP66" s="71"/>
      <c r="BQ66" s="71"/>
      <c r="BR66" s="71"/>
      <c r="BS66" s="12"/>
      <c r="BT66" s="12"/>
      <c r="BU66" s="71"/>
      <c r="BV66" s="71"/>
      <c r="BW66" s="71"/>
      <c r="BY66" s="71"/>
      <c r="BZ66" s="12"/>
      <c r="CA66" s="12"/>
      <c r="CB66" s="71"/>
      <c r="CC66" s="71"/>
      <c r="CD66" s="71"/>
      <c r="CE66" s="71"/>
      <c r="CF66" s="71"/>
      <c r="CG66" s="12"/>
      <c r="CH66" s="12"/>
      <c r="CI66" s="71"/>
      <c r="CJ66" s="71"/>
      <c r="CK66" s="71"/>
      <c r="CM66" s="71"/>
      <c r="CN66" s="12"/>
      <c r="CO66" s="12"/>
      <c r="CP66" s="71"/>
      <c r="CQ66" s="71"/>
      <c r="CR66" s="71"/>
      <c r="CS66" s="71"/>
      <c r="CT66" s="71"/>
      <c r="CU66" s="12"/>
      <c r="CV66" s="12"/>
      <c r="CW66" s="71"/>
      <c r="CX66" s="71"/>
      <c r="CY66" s="71"/>
      <c r="CZ66" s="71"/>
      <c r="DA66" s="71"/>
      <c r="DB66" s="12"/>
      <c r="DC66" s="12"/>
      <c r="DD66" s="71"/>
      <c r="DE66" s="71"/>
      <c r="DF66" s="71"/>
      <c r="DG66" s="71"/>
      <c r="DH66" s="292"/>
      <c r="DI66" s="293"/>
      <c r="DJ66" s="293"/>
      <c r="DK66" s="292"/>
      <c r="DL66" s="292"/>
      <c r="DM66" s="292"/>
      <c r="DN66" s="292"/>
      <c r="DO66" s="292"/>
      <c r="DP66" s="293"/>
      <c r="DQ66" s="293"/>
    </row>
    <row r="67" spans="1:121" x14ac:dyDescent="0.25">
      <c r="A67" s="12"/>
      <c r="I67" s="12"/>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71"/>
      <c r="BO67" s="71"/>
      <c r="BP67" s="71"/>
      <c r="BQ67" s="71"/>
      <c r="BR67" s="71"/>
      <c r="BS67" s="12"/>
      <c r="BT67" s="12"/>
      <c r="BU67" s="71"/>
      <c r="BV67" s="71"/>
      <c r="BW67" s="71"/>
      <c r="BY67" s="71"/>
      <c r="BZ67" s="12"/>
      <c r="CA67" s="12"/>
      <c r="CB67" s="71"/>
      <c r="CC67" s="71"/>
      <c r="CD67" s="71"/>
      <c r="CE67" s="71"/>
      <c r="CF67" s="71"/>
      <c r="CG67" s="12"/>
      <c r="CH67" s="12"/>
      <c r="CI67" s="71"/>
      <c r="CJ67" s="71"/>
      <c r="CK67" s="71"/>
      <c r="CM67" s="71"/>
      <c r="CN67" s="12"/>
      <c r="CO67" s="12"/>
      <c r="CP67" s="71"/>
      <c r="CQ67" s="71"/>
      <c r="CR67" s="71"/>
      <c r="CS67" s="71"/>
      <c r="CT67" s="71"/>
      <c r="CU67" s="12"/>
      <c r="CV67" s="12"/>
      <c r="CW67" s="71"/>
      <c r="CX67" s="71"/>
      <c r="CY67" s="71"/>
      <c r="CZ67" s="71"/>
      <c r="DA67" s="71"/>
      <c r="DB67" s="12"/>
      <c r="DC67" s="12"/>
      <c r="DD67" s="71"/>
      <c r="DE67" s="71"/>
      <c r="DF67" s="71"/>
      <c r="DG67" s="71"/>
      <c r="DH67" s="292"/>
      <c r="DI67" s="293"/>
      <c r="DJ67" s="293"/>
      <c r="DK67" s="292"/>
      <c r="DL67" s="292"/>
      <c r="DM67" s="292"/>
      <c r="DN67" s="292"/>
      <c r="DO67" s="292"/>
      <c r="DP67" s="293"/>
      <c r="DQ67" s="293"/>
    </row>
    <row r="68" spans="1:121" x14ac:dyDescent="0.25">
      <c r="A68" s="12"/>
      <c r="I68" s="12"/>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71"/>
      <c r="BO68" s="71"/>
      <c r="BP68" s="71"/>
      <c r="BQ68" s="71"/>
      <c r="BR68" s="71"/>
      <c r="BS68" s="12"/>
      <c r="BT68" s="12"/>
      <c r="BU68" s="71"/>
      <c r="BV68" s="71"/>
      <c r="BW68" s="71"/>
      <c r="BY68" s="71"/>
      <c r="BZ68" s="12"/>
      <c r="CA68" s="12"/>
      <c r="CB68" s="71"/>
      <c r="CC68" s="71"/>
      <c r="CD68" s="71"/>
      <c r="CE68" s="71"/>
      <c r="CF68" s="71"/>
      <c r="CG68" s="12"/>
      <c r="CH68" s="12"/>
      <c r="CI68" s="71"/>
      <c r="CJ68" s="71"/>
      <c r="CK68" s="71"/>
      <c r="CM68" s="71"/>
      <c r="CN68" s="12"/>
      <c r="CO68" s="12"/>
      <c r="CP68" s="71"/>
      <c r="CQ68" s="71"/>
      <c r="CR68" s="71"/>
      <c r="CS68" s="71"/>
      <c r="CT68" s="71"/>
      <c r="CU68" s="12"/>
      <c r="CV68" s="12"/>
      <c r="CW68" s="71"/>
      <c r="CX68" s="71"/>
      <c r="CY68" s="71"/>
      <c r="CZ68" s="71"/>
      <c r="DA68" s="71"/>
      <c r="DB68" s="12"/>
      <c r="DC68" s="12"/>
      <c r="DD68" s="71"/>
      <c r="DE68" s="71"/>
      <c r="DF68" s="71"/>
      <c r="DG68" s="71"/>
      <c r="DH68" s="292"/>
      <c r="DI68" s="293"/>
      <c r="DJ68" s="293"/>
      <c r="DK68" s="292"/>
      <c r="DL68" s="292"/>
      <c r="DM68" s="292"/>
      <c r="DN68" s="292"/>
      <c r="DO68" s="292"/>
      <c r="DP68" s="293"/>
      <c r="DQ68" s="293"/>
    </row>
    <row r="69" spans="1:121" x14ac:dyDescent="0.25">
      <c r="A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71"/>
      <c r="BO69" s="71"/>
      <c r="BP69" s="71"/>
      <c r="BQ69" s="71"/>
      <c r="BR69" s="71"/>
      <c r="BS69" s="12"/>
      <c r="BT69" s="12"/>
      <c r="BU69" s="71"/>
      <c r="BV69" s="71"/>
      <c r="BW69" s="71"/>
      <c r="BY69" s="71"/>
      <c r="BZ69" s="12"/>
      <c r="CA69" s="12"/>
      <c r="CB69" s="71"/>
      <c r="CC69" s="71"/>
      <c r="CD69" s="71"/>
      <c r="CE69" s="71"/>
      <c r="CF69" s="71"/>
      <c r="CG69" s="12"/>
      <c r="CH69" s="12"/>
      <c r="CI69" s="71"/>
      <c r="CJ69" s="71"/>
      <c r="CK69" s="71"/>
      <c r="CM69" s="71"/>
      <c r="CN69" s="12"/>
      <c r="CO69" s="12"/>
      <c r="CP69" s="71"/>
      <c r="CQ69" s="71"/>
      <c r="CR69" s="71"/>
      <c r="CS69" s="71"/>
      <c r="CT69" s="71"/>
      <c r="CU69" s="12"/>
      <c r="CV69" s="12"/>
      <c r="CW69" s="71"/>
      <c r="CX69" s="71"/>
      <c r="CY69" s="71"/>
      <c r="CZ69" s="71"/>
      <c r="DA69" s="71"/>
      <c r="DB69" s="12"/>
      <c r="DC69" s="12"/>
      <c r="DD69" s="71"/>
      <c r="DE69" s="71"/>
      <c r="DF69" s="71"/>
      <c r="DG69" s="71"/>
      <c r="DH69" s="292"/>
      <c r="DI69" s="293"/>
      <c r="DJ69" s="293"/>
      <c r="DK69" s="292"/>
      <c r="DL69" s="292"/>
      <c r="DM69" s="292"/>
      <c r="DN69" s="292"/>
      <c r="DO69" s="292"/>
      <c r="DP69" s="293"/>
      <c r="DQ69" s="293"/>
    </row>
    <row r="70" spans="1:121" x14ac:dyDescent="0.25">
      <c r="A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71"/>
      <c r="BO70" s="71"/>
      <c r="BP70" s="71"/>
      <c r="BQ70" s="71"/>
      <c r="BR70" s="71"/>
      <c r="BS70" s="12"/>
      <c r="BT70" s="12"/>
      <c r="BU70" s="71"/>
      <c r="BV70" s="71"/>
      <c r="BW70" s="71"/>
      <c r="BY70" s="71"/>
      <c r="BZ70" s="12"/>
      <c r="CA70" s="12"/>
      <c r="CB70" s="71"/>
      <c r="CC70" s="71"/>
      <c r="CD70" s="71"/>
      <c r="CE70" s="71"/>
      <c r="CF70" s="71"/>
      <c r="CG70" s="12"/>
      <c r="CH70" s="12"/>
      <c r="CI70" s="71"/>
      <c r="CJ70" s="71"/>
      <c r="CK70" s="71"/>
      <c r="CM70" s="71"/>
      <c r="CN70" s="12"/>
      <c r="CO70" s="12"/>
      <c r="CP70" s="71"/>
      <c r="CQ70" s="71"/>
      <c r="CR70" s="71"/>
      <c r="CS70" s="71"/>
      <c r="CT70" s="71"/>
      <c r="CU70" s="12"/>
      <c r="CV70" s="12"/>
      <c r="CW70" s="71"/>
      <c r="CX70" s="71"/>
      <c r="CY70" s="71"/>
      <c r="CZ70" s="71"/>
      <c r="DA70" s="71"/>
      <c r="DB70" s="12"/>
      <c r="DC70" s="12"/>
      <c r="DD70" s="71"/>
      <c r="DE70" s="71"/>
      <c r="DF70" s="71"/>
      <c r="DG70" s="71"/>
      <c r="DH70" s="292"/>
      <c r="DI70" s="293"/>
      <c r="DJ70" s="293"/>
      <c r="DK70" s="292"/>
      <c r="DL70" s="292"/>
      <c r="DM70" s="292"/>
      <c r="DN70" s="292"/>
      <c r="DO70" s="292"/>
      <c r="DP70" s="293"/>
      <c r="DQ70" s="293"/>
    </row>
    <row r="71" spans="1:121" x14ac:dyDescent="0.25">
      <c r="A71" s="12"/>
      <c r="I71" s="12"/>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71"/>
      <c r="BO71" s="71"/>
      <c r="BP71" s="71"/>
      <c r="BQ71" s="71"/>
      <c r="BR71" s="71"/>
      <c r="BS71" s="12"/>
      <c r="BT71" s="12"/>
      <c r="BU71" s="71"/>
      <c r="BV71" s="71"/>
      <c r="BW71" s="71"/>
      <c r="BY71" s="71"/>
      <c r="BZ71" s="12"/>
      <c r="CA71" s="12"/>
      <c r="CB71" s="71"/>
      <c r="CC71" s="71"/>
      <c r="CD71" s="71"/>
      <c r="CE71" s="71"/>
      <c r="CF71" s="71"/>
      <c r="CG71" s="12"/>
      <c r="CH71" s="12"/>
      <c r="CI71" s="71"/>
      <c r="CJ71" s="71"/>
      <c r="CK71" s="71"/>
      <c r="CM71" s="71"/>
      <c r="CN71" s="12"/>
      <c r="CO71" s="12"/>
      <c r="CP71" s="71"/>
      <c r="CQ71" s="71"/>
      <c r="CR71" s="71"/>
      <c r="CS71" s="71"/>
      <c r="CT71" s="71"/>
      <c r="CU71" s="12"/>
      <c r="CV71" s="12"/>
      <c r="CW71" s="71"/>
      <c r="CX71" s="71"/>
      <c r="CY71" s="71"/>
      <c r="CZ71" s="71"/>
      <c r="DA71" s="71"/>
      <c r="DB71" s="12"/>
      <c r="DC71" s="12"/>
      <c r="DD71" s="71"/>
      <c r="DE71" s="71"/>
      <c r="DF71" s="71"/>
      <c r="DG71" s="71"/>
      <c r="DH71" s="292"/>
      <c r="DI71" s="293"/>
      <c r="DJ71" s="293"/>
      <c r="DK71" s="292"/>
      <c r="DL71" s="292"/>
      <c r="DM71" s="292"/>
      <c r="DN71" s="292"/>
      <c r="DO71" s="292"/>
      <c r="DP71" s="293"/>
      <c r="DQ71" s="293"/>
    </row>
    <row r="72" spans="1:121" x14ac:dyDescent="0.25">
      <c r="A72" s="12"/>
      <c r="I72" s="12"/>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71"/>
      <c r="BO72" s="71"/>
      <c r="BP72" s="71"/>
      <c r="BQ72" s="71"/>
      <c r="BR72" s="71"/>
      <c r="BS72" s="12"/>
      <c r="BT72" s="12"/>
      <c r="BU72" s="71"/>
      <c r="BV72" s="71"/>
      <c r="BW72" s="71"/>
      <c r="BY72" s="71"/>
      <c r="BZ72" s="12"/>
      <c r="CA72" s="12"/>
      <c r="CB72" s="71"/>
      <c r="CC72" s="71"/>
      <c r="CD72" s="71"/>
      <c r="CE72" s="71"/>
      <c r="CF72" s="71"/>
      <c r="CG72" s="12"/>
      <c r="CH72" s="12"/>
      <c r="CI72" s="71"/>
      <c r="CJ72" s="71"/>
      <c r="CK72" s="71"/>
      <c r="CM72" s="71"/>
      <c r="CN72" s="12"/>
      <c r="CO72" s="12"/>
      <c r="CP72" s="71"/>
      <c r="CQ72" s="71"/>
      <c r="CR72" s="71"/>
      <c r="CS72" s="71"/>
      <c r="CT72" s="71"/>
      <c r="CU72" s="12"/>
      <c r="CV72" s="12"/>
      <c r="CW72" s="71"/>
      <c r="CX72" s="71"/>
      <c r="CY72" s="71"/>
      <c r="CZ72" s="71"/>
      <c r="DA72" s="71"/>
      <c r="DB72" s="12"/>
      <c r="DC72" s="12"/>
      <c r="DD72" s="71"/>
      <c r="DE72" s="71"/>
      <c r="DF72" s="71"/>
      <c r="DG72" s="71"/>
      <c r="DH72" s="292"/>
      <c r="DI72" s="293"/>
      <c r="DJ72" s="293"/>
      <c r="DK72" s="292"/>
      <c r="DL72" s="292"/>
      <c r="DM72" s="292"/>
      <c r="DN72" s="292"/>
      <c r="DO72" s="292"/>
      <c r="DP72" s="293"/>
      <c r="DQ72" s="293"/>
    </row>
    <row r="73" spans="1:121" x14ac:dyDescent="0.25">
      <c r="A73" s="12"/>
      <c r="I73" s="12"/>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71"/>
      <c r="BO73" s="71"/>
      <c r="BP73" s="71"/>
      <c r="BQ73" s="71"/>
      <c r="BR73" s="71"/>
      <c r="BS73" s="12"/>
      <c r="BT73" s="12"/>
      <c r="BU73" s="71"/>
      <c r="BV73" s="71"/>
      <c r="BW73" s="71"/>
      <c r="BY73" s="71"/>
      <c r="BZ73" s="12"/>
      <c r="CA73" s="12"/>
      <c r="CB73" s="71"/>
      <c r="CC73" s="71"/>
      <c r="CD73" s="71"/>
      <c r="CE73" s="71"/>
      <c r="CF73" s="71"/>
      <c r="CG73" s="12"/>
      <c r="CH73" s="12"/>
      <c r="CI73" s="71"/>
      <c r="CJ73" s="71"/>
      <c r="CK73" s="71"/>
      <c r="CM73" s="71"/>
      <c r="CN73" s="12"/>
      <c r="CO73" s="12"/>
      <c r="CP73" s="71"/>
      <c r="CQ73" s="71"/>
      <c r="CR73" s="71"/>
      <c r="CS73" s="71"/>
      <c r="CT73" s="71"/>
      <c r="CU73" s="12"/>
      <c r="CV73" s="12"/>
      <c r="CW73" s="71"/>
      <c r="CX73" s="71"/>
      <c r="CY73" s="71"/>
      <c r="CZ73" s="71"/>
      <c r="DA73" s="71"/>
      <c r="DB73" s="12"/>
      <c r="DC73" s="12"/>
      <c r="DD73" s="71"/>
      <c r="DE73" s="71"/>
      <c r="DF73" s="71"/>
      <c r="DG73" s="71"/>
      <c r="DH73" s="292"/>
      <c r="DI73" s="293"/>
      <c r="DJ73" s="293"/>
      <c r="DK73" s="292"/>
      <c r="DL73" s="292"/>
      <c r="DM73" s="292"/>
      <c r="DN73" s="292"/>
      <c r="DO73" s="292"/>
      <c r="DP73" s="293"/>
      <c r="DQ73" s="293"/>
    </row>
    <row r="74" spans="1:121" x14ac:dyDescent="0.25">
      <c r="A74" s="12"/>
      <c r="I74" s="12"/>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c r="BM74" s="12"/>
      <c r="BN74" s="71"/>
      <c r="BO74" s="71"/>
      <c r="BP74" s="71"/>
      <c r="BQ74" s="71"/>
      <c r="BR74" s="71"/>
      <c r="BS74" s="12"/>
      <c r="BT74" s="12"/>
      <c r="BU74" s="71"/>
      <c r="BV74" s="71"/>
      <c r="BW74" s="71"/>
      <c r="BY74" s="71"/>
      <c r="BZ74" s="12"/>
      <c r="CA74" s="12"/>
      <c r="CB74" s="71"/>
      <c r="CC74" s="71"/>
      <c r="CD74" s="71"/>
      <c r="CE74" s="71"/>
      <c r="CF74" s="71"/>
      <c r="CG74" s="12"/>
      <c r="CH74" s="12"/>
      <c r="CI74" s="71"/>
      <c r="CJ74" s="71"/>
      <c r="CK74" s="71"/>
      <c r="CM74" s="71"/>
      <c r="CN74" s="12"/>
      <c r="CO74" s="12"/>
      <c r="CP74" s="71"/>
      <c r="CQ74" s="71"/>
      <c r="CR74" s="71"/>
      <c r="CS74" s="71"/>
      <c r="CT74" s="71"/>
      <c r="CU74" s="12"/>
      <c r="CV74" s="12"/>
      <c r="CW74" s="71"/>
      <c r="CX74" s="71"/>
      <c r="CY74" s="71"/>
      <c r="CZ74" s="71"/>
      <c r="DA74" s="71"/>
      <c r="DB74" s="12"/>
      <c r="DC74" s="12"/>
      <c r="DD74" s="71"/>
      <c r="DE74" s="71"/>
      <c r="DF74" s="71"/>
      <c r="DG74" s="71"/>
      <c r="DH74" s="292"/>
      <c r="DI74" s="293"/>
      <c r="DJ74" s="293"/>
      <c r="DK74" s="292"/>
      <c r="DL74" s="292"/>
      <c r="DM74" s="292"/>
      <c r="DN74" s="292"/>
      <c r="DO74" s="292"/>
      <c r="DP74" s="293"/>
      <c r="DQ74" s="293"/>
    </row>
    <row r="75" spans="1:121" x14ac:dyDescent="0.25">
      <c r="A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71"/>
      <c r="BO75" s="71"/>
      <c r="BP75" s="71"/>
      <c r="BQ75" s="71"/>
      <c r="BR75" s="71"/>
      <c r="BS75" s="12"/>
      <c r="BT75" s="12"/>
      <c r="BU75" s="71"/>
      <c r="BV75" s="71"/>
      <c r="BW75" s="71"/>
      <c r="BY75" s="71"/>
      <c r="BZ75" s="12"/>
      <c r="CA75" s="12"/>
      <c r="CB75" s="71"/>
      <c r="CC75" s="71"/>
      <c r="CD75" s="71"/>
      <c r="CE75" s="71"/>
      <c r="CF75" s="71"/>
      <c r="CG75" s="12"/>
      <c r="CH75" s="12"/>
      <c r="CI75" s="71"/>
      <c r="CJ75" s="71"/>
      <c r="CK75" s="71"/>
      <c r="CM75" s="71"/>
      <c r="CN75" s="12"/>
      <c r="CO75" s="12"/>
      <c r="CP75" s="71"/>
      <c r="CQ75" s="71"/>
      <c r="CR75" s="71"/>
      <c r="CS75" s="71"/>
      <c r="CT75" s="71"/>
      <c r="CU75" s="12"/>
      <c r="CV75" s="12"/>
      <c r="CW75" s="71"/>
      <c r="CX75" s="71"/>
      <c r="CY75" s="71"/>
      <c r="CZ75" s="71"/>
      <c r="DA75" s="71"/>
      <c r="DB75" s="12"/>
      <c r="DC75" s="12"/>
      <c r="DD75" s="71"/>
      <c r="DE75" s="71"/>
      <c r="DF75" s="71"/>
      <c r="DG75" s="71"/>
      <c r="DH75" s="292"/>
      <c r="DI75" s="293"/>
      <c r="DJ75" s="293"/>
      <c r="DK75" s="292"/>
      <c r="DL75" s="292"/>
      <c r="DM75" s="292"/>
      <c r="DN75" s="292"/>
      <c r="DO75" s="292"/>
      <c r="DP75" s="293"/>
      <c r="DQ75" s="293"/>
    </row>
    <row r="76" spans="1:121" x14ac:dyDescent="0.25">
      <c r="A76" s="12"/>
      <c r="I76" s="12"/>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71"/>
      <c r="BO76" s="71"/>
      <c r="BP76" s="71"/>
      <c r="BQ76" s="71"/>
      <c r="BR76" s="71"/>
      <c r="BS76" s="12"/>
      <c r="BT76" s="12"/>
      <c r="BU76" s="71"/>
      <c r="BV76" s="71"/>
      <c r="BW76" s="71"/>
      <c r="BY76" s="71"/>
      <c r="BZ76" s="12"/>
      <c r="CA76" s="12"/>
      <c r="CB76" s="71"/>
      <c r="CC76" s="71"/>
      <c r="CD76" s="71"/>
      <c r="CE76" s="71"/>
      <c r="CF76" s="71"/>
      <c r="CG76" s="12"/>
      <c r="CH76" s="12"/>
      <c r="CI76" s="71"/>
      <c r="CJ76" s="71"/>
      <c r="CK76" s="71"/>
      <c r="CM76" s="71"/>
      <c r="CN76" s="12"/>
      <c r="CO76" s="12"/>
      <c r="CP76" s="71"/>
      <c r="CQ76" s="71"/>
      <c r="CR76" s="71"/>
      <c r="CS76" s="71"/>
      <c r="CT76" s="71"/>
      <c r="CU76" s="12"/>
      <c r="CV76" s="12"/>
      <c r="CW76" s="71"/>
      <c r="CX76" s="71"/>
      <c r="CY76" s="71"/>
      <c r="CZ76" s="71"/>
      <c r="DA76" s="71"/>
      <c r="DB76" s="12"/>
      <c r="DC76" s="12"/>
      <c r="DD76" s="71"/>
      <c r="DE76" s="71"/>
      <c r="DF76" s="71"/>
      <c r="DG76" s="71"/>
      <c r="DH76" s="292"/>
      <c r="DI76" s="293"/>
      <c r="DJ76" s="293"/>
      <c r="DK76" s="292"/>
      <c r="DL76" s="292"/>
      <c r="DM76" s="292"/>
      <c r="DN76" s="292"/>
      <c r="DO76" s="292"/>
      <c r="DP76" s="293"/>
      <c r="DQ76" s="293"/>
    </row>
    <row r="77" spans="1:121" x14ac:dyDescent="0.25">
      <c r="A77" s="12"/>
      <c r="I77" s="12"/>
      <c r="J77" s="12"/>
      <c r="K77" s="12"/>
      <c r="L77" s="12"/>
      <c r="M77" s="12"/>
      <c r="N77" s="12"/>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71"/>
      <c r="BO77" s="71"/>
      <c r="BP77" s="71"/>
      <c r="BQ77" s="71"/>
      <c r="BR77" s="71"/>
      <c r="BS77" s="12"/>
      <c r="BT77" s="12"/>
      <c r="BU77" s="71"/>
      <c r="BV77" s="71"/>
      <c r="BW77" s="71"/>
      <c r="BY77" s="71"/>
      <c r="BZ77" s="12"/>
      <c r="CA77" s="12"/>
      <c r="CB77" s="71"/>
      <c r="CC77" s="71"/>
      <c r="CD77" s="71"/>
      <c r="CE77" s="71"/>
      <c r="CF77" s="71"/>
      <c r="CG77" s="12"/>
      <c r="CH77" s="12"/>
      <c r="CI77" s="71"/>
      <c r="CJ77" s="71"/>
      <c r="CK77" s="71"/>
      <c r="CM77" s="71"/>
      <c r="CN77" s="12"/>
      <c r="CO77" s="12"/>
      <c r="CP77" s="71"/>
      <c r="CQ77" s="71"/>
      <c r="CR77" s="71"/>
      <c r="CS77" s="71"/>
      <c r="CT77" s="71"/>
      <c r="CU77" s="12"/>
      <c r="CV77" s="12"/>
      <c r="CW77" s="71"/>
      <c r="CX77" s="71"/>
      <c r="CY77" s="71"/>
      <c r="CZ77" s="71"/>
      <c r="DA77" s="71"/>
      <c r="DB77" s="12"/>
      <c r="DC77" s="12"/>
      <c r="DD77" s="71"/>
      <c r="DE77" s="71"/>
      <c r="DF77" s="71"/>
      <c r="DG77" s="71"/>
      <c r="DH77" s="292"/>
      <c r="DI77" s="293"/>
      <c r="DJ77" s="293"/>
      <c r="DK77" s="292"/>
      <c r="DL77" s="292"/>
      <c r="DM77" s="292"/>
      <c r="DN77" s="292"/>
      <c r="DO77" s="292"/>
      <c r="DP77" s="293"/>
      <c r="DQ77" s="293"/>
    </row>
  </sheetData>
  <autoFilter ref="A1:DZ42" xr:uid="{60C21B32-EBF2-4224-B408-49F7ADF9BFCF}">
    <sortState ref="A2:DZ42">
      <sortCondition ref="E1:E42"/>
    </sortState>
  </autoFilter>
  <conditionalFormatting sqref="E106:H1048576 H24 G14:G16 E42:H42 E41:F41 E40:G40 H38:H41 E10:E13 E29:G38 E25:H28 H19 G20:H21 E2:H8 E14:F24 H9:H17">
    <cfRule type="cellIs" dxfId="28" priority="81" operator="equal">
      <formula>"לא"</formula>
    </cfRule>
  </conditionalFormatting>
  <conditionalFormatting sqref="D106:D1048576 D40:D42 D32:D38 D2:D8 D10:D27">
    <cfRule type="cellIs" dxfId="27" priority="80" operator="equal">
      <formula>"כן"</formula>
    </cfRule>
  </conditionalFormatting>
  <conditionalFormatting sqref="Q43:W63">
    <cfRule type="cellIs" dxfId="26" priority="74" operator="notEqual">
      <formula>0</formula>
    </cfRule>
  </conditionalFormatting>
  <conditionalFormatting sqref="E9">
    <cfRule type="cellIs" dxfId="25" priority="66" operator="equal">
      <formula>"לא"</formula>
    </cfRule>
  </conditionalFormatting>
  <conditionalFormatting sqref="D9">
    <cfRule type="cellIs" dxfId="24" priority="65" operator="equal">
      <formula>"כן"</formula>
    </cfRule>
  </conditionalFormatting>
  <conditionalFormatting sqref="H18 H23">
    <cfRule type="cellIs" dxfId="23" priority="62" operator="equal">
      <formula>"לא"</formula>
    </cfRule>
  </conditionalFormatting>
  <conditionalFormatting sqref="H22">
    <cfRule type="cellIs" dxfId="22" priority="60" operator="equal">
      <formula>"לא"</formula>
    </cfRule>
  </conditionalFormatting>
  <conditionalFormatting sqref="G22 G17:G19">
    <cfRule type="cellIs" dxfId="21" priority="49" operator="equal">
      <formula>"לא"</formula>
    </cfRule>
  </conditionalFormatting>
  <conditionalFormatting sqref="D30:D31">
    <cfRule type="cellIs" dxfId="20" priority="43" operator="equal">
      <formula>"כן"</formula>
    </cfRule>
  </conditionalFormatting>
  <conditionalFormatting sqref="D28:D29">
    <cfRule type="cellIs" dxfId="19" priority="44" operator="equal">
      <formula>"כן"</formula>
    </cfRule>
  </conditionalFormatting>
  <conditionalFormatting sqref="G9">
    <cfRule type="cellIs" dxfId="18" priority="34" operator="equal">
      <formula>"לא"</formula>
    </cfRule>
  </conditionalFormatting>
  <conditionalFormatting sqref="G10">
    <cfRule type="cellIs" dxfId="17" priority="32" operator="equal">
      <formula>"לא"</formula>
    </cfRule>
  </conditionalFormatting>
  <conditionalFormatting sqref="G11:G13">
    <cfRule type="cellIs" dxfId="16" priority="31" operator="equal">
      <formula>"לא"</formula>
    </cfRule>
  </conditionalFormatting>
  <conditionalFormatting sqref="G23">
    <cfRule type="cellIs" dxfId="15" priority="24" operator="equal">
      <formula>"לא"</formula>
    </cfRule>
  </conditionalFormatting>
  <conditionalFormatting sqref="G24">
    <cfRule type="cellIs" dxfId="14" priority="23" operator="equal">
      <formula>"לא"</formula>
    </cfRule>
  </conditionalFormatting>
  <conditionalFormatting sqref="H29">
    <cfRule type="cellIs" dxfId="13" priority="21" operator="equal">
      <formula>"לא"</formula>
    </cfRule>
  </conditionalFormatting>
  <conditionalFormatting sqref="H30:H31">
    <cfRule type="cellIs" dxfId="12" priority="20" operator="equal">
      <formula>"לא"</formula>
    </cfRule>
  </conditionalFormatting>
  <conditionalFormatting sqref="H32">
    <cfRule type="cellIs" dxfId="11" priority="19" operator="equal">
      <formula>"לא"</formula>
    </cfRule>
  </conditionalFormatting>
  <conditionalFormatting sqref="F9">
    <cfRule type="cellIs" dxfId="10" priority="13" operator="equal">
      <formula>"לא"</formula>
    </cfRule>
  </conditionalFormatting>
  <conditionalFormatting sqref="F10">
    <cfRule type="cellIs" dxfId="9" priority="12" operator="equal">
      <formula>"לא"</formula>
    </cfRule>
  </conditionalFormatting>
  <conditionalFormatting sqref="F11:F13">
    <cfRule type="cellIs" dxfId="8" priority="11" operator="equal">
      <formula>"לא"</formula>
    </cfRule>
  </conditionalFormatting>
  <conditionalFormatting sqref="H33:H34">
    <cfRule type="cellIs" dxfId="7" priority="9" operator="equal">
      <formula>"לא"</formula>
    </cfRule>
  </conditionalFormatting>
  <conditionalFormatting sqref="H35">
    <cfRule type="cellIs" dxfId="6" priority="8" operator="equal">
      <formula>"לא"</formula>
    </cfRule>
  </conditionalFormatting>
  <conditionalFormatting sqref="H36:H37">
    <cfRule type="cellIs" dxfId="5" priority="7" operator="equal">
      <formula>"לא"</formula>
    </cfRule>
  </conditionalFormatting>
  <conditionalFormatting sqref="G41">
    <cfRule type="cellIs" dxfId="4" priority="5" operator="equal">
      <formula>"לא"</formula>
    </cfRule>
  </conditionalFormatting>
  <conditionalFormatting sqref="E39">
    <cfRule type="cellIs" dxfId="3" priority="4" operator="equal">
      <formula>"לא"</formula>
    </cfRule>
  </conditionalFormatting>
  <conditionalFormatting sqref="D39">
    <cfRule type="cellIs" dxfId="2" priority="3" operator="equal">
      <formula>"כן"</formula>
    </cfRule>
  </conditionalFormatting>
  <conditionalFormatting sqref="G39">
    <cfRule type="cellIs" dxfId="1" priority="2" operator="equal">
      <formula>"לא"</formula>
    </cfRule>
  </conditionalFormatting>
  <conditionalFormatting sqref="F39">
    <cfRule type="cellIs" dxfId="0" priority="1" operator="equal">
      <formula>"לא"</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B6B1-019B-4768-A480-B3A6CA1FD9A5}">
  <dimension ref="A1"/>
  <sheetViews>
    <sheetView rightToLeft="1" tabSelected="1" zoomScale="130" zoomScaleNormal="130" workbookViewId="0">
      <selection sqref="A1:XFD1048576"/>
    </sheetView>
  </sheetViews>
  <sheetFormatPr defaultRowHeight="15" x14ac:dyDescent="0.25"/>
  <cols>
    <col min="1" max="1" width="7.140625" customWidth="1"/>
    <col min="2" max="2" width="8" bestFit="1" customWidth="1"/>
    <col min="3" max="5" width="11.5703125" bestFit="1" customWidth="1"/>
    <col min="6" max="6" width="11.5703125" customWidth="1"/>
    <col min="7" max="7" width="11.5703125" bestFit="1" customWidth="1"/>
    <col min="8" max="11" width="7.7109375"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4A325-1C07-4F5B-9715-FF2A41606854}">
  <dimension ref="A1:H30"/>
  <sheetViews>
    <sheetView rightToLeft="1" zoomScale="124" zoomScaleNormal="124" workbookViewId="0">
      <selection sqref="A1:H30"/>
    </sheetView>
  </sheetViews>
  <sheetFormatPr defaultRowHeight="15" x14ac:dyDescent="0.25"/>
  <sheetData>
    <row r="1" spans="1:8" x14ac:dyDescent="0.25">
      <c r="A1" s="4"/>
      <c r="B1" s="83"/>
      <c r="C1" s="83"/>
      <c r="D1" s="83"/>
      <c r="E1" s="83"/>
      <c r="F1" s="83">
        <v>4</v>
      </c>
      <c r="G1" s="83">
        <v>5</v>
      </c>
      <c r="H1" s="84">
        <v>6</v>
      </c>
    </row>
    <row r="2" spans="1:8" x14ac:dyDescent="0.25">
      <c r="A2" s="7" t="s">
        <v>24</v>
      </c>
      <c r="B2" s="224"/>
      <c r="C2" s="221"/>
      <c r="D2" s="224"/>
      <c r="E2" s="221"/>
      <c r="F2" s="305">
        <v>2</v>
      </c>
      <c r="G2" s="305"/>
      <c r="H2" s="306"/>
    </row>
    <row r="3" spans="1:8" x14ac:dyDescent="0.25">
      <c r="A3" s="7" t="s">
        <v>21</v>
      </c>
      <c r="B3" s="115"/>
      <c r="C3" s="115"/>
      <c r="D3" s="116"/>
      <c r="E3" s="116"/>
      <c r="F3" s="305" t="s">
        <v>172</v>
      </c>
      <c r="G3" s="305"/>
      <c r="H3" s="306"/>
    </row>
    <row r="4" spans="1:8" x14ac:dyDescent="0.25">
      <c r="A4" s="7" t="s">
        <v>22</v>
      </c>
      <c r="B4" s="115"/>
      <c r="C4" s="116"/>
      <c r="D4" s="116"/>
      <c r="E4" s="115"/>
      <c r="F4" s="307" t="s">
        <v>200</v>
      </c>
      <c r="G4" s="307"/>
      <c r="H4" s="308"/>
    </row>
    <row r="5" spans="1:8" x14ac:dyDescent="0.25">
      <c r="A5" s="7" t="s">
        <v>23</v>
      </c>
      <c r="B5" s="116"/>
      <c r="C5" s="115"/>
      <c r="D5" s="115"/>
      <c r="E5" s="116"/>
      <c r="F5" s="307" t="s">
        <v>103</v>
      </c>
      <c r="G5" s="307"/>
      <c r="H5" s="308"/>
    </row>
    <row r="6" spans="1:8" ht="15.75" thickBot="1" x14ac:dyDescent="0.3">
      <c r="A6" s="7" t="s">
        <v>101</v>
      </c>
      <c r="B6" s="117"/>
      <c r="C6" s="117"/>
      <c r="D6" s="117"/>
      <c r="E6" s="118"/>
      <c r="F6" s="305" t="s">
        <v>283</v>
      </c>
      <c r="G6" s="305"/>
      <c r="H6" s="306"/>
    </row>
    <row r="7" spans="1:8" x14ac:dyDescent="0.25">
      <c r="A7" s="4"/>
      <c r="B7" s="83">
        <v>7</v>
      </c>
      <c r="C7" s="83">
        <f>B7+1</f>
        <v>8</v>
      </c>
      <c r="D7" s="83">
        <f t="shared" ref="D7:H7" si="0">C7+1</f>
        <v>9</v>
      </c>
      <c r="E7" s="83">
        <f t="shared" si="0"/>
        <v>10</v>
      </c>
      <c r="F7" s="83">
        <f t="shared" si="0"/>
        <v>11</v>
      </c>
      <c r="G7" s="83">
        <f t="shared" si="0"/>
        <v>12</v>
      </c>
      <c r="H7" s="84">
        <f t="shared" si="0"/>
        <v>13</v>
      </c>
    </row>
    <row r="8" spans="1:8" x14ac:dyDescent="0.25">
      <c r="A8" s="7" t="s">
        <v>24</v>
      </c>
      <c r="B8" s="224">
        <v>3</v>
      </c>
      <c r="C8" s="221">
        <v>3</v>
      </c>
      <c r="D8" s="224">
        <v>3</v>
      </c>
      <c r="E8" s="221">
        <v>3</v>
      </c>
      <c r="F8" s="305">
        <v>3</v>
      </c>
      <c r="G8" s="305"/>
      <c r="H8" s="306"/>
    </row>
    <row r="9" spans="1:8" x14ac:dyDescent="0.25">
      <c r="A9" s="7" t="s">
        <v>21</v>
      </c>
      <c r="B9" s="225"/>
      <c r="C9" s="226"/>
      <c r="D9" s="221"/>
      <c r="E9" s="225"/>
      <c r="F9" s="305"/>
      <c r="G9" s="305"/>
      <c r="H9" s="306"/>
    </row>
    <row r="10" spans="1:8" x14ac:dyDescent="0.25">
      <c r="A10" s="7" t="s">
        <v>22</v>
      </c>
      <c r="B10" s="224"/>
      <c r="C10" s="224"/>
      <c r="D10" s="224"/>
      <c r="E10" s="224"/>
      <c r="F10" s="305"/>
      <c r="G10" s="305"/>
      <c r="H10" s="306"/>
    </row>
    <row r="11" spans="1:8" x14ac:dyDescent="0.25">
      <c r="A11" s="7" t="s">
        <v>23</v>
      </c>
      <c r="B11" s="224"/>
      <c r="C11" s="224"/>
      <c r="D11" s="226"/>
      <c r="E11" s="221"/>
      <c r="F11" s="307"/>
      <c r="G11" s="307"/>
      <c r="H11" s="308"/>
    </row>
    <row r="12" spans="1:8" ht="15.75" thickBot="1" x14ac:dyDescent="0.3">
      <c r="A12" s="7" t="s">
        <v>101</v>
      </c>
      <c r="B12" s="224"/>
      <c r="C12" s="224"/>
      <c r="D12" s="37"/>
      <c r="E12" s="224"/>
      <c r="F12" s="305"/>
      <c r="G12" s="305"/>
      <c r="H12" s="306"/>
    </row>
    <row r="13" spans="1:8" x14ac:dyDescent="0.25">
      <c r="A13" s="4"/>
      <c r="B13" s="83">
        <f>B7+7</f>
        <v>14</v>
      </c>
      <c r="C13" s="83">
        <f>B13+1</f>
        <v>15</v>
      </c>
      <c r="D13" s="83">
        <f t="shared" ref="D13:H13" si="1">C13+1</f>
        <v>16</v>
      </c>
      <c r="E13" s="83">
        <f t="shared" si="1"/>
        <v>17</v>
      </c>
      <c r="F13" s="83">
        <f t="shared" si="1"/>
        <v>18</v>
      </c>
      <c r="G13" s="83">
        <f>F13+1</f>
        <v>19</v>
      </c>
      <c r="H13" s="84">
        <f t="shared" si="1"/>
        <v>20</v>
      </c>
    </row>
    <row r="14" spans="1:8" x14ac:dyDescent="0.25">
      <c r="A14" s="7" t="s">
        <v>24</v>
      </c>
      <c r="B14" s="224">
        <v>3</v>
      </c>
      <c r="C14" s="221">
        <v>3</v>
      </c>
      <c r="D14" s="224">
        <v>3</v>
      </c>
      <c r="E14" s="221">
        <v>3</v>
      </c>
      <c r="F14" s="305">
        <v>2</v>
      </c>
      <c r="G14" s="305"/>
      <c r="H14" s="306"/>
    </row>
    <row r="15" spans="1:8" x14ac:dyDescent="0.25">
      <c r="A15" s="7" t="s">
        <v>21</v>
      </c>
      <c r="B15" s="221"/>
      <c r="C15" s="224"/>
      <c r="D15" s="225"/>
      <c r="E15" s="224"/>
      <c r="F15" s="305"/>
      <c r="G15" s="305"/>
      <c r="H15" s="306"/>
    </row>
    <row r="16" spans="1:8" x14ac:dyDescent="0.25">
      <c r="A16" s="7" t="s">
        <v>22</v>
      </c>
      <c r="B16" s="225"/>
      <c r="C16" s="221"/>
      <c r="D16" s="224"/>
      <c r="E16" s="225"/>
      <c r="F16" s="307"/>
      <c r="G16" s="307"/>
      <c r="H16" s="308"/>
    </row>
    <row r="17" spans="1:8" x14ac:dyDescent="0.25">
      <c r="A17" s="7" t="s">
        <v>23</v>
      </c>
      <c r="B17" s="221"/>
      <c r="C17" s="225"/>
      <c r="D17" s="224"/>
      <c r="E17" s="221"/>
      <c r="F17" s="305"/>
      <c r="G17" s="305"/>
      <c r="H17" s="306"/>
    </row>
    <row r="18" spans="1:8" ht="15.75" thickBot="1" x14ac:dyDescent="0.3">
      <c r="A18" s="7" t="s">
        <v>101</v>
      </c>
      <c r="B18" s="224"/>
      <c r="C18" s="224"/>
      <c r="D18" s="224"/>
      <c r="E18" s="221"/>
      <c r="F18" s="305"/>
      <c r="G18" s="305"/>
      <c r="H18" s="306"/>
    </row>
    <row r="19" spans="1:8" x14ac:dyDescent="0.25">
      <c r="A19" s="4"/>
      <c r="B19" s="83">
        <f>B13+7</f>
        <v>21</v>
      </c>
      <c r="C19" s="83">
        <f>B19+1</f>
        <v>22</v>
      </c>
      <c r="D19" s="83">
        <f t="shared" ref="D19:E19" si="2">C19+1</f>
        <v>23</v>
      </c>
      <c r="E19" s="83">
        <f t="shared" si="2"/>
        <v>24</v>
      </c>
      <c r="F19" s="5">
        <f>E19+1</f>
        <v>25</v>
      </c>
      <c r="G19" s="5">
        <f>F19+1</f>
        <v>26</v>
      </c>
      <c r="H19" s="6">
        <f>G19+1</f>
        <v>27</v>
      </c>
    </row>
    <row r="20" spans="1:8" x14ac:dyDescent="0.25">
      <c r="A20" s="7" t="s">
        <v>24</v>
      </c>
      <c r="B20" s="224">
        <v>3</v>
      </c>
      <c r="C20" s="221">
        <v>3</v>
      </c>
      <c r="D20" s="224">
        <v>3</v>
      </c>
      <c r="E20" s="221">
        <v>3</v>
      </c>
      <c r="F20" s="305">
        <v>3</v>
      </c>
      <c r="G20" s="305"/>
      <c r="H20" s="306"/>
    </row>
    <row r="21" spans="1:8" x14ac:dyDescent="0.25">
      <c r="A21" s="7" t="s">
        <v>21</v>
      </c>
      <c r="B21" s="224"/>
      <c r="C21" s="221"/>
      <c r="D21" s="221"/>
      <c r="E21" s="225"/>
      <c r="F21" s="312"/>
      <c r="G21" s="313"/>
      <c r="H21" s="314"/>
    </row>
    <row r="22" spans="1:8" x14ac:dyDescent="0.25">
      <c r="A22" s="7" t="s">
        <v>22</v>
      </c>
      <c r="B22" s="221"/>
      <c r="C22" s="224"/>
      <c r="D22" s="225"/>
      <c r="E22" s="224"/>
      <c r="F22" s="309"/>
      <c r="G22" s="310"/>
      <c r="H22" s="311"/>
    </row>
    <row r="23" spans="1:8" x14ac:dyDescent="0.25">
      <c r="A23" s="7" t="s">
        <v>23</v>
      </c>
      <c r="B23" s="226"/>
      <c r="C23" s="226"/>
      <c r="D23" s="224"/>
      <c r="E23" s="221"/>
      <c r="F23" s="307"/>
      <c r="G23" s="307"/>
      <c r="H23" s="308"/>
    </row>
    <row r="24" spans="1:8" ht="15.75" thickBot="1" x14ac:dyDescent="0.3">
      <c r="A24" s="11" t="s">
        <v>101</v>
      </c>
      <c r="B24" s="223"/>
      <c r="C24" s="223"/>
      <c r="D24" s="222"/>
      <c r="E24" s="223"/>
      <c r="F24" s="315"/>
      <c r="G24" s="315"/>
      <c r="H24" s="316"/>
    </row>
    <row r="25" spans="1:8" x14ac:dyDescent="0.25">
      <c r="A25" s="4"/>
      <c r="B25" s="83">
        <f>B19+7</f>
        <v>28</v>
      </c>
      <c r="C25" s="83">
        <f>B25+1</f>
        <v>29</v>
      </c>
      <c r="D25" s="83">
        <f t="shared" ref="D25:E25" si="3">C25+1</f>
        <v>30</v>
      </c>
      <c r="E25" s="83">
        <f t="shared" si="3"/>
        <v>31</v>
      </c>
      <c r="F25" s="5">
        <v>1</v>
      </c>
      <c r="G25" s="5">
        <v>2</v>
      </c>
      <c r="H25" s="6">
        <v>3</v>
      </c>
    </row>
    <row r="26" spans="1:8" x14ac:dyDescent="0.25">
      <c r="A26" s="7" t="s">
        <v>24</v>
      </c>
      <c r="B26" s="224">
        <v>3</v>
      </c>
      <c r="C26" s="221">
        <v>3</v>
      </c>
      <c r="D26" s="224">
        <v>3</v>
      </c>
      <c r="E26" s="221">
        <v>3</v>
      </c>
      <c r="F26" s="305">
        <v>2</v>
      </c>
      <c r="G26" s="305"/>
      <c r="H26" s="306"/>
    </row>
    <row r="27" spans="1:8" x14ac:dyDescent="0.25">
      <c r="A27" s="7" t="s">
        <v>21</v>
      </c>
      <c r="B27" s="224"/>
      <c r="C27" s="221"/>
      <c r="D27" s="221"/>
      <c r="E27" s="225"/>
      <c r="F27" s="312"/>
      <c r="G27" s="313"/>
      <c r="H27" s="314"/>
    </row>
    <row r="28" spans="1:8" x14ac:dyDescent="0.25">
      <c r="A28" s="7" t="s">
        <v>22</v>
      </c>
      <c r="B28" s="221"/>
      <c r="C28" s="224"/>
      <c r="D28" s="225" t="s">
        <v>288</v>
      </c>
      <c r="E28" s="224"/>
      <c r="F28" s="309"/>
      <c r="G28" s="310"/>
      <c r="H28" s="311"/>
    </row>
    <row r="29" spans="1:8" x14ac:dyDescent="0.25">
      <c r="A29" s="7" t="s">
        <v>23</v>
      </c>
      <c r="B29" s="226"/>
      <c r="C29" s="226"/>
      <c r="D29" s="224" t="s">
        <v>289</v>
      </c>
      <c r="E29" s="221"/>
      <c r="F29" s="307"/>
      <c r="G29" s="307"/>
      <c r="H29" s="308"/>
    </row>
    <row r="30" spans="1:8" ht="15.75" thickBot="1" x14ac:dyDescent="0.3">
      <c r="A30" s="11" t="s">
        <v>101</v>
      </c>
      <c r="B30" s="223"/>
      <c r="C30" s="223"/>
      <c r="D30" s="222"/>
      <c r="E30" s="223"/>
      <c r="F30" s="315"/>
      <c r="G30" s="315"/>
      <c r="H30" s="316"/>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45FAA-E966-4398-8F13-D2446319D597}">
  <dimension ref="A1:H30"/>
  <sheetViews>
    <sheetView rightToLeft="1" zoomScale="148" zoomScaleNormal="148" workbookViewId="0">
      <selection activeCell="F30" sqref="A1:H30"/>
    </sheetView>
  </sheetViews>
  <sheetFormatPr defaultRowHeight="15" x14ac:dyDescent="0.25"/>
  <sheetData>
    <row r="1" spans="1:8" x14ac:dyDescent="0.25">
      <c r="A1" s="4"/>
      <c r="B1" s="83"/>
      <c r="C1" s="83"/>
      <c r="D1" s="83"/>
      <c r="E1" s="83"/>
      <c r="F1" s="83">
        <v>1</v>
      </c>
      <c r="G1" s="83">
        <f>F1+1</f>
        <v>2</v>
      </c>
      <c r="H1" s="84">
        <f>G1+1</f>
        <v>3</v>
      </c>
    </row>
    <row r="2" spans="1:8" x14ac:dyDescent="0.25">
      <c r="A2" s="7" t="s">
        <v>24</v>
      </c>
      <c r="B2" s="290"/>
      <c r="C2" s="286"/>
      <c r="D2" s="290"/>
      <c r="E2" s="286"/>
      <c r="F2" s="305">
        <v>2</v>
      </c>
      <c r="G2" s="305"/>
      <c r="H2" s="306"/>
    </row>
    <row r="3" spans="1:8" x14ac:dyDescent="0.25">
      <c r="A3" s="7" t="s">
        <v>21</v>
      </c>
      <c r="B3" s="115"/>
      <c r="C3" s="115"/>
      <c r="D3" s="116"/>
      <c r="E3" s="116"/>
      <c r="F3" s="305"/>
      <c r="G3" s="305"/>
      <c r="H3" s="306"/>
    </row>
    <row r="4" spans="1:8" x14ac:dyDescent="0.25">
      <c r="A4" s="7" t="s">
        <v>22</v>
      </c>
      <c r="B4" s="115"/>
      <c r="C4" s="116"/>
      <c r="D4" s="116"/>
      <c r="E4" s="115"/>
      <c r="F4" s="307"/>
      <c r="G4" s="307"/>
      <c r="H4" s="308"/>
    </row>
    <row r="5" spans="1:8" x14ac:dyDescent="0.25">
      <c r="A5" s="7" t="s">
        <v>23</v>
      </c>
      <c r="B5" s="116"/>
      <c r="C5" s="115"/>
      <c r="D5" s="115"/>
      <c r="E5" s="116"/>
      <c r="F5" s="307"/>
      <c r="G5" s="307"/>
      <c r="H5" s="308"/>
    </row>
    <row r="6" spans="1:8" ht="15.75" thickBot="1" x14ac:dyDescent="0.3">
      <c r="A6" s="7" t="s">
        <v>101</v>
      </c>
      <c r="B6" s="117"/>
      <c r="C6" s="117"/>
      <c r="D6" s="117"/>
      <c r="E6" s="118"/>
      <c r="F6" s="305"/>
      <c r="G6" s="305"/>
      <c r="H6" s="306"/>
    </row>
    <row r="7" spans="1:8" x14ac:dyDescent="0.25">
      <c r="A7" s="4"/>
      <c r="B7" s="83">
        <f>H1+1</f>
        <v>4</v>
      </c>
      <c r="C7" s="83">
        <f>B7+1</f>
        <v>5</v>
      </c>
      <c r="D7" s="83">
        <f t="shared" ref="D7:H7" si="0">C7+1</f>
        <v>6</v>
      </c>
      <c r="E7" s="83">
        <f t="shared" si="0"/>
        <v>7</v>
      </c>
      <c r="F7" s="83">
        <f t="shared" si="0"/>
        <v>8</v>
      </c>
      <c r="G7" s="83">
        <f t="shared" si="0"/>
        <v>9</v>
      </c>
      <c r="H7" s="84">
        <f t="shared" si="0"/>
        <v>10</v>
      </c>
    </row>
    <row r="8" spans="1:8" x14ac:dyDescent="0.25">
      <c r="A8" s="7" t="s">
        <v>24</v>
      </c>
      <c r="B8" s="290">
        <v>3</v>
      </c>
      <c r="C8" s="286">
        <v>3</v>
      </c>
      <c r="D8" s="290">
        <v>3</v>
      </c>
      <c r="E8" s="286">
        <v>3</v>
      </c>
      <c r="F8" s="305">
        <v>3</v>
      </c>
      <c r="G8" s="305"/>
      <c r="H8" s="306"/>
    </row>
    <row r="9" spans="1:8" x14ac:dyDescent="0.25">
      <c r="A9" s="7" t="s">
        <v>21</v>
      </c>
      <c r="B9" s="288"/>
      <c r="C9" s="291"/>
      <c r="D9" s="286"/>
      <c r="E9" s="288"/>
      <c r="F9" s="305"/>
      <c r="G9" s="305"/>
      <c r="H9" s="306"/>
    </row>
    <row r="10" spans="1:8" x14ac:dyDescent="0.25">
      <c r="A10" s="7" t="s">
        <v>22</v>
      </c>
      <c r="B10" s="290"/>
      <c r="C10" s="290"/>
      <c r="D10" s="290"/>
      <c r="E10" s="290"/>
      <c r="F10" s="305"/>
      <c r="G10" s="305"/>
      <c r="H10" s="306"/>
    </row>
    <row r="11" spans="1:8" x14ac:dyDescent="0.25">
      <c r="A11" s="7" t="s">
        <v>23</v>
      </c>
      <c r="B11" s="290"/>
      <c r="C11" s="290"/>
      <c r="D11" s="291"/>
      <c r="E11" s="286"/>
      <c r="F11" s="307"/>
      <c r="G11" s="307"/>
      <c r="H11" s="308"/>
    </row>
    <row r="12" spans="1:8" ht="15.75" thickBot="1" x14ac:dyDescent="0.3">
      <c r="A12" s="7" t="s">
        <v>101</v>
      </c>
      <c r="B12" s="290"/>
      <c r="C12" s="290"/>
      <c r="D12" s="37"/>
      <c r="E12" s="290"/>
      <c r="F12" s="305"/>
      <c r="G12" s="305"/>
      <c r="H12" s="306"/>
    </row>
    <row r="13" spans="1:8" x14ac:dyDescent="0.25">
      <c r="A13" s="4"/>
      <c r="B13" s="83">
        <f>B7+7</f>
        <v>11</v>
      </c>
      <c r="C13" s="83">
        <f>B13+1</f>
        <v>12</v>
      </c>
      <c r="D13" s="83">
        <f t="shared" ref="D13:H13" si="1">C13+1</f>
        <v>13</v>
      </c>
      <c r="E13" s="83">
        <f t="shared" si="1"/>
        <v>14</v>
      </c>
      <c r="F13" s="83">
        <f t="shared" si="1"/>
        <v>15</v>
      </c>
      <c r="G13" s="83">
        <f>F13+1</f>
        <v>16</v>
      </c>
      <c r="H13" s="84">
        <f t="shared" si="1"/>
        <v>17</v>
      </c>
    </row>
    <row r="14" spans="1:8" x14ac:dyDescent="0.25">
      <c r="A14" s="7" t="s">
        <v>24</v>
      </c>
      <c r="B14" s="290">
        <v>3</v>
      </c>
      <c r="C14" s="286">
        <v>3</v>
      </c>
      <c r="D14" s="290">
        <v>3</v>
      </c>
      <c r="E14" s="286">
        <v>3</v>
      </c>
      <c r="F14" s="305">
        <v>3</v>
      </c>
      <c r="G14" s="305"/>
      <c r="H14" s="306"/>
    </row>
    <row r="15" spans="1:8" x14ac:dyDescent="0.25">
      <c r="A15" s="7" t="s">
        <v>21</v>
      </c>
      <c r="B15" s="286"/>
      <c r="C15" s="290"/>
      <c r="D15" s="288"/>
      <c r="E15" s="290"/>
      <c r="F15" s="305"/>
      <c r="G15" s="305"/>
      <c r="H15" s="306"/>
    </row>
    <row r="16" spans="1:8" x14ac:dyDescent="0.25">
      <c r="A16" s="7" t="s">
        <v>22</v>
      </c>
      <c r="B16" s="288"/>
      <c r="C16" s="286"/>
      <c r="D16" s="290"/>
      <c r="E16" s="288"/>
      <c r="F16" s="307"/>
      <c r="G16" s="307"/>
      <c r="H16" s="308"/>
    </row>
    <row r="17" spans="1:8" x14ac:dyDescent="0.25">
      <c r="A17" s="7" t="s">
        <v>23</v>
      </c>
      <c r="B17" s="286"/>
      <c r="C17" s="288"/>
      <c r="D17" s="290"/>
      <c r="E17" s="286"/>
      <c r="F17" s="305"/>
      <c r="G17" s="305"/>
      <c r="H17" s="306"/>
    </row>
    <row r="18" spans="1:8" ht="15.75" thickBot="1" x14ac:dyDescent="0.3">
      <c r="A18" s="7" t="s">
        <v>101</v>
      </c>
      <c r="B18" s="290"/>
      <c r="C18" s="290"/>
      <c r="D18" s="290"/>
      <c r="E18" s="286"/>
      <c r="F18" s="305"/>
      <c r="G18" s="305"/>
      <c r="H18" s="306"/>
    </row>
    <row r="19" spans="1:8" x14ac:dyDescent="0.25">
      <c r="A19" s="4"/>
      <c r="B19" s="83">
        <f>B13+7</f>
        <v>18</v>
      </c>
      <c r="C19" s="83">
        <f>B19+1</f>
        <v>19</v>
      </c>
      <c r="D19" s="83">
        <f t="shared" ref="D19:E19" si="2">C19+1</f>
        <v>20</v>
      </c>
      <c r="E19" s="83">
        <f t="shared" si="2"/>
        <v>21</v>
      </c>
      <c r="F19" s="5">
        <f>E19+1</f>
        <v>22</v>
      </c>
      <c r="G19" s="5">
        <f>F19+1</f>
        <v>23</v>
      </c>
      <c r="H19" s="6">
        <f>G19+1</f>
        <v>24</v>
      </c>
    </row>
    <row r="20" spans="1:8" x14ac:dyDescent="0.25">
      <c r="A20" s="7" t="s">
        <v>24</v>
      </c>
      <c r="B20" s="290">
        <v>3</v>
      </c>
      <c r="C20" s="286">
        <v>3</v>
      </c>
      <c r="D20" s="290">
        <v>3</v>
      </c>
      <c r="E20" s="286">
        <v>3</v>
      </c>
      <c r="F20" s="305">
        <v>3</v>
      </c>
      <c r="G20" s="305"/>
      <c r="H20" s="306"/>
    </row>
    <row r="21" spans="1:8" x14ac:dyDescent="0.25">
      <c r="A21" s="7" t="s">
        <v>21</v>
      </c>
      <c r="B21" s="290"/>
      <c r="C21" s="286"/>
      <c r="D21" s="286"/>
      <c r="E21" s="288"/>
      <c r="F21" s="312"/>
      <c r="G21" s="313"/>
      <c r="H21" s="314"/>
    </row>
    <row r="22" spans="1:8" x14ac:dyDescent="0.25">
      <c r="A22" s="7" t="s">
        <v>22</v>
      </c>
      <c r="B22" s="286"/>
      <c r="C22" s="290"/>
      <c r="D22" s="288"/>
      <c r="E22" s="290"/>
      <c r="F22" s="309"/>
      <c r="G22" s="310"/>
      <c r="H22" s="311"/>
    </row>
    <row r="23" spans="1:8" x14ac:dyDescent="0.25">
      <c r="A23" s="7" t="s">
        <v>23</v>
      </c>
      <c r="B23" s="291"/>
      <c r="C23" s="291"/>
      <c r="D23" s="290"/>
      <c r="E23" s="286"/>
      <c r="F23" s="307"/>
      <c r="G23" s="307"/>
      <c r="H23" s="308"/>
    </row>
    <row r="24" spans="1:8" ht="15.75" thickBot="1" x14ac:dyDescent="0.3">
      <c r="A24" s="11" t="s">
        <v>101</v>
      </c>
      <c r="B24" s="289"/>
      <c r="C24" s="289"/>
      <c r="D24" s="287"/>
      <c r="E24" s="289"/>
      <c r="F24" s="315"/>
      <c r="G24" s="315"/>
      <c r="H24" s="316"/>
    </row>
    <row r="25" spans="1:8" x14ac:dyDescent="0.25">
      <c r="A25" s="4"/>
      <c r="B25" s="83">
        <f>B19+7</f>
        <v>25</v>
      </c>
      <c r="C25" s="83">
        <f>B25+1</f>
        <v>26</v>
      </c>
      <c r="D25" s="83">
        <f t="shared" ref="D25:E25" si="3">C25+1</f>
        <v>27</v>
      </c>
      <c r="E25" s="83">
        <f t="shared" si="3"/>
        <v>28</v>
      </c>
      <c r="F25" s="5">
        <v>29</v>
      </c>
      <c r="G25" s="5">
        <v>30</v>
      </c>
      <c r="H25" s="6">
        <v>1</v>
      </c>
    </row>
    <row r="26" spans="1:8" x14ac:dyDescent="0.25">
      <c r="A26" s="7" t="s">
        <v>24</v>
      </c>
      <c r="B26" s="290">
        <v>3</v>
      </c>
      <c r="C26" s="286">
        <v>3</v>
      </c>
      <c r="D26" s="290">
        <v>3</v>
      </c>
      <c r="E26" s="286">
        <v>3</v>
      </c>
      <c r="F26" s="305">
        <v>3</v>
      </c>
      <c r="G26" s="305"/>
      <c r="H26" s="306"/>
    </row>
    <row r="27" spans="1:8" x14ac:dyDescent="0.25">
      <c r="A27" s="7" t="s">
        <v>21</v>
      </c>
      <c r="B27" s="290"/>
      <c r="C27" s="286"/>
      <c r="D27" s="286"/>
      <c r="E27" s="288"/>
      <c r="F27" s="312"/>
      <c r="G27" s="313"/>
      <c r="H27" s="314"/>
    </row>
    <row r="28" spans="1:8" x14ac:dyDescent="0.25">
      <c r="A28" s="7" t="s">
        <v>22</v>
      </c>
      <c r="B28" s="286"/>
      <c r="C28" s="290"/>
      <c r="D28" s="288"/>
      <c r="E28" s="290"/>
      <c r="F28" s="309"/>
      <c r="G28" s="310"/>
      <c r="H28" s="311"/>
    </row>
    <row r="29" spans="1:8" x14ac:dyDescent="0.25">
      <c r="A29" s="7" t="s">
        <v>23</v>
      </c>
      <c r="B29" s="291"/>
      <c r="C29" s="291"/>
      <c r="D29" s="290"/>
      <c r="E29" s="286"/>
      <c r="F29" s="307"/>
      <c r="G29" s="307"/>
      <c r="H29" s="308"/>
    </row>
    <row r="30" spans="1:8" ht="15.75" thickBot="1" x14ac:dyDescent="0.3">
      <c r="A30" s="11" t="s">
        <v>101</v>
      </c>
      <c r="B30" s="289"/>
      <c r="C30" s="289"/>
      <c r="D30" s="287"/>
      <c r="E30" s="289"/>
      <c r="F30" s="315"/>
      <c r="G30" s="315"/>
      <c r="H30" s="316"/>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3A38A-9543-400B-9E9B-44CDF0D2CE3F}">
  <dimension ref="A1:H36"/>
  <sheetViews>
    <sheetView rightToLeft="1" zoomScale="154" zoomScaleNormal="154" workbookViewId="0">
      <selection activeCell="C1" sqref="C1"/>
    </sheetView>
  </sheetViews>
  <sheetFormatPr defaultRowHeight="15" x14ac:dyDescent="0.25"/>
  <sheetData>
    <row r="1" spans="1:8" x14ac:dyDescent="0.25">
      <c r="A1" s="4"/>
      <c r="B1" s="83"/>
      <c r="C1" s="83"/>
      <c r="D1" s="83"/>
      <c r="E1" s="83"/>
      <c r="F1" s="83">
        <v>29</v>
      </c>
      <c r="G1" s="83">
        <f>F1+1</f>
        <v>30</v>
      </c>
      <c r="H1" s="84">
        <v>1</v>
      </c>
    </row>
    <row r="2" spans="1:8" x14ac:dyDescent="0.25">
      <c r="A2" s="7" t="s">
        <v>24</v>
      </c>
      <c r="B2" s="290"/>
      <c r="C2" s="286"/>
      <c r="D2" s="290"/>
      <c r="E2" s="286"/>
      <c r="F2" s="305">
        <v>2</v>
      </c>
      <c r="G2" s="305"/>
      <c r="H2" s="306"/>
    </row>
    <row r="3" spans="1:8" x14ac:dyDescent="0.25">
      <c r="A3" s="7" t="s">
        <v>21</v>
      </c>
      <c r="B3" s="115"/>
      <c r="C3" s="115"/>
      <c r="D3" s="116"/>
      <c r="E3" s="116"/>
      <c r="F3" s="305"/>
      <c r="G3" s="305"/>
      <c r="H3" s="306"/>
    </row>
    <row r="4" spans="1:8" x14ac:dyDescent="0.25">
      <c r="A4" s="7" t="s">
        <v>22</v>
      </c>
      <c r="B4" s="115"/>
      <c r="C4" s="116"/>
      <c r="D4" s="116"/>
      <c r="E4" s="115"/>
      <c r="F4" s="307"/>
      <c r="G4" s="307"/>
      <c r="H4" s="308"/>
    </row>
    <row r="5" spans="1:8" x14ac:dyDescent="0.25">
      <c r="A5" s="7" t="s">
        <v>23</v>
      </c>
      <c r="B5" s="116"/>
      <c r="C5" s="115"/>
      <c r="D5" s="115"/>
      <c r="E5" s="116"/>
      <c r="F5" s="307"/>
      <c r="G5" s="307"/>
      <c r="H5" s="308"/>
    </row>
    <row r="6" spans="1:8" ht="15.75" thickBot="1" x14ac:dyDescent="0.3">
      <c r="A6" s="7" t="s">
        <v>101</v>
      </c>
      <c r="B6" s="117"/>
      <c r="C6" s="117"/>
      <c r="D6" s="117"/>
      <c r="E6" s="118"/>
      <c r="F6" s="305"/>
      <c r="G6" s="305"/>
      <c r="H6" s="306"/>
    </row>
    <row r="7" spans="1:8" x14ac:dyDescent="0.25">
      <c r="A7" s="4"/>
      <c r="B7" s="83">
        <f>H1+1</f>
        <v>2</v>
      </c>
      <c r="C7" s="83">
        <f>B7+1</f>
        <v>3</v>
      </c>
      <c r="D7" s="83">
        <f t="shared" ref="D7:H7" si="0">C7+1</f>
        <v>4</v>
      </c>
      <c r="E7" s="83">
        <f t="shared" si="0"/>
        <v>5</v>
      </c>
      <c r="F7" s="83">
        <f t="shared" si="0"/>
        <v>6</v>
      </c>
      <c r="G7" s="83">
        <f t="shared" si="0"/>
        <v>7</v>
      </c>
      <c r="H7" s="84">
        <f t="shared" si="0"/>
        <v>8</v>
      </c>
    </row>
    <row r="8" spans="1:8" x14ac:dyDescent="0.25">
      <c r="A8" s="7" t="s">
        <v>24</v>
      </c>
      <c r="B8" s="290">
        <v>3</v>
      </c>
      <c r="C8" s="286">
        <v>3</v>
      </c>
      <c r="D8" s="290">
        <v>3</v>
      </c>
      <c r="E8" s="286">
        <v>3</v>
      </c>
      <c r="F8" s="305">
        <v>2</v>
      </c>
      <c r="G8" s="305"/>
      <c r="H8" s="306"/>
    </row>
    <row r="9" spans="1:8" x14ac:dyDescent="0.25">
      <c r="A9" s="7" t="s">
        <v>21</v>
      </c>
      <c r="B9" s="288"/>
      <c r="C9" s="291"/>
      <c r="D9" s="286"/>
      <c r="E9" s="288"/>
      <c r="F9" s="305"/>
      <c r="G9" s="305"/>
      <c r="H9" s="306"/>
    </row>
    <row r="10" spans="1:8" x14ac:dyDescent="0.25">
      <c r="A10" s="7" t="s">
        <v>22</v>
      </c>
      <c r="B10" s="290"/>
      <c r="C10" s="290"/>
      <c r="D10" s="290"/>
      <c r="E10" s="290"/>
      <c r="F10" s="305"/>
      <c r="G10" s="305"/>
      <c r="H10" s="306"/>
    </row>
    <row r="11" spans="1:8" x14ac:dyDescent="0.25">
      <c r="A11" s="7" t="s">
        <v>23</v>
      </c>
      <c r="B11" s="290"/>
      <c r="C11" s="290"/>
      <c r="D11" s="291"/>
      <c r="E11" s="286"/>
      <c r="F11" s="307"/>
      <c r="G11" s="307"/>
      <c r="H11" s="308"/>
    </row>
    <row r="12" spans="1:8" ht="15.75" thickBot="1" x14ac:dyDescent="0.3">
      <c r="A12" s="7" t="s">
        <v>101</v>
      </c>
      <c r="B12" s="290"/>
      <c r="C12" s="290"/>
      <c r="D12" s="37"/>
      <c r="E12" s="290"/>
      <c r="F12" s="305"/>
      <c r="G12" s="305"/>
      <c r="H12" s="306"/>
    </row>
    <row r="13" spans="1:8" x14ac:dyDescent="0.25">
      <c r="A13" s="4"/>
      <c r="B13" s="83">
        <f>B7+7</f>
        <v>9</v>
      </c>
      <c r="C13" s="83">
        <f>B13+1</f>
        <v>10</v>
      </c>
      <c r="D13" s="83">
        <f t="shared" ref="D13:H13" si="1">C13+1</f>
        <v>11</v>
      </c>
      <c r="E13" s="83">
        <f t="shared" si="1"/>
        <v>12</v>
      </c>
      <c r="F13" s="83">
        <f t="shared" si="1"/>
        <v>13</v>
      </c>
      <c r="G13" s="83">
        <f>F13+1</f>
        <v>14</v>
      </c>
      <c r="H13" s="84">
        <f t="shared" si="1"/>
        <v>15</v>
      </c>
    </row>
    <row r="14" spans="1:8" x14ac:dyDescent="0.25">
      <c r="A14" s="7" t="s">
        <v>24</v>
      </c>
      <c r="B14" s="290">
        <v>3</v>
      </c>
      <c r="C14" s="286">
        <v>3</v>
      </c>
      <c r="D14" s="290">
        <v>3</v>
      </c>
      <c r="E14" s="286">
        <v>3</v>
      </c>
      <c r="F14" s="305">
        <v>3</v>
      </c>
      <c r="G14" s="305"/>
      <c r="H14" s="306"/>
    </row>
    <row r="15" spans="1:8" x14ac:dyDescent="0.25">
      <c r="A15" s="7" t="s">
        <v>21</v>
      </c>
      <c r="B15" s="286"/>
      <c r="C15" s="290"/>
      <c r="D15" s="288"/>
      <c r="E15" s="290"/>
      <c r="F15" s="305"/>
      <c r="G15" s="305"/>
      <c r="H15" s="306"/>
    </row>
    <row r="16" spans="1:8" x14ac:dyDescent="0.25">
      <c r="A16" s="7" t="s">
        <v>22</v>
      </c>
      <c r="B16" s="288"/>
      <c r="C16" s="286"/>
      <c r="D16" s="290"/>
      <c r="E16" s="288"/>
      <c r="F16" s="307"/>
      <c r="G16" s="307"/>
      <c r="H16" s="308"/>
    </row>
    <row r="17" spans="1:8" x14ac:dyDescent="0.25">
      <c r="A17" s="7" t="s">
        <v>23</v>
      </c>
      <c r="B17" s="286"/>
      <c r="C17" s="288"/>
      <c r="D17" s="290"/>
      <c r="E17" s="286"/>
      <c r="F17" s="305"/>
      <c r="G17" s="305"/>
      <c r="H17" s="306"/>
    </row>
    <row r="18" spans="1:8" ht="15.75" thickBot="1" x14ac:dyDescent="0.3">
      <c r="A18" s="7" t="s">
        <v>101</v>
      </c>
      <c r="B18" s="290"/>
      <c r="C18" s="290"/>
      <c r="D18" s="290"/>
      <c r="E18" s="286"/>
      <c r="F18" s="305"/>
      <c r="G18" s="305"/>
      <c r="H18" s="306"/>
    </row>
    <row r="19" spans="1:8" x14ac:dyDescent="0.25">
      <c r="A19" s="4"/>
      <c r="B19" s="83">
        <f>B13+7</f>
        <v>16</v>
      </c>
      <c r="C19" s="83">
        <f>B19+1</f>
        <v>17</v>
      </c>
      <c r="D19" s="83">
        <f t="shared" ref="D19:E19" si="2">C19+1</f>
        <v>18</v>
      </c>
      <c r="E19" s="83">
        <f t="shared" si="2"/>
        <v>19</v>
      </c>
      <c r="F19" s="5">
        <f>E19+1</f>
        <v>20</v>
      </c>
      <c r="G19" s="5">
        <f>F19+1</f>
        <v>21</v>
      </c>
      <c r="H19" s="6">
        <f>G19+1</f>
        <v>22</v>
      </c>
    </row>
    <row r="20" spans="1:8" x14ac:dyDescent="0.25">
      <c r="A20" s="7" t="s">
        <v>24</v>
      </c>
      <c r="B20" s="290">
        <v>3</v>
      </c>
      <c r="C20" s="286">
        <v>3</v>
      </c>
      <c r="D20" s="290">
        <v>3</v>
      </c>
      <c r="E20" s="286">
        <v>3</v>
      </c>
      <c r="F20" s="305">
        <v>3</v>
      </c>
      <c r="G20" s="305"/>
      <c r="H20" s="306"/>
    </row>
    <row r="21" spans="1:8" x14ac:dyDescent="0.25">
      <c r="A21" s="7" t="s">
        <v>21</v>
      </c>
      <c r="B21" s="290"/>
      <c r="C21" s="286"/>
      <c r="D21" s="286"/>
      <c r="E21" s="288"/>
      <c r="F21" s="312"/>
      <c r="G21" s="313"/>
      <c r="H21" s="314"/>
    </row>
    <row r="22" spans="1:8" x14ac:dyDescent="0.25">
      <c r="A22" s="7" t="s">
        <v>22</v>
      </c>
      <c r="B22" s="286"/>
      <c r="C22" s="290"/>
      <c r="D22" s="288"/>
      <c r="E22" s="290"/>
      <c r="F22" s="309"/>
      <c r="G22" s="310"/>
      <c r="H22" s="311"/>
    </row>
    <row r="23" spans="1:8" x14ac:dyDescent="0.25">
      <c r="A23" s="7" t="s">
        <v>23</v>
      </c>
      <c r="B23" s="291"/>
      <c r="C23" s="291"/>
      <c r="D23" s="290"/>
      <c r="E23" s="286"/>
      <c r="F23" s="307"/>
      <c r="G23" s="307"/>
      <c r="H23" s="308"/>
    </row>
    <row r="24" spans="1:8" ht="15.75" thickBot="1" x14ac:dyDescent="0.3">
      <c r="A24" s="11" t="s">
        <v>101</v>
      </c>
      <c r="B24" s="289"/>
      <c r="C24" s="289"/>
      <c r="D24" s="287"/>
      <c r="E24" s="289"/>
      <c r="F24" s="315"/>
      <c r="G24" s="315"/>
      <c r="H24" s="316"/>
    </row>
    <row r="25" spans="1:8" x14ac:dyDescent="0.25">
      <c r="A25" s="4"/>
      <c r="B25" s="83">
        <f>B19+7</f>
        <v>23</v>
      </c>
      <c r="C25" s="83">
        <f>B25+1</f>
        <v>24</v>
      </c>
      <c r="D25" s="83">
        <f t="shared" ref="D25:E25" si="3">C25+1</f>
        <v>25</v>
      </c>
      <c r="E25" s="83">
        <f t="shared" si="3"/>
        <v>26</v>
      </c>
      <c r="F25" s="5">
        <f>E25+1</f>
        <v>27</v>
      </c>
      <c r="G25" s="5">
        <f>F25+1</f>
        <v>28</v>
      </c>
      <c r="H25" s="6">
        <f>G25+1</f>
        <v>29</v>
      </c>
    </row>
    <row r="26" spans="1:8" x14ac:dyDescent="0.25">
      <c r="A26" s="7" t="s">
        <v>24</v>
      </c>
      <c r="B26" s="290">
        <v>3</v>
      </c>
      <c r="C26" s="286">
        <v>3</v>
      </c>
      <c r="D26" s="290">
        <v>3</v>
      </c>
      <c r="E26" s="286">
        <v>3</v>
      </c>
      <c r="F26" s="305">
        <v>3</v>
      </c>
      <c r="G26" s="305"/>
      <c r="H26" s="306"/>
    </row>
    <row r="27" spans="1:8" x14ac:dyDescent="0.25">
      <c r="A27" s="7" t="s">
        <v>21</v>
      </c>
      <c r="B27" s="290"/>
      <c r="C27" s="286"/>
      <c r="D27" s="286"/>
      <c r="E27" s="288"/>
      <c r="F27" s="312"/>
      <c r="G27" s="313"/>
      <c r="H27" s="314"/>
    </row>
    <row r="28" spans="1:8" x14ac:dyDescent="0.25">
      <c r="A28" s="7" t="s">
        <v>22</v>
      </c>
      <c r="B28" s="286"/>
      <c r="C28" s="290"/>
      <c r="D28" s="288"/>
      <c r="E28" s="290"/>
      <c r="F28" s="309"/>
      <c r="G28" s="310"/>
      <c r="H28" s="311"/>
    </row>
    <row r="29" spans="1:8" x14ac:dyDescent="0.25">
      <c r="A29" s="7" t="s">
        <v>23</v>
      </c>
      <c r="B29" s="291"/>
      <c r="C29" s="291"/>
      <c r="D29" s="290"/>
      <c r="E29" s="286"/>
      <c r="F29" s="307"/>
      <c r="G29" s="307"/>
      <c r="H29" s="308"/>
    </row>
    <row r="30" spans="1:8" ht="15.75" thickBot="1" x14ac:dyDescent="0.3">
      <c r="A30" s="11" t="s">
        <v>101</v>
      </c>
      <c r="B30" s="289"/>
      <c r="C30" s="289"/>
      <c r="D30" s="287"/>
      <c r="E30" s="289"/>
      <c r="F30" s="315"/>
      <c r="G30" s="315"/>
      <c r="H30" s="316"/>
    </row>
    <row r="31" spans="1:8" x14ac:dyDescent="0.25">
      <c r="A31" s="4"/>
      <c r="B31" s="83">
        <f>B25+7</f>
        <v>30</v>
      </c>
      <c r="C31" s="83">
        <f>B31+1</f>
        <v>31</v>
      </c>
      <c r="D31" s="83">
        <v>1</v>
      </c>
      <c r="E31" s="83">
        <f t="shared" ref="E31" si="4">D31+1</f>
        <v>2</v>
      </c>
      <c r="F31" s="5">
        <f>E31+1</f>
        <v>3</v>
      </c>
      <c r="G31" s="5">
        <f>F31+1</f>
        <v>4</v>
      </c>
      <c r="H31" s="6">
        <f>G31+1</f>
        <v>5</v>
      </c>
    </row>
    <row r="32" spans="1:8" x14ac:dyDescent="0.25">
      <c r="A32" s="7" t="s">
        <v>24</v>
      </c>
      <c r="B32" s="290">
        <v>3</v>
      </c>
      <c r="C32" s="286">
        <v>3</v>
      </c>
      <c r="D32" s="290">
        <v>3</v>
      </c>
      <c r="E32" s="286">
        <v>3</v>
      </c>
      <c r="F32" s="305">
        <v>2</v>
      </c>
      <c r="G32" s="305"/>
      <c r="H32" s="306"/>
    </row>
    <row r="33" spans="1:8" x14ac:dyDescent="0.25">
      <c r="A33" s="7" t="s">
        <v>21</v>
      </c>
      <c r="B33" s="290"/>
      <c r="C33" s="286"/>
      <c r="D33" s="286"/>
      <c r="E33" s="288"/>
      <c r="F33" s="312"/>
      <c r="G33" s="313"/>
      <c r="H33" s="314"/>
    </row>
    <row r="34" spans="1:8" x14ac:dyDescent="0.25">
      <c r="A34" s="7" t="s">
        <v>22</v>
      </c>
      <c r="B34" s="286"/>
      <c r="C34" s="290"/>
      <c r="D34" s="288"/>
      <c r="E34" s="290"/>
      <c r="F34" s="309"/>
      <c r="G34" s="310"/>
      <c r="H34" s="311"/>
    </row>
    <row r="35" spans="1:8" x14ac:dyDescent="0.25">
      <c r="A35" s="7" t="s">
        <v>23</v>
      </c>
      <c r="B35" s="291"/>
      <c r="C35" s="291"/>
      <c r="D35" s="290"/>
      <c r="E35" s="286"/>
      <c r="F35" s="307"/>
      <c r="G35" s="307"/>
      <c r="H35" s="308"/>
    </row>
    <row r="36" spans="1:8" ht="15.75" thickBot="1" x14ac:dyDescent="0.3">
      <c r="A36" s="11" t="s">
        <v>101</v>
      </c>
      <c r="B36" s="289"/>
      <c r="C36" s="289"/>
      <c r="D36" s="287"/>
      <c r="E36" s="289"/>
      <c r="F36" s="315"/>
      <c r="G36" s="315"/>
      <c r="H36" s="316"/>
    </row>
  </sheetData>
  <mergeCells count="30">
    <mergeCell ref="F36:H36"/>
    <mergeCell ref="F23:H23"/>
    <mergeCell ref="F24:H24"/>
    <mergeCell ref="F26:H26"/>
    <mergeCell ref="F27:H27"/>
    <mergeCell ref="F28:H28"/>
    <mergeCell ref="F29:H29"/>
    <mergeCell ref="F30:H30"/>
    <mergeCell ref="F32:H32"/>
    <mergeCell ref="F33:H33"/>
    <mergeCell ref="F34:H34"/>
    <mergeCell ref="F35:H35"/>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9"/>
  <sheetViews>
    <sheetView rightToLeft="1" zoomScale="115" zoomScaleNormal="115" workbookViewId="0">
      <selection activeCell="I12" sqref="I11:I12"/>
    </sheetView>
  </sheetViews>
  <sheetFormatPr defaultRowHeight="15" x14ac:dyDescent="0.25"/>
  <cols>
    <col min="2" max="2" width="23.5703125" bestFit="1" customWidth="1"/>
    <col min="6" max="6" width="10.85546875" bestFit="1" customWidth="1"/>
    <col min="7" max="7" width="12.28515625" bestFit="1" customWidth="1"/>
    <col min="8" max="8" width="15.7109375" bestFit="1" customWidth="1"/>
    <col min="9" max="9" width="11.140625" bestFit="1" customWidth="1"/>
    <col min="10" max="10" width="14.5703125" bestFit="1" customWidth="1"/>
  </cols>
  <sheetData>
    <row r="2" spans="2:10" ht="15.75" thickBot="1" x14ac:dyDescent="0.3">
      <c r="B2" s="3" t="s">
        <v>18</v>
      </c>
      <c r="C2" s="3">
        <f>COUNTIF(חיילים!D:D,"=כן")</f>
        <v>6</v>
      </c>
    </row>
    <row r="3" spans="2:10" ht="17.25" customHeight="1" thickBot="1" x14ac:dyDescent="0.3">
      <c r="B3" s="1" t="s">
        <v>17</v>
      </c>
      <c r="C3" s="1">
        <f>COUNTIF(חיילים!$D:D,"=לא")</f>
        <v>35</v>
      </c>
      <c r="F3" s="137"/>
      <c r="G3" s="212" t="s">
        <v>225</v>
      </c>
      <c r="H3" s="77" t="s">
        <v>226</v>
      </c>
      <c r="I3" s="77" t="s">
        <v>227</v>
      </c>
      <c r="J3" s="213" t="s">
        <v>228</v>
      </c>
    </row>
    <row r="4" spans="2:10" x14ac:dyDescent="0.25">
      <c r="B4" s="1" t="s">
        <v>16</v>
      </c>
      <c r="C4" s="2">
        <f>C3+C2</f>
        <v>41</v>
      </c>
      <c r="F4" s="209" t="s">
        <v>31</v>
      </c>
      <c r="G4" s="119">
        <f>SUM(חיילים!DK:DK)</f>
        <v>0</v>
      </c>
      <c r="H4" s="120">
        <f>SUM(חיילים!DL:DL)</f>
        <v>0</v>
      </c>
      <c r="I4" s="120">
        <f>SUM(חיילים!DM:DM)</f>
        <v>0</v>
      </c>
      <c r="J4" s="121">
        <f>SUM(חיילים!DN:DN)</f>
        <v>0</v>
      </c>
    </row>
    <row r="5" spans="2:10" x14ac:dyDescent="0.25">
      <c r="F5" s="210" t="s">
        <v>32</v>
      </c>
      <c r="G5" s="122">
        <f>G6-G4</f>
        <v>10</v>
      </c>
      <c r="H5" s="123">
        <f t="shared" ref="H5:I5" si="0">H6-H4</f>
        <v>6</v>
      </c>
      <c r="I5" s="123">
        <f t="shared" si="0"/>
        <v>48</v>
      </c>
      <c r="J5" s="124">
        <f>J6-J4</f>
        <v>16</v>
      </c>
    </row>
    <row r="6" spans="2:10" ht="15.75" thickBot="1" x14ac:dyDescent="0.3">
      <c r="F6" s="211" t="s">
        <v>33</v>
      </c>
      <c r="G6" s="125">
        <f>3+3+2+2</f>
        <v>10</v>
      </c>
      <c r="H6" s="126">
        <f>4*4-G6</f>
        <v>6</v>
      </c>
      <c r="I6" s="126">
        <f>4*4*3</f>
        <v>48</v>
      </c>
      <c r="J6" s="127">
        <f>4*4*1</f>
        <v>16</v>
      </c>
    </row>
    <row r="7" spans="2:10" x14ac:dyDescent="0.25">
      <c r="B7" s="1" t="s">
        <v>19</v>
      </c>
      <c r="C7" s="1">
        <f>COUNTIF(חיילים!E:E,"=כן")</f>
        <v>37</v>
      </c>
    </row>
    <row r="8" spans="2:10" x14ac:dyDescent="0.25">
      <c r="B8" s="3" t="s">
        <v>20</v>
      </c>
      <c r="C8" s="3">
        <f>COUNTIF(חיילים!E:E,"=לא")</f>
        <v>4</v>
      </c>
    </row>
    <row r="9" spans="2:10" x14ac:dyDescent="0.25">
      <c r="B9" s="1" t="s">
        <v>16</v>
      </c>
      <c r="C9" s="2">
        <f>C8+C7</f>
        <v>41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882E-70F3-4502-AB24-F4779D986F3A}">
  <dimension ref="A1:R36"/>
  <sheetViews>
    <sheetView rightToLeft="1" topLeftCell="A10" zoomScale="115" zoomScaleNormal="115" workbookViewId="0">
      <selection activeCell="F33" sqref="F33:H36"/>
    </sheetView>
  </sheetViews>
  <sheetFormatPr defaultRowHeight="15" x14ac:dyDescent="0.25"/>
  <cols>
    <col min="2" max="2" width="10.85546875" bestFit="1" customWidth="1"/>
    <col min="3" max="5" width="11.5703125" bestFit="1" customWidth="1"/>
    <col min="10" max="10" width="14.5703125" bestFit="1" customWidth="1"/>
    <col min="11" max="11" width="10.5703125" bestFit="1" customWidth="1"/>
    <col min="12" max="12" width="15.85546875" bestFit="1" customWidth="1"/>
    <col min="13" max="13" width="7.5703125" bestFit="1" customWidth="1"/>
    <col min="14" max="14" width="10.140625" customWidth="1"/>
    <col min="15" max="15" width="14.5703125" bestFit="1" customWidth="1"/>
    <col min="16" max="16" width="12.85546875" bestFit="1" customWidth="1"/>
    <col min="17" max="17" width="20.28515625" bestFit="1" customWidth="1"/>
    <col min="18" max="18" width="12.7109375" bestFit="1" customWidth="1"/>
  </cols>
  <sheetData>
    <row r="1" spans="1:18" x14ac:dyDescent="0.25">
      <c r="A1" s="4"/>
      <c r="B1" s="83"/>
      <c r="C1" s="83"/>
      <c r="D1" s="83"/>
      <c r="E1" s="83"/>
      <c r="F1" s="5">
        <v>30</v>
      </c>
      <c r="G1" s="5">
        <v>31</v>
      </c>
      <c r="H1" s="6">
        <v>1</v>
      </c>
    </row>
    <row r="2" spans="1:18" x14ac:dyDescent="0.25">
      <c r="A2" s="7" t="s">
        <v>24</v>
      </c>
      <c r="B2" s="215"/>
      <c r="C2" s="217"/>
      <c r="D2" s="215"/>
      <c r="E2" s="217"/>
      <c r="F2" s="305">
        <v>3</v>
      </c>
      <c r="G2" s="305"/>
      <c r="H2" s="306"/>
    </row>
    <row r="3" spans="1:18" ht="15.75" thickBot="1" x14ac:dyDescent="0.3">
      <c r="A3" s="7" t="s">
        <v>21</v>
      </c>
      <c r="B3" s="115"/>
      <c r="C3" s="115"/>
      <c r="D3" s="116"/>
      <c r="E3" s="116"/>
      <c r="F3" s="312" t="s">
        <v>217</v>
      </c>
      <c r="G3" s="313"/>
      <c r="H3" s="314"/>
    </row>
    <row r="4" spans="1:18" ht="15.75" thickBot="1" x14ac:dyDescent="0.3">
      <c r="A4" s="7" t="s">
        <v>22</v>
      </c>
      <c r="B4" s="115"/>
      <c r="C4" s="116"/>
      <c r="D4" s="116"/>
      <c r="E4" s="115"/>
      <c r="F4" s="305" t="s">
        <v>139</v>
      </c>
      <c r="G4" s="305"/>
      <c r="H4" s="306"/>
      <c r="J4" s="271"/>
      <c r="K4" s="272" t="s">
        <v>266</v>
      </c>
      <c r="L4" s="273" t="s">
        <v>271</v>
      </c>
      <c r="M4" s="274" t="s">
        <v>270</v>
      </c>
      <c r="N4" s="275" t="s">
        <v>272</v>
      </c>
      <c r="O4" s="272" t="s">
        <v>268</v>
      </c>
      <c r="P4" s="273" t="s">
        <v>273</v>
      </c>
      <c r="Q4" s="272" t="s">
        <v>269</v>
      </c>
      <c r="R4" s="273" t="s">
        <v>274</v>
      </c>
    </row>
    <row r="5" spans="1:18" x14ac:dyDescent="0.25">
      <c r="A5" s="7" t="s">
        <v>23</v>
      </c>
      <c r="B5" s="116"/>
      <c r="C5" s="115"/>
      <c r="D5" s="115"/>
      <c r="E5" s="116"/>
      <c r="F5" s="309" t="s">
        <v>64</v>
      </c>
      <c r="G5" s="310"/>
      <c r="H5" s="311"/>
      <c r="J5" s="266" t="s">
        <v>21</v>
      </c>
      <c r="K5" s="267" t="s">
        <v>138</v>
      </c>
      <c r="L5" s="268" t="s">
        <v>157</v>
      </c>
      <c r="M5" s="269" t="s">
        <v>243</v>
      </c>
      <c r="N5" s="270" t="s">
        <v>277</v>
      </c>
      <c r="O5" s="277" t="s">
        <v>153</v>
      </c>
      <c r="P5" s="278" t="s">
        <v>217</v>
      </c>
      <c r="Q5" s="267" t="s">
        <v>277</v>
      </c>
      <c r="R5" s="268" t="s">
        <v>243</v>
      </c>
    </row>
    <row r="6" spans="1:18" ht="15.75" thickBot="1" x14ac:dyDescent="0.3">
      <c r="A6" s="7" t="s">
        <v>101</v>
      </c>
      <c r="B6" s="117"/>
      <c r="C6" s="117"/>
      <c r="D6" s="117"/>
      <c r="E6" s="118"/>
      <c r="F6" s="315" t="s">
        <v>93</v>
      </c>
      <c r="G6" s="315"/>
      <c r="H6" s="316"/>
      <c r="J6" s="259" t="s">
        <v>275</v>
      </c>
      <c r="K6" s="255" t="s">
        <v>137</v>
      </c>
      <c r="L6" s="256" t="s">
        <v>283</v>
      </c>
      <c r="M6" s="251" t="s">
        <v>103</v>
      </c>
      <c r="N6" s="250" t="s">
        <v>157</v>
      </c>
      <c r="O6" s="253" t="s">
        <v>87</v>
      </c>
      <c r="P6" s="254" t="s">
        <v>198</v>
      </c>
      <c r="Q6" s="265" t="s">
        <v>74</v>
      </c>
      <c r="R6" s="260" t="s">
        <v>87</v>
      </c>
    </row>
    <row r="7" spans="1:18" x14ac:dyDescent="0.25">
      <c r="A7" s="4"/>
      <c r="B7" s="83">
        <v>2</v>
      </c>
      <c r="C7" s="83">
        <f>B7+1</f>
        <v>3</v>
      </c>
      <c r="D7" s="83">
        <f t="shared" ref="D7:H7" si="0">C7+1</f>
        <v>4</v>
      </c>
      <c r="E7" s="83">
        <f t="shared" si="0"/>
        <v>5</v>
      </c>
      <c r="F7" s="83">
        <f t="shared" si="0"/>
        <v>6</v>
      </c>
      <c r="G7" s="83">
        <f t="shared" si="0"/>
        <v>7</v>
      </c>
      <c r="H7" s="84">
        <f t="shared" si="0"/>
        <v>8</v>
      </c>
      <c r="J7" s="259" t="s">
        <v>276</v>
      </c>
      <c r="K7" s="253" t="s">
        <v>139</v>
      </c>
      <c r="L7" s="254" t="s">
        <v>93</v>
      </c>
      <c r="M7" s="252" t="s">
        <v>215</v>
      </c>
      <c r="N7" s="270" t="s">
        <v>277</v>
      </c>
      <c r="O7" s="253" t="s">
        <v>104</v>
      </c>
      <c r="P7" s="254" t="s">
        <v>243</v>
      </c>
      <c r="Q7" s="253" t="s">
        <v>201</v>
      </c>
      <c r="R7" s="254" t="s">
        <v>235</v>
      </c>
    </row>
    <row r="8" spans="1:18" ht="15.75" thickBot="1" x14ac:dyDescent="0.3">
      <c r="A8" s="7" t="s">
        <v>24</v>
      </c>
      <c r="B8" s="215">
        <v>3</v>
      </c>
      <c r="C8" s="217">
        <v>3</v>
      </c>
      <c r="D8" s="215">
        <v>3</v>
      </c>
      <c r="E8" s="217">
        <v>3</v>
      </c>
      <c r="F8" s="305">
        <v>3</v>
      </c>
      <c r="G8" s="305"/>
      <c r="H8" s="306"/>
      <c r="J8" s="261" t="s">
        <v>101</v>
      </c>
      <c r="K8" s="257" t="s">
        <v>278</v>
      </c>
      <c r="L8" s="258" t="s">
        <v>242</v>
      </c>
      <c r="M8" s="262" t="s">
        <v>216</v>
      </c>
      <c r="N8" s="264" t="s">
        <v>153</v>
      </c>
      <c r="O8" s="257" t="s">
        <v>173</v>
      </c>
      <c r="P8" s="263" t="s">
        <v>155</v>
      </c>
      <c r="Q8" s="257" t="s">
        <v>242</v>
      </c>
      <c r="R8" s="263" t="s">
        <v>156</v>
      </c>
    </row>
    <row r="9" spans="1:18" x14ac:dyDescent="0.25">
      <c r="A9" s="7" t="s">
        <v>21</v>
      </c>
      <c r="B9" s="282" t="s">
        <v>117</v>
      </c>
      <c r="C9" s="281" t="s">
        <v>242</v>
      </c>
      <c r="D9" s="280" t="s">
        <v>116</v>
      </c>
      <c r="E9" s="282" t="s">
        <v>117</v>
      </c>
      <c r="F9" s="307" t="s">
        <v>63</v>
      </c>
      <c r="G9" s="307"/>
      <c r="H9" s="308"/>
    </row>
    <row r="10" spans="1:18" x14ac:dyDescent="0.25">
      <c r="A10" s="7" t="s">
        <v>22</v>
      </c>
      <c r="B10" s="281" t="s">
        <v>173</v>
      </c>
      <c r="C10" s="280" t="s">
        <v>74</v>
      </c>
      <c r="D10" s="281" t="s">
        <v>198</v>
      </c>
      <c r="E10" s="281" t="s">
        <v>173</v>
      </c>
      <c r="F10" s="305" t="s">
        <v>153</v>
      </c>
      <c r="G10" s="305"/>
      <c r="H10" s="306"/>
    </row>
    <row r="11" spans="1:18" x14ac:dyDescent="0.25">
      <c r="A11" s="7" t="s">
        <v>23</v>
      </c>
      <c r="B11" s="215" t="s">
        <v>87</v>
      </c>
      <c r="C11" s="215" t="s">
        <v>235</v>
      </c>
      <c r="D11" s="281" t="s">
        <v>67</v>
      </c>
      <c r="E11" s="279" t="s">
        <v>87</v>
      </c>
      <c r="F11" s="305" t="s">
        <v>155</v>
      </c>
      <c r="G11" s="305"/>
      <c r="H11" s="306"/>
    </row>
    <row r="12" spans="1:18" ht="15.75" thickBot="1" x14ac:dyDescent="0.3">
      <c r="A12" s="7" t="s">
        <v>101</v>
      </c>
      <c r="B12" s="215" t="s">
        <v>172</v>
      </c>
      <c r="C12" s="215" t="s">
        <v>140</v>
      </c>
      <c r="D12" s="37" t="s">
        <v>68</v>
      </c>
      <c r="E12" s="215" t="s">
        <v>201</v>
      </c>
      <c r="F12" s="305" t="s">
        <v>156</v>
      </c>
      <c r="G12" s="305"/>
      <c r="H12" s="306"/>
    </row>
    <row r="13" spans="1:18" x14ac:dyDescent="0.25">
      <c r="A13" s="4"/>
      <c r="B13" s="83">
        <f>B7+7</f>
        <v>9</v>
      </c>
      <c r="C13" s="83">
        <f>B13+1</f>
        <v>10</v>
      </c>
      <c r="D13" s="83">
        <f t="shared" ref="D13:H13" si="1">C13+1</f>
        <v>11</v>
      </c>
      <c r="E13" s="83">
        <f t="shared" si="1"/>
        <v>12</v>
      </c>
      <c r="F13" s="83">
        <f t="shared" si="1"/>
        <v>13</v>
      </c>
      <c r="G13" s="83">
        <f>F13+1</f>
        <v>14</v>
      </c>
      <c r="H13" s="84">
        <f t="shared" si="1"/>
        <v>15</v>
      </c>
    </row>
    <row r="14" spans="1:18" x14ac:dyDescent="0.25">
      <c r="A14" s="7" t="s">
        <v>24</v>
      </c>
      <c r="B14" s="312" t="s">
        <v>266</v>
      </c>
      <c r="C14" s="313"/>
      <c r="D14" s="317"/>
      <c r="E14" s="217">
        <v>3</v>
      </c>
      <c r="F14" s="305">
        <v>3</v>
      </c>
      <c r="G14" s="305"/>
      <c r="H14" s="306"/>
    </row>
    <row r="15" spans="1:18" x14ac:dyDescent="0.25">
      <c r="A15" s="7" t="s">
        <v>21</v>
      </c>
      <c r="B15" s="312" t="s">
        <v>138</v>
      </c>
      <c r="C15" s="313"/>
      <c r="D15" s="317"/>
      <c r="E15" s="282" t="s">
        <v>243</v>
      </c>
      <c r="F15" s="305" t="s">
        <v>104</v>
      </c>
      <c r="G15" s="305"/>
      <c r="H15" s="306"/>
    </row>
    <row r="16" spans="1:18" x14ac:dyDescent="0.25">
      <c r="A16" s="7" t="s">
        <v>22</v>
      </c>
      <c r="B16" s="309" t="s">
        <v>137</v>
      </c>
      <c r="C16" s="310"/>
      <c r="D16" s="318"/>
      <c r="E16" s="279" t="s">
        <v>217</v>
      </c>
      <c r="F16" s="309" t="s">
        <v>117</v>
      </c>
      <c r="G16" s="310"/>
      <c r="H16" s="311"/>
    </row>
    <row r="17" spans="1:8" x14ac:dyDescent="0.25">
      <c r="A17" s="7" t="s">
        <v>23</v>
      </c>
      <c r="B17" s="312" t="s">
        <v>139</v>
      </c>
      <c r="C17" s="313"/>
      <c r="D17" s="317"/>
      <c r="E17" s="217" t="s">
        <v>83</v>
      </c>
      <c r="F17" s="305" t="s">
        <v>235</v>
      </c>
      <c r="G17" s="305"/>
      <c r="H17" s="306"/>
    </row>
    <row r="18" spans="1:8" ht="15.75" thickBot="1" x14ac:dyDescent="0.3">
      <c r="A18" s="7" t="s">
        <v>101</v>
      </c>
      <c r="B18" s="312" t="s">
        <v>278</v>
      </c>
      <c r="C18" s="313"/>
      <c r="D18" s="317"/>
      <c r="E18" s="217" t="s">
        <v>74</v>
      </c>
      <c r="F18" s="305" t="s">
        <v>277</v>
      </c>
      <c r="G18" s="305"/>
      <c r="H18" s="306"/>
    </row>
    <row r="19" spans="1:8" x14ac:dyDescent="0.25">
      <c r="A19" s="4"/>
      <c r="B19" s="83">
        <f>B13+7</f>
        <v>16</v>
      </c>
      <c r="C19" s="83">
        <f>B19+1</f>
        <v>17</v>
      </c>
      <c r="D19" s="83">
        <f t="shared" ref="D19:E19" si="2">C19+1</f>
        <v>18</v>
      </c>
      <c r="E19" s="83">
        <f t="shared" si="2"/>
        <v>19</v>
      </c>
      <c r="F19" s="5">
        <f>E19+1</f>
        <v>20</v>
      </c>
      <c r="G19" s="5">
        <f>F19+1</f>
        <v>21</v>
      </c>
      <c r="H19" s="6">
        <f>G19+1</f>
        <v>22</v>
      </c>
    </row>
    <row r="20" spans="1:8" x14ac:dyDescent="0.25">
      <c r="A20" s="7" t="s">
        <v>24</v>
      </c>
      <c r="B20" s="215">
        <v>3</v>
      </c>
      <c r="C20" s="217">
        <v>3</v>
      </c>
      <c r="D20" s="312" t="s">
        <v>267</v>
      </c>
      <c r="E20" s="317"/>
      <c r="F20" s="305">
        <v>2</v>
      </c>
      <c r="G20" s="305"/>
      <c r="H20" s="306"/>
    </row>
    <row r="21" spans="1:8" x14ac:dyDescent="0.25">
      <c r="A21" s="38" t="s">
        <v>21</v>
      </c>
      <c r="B21" s="279" t="s">
        <v>217</v>
      </c>
      <c r="C21" s="217" t="s">
        <v>93</v>
      </c>
      <c r="D21" s="312" t="s">
        <v>243</v>
      </c>
      <c r="E21" s="317"/>
      <c r="F21" s="305" t="s">
        <v>140</v>
      </c>
      <c r="G21" s="305"/>
      <c r="H21" s="306"/>
    </row>
    <row r="22" spans="1:8" x14ac:dyDescent="0.25">
      <c r="A22" s="7" t="s">
        <v>22</v>
      </c>
      <c r="B22" s="279" t="s">
        <v>64</v>
      </c>
      <c r="C22" s="282" t="s">
        <v>66</v>
      </c>
      <c r="D22" s="309" t="s">
        <v>103</v>
      </c>
      <c r="E22" s="318"/>
      <c r="F22" s="309" t="s">
        <v>67</v>
      </c>
      <c r="G22" s="310"/>
      <c r="H22" s="311"/>
    </row>
    <row r="23" spans="1:8" x14ac:dyDescent="0.25">
      <c r="A23" s="7" t="s">
        <v>23</v>
      </c>
      <c r="B23" s="280" t="s">
        <v>154</v>
      </c>
      <c r="C23" s="276" t="s">
        <v>83</v>
      </c>
      <c r="D23" s="312" t="s">
        <v>215</v>
      </c>
      <c r="E23" s="317"/>
      <c r="F23" s="305" t="s">
        <v>68</v>
      </c>
      <c r="G23" s="305"/>
      <c r="H23" s="306"/>
    </row>
    <row r="24" spans="1:8" ht="15.75" thickBot="1" x14ac:dyDescent="0.3">
      <c r="A24" s="11" t="s">
        <v>101</v>
      </c>
      <c r="B24" s="218" t="s">
        <v>283</v>
      </c>
      <c r="C24" s="218" t="s">
        <v>63</v>
      </c>
      <c r="D24" s="312" t="s">
        <v>216</v>
      </c>
      <c r="E24" s="317"/>
      <c r="F24" s="305" t="s">
        <v>285</v>
      </c>
      <c r="G24" s="305"/>
      <c r="H24" s="306"/>
    </row>
    <row r="25" spans="1:8" x14ac:dyDescent="0.25">
      <c r="A25" s="4"/>
      <c r="B25" s="83">
        <f>B19+7</f>
        <v>23</v>
      </c>
      <c r="C25" s="83">
        <f>B25+1</f>
        <v>24</v>
      </c>
      <c r="D25" s="83">
        <f t="shared" ref="D25:E25" si="3">C25+1</f>
        <v>25</v>
      </c>
      <c r="E25" s="83">
        <f t="shared" si="3"/>
        <v>26</v>
      </c>
      <c r="F25" s="5">
        <f>E25+1</f>
        <v>27</v>
      </c>
      <c r="G25" s="5">
        <f t="shared" ref="G25:H25" si="4">F25+1</f>
        <v>28</v>
      </c>
      <c r="H25" s="6">
        <f t="shared" si="4"/>
        <v>29</v>
      </c>
    </row>
    <row r="26" spans="1:8" x14ac:dyDescent="0.25">
      <c r="A26" s="7" t="s">
        <v>24</v>
      </c>
      <c r="B26" s="312" t="s">
        <v>268</v>
      </c>
      <c r="C26" s="317"/>
      <c r="D26" s="215">
        <v>3</v>
      </c>
      <c r="E26" s="217">
        <v>3</v>
      </c>
      <c r="F26" s="305">
        <v>3</v>
      </c>
      <c r="G26" s="305"/>
      <c r="H26" s="306"/>
    </row>
    <row r="27" spans="1:8" x14ac:dyDescent="0.25">
      <c r="A27" s="7" t="s">
        <v>21</v>
      </c>
      <c r="B27" s="309" t="s">
        <v>153</v>
      </c>
      <c r="C27" s="318"/>
      <c r="D27" s="283" t="s">
        <v>93</v>
      </c>
      <c r="E27" s="279" t="s">
        <v>63</v>
      </c>
      <c r="F27" s="312" t="s">
        <v>83</v>
      </c>
      <c r="G27" s="313"/>
      <c r="H27" s="314"/>
    </row>
    <row r="28" spans="1:8" x14ac:dyDescent="0.25">
      <c r="A28" s="7" t="s">
        <v>22</v>
      </c>
      <c r="B28" s="312" t="s">
        <v>87</v>
      </c>
      <c r="C28" s="317"/>
      <c r="D28" s="216" t="s">
        <v>154</v>
      </c>
      <c r="E28" s="215" t="s">
        <v>216</v>
      </c>
      <c r="F28" s="309" t="s">
        <v>116</v>
      </c>
      <c r="G28" s="310"/>
      <c r="H28" s="311"/>
    </row>
    <row r="29" spans="1:8" x14ac:dyDescent="0.25">
      <c r="A29" s="7" t="s">
        <v>23</v>
      </c>
      <c r="B29" s="312" t="s">
        <v>104</v>
      </c>
      <c r="C29" s="317"/>
      <c r="D29" s="215" t="s">
        <v>201</v>
      </c>
      <c r="E29" s="280" t="s">
        <v>66</v>
      </c>
      <c r="F29" s="305" t="s">
        <v>198</v>
      </c>
      <c r="G29" s="305"/>
      <c r="H29" s="306"/>
    </row>
    <row r="30" spans="1:8" ht="15.75" thickBot="1" x14ac:dyDescent="0.3">
      <c r="A30" s="11" t="s">
        <v>101</v>
      </c>
      <c r="B30" s="312" t="s">
        <v>173</v>
      </c>
      <c r="C30" s="317"/>
      <c r="D30" s="219" t="s">
        <v>137</v>
      </c>
      <c r="E30" s="218" t="s">
        <v>243</v>
      </c>
      <c r="F30" s="315" t="s">
        <v>157</v>
      </c>
      <c r="G30" s="315"/>
      <c r="H30" s="316"/>
    </row>
    <row r="31" spans="1:8" x14ac:dyDescent="0.25">
      <c r="A31" s="4"/>
      <c r="B31" s="83">
        <f>B25+7</f>
        <v>30</v>
      </c>
      <c r="C31" s="83">
        <v>1</v>
      </c>
      <c r="D31" s="83">
        <f t="shared" ref="D31" si="5">C31+1</f>
        <v>2</v>
      </c>
      <c r="E31" s="83">
        <f t="shared" ref="E31" si="6">D31+1</f>
        <v>3</v>
      </c>
      <c r="F31" s="5">
        <f>E31+1</f>
        <v>4</v>
      </c>
      <c r="G31" s="5">
        <f t="shared" ref="G31:H31" si="7">F31+1</f>
        <v>5</v>
      </c>
      <c r="H31" s="6">
        <f t="shared" si="7"/>
        <v>6</v>
      </c>
    </row>
    <row r="32" spans="1:8" x14ac:dyDescent="0.25">
      <c r="A32" s="7" t="s">
        <v>24</v>
      </c>
      <c r="B32" s="312" t="s">
        <v>269</v>
      </c>
      <c r="C32" s="317"/>
      <c r="D32" s="215">
        <v>3</v>
      </c>
      <c r="E32" s="217">
        <v>3</v>
      </c>
      <c r="F32" s="305">
        <v>2</v>
      </c>
      <c r="G32" s="305"/>
      <c r="H32" s="306"/>
    </row>
    <row r="33" spans="1:8" x14ac:dyDescent="0.25">
      <c r="A33" s="7" t="s">
        <v>21</v>
      </c>
      <c r="B33" s="312" t="s">
        <v>277</v>
      </c>
      <c r="C33" s="317"/>
      <c r="D33" s="217" t="s">
        <v>68</v>
      </c>
      <c r="E33" s="279" t="s">
        <v>93</v>
      </c>
      <c r="F33" s="312" t="s">
        <v>172</v>
      </c>
      <c r="G33" s="313"/>
      <c r="H33" s="314"/>
    </row>
    <row r="34" spans="1:8" x14ac:dyDescent="0.25">
      <c r="A34" s="7" t="s">
        <v>22</v>
      </c>
      <c r="B34" s="309" t="s">
        <v>74</v>
      </c>
      <c r="C34" s="318"/>
      <c r="D34" s="281" t="s">
        <v>217</v>
      </c>
      <c r="E34" s="282" t="s">
        <v>117</v>
      </c>
      <c r="F34" s="309" t="s">
        <v>200</v>
      </c>
      <c r="G34" s="310"/>
      <c r="H34" s="311"/>
    </row>
    <row r="35" spans="1:8" x14ac:dyDescent="0.25">
      <c r="A35" s="7" t="s">
        <v>23</v>
      </c>
      <c r="B35" s="312" t="s">
        <v>201</v>
      </c>
      <c r="C35" s="317"/>
      <c r="D35" s="282" t="s">
        <v>154</v>
      </c>
      <c r="E35" s="217" t="s">
        <v>87</v>
      </c>
      <c r="F35" s="307" t="s">
        <v>103</v>
      </c>
      <c r="G35" s="307"/>
      <c r="H35" s="308"/>
    </row>
    <row r="36" spans="1:8" ht="15.75" thickBot="1" x14ac:dyDescent="0.3">
      <c r="A36" s="11" t="s">
        <v>101</v>
      </c>
      <c r="B36" s="319" t="s">
        <v>242</v>
      </c>
      <c r="C36" s="320"/>
      <c r="D36" s="219" t="s">
        <v>285</v>
      </c>
      <c r="E36" s="218" t="s">
        <v>278</v>
      </c>
      <c r="F36" s="315" t="s">
        <v>283</v>
      </c>
      <c r="G36" s="315"/>
      <c r="H36" s="316"/>
    </row>
  </sheetData>
  <mergeCells count="50">
    <mergeCell ref="B35:C35"/>
    <mergeCell ref="B36:C36"/>
    <mergeCell ref="B27:C27"/>
    <mergeCell ref="B28:C28"/>
    <mergeCell ref="B29:C29"/>
    <mergeCell ref="B30:C30"/>
    <mergeCell ref="B34:C34"/>
    <mergeCell ref="B14:D14"/>
    <mergeCell ref="D20:E20"/>
    <mergeCell ref="B26:C26"/>
    <mergeCell ref="B32:C32"/>
    <mergeCell ref="B33:C33"/>
    <mergeCell ref="D21:E21"/>
    <mergeCell ref="D22:E22"/>
    <mergeCell ref="D23:E23"/>
    <mergeCell ref="D24:E24"/>
    <mergeCell ref="B15:D15"/>
    <mergeCell ref="B16:D16"/>
    <mergeCell ref="B17:D17"/>
    <mergeCell ref="B18:D18"/>
    <mergeCell ref="F36:H36"/>
    <mergeCell ref="F23:H23"/>
    <mergeCell ref="F24:H24"/>
    <mergeCell ref="F26:H26"/>
    <mergeCell ref="F27:H27"/>
    <mergeCell ref="F28:H28"/>
    <mergeCell ref="F29:H29"/>
    <mergeCell ref="F30:H30"/>
    <mergeCell ref="F32:H32"/>
    <mergeCell ref="F33:H33"/>
    <mergeCell ref="F34:H34"/>
    <mergeCell ref="F35:H35"/>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C0AE4-F240-44D0-A947-4ADD2E212571}">
  <dimension ref="A1:H30"/>
  <sheetViews>
    <sheetView rightToLeft="1" zoomScale="142" zoomScaleNormal="142" workbookViewId="0">
      <selection activeCell="E13" sqref="E13"/>
    </sheetView>
  </sheetViews>
  <sheetFormatPr defaultRowHeight="15" x14ac:dyDescent="0.25"/>
  <sheetData>
    <row r="1" spans="1:8" x14ac:dyDescent="0.25">
      <c r="A1" s="4"/>
      <c r="B1" s="83"/>
      <c r="C1" s="83"/>
      <c r="D1" s="83"/>
      <c r="E1" s="83"/>
      <c r="F1" s="83">
        <v>1</v>
      </c>
      <c r="G1" s="83">
        <v>2</v>
      </c>
      <c r="H1" s="84">
        <v>3</v>
      </c>
    </row>
    <row r="2" spans="1:8" x14ac:dyDescent="0.25">
      <c r="A2" s="7" t="s">
        <v>24</v>
      </c>
      <c r="B2" s="224"/>
      <c r="C2" s="221"/>
      <c r="D2" s="224"/>
      <c r="E2" s="221"/>
      <c r="F2" s="305">
        <v>2</v>
      </c>
      <c r="G2" s="305"/>
      <c r="H2" s="306"/>
    </row>
    <row r="3" spans="1:8" x14ac:dyDescent="0.25">
      <c r="A3" s="7" t="s">
        <v>21</v>
      </c>
      <c r="B3" s="115"/>
      <c r="C3" s="115"/>
      <c r="D3" s="116"/>
      <c r="E3" s="116"/>
      <c r="F3" s="307"/>
      <c r="G3" s="307"/>
      <c r="H3" s="308"/>
    </row>
    <row r="4" spans="1:8" x14ac:dyDescent="0.25">
      <c r="A4" s="7" t="s">
        <v>22</v>
      </c>
      <c r="B4" s="115"/>
      <c r="C4" s="116"/>
      <c r="D4" s="116"/>
      <c r="E4" s="115"/>
      <c r="F4" s="305"/>
      <c r="G4" s="305"/>
      <c r="H4" s="306"/>
    </row>
    <row r="5" spans="1:8" x14ac:dyDescent="0.25">
      <c r="A5" s="7" t="s">
        <v>23</v>
      </c>
      <c r="B5" s="116"/>
      <c r="C5" s="115"/>
      <c r="D5" s="115"/>
      <c r="E5" s="116"/>
      <c r="F5" s="307"/>
      <c r="G5" s="307"/>
      <c r="H5" s="308"/>
    </row>
    <row r="6" spans="1:8" ht="15.75" thickBot="1" x14ac:dyDescent="0.3">
      <c r="A6" s="7" t="s">
        <v>101</v>
      </c>
      <c r="B6" s="117"/>
      <c r="C6" s="117"/>
      <c r="D6" s="117"/>
      <c r="E6" s="118"/>
      <c r="F6" s="305"/>
      <c r="G6" s="305"/>
      <c r="H6" s="306"/>
    </row>
    <row r="7" spans="1:8" x14ac:dyDescent="0.25">
      <c r="A7" s="4"/>
      <c r="B7" s="83">
        <v>4</v>
      </c>
      <c r="C7" s="83">
        <f>B7+1</f>
        <v>5</v>
      </c>
      <c r="D7" s="83">
        <f t="shared" ref="D7:H7" si="0">C7+1</f>
        <v>6</v>
      </c>
      <c r="E7" s="83">
        <f t="shared" si="0"/>
        <v>7</v>
      </c>
      <c r="F7" s="83">
        <f t="shared" si="0"/>
        <v>8</v>
      </c>
      <c r="G7" s="83">
        <f t="shared" si="0"/>
        <v>9</v>
      </c>
      <c r="H7" s="84">
        <f t="shared" si="0"/>
        <v>10</v>
      </c>
    </row>
    <row r="8" spans="1:8" x14ac:dyDescent="0.25">
      <c r="A8" s="7" t="s">
        <v>24</v>
      </c>
      <c r="B8" s="224">
        <v>3</v>
      </c>
      <c r="C8" s="221">
        <v>3</v>
      </c>
      <c r="D8" s="224">
        <v>3</v>
      </c>
      <c r="E8" s="221">
        <v>3</v>
      </c>
      <c r="F8" s="305">
        <v>3</v>
      </c>
      <c r="G8" s="305"/>
      <c r="H8" s="306"/>
    </row>
    <row r="9" spans="1:8" x14ac:dyDescent="0.25">
      <c r="A9" s="7" t="s">
        <v>21</v>
      </c>
      <c r="B9" s="225"/>
      <c r="C9" s="226"/>
      <c r="D9" s="221"/>
      <c r="E9" s="225"/>
      <c r="F9" s="305"/>
      <c r="G9" s="305"/>
      <c r="H9" s="306"/>
    </row>
    <row r="10" spans="1:8" x14ac:dyDescent="0.25">
      <c r="A10" s="7" t="s">
        <v>22</v>
      </c>
      <c r="B10" s="224"/>
      <c r="C10" s="224"/>
      <c r="D10" s="224"/>
      <c r="E10" s="224"/>
      <c r="F10" s="305"/>
      <c r="G10" s="305"/>
      <c r="H10" s="306"/>
    </row>
    <row r="11" spans="1:8" x14ac:dyDescent="0.25">
      <c r="A11" s="7" t="s">
        <v>23</v>
      </c>
      <c r="B11" s="224"/>
      <c r="C11" s="224"/>
      <c r="D11" s="226"/>
      <c r="E11" s="221"/>
      <c r="F11" s="307"/>
      <c r="G11" s="307"/>
      <c r="H11" s="308"/>
    </row>
    <row r="12" spans="1:8" ht="15.75" thickBot="1" x14ac:dyDescent="0.3">
      <c r="A12" s="7" t="s">
        <v>101</v>
      </c>
      <c r="B12" s="224"/>
      <c r="C12" s="224"/>
      <c r="D12" s="37"/>
      <c r="E12" s="224"/>
      <c r="F12" s="305"/>
      <c r="G12" s="305"/>
      <c r="H12" s="306"/>
    </row>
    <row r="13" spans="1:8" x14ac:dyDescent="0.25">
      <c r="A13" s="4"/>
      <c r="B13" s="83">
        <f>B7+7</f>
        <v>11</v>
      </c>
      <c r="C13" s="83">
        <f>B13+1</f>
        <v>12</v>
      </c>
      <c r="D13" s="83">
        <f t="shared" ref="D13:H13" si="1">C13+1</f>
        <v>13</v>
      </c>
      <c r="E13" s="83">
        <f t="shared" si="1"/>
        <v>14</v>
      </c>
      <c r="F13" s="83">
        <f t="shared" si="1"/>
        <v>15</v>
      </c>
      <c r="G13" s="83">
        <f>F13+1</f>
        <v>16</v>
      </c>
      <c r="H13" s="84">
        <f t="shared" si="1"/>
        <v>17</v>
      </c>
    </row>
    <row r="14" spans="1:8" x14ac:dyDescent="0.25">
      <c r="A14" s="7" t="s">
        <v>24</v>
      </c>
      <c r="B14" s="224">
        <v>3</v>
      </c>
      <c r="C14" s="221">
        <v>3</v>
      </c>
      <c r="D14" s="224">
        <v>3</v>
      </c>
      <c r="E14" s="221">
        <v>3</v>
      </c>
      <c r="F14" s="305">
        <v>3</v>
      </c>
      <c r="G14" s="305"/>
      <c r="H14" s="306"/>
    </row>
    <row r="15" spans="1:8" x14ac:dyDescent="0.25">
      <c r="A15" s="7" t="s">
        <v>21</v>
      </c>
      <c r="B15" s="221"/>
      <c r="C15" s="224"/>
      <c r="D15" s="225"/>
      <c r="E15" s="224"/>
      <c r="F15" s="305"/>
      <c r="G15" s="305"/>
      <c r="H15" s="306"/>
    </row>
    <row r="16" spans="1:8" x14ac:dyDescent="0.25">
      <c r="A16" s="7" t="s">
        <v>22</v>
      </c>
      <c r="B16" s="225"/>
      <c r="C16" s="221"/>
      <c r="D16" s="224"/>
      <c r="E16" s="225"/>
      <c r="F16" s="307"/>
      <c r="G16" s="307"/>
      <c r="H16" s="308"/>
    </row>
    <row r="17" spans="1:8" x14ac:dyDescent="0.25">
      <c r="A17" s="7" t="s">
        <v>23</v>
      </c>
      <c r="B17" s="221"/>
      <c r="C17" s="225"/>
      <c r="D17" s="224"/>
      <c r="E17" s="221"/>
      <c r="F17" s="305"/>
      <c r="G17" s="305"/>
      <c r="H17" s="306"/>
    </row>
    <row r="18" spans="1:8" ht="15.75" thickBot="1" x14ac:dyDescent="0.3">
      <c r="A18" s="7" t="s">
        <v>101</v>
      </c>
      <c r="B18" s="224"/>
      <c r="C18" s="224"/>
      <c r="D18" s="224"/>
      <c r="E18" s="221"/>
      <c r="F18" s="305"/>
      <c r="G18" s="305"/>
      <c r="H18" s="306"/>
    </row>
    <row r="19" spans="1:8" x14ac:dyDescent="0.25">
      <c r="A19" s="4"/>
      <c r="B19" s="83">
        <f>B13+7</f>
        <v>18</v>
      </c>
      <c r="C19" s="83">
        <f>B19+1</f>
        <v>19</v>
      </c>
      <c r="D19" s="83">
        <f t="shared" ref="D19:E19" si="2">C19+1</f>
        <v>20</v>
      </c>
      <c r="E19" s="83">
        <f t="shared" si="2"/>
        <v>21</v>
      </c>
      <c r="F19" s="5">
        <f>E19+1</f>
        <v>22</v>
      </c>
      <c r="G19" s="5">
        <f>F19+1</f>
        <v>23</v>
      </c>
      <c r="H19" s="6">
        <f>G19+1</f>
        <v>24</v>
      </c>
    </row>
    <row r="20" spans="1:8" x14ac:dyDescent="0.25">
      <c r="A20" s="7" t="s">
        <v>24</v>
      </c>
      <c r="B20" s="224">
        <v>3</v>
      </c>
      <c r="C20" s="221">
        <v>3</v>
      </c>
      <c r="D20" s="224">
        <v>3</v>
      </c>
      <c r="E20" s="221">
        <v>3</v>
      </c>
      <c r="F20" s="305">
        <v>3</v>
      </c>
      <c r="G20" s="305"/>
      <c r="H20" s="306"/>
    </row>
    <row r="21" spans="1:8" x14ac:dyDescent="0.25">
      <c r="A21" s="7" t="s">
        <v>21</v>
      </c>
      <c r="B21" s="224"/>
      <c r="C21" s="221"/>
      <c r="D21" s="221"/>
      <c r="E21" s="225"/>
      <c r="F21" s="312"/>
      <c r="G21" s="313"/>
      <c r="H21" s="314"/>
    </row>
    <row r="22" spans="1:8" x14ac:dyDescent="0.25">
      <c r="A22" s="7" t="s">
        <v>22</v>
      </c>
      <c r="B22" s="221"/>
      <c r="C22" s="224"/>
      <c r="D22" s="225"/>
      <c r="E22" s="224"/>
      <c r="F22" s="309"/>
      <c r="G22" s="310"/>
      <c r="H22" s="311"/>
    </row>
    <row r="23" spans="1:8" x14ac:dyDescent="0.25">
      <c r="A23" s="7" t="s">
        <v>23</v>
      </c>
      <c r="B23" s="226"/>
      <c r="C23" s="226"/>
      <c r="D23" s="224"/>
      <c r="E23" s="221"/>
      <c r="F23" s="307"/>
      <c r="G23" s="307"/>
      <c r="H23" s="308"/>
    </row>
    <row r="24" spans="1:8" ht="15.75" thickBot="1" x14ac:dyDescent="0.3">
      <c r="A24" s="11" t="s">
        <v>101</v>
      </c>
      <c r="B24" s="223"/>
      <c r="C24" s="223"/>
      <c r="D24" s="222"/>
      <c r="E24" s="223"/>
      <c r="F24" s="315"/>
      <c r="G24" s="315"/>
      <c r="H24" s="316"/>
    </row>
    <row r="25" spans="1:8" x14ac:dyDescent="0.25">
      <c r="A25" s="4"/>
      <c r="B25" s="83">
        <f>B19+7</f>
        <v>25</v>
      </c>
      <c r="C25" s="83">
        <f>B25+1</f>
        <v>26</v>
      </c>
      <c r="D25" s="83">
        <f t="shared" ref="D25:E25" si="3">C25+1</f>
        <v>27</v>
      </c>
      <c r="E25" s="83">
        <f t="shared" si="3"/>
        <v>28</v>
      </c>
      <c r="F25" s="5">
        <v>29</v>
      </c>
      <c r="G25" s="5">
        <v>30</v>
      </c>
      <c r="H25" s="6">
        <v>1</v>
      </c>
    </row>
    <row r="26" spans="1:8" x14ac:dyDescent="0.25">
      <c r="A26" s="7" t="s">
        <v>24</v>
      </c>
      <c r="B26" s="224">
        <v>3</v>
      </c>
      <c r="C26" s="221">
        <v>3</v>
      </c>
      <c r="D26" s="224">
        <v>3</v>
      </c>
      <c r="E26" s="221">
        <v>3</v>
      </c>
      <c r="F26" s="305">
        <v>3</v>
      </c>
      <c r="G26" s="305"/>
      <c r="H26" s="306"/>
    </row>
    <row r="27" spans="1:8" x14ac:dyDescent="0.25">
      <c r="A27" s="7" t="s">
        <v>21</v>
      </c>
      <c r="B27" s="224"/>
      <c r="C27" s="221"/>
      <c r="D27" s="221"/>
      <c r="E27" s="225"/>
      <c r="F27" s="312"/>
      <c r="G27" s="313"/>
      <c r="H27" s="314"/>
    </row>
    <row r="28" spans="1:8" x14ac:dyDescent="0.25">
      <c r="A28" s="7" t="s">
        <v>22</v>
      </c>
      <c r="B28" s="221"/>
      <c r="C28" s="224"/>
      <c r="D28" s="225"/>
      <c r="E28" s="224"/>
      <c r="F28" s="309"/>
      <c r="G28" s="310"/>
      <c r="H28" s="311"/>
    </row>
    <row r="29" spans="1:8" x14ac:dyDescent="0.25">
      <c r="A29" s="7" t="s">
        <v>23</v>
      </c>
      <c r="B29" s="226"/>
      <c r="C29" s="226"/>
      <c r="D29" s="224"/>
      <c r="E29" s="221"/>
      <c r="F29" s="307"/>
      <c r="G29" s="307"/>
      <c r="H29" s="308"/>
    </row>
    <row r="30" spans="1:8" ht="15.75" thickBot="1" x14ac:dyDescent="0.3">
      <c r="A30" s="11" t="s">
        <v>101</v>
      </c>
      <c r="B30" s="223"/>
      <c r="C30" s="223"/>
      <c r="D30" s="222"/>
      <c r="E30" s="223"/>
      <c r="F30" s="315"/>
      <c r="G30" s="315"/>
      <c r="H30" s="316"/>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12192-213D-471C-8BBF-12A3BA24C658}">
  <dimension ref="A1:H31"/>
  <sheetViews>
    <sheetView rightToLeft="1" topLeftCell="A7" zoomScale="130" zoomScaleNormal="130" workbookViewId="0">
      <selection activeCell="F31" sqref="F31:H31"/>
    </sheetView>
  </sheetViews>
  <sheetFormatPr defaultRowHeight="15" x14ac:dyDescent="0.25"/>
  <cols>
    <col min="1" max="8" width="10.7109375" customWidth="1"/>
  </cols>
  <sheetData>
    <row r="1" spans="1:8" x14ac:dyDescent="0.25">
      <c r="A1" s="4"/>
      <c r="B1" s="83"/>
      <c r="C1" s="83"/>
      <c r="D1" s="83"/>
      <c r="E1" s="83"/>
      <c r="F1" s="83">
        <v>2</v>
      </c>
      <c r="G1" s="83">
        <v>3</v>
      </c>
      <c r="H1" s="84">
        <f>G1+1</f>
        <v>4</v>
      </c>
    </row>
    <row r="2" spans="1:8" x14ac:dyDescent="0.25">
      <c r="A2" s="7" t="s">
        <v>24</v>
      </c>
      <c r="B2" s="139"/>
      <c r="C2" s="140"/>
      <c r="D2" s="139"/>
      <c r="E2" s="140"/>
      <c r="F2" s="305">
        <v>3</v>
      </c>
      <c r="G2" s="305"/>
      <c r="H2" s="306"/>
    </row>
    <row r="3" spans="1:8" x14ac:dyDescent="0.25">
      <c r="A3" s="7" t="s">
        <v>21</v>
      </c>
      <c r="B3" s="115"/>
      <c r="C3" s="115"/>
      <c r="D3" s="116"/>
      <c r="E3" s="116"/>
      <c r="F3" s="305" t="s">
        <v>117</v>
      </c>
      <c r="G3" s="305"/>
      <c r="H3" s="306"/>
    </row>
    <row r="4" spans="1:8" x14ac:dyDescent="0.25">
      <c r="A4" s="7" t="s">
        <v>22</v>
      </c>
      <c r="B4" s="115"/>
      <c r="C4" s="116"/>
      <c r="D4" s="116"/>
      <c r="E4" s="115"/>
      <c r="F4" s="307" t="s">
        <v>156</v>
      </c>
      <c r="G4" s="307"/>
      <c r="H4" s="308"/>
    </row>
    <row r="5" spans="1:8" x14ac:dyDescent="0.25">
      <c r="A5" s="7" t="s">
        <v>23</v>
      </c>
      <c r="B5" s="116"/>
      <c r="C5" s="115"/>
      <c r="D5" s="115"/>
      <c r="E5" s="116"/>
      <c r="F5" s="305" t="s">
        <v>155</v>
      </c>
      <c r="G5" s="305"/>
      <c r="H5" s="306"/>
    </row>
    <row r="6" spans="1:8" ht="15.75" thickBot="1" x14ac:dyDescent="0.3">
      <c r="A6" s="7" t="s">
        <v>101</v>
      </c>
      <c r="B6" s="117"/>
      <c r="C6" s="117"/>
      <c r="D6" s="117"/>
      <c r="E6" s="118"/>
      <c r="F6" s="305" t="s">
        <v>172</v>
      </c>
      <c r="G6" s="305"/>
      <c r="H6" s="306"/>
    </row>
    <row r="7" spans="1:8" x14ac:dyDescent="0.25">
      <c r="A7" s="4"/>
      <c r="B7" s="83">
        <v>5</v>
      </c>
      <c r="C7" s="83">
        <f>B7+1</f>
        <v>6</v>
      </c>
      <c r="D7" s="83">
        <f t="shared" ref="D7:H7" si="0">C7+1</f>
        <v>7</v>
      </c>
      <c r="E7" s="83">
        <f t="shared" si="0"/>
        <v>8</v>
      </c>
      <c r="F7" s="83">
        <f t="shared" si="0"/>
        <v>9</v>
      </c>
      <c r="G7" s="83">
        <f t="shared" si="0"/>
        <v>10</v>
      </c>
      <c r="H7" s="84">
        <f t="shared" si="0"/>
        <v>11</v>
      </c>
    </row>
    <row r="8" spans="1:8" x14ac:dyDescent="0.25">
      <c r="A8" s="7" t="s">
        <v>24</v>
      </c>
      <c r="B8" s="139">
        <v>3</v>
      </c>
      <c r="C8" s="140">
        <v>3</v>
      </c>
      <c r="D8" s="139">
        <v>3</v>
      </c>
      <c r="E8" s="140">
        <v>3</v>
      </c>
      <c r="F8" s="305">
        <v>3</v>
      </c>
      <c r="G8" s="305"/>
      <c r="H8" s="306"/>
    </row>
    <row r="9" spans="1:8" x14ac:dyDescent="0.25">
      <c r="A9" s="7" t="s">
        <v>21</v>
      </c>
      <c r="B9" s="234" t="s">
        <v>116</v>
      </c>
      <c r="C9" s="235" t="s">
        <v>82</v>
      </c>
      <c r="D9" s="140" t="s">
        <v>81</v>
      </c>
      <c r="E9" s="236" t="s">
        <v>158</v>
      </c>
      <c r="F9" s="312" t="s">
        <v>157</v>
      </c>
      <c r="G9" s="313"/>
      <c r="H9" s="314"/>
    </row>
    <row r="10" spans="1:8" x14ac:dyDescent="0.25">
      <c r="A10" s="7" t="s">
        <v>22</v>
      </c>
      <c r="B10" s="242" t="s">
        <v>140</v>
      </c>
      <c r="C10" s="233" t="s">
        <v>173</v>
      </c>
      <c r="D10" s="234" t="s">
        <v>154</v>
      </c>
      <c r="E10" s="234" t="s">
        <v>200</v>
      </c>
      <c r="F10" s="307" t="s">
        <v>63</v>
      </c>
      <c r="G10" s="307"/>
      <c r="H10" s="308"/>
    </row>
    <row r="11" spans="1:8" x14ac:dyDescent="0.25">
      <c r="A11" s="7" t="s">
        <v>23</v>
      </c>
      <c r="B11" s="139" t="s">
        <v>63</v>
      </c>
      <c r="C11" s="233" t="s">
        <v>87</v>
      </c>
      <c r="D11" s="233" t="s">
        <v>201</v>
      </c>
      <c r="E11" s="140" t="s">
        <v>138</v>
      </c>
      <c r="F11" s="305" t="s">
        <v>67</v>
      </c>
      <c r="G11" s="305"/>
      <c r="H11" s="306"/>
    </row>
    <row r="12" spans="1:8" ht="15.75" thickBot="1" x14ac:dyDescent="0.3">
      <c r="A12" s="7" t="s">
        <v>101</v>
      </c>
      <c r="B12" s="139" t="s">
        <v>235</v>
      </c>
      <c r="C12" s="139" t="s">
        <v>277</v>
      </c>
      <c r="D12" s="37" t="s">
        <v>197</v>
      </c>
      <c r="E12" s="139" t="s">
        <v>242</v>
      </c>
      <c r="F12" s="305" t="s">
        <v>278</v>
      </c>
      <c r="G12" s="305"/>
      <c r="H12" s="306"/>
    </row>
    <row r="13" spans="1:8" x14ac:dyDescent="0.25">
      <c r="A13" s="4"/>
      <c r="B13" s="83">
        <f>B7+7</f>
        <v>12</v>
      </c>
      <c r="C13" s="83">
        <f>B13+1</f>
        <v>13</v>
      </c>
      <c r="D13" s="83">
        <f t="shared" ref="D13:H13" si="1">C13+1</f>
        <v>14</v>
      </c>
      <c r="E13" s="83">
        <f t="shared" si="1"/>
        <v>15</v>
      </c>
      <c r="F13" s="83">
        <f t="shared" si="1"/>
        <v>16</v>
      </c>
      <c r="G13" s="83">
        <f>F13+1</f>
        <v>17</v>
      </c>
      <c r="H13" s="84">
        <f t="shared" si="1"/>
        <v>18</v>
      </c>
    </row>
    <row r="14" spans="1:8" x14ac:dyDescent="0.25">
      <c r="A14" s="7" t="s">
        <v>24</v>
      </c>
      <c r="B14" s="139">
        <v>3</v>
      </c>
      <c r="C14" s="140">
        <v>3</v>
      </c>
      <c r="D14" s="139">
        <v>3</v>
      </c>
      <c r="E14" s="140">
        <v>3</v>
      </c>
      <c r="F14" s="305">
        <v>3</v>
      </c>
      <c r="G14" s="305"/>
      <c r="H14" s="306"/>
    </row>
    <row r="15" spans="1:8" x14ac:dyDescent="0.25">
      <c r="A15" s="7" t="s">
        <v>21</v>
      </c>
      <c r="B15" s="230" t="s">
        <v>83</v>
      </c>
      <c r="C15" s="232" t="s">
        <v>82</v>
      </c>
      <c r="D15" s="236" t="s">
        <v>81</v>
      </c>
      <c r="E15" s="233" t="s">
        <v>172</v>
      </c>
      <c r="F15" s="305" t="s">
        <v>137</v>
      </c>
      <c r="G15" s="305"/>
      <c r="H15" s="306"/>
    </row>
    <row r="16" spans="1:8" x14ac:dyDescent="0.25">
      <c r="A16" s="7" t="s">
        <v>22</v>
      </c>
      <c r="B16" s="234" t="s">
        <v>139</v>
      </c>
      <c r="C16" s="231" t="s">
        <v>140</v>
      </c>
      <c r="D16" s="139" t="s">
        <v>173</v>
      </c>
      <c r="E16" s="234" t="s">
        <v>116</v>
      </c>
      <c r="F16" s="307" t="s">
        <v>66</v>
      </c>
      <c r="G16" s="307"/>
      <c r="H16" s="308"/>
    </row>
    <row r="17" spans="1:8" x14ac:dyDescent="0.25">
      <c r="A17" s="7" t="s">
        <v>23</v>
      </c>
      <c r="B17" s="233" t="s">
        <v>64</v>
      </c>
      <c r="C17" s="232" t="s">
        <v>104</v>
      </c>
      <c r="D17" s="234" t="s">
        <v>74</v>
      </c>
      <c r="E17" s="233" t="s">
        <v>87</v>
      </c>
      <c r="F17" s="305" t="s">
        <v>215</v>
      </c>
      <c r="G17" s="305"/>
      <c r="H17" s="306"/>
    </row>
    <row r="18" spans="1:8" x14ac:dyDescent="0.25">
      <c r="A18" s="7" t="s">
        <v>101</v>
      </c>
      <c r="B18" s="229" t="s">
        <v>277</v>
      </c>
      <c r="C18" s="229" t="s">
        <v>156</v>
      </c>
      <c r="D18" s="236" t="s">
        <v>235</v>
      </c>
      <c r="E18" s="228" t="s">
        <v>117</v>
      </c>
      <c r="F18" s="305" t="s">
        <v>243</v>
      </c>
      <c r="G18" s="305"/>
      <c r="H18" s="306"/>
    </row>
    <row r="19" spans="1:8" ht="15.75" thickBot="1" x14ac:dyDescent="0.3">
      <c r="A19" s="7" t="s">
        <v>101</v>
      </c>
      <c r="B19" s="228" t="s">
        <v>197</v>
      </c>
      <c r="C19" s="228" t="s">
        <v>242</v>
      </c>
      <c r="D19" s="228" t="str">
        <f>"-"</f>
        <v>-</v>
      </c>
      <c r="E19" s="140" t="str">
        <f>"-"</f>
        <v>-</v>
      </c>
      <c r="F19" s="305" t="str">
        <f>"-"</f>
        <v>-</v>
      </c>
      <c r="G19" s="305"/>
      <c r="H19" s="306"/>
    </row>
    <row r="20" spans="1:8" x14ac:dyDescent="0.25">
      <c r="A20" s="4"/>
      <c r="B20" s="83">
        <f>B13+7</f>
        <v>19</v>
      </c>
      <c r="C20" s="83">
        <f>B20+1</f>
        <v>20</v>
      </c>
      <c r="D20" s="83">
        <f t="shared" ref="D20:E20" si="2">C20+1</f>
        <v>21</v>
      </c>
      <c r="E20" s="83">
        <f t="shared" si="2"/>
        <v>22</v>
      </c>
      <c r="F20" s="5">
        <f>E20+1</f>
        <v>23</v>
      </c>
      <c r="G20" s="5">
        <f>F20+1</f>
        <v>24</v>
      </c>
      <c r="H20" s="6">
        <f>G20+1</f>
        <v>25</v>
      </c>
    </row>
    <row r="21" spans="1:8" x14ac:dyDescent="0.25">
      <c r="A21" s="7" t="s">
        <v>24</v>
      </c>
      <c r="B21" s="139">
        <v>3</v>
      </c>
      <c r="C21" s="140">
        <v>3</v>
      </c>
      <c r="D21" s="139">
        <v>3</v>
      </c>
      <c r="E21" s="140">
        <v>3</v>
      </c>
      <c r="F21" s="305">
        <v>3</v>
      </c>
      <c r="G21" s="305"/>
      <c r="H21" s="306"/>
    </row>
    <row r="22" spans="1:8" x14ac:dyDescent="0.25">
      <c r="A22" s="7" t="s">
        <v>21</v>
      </c>
      <c r="B22" s="242" t="s">
        <v>153</v>
      </c>
      <c r="C22" s="243" t="s">
        <v>157</v>
      </c>
      <c r="D22" s="236" t="s">
        <v>138</v>
      </c>
      <c r="E22" s="233" t="s">
        <v>172</v>
      </c>
      <c r="F22" s="312" t="s">
        <v>216</v>
      </c>
      <c r="G22" s="313"/>
      <c r="H22" s="314"/>
    </row>
    <row r="23" spans="1:8" x14ac:dyDescent="0.25">
      <c r="A23" s="7" t="s">
        <v>22</v>
      </c>
      <c r="B23" s="244" t="s">
        <v>116</v>
      </c>
      <c r="C23" s="234" t="s">
        <v>103</v>
      </c>
      <c r="D23" s="141" t="s">
        <v>82</v>
      </c>
      <c r="E23" s="234" t="s">
        <v>200</v>
      </c>
      <c r="F23" s="309" t="s">
        <v>154</v>
      </c>
      <c r="G23" s="310"/>
      <c r="H23" s="311"/>
    </row>
    <row r="24" spans="1:8" x14ac:dyDescent="0.25">
      <c r="A24" s="7" t="s">
        <v>23</v>
      </c>
      <c r="B24" s="233" t="s">
        <v>173</v>
      </c>
      <c r="C24" s="236" t="s">
        <v>81</v>
      </c>
      <c r="D24" s="139" t="s">
        <v>201</v>
      </c>
      <c r="E24" s="236" t="s">
        <v>117</v>
      </c>
      <c r="F24" s="305" t="s">
        <v>104</v>
      </c>
      <c r="G24" s="305"/>
      <c r="H24" s="306"/>
    </row>
    <row r="25" spans="1:8" ht="15.75" thickBot="1" x14ac:dyDescent="0.3">
      <c r="A25" s="11" t="s">
        <v>101</v>
      </c>
      <c r="B25" s="138" t="s">
        <v>278</v>
      </c>
      <c r="C25" s="138" t="s">
        <v>197</v>
      </c>
      <c r="D25" s="50" t="s">
        <v>242</v>
      </c>
      <c r="E25" s="138" t="s">
        <v>235</v>
      </c>
      <c r="F25" s="315" t="s">
        <v>277</v>
      </c>
      <c r="G25" s="315"/>
      <c r="H25" s="316"/>
    </row>
    <row r="26" spans="1:8" x14ac:dyDescent="0.25">
      <c r="A26" s="4"/>
      <c r="B26" s="83">
        <f>B20+7</f>
        <v>26</v>
      </c>
      <c r="C26" s="83">
        <f>B26+1</f>
        <v>27</v>
      </c>
      <c r="D26" s="83">
        <f t="shared" ref="D26:E26" si="3">C26+1</f>
        <v>28</v>
      </c>
      <c r="E26" s="83">
        <f t="shared" si="3"/>
        <v>29</v>
      </c>
      <c r="F26" s="5">
        <v>30</v>
      </c>
      <c r="G26" s="5">
        <v>31</v>
      </c>
      <c r="H26" s="6">
        <v>1</v>
      </c>
    </row>
    <row r="27" spans="1:8" x14ac:dyDescent="0.25">
      <c r="A27" s="7" t="s">
        <v>24</v>
      </c>
      <c r="B27" s="139">
        <v>3</v>
      </c>
      <c r="C27" s="140">
        <v>3</v>
      </c>
      <c r="D27" s="139">
        <v>3</v>
      </c>
      <c r="E27" s="140">
        <v>3</v>
      </c>
      <c r="F27" s="305">
        <v>3</v>
      </c>
      <c r="G27" s="305"/>
      <c r="H27" s="306"/>
    </row>
    <row r="28" spans="1:8" x14ac:dyDescent="0.25">
      <c r="A28" s="7" t="s">
        <v>21</v>
      </c>
      <c r="B28" s="242" t="s">
        <v>83</v>
      </c>
      <c r="C28" s="233" t="s">
        <v>172</v>
      </c>
      <c r="D28" s="235" t="s">
        <v>103</v>
      </c>
      <c r="E28" s="141" t="s">
        <v>153</v>
      </c>
      <c r="F28" s="312" t="s">
        <v>217</v>
      </c>
      <c r="G28" s="313"/>
      <c r="H28" s="314"/>
    </row>
    <row r="29" spans="1:8" x14ac:dyDescent="0.25">
      <c r="A29" s="7" t="s">
        <v>22</v>
      </c>
      <c r="B29" s="244" t="s">
        <v>74</v>
      </c>
      <c r="C29" s="234" t="s">
        <v>200</v>
      </c>
      <c r="D29" s="236" t="s">
        <v>215</v>
      </c>
      <c r="E29" s="233" t="s">
        <v>83</v>
      </c>
      <c r="F29" s="305" t="s">
        <v>139</v>
      </c>
      <c r="G29" s="305"/>
      <c r="H29" s="306"/>
    </row>
    <row r="30" spans="1:8" x14ac:dyDescent="0.25">
      <c r="A30" s="7" t="s">
        <v>23</v>
      </c>
      <c r="B30" s="233" t="s">
        <v>155</v>
      </c>
      <c r="C30" s="233" t="s">
        <v>137</v>
      </c>
      <c r="D30" s="233" t="s">
        <v>155</v>
      </c>
      <c r="E30" s="140" t="s">
        <v>117</v>
      </c>
      <c r="F30" s="309" t="s">
        <v>64</v>
      </c>
      <c r="G30" s="310"/>
      <c r="H30" s="311"/>
    </row>
    <row r="31" spans="1:8" ht="15.75" thickBot="1" x14ac:dyDescent="0.3">
      <c r="A31" s="11" t="s">
        <v>101</v>
      </c>
      <c r="B31" s="138" t="s">
        <v>153</v>
      </c>
      <c r="C31" s="138" t="s">
        <v>278</v>
      </c>
      <c r="D31" s="50" t="s">
        <v>243</v>
      </c>
      <c r="E31" s="138" t="s">
        <v>197</v>
      </c>
      <c r="F31" s="315" t="s">
        <v>158</v>
      </c>
      <c r="G31" s="315"/>
      <c r="H31" s="316"/>
    </row>
  </sheetData>
  <mergeCells count="26">
    <mergeCell ref="F8:H8"/>
    <mergeCell ref="F2:H2"/>
    <mergeCell ref="F3:H3"/>
    <mergeCell ref="F4:H4"/>
    <mergeCell ref="F5:H5"/>
    <mergeCell ref="F6:H6"/>
    <mergeCell ref="F23:H23"/>
    <mergeCell ref="F9:H9"/>
    <mergeCell ref="F10:H10"/>
    <mergeCell ref="F11:H11"/>
    <mergeCell ref="F12:H12"/>
    <mergeCell ref="F14:H14"/>
    <mergeCell ref="F15:H15"/>
    <mergeCell ref="F16:H16"/>
    <mergeCell ref="F17:H17"/>
    <mergeCell ref="F19:H19"/>
    <mergeCell ref="F21:H21"/>
    <mergeCell ref="F22:H22"/>
    <mergeCell ref="F18:H18"/>
    <mergeCell ref="F31:H31"/>
    <mergeCell ref="F24:H24"/>
    <mergeCell ref="F25:H25"/>
    <mergeCell ref="F27:H27"/>
    <mergeCell ref="F28:H28"/>
    <mergeCell ref="F29:H29"/>
    <mergeCell ref="F30:H3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5A53-E342-4C44-BEF5-3AD04DD7787F}">
  <dimension ref="A1:J36"/>
  <sheetViews>
    <sheetView rightToLeft="1" topLeftCell="A4" zoomScale="130" zoomScaleNormal="130" workbookViewId="0">
      <selection activeCell="F29" sqref="F29:H29"/>
    </sheetView>
  </sheetViews>
  <sheetFormatPr defaultRowHeight="15" x14ac:dyDescent="0.25"/>
  <sheetData>
    <row r="1" spans="1:10" x14ac:dyDescent="0.25">
      <c r="A1" s="4"/>
      <c r="B1" s="5"/>
      <c r="C1" s="5"/>
      <c r="D1" s="5"/>
      <c r="E1" s="5"/>
      <c r="F1" s="5">
        <v>28</v>
      </c>
      <c r="G1" s="5">
        <v>29</v>
      </c>
      <c r="H1" s="6">
        <v>30</v>
      </c>
    </row>
    <row r="2" spans="1:10" x14ac:dyDescent="0.25">
      <c r="A2" s="7" t="s">
        <v>24</v>
      </c>
      <c r="B2" s="139"/>
      <c r="C2" s="140"/>
      <c r="D2" s="139"/>
      <c r="E2" s="140"/>
      <c r="F2" s="312">
        <v>3</v>
      </c>
      <c r="G2" s="313"/>
      <c r="H2" s="314"/>
    </row>
    <row r="3" spans="1:10" x14ac:dyDescent="0.25">
      <c r="A3" s="7" t="s">
        <v>21</v>
      </c>
      <c r="B3" s="115"/>
      <c r="C3" s="115"/>
      <c r="D3" s="116"/>
      <c r="E3" s="116"/>
      <c r="F3" s="312" t="s">
        <v>216</v>
      </c>
      <c r="G3" s="313"/>
      <c r="H3" s="314"/>
    </row>
    <row r="4" spans="1:10" x14ac:dyDescent="0.25">
      <c r="A4" s="7" t="s">
        <v>22</v>
      </c>
      <c r="B4" s="115"/>
      <c r="C4" s="116"/>
      <c r="D4" s="116"/>
      <c r="E4" s="115"/>
      <c r="F4" s="309" t="s">
        <v>154</v>
      </c>
      <c r="G4" s="310"/>
      <c r="H4" s="311"/>
    </row>
    <row r="5" spans="1:10" x14ac:dyDescent="0.25">
      <c r="A5" s="7" t="s">
        <v>23</v>
      </c>
      <c r="B5" s="116"/>
      <c r="C5" s="115"/>
      <c r="D5" s="115"/>
      <c r="E5" s="116"/>
      <c r="F5" s="312" t="s">
        <v>117</v>
      </c>
      <c r="G5" s="313"/>
      <c r="H5" s="314"/>
    </row>
    <row r="6" spans="1:10" ht="15.75" thickBot="1" x14ac:dyDescent="0.3">
      <c r="A6" s="11" t="s">
        <v>101</v>
      </c>
      <c r="B6" s="117"/>
      <c r="C6" s="117"/>
      <c r="D6" s="117"/>
      <c r="E6" s="118"/>
      <c r="F6" s="319" t="s">
        <v>215</v>
      </c>
      <c r="G6" s="321"/>
      <c r="H6" s="322"/>
    </row>
    <row r="7" spans="1:10" x14ac:dyDescent="0.25">
      <c r="A7" s="4"/>
      <c r="B7" s="83">
        <v>1</v>
      </c>
      <c r="C7" s="83">
        <f>B7+1</f>
        <v>2</v>
      </c>
      <c r="D7" s="83">
        <f t="shared" ref="D7:G7" si="0">C7+1</f>
        <v>3</v>
      </c>
      <c r="E7" s="83">
        <f t="shared" si="0"/>
        <v>4</v>
      </c>
      <c r="F7" s="83">
        <f t="shared" si="0"/>
        <v>5</v>
      </c>
      <c r="G7" s="83">
        <f t="shared" si="0"/>
        <v>6</v>
      </c>
      <c r="H7" s="84">
        <f>G7+1</f>
        <v>7</v>
      </c>
    </row>
    <row r="8" spans="1:10" x14ac:dyDescent="0.25">
      <c r="A8" s="7" t="s">
        <v>24</v>
      </c>
      <c r="B8" s="139">
        <v>3</v>
      </c>
      <c r="C8" s="140">
        <v>3</v>
      </c>
      <c r="D8" s="139">
        <v>3</v>
      </c>
      <c r="E8" s="140">
        <v>3</v>
      </c>
      <c r="F8" s="305">
        <v>2</v>
      </c>
      <c r="G8" s="305"/>
      <c r="H8" s="306"/>
    </row>
    <row r="9" spans="1:10" x14ac:dyDescent="0.25">
      <c r="A9" s="7" t="s">
        <v>21</v>
      </c>
      <c r="B9" s="165" t="s">
        <v>66</v>
      </c>
      <c r="C9" s="139" t="s">
        <v>63</v>
      </c>
      <c r="D9" s="141" t="s">
        <v>82</v>
      </c>
      <c r="E9" s="206" t="s">
        <v>137</v>
      </c>
      <c r="F9" s="305" t="s">
        <v>153</v>
      </c>
      <c r="G9" s="305"/>
      <c r="H9" s="306"/>
    </row>
    <row r="10" spans="1:10" x14ac:dyDescent="0.25">
      <c r="A10" s="7" t="s">
        <v>22</v>
      </c>
      <c r="B10" s="140" t="s">
        <v>233</v>
      </c>
      <c r="C10" s="200" t="s">
        <v>200</v>
      </c>
      <c r="D10" s="164" t="s">
        <v>81</v>
      </c>
      <c r="E10" s="139" t="s">
        <v>199</v>
      </c>
      <c r="F10" s="307" t="s">
        <v>139</v>
      </c>
      <c r="G10" s="307"/>
      <c r="H10" s="308"/>
      <c r="J10" s="155"/>
    </row>
    <row r="11" spans="1:10" x14ac:dyDescent="0.25">
      <c r="A11" s="7" t="s">
        <v>23</v>
      </c>
      <c r="B11" s="162" t="s">
        <v>152</v>
      </c>
      <c r="C11" s="166" t="s">
        <v>152</v>
      </c>
      <c r="D11" s="139" t="s">
        <v>201</v>
      </c>
      <c r="E11" s="164" t="s">
        <v>83</v>
      </c>
      <c r="F11" s="307" t="s">
        <v>74</v>
      </c>
      <c r="G11" s="307"/>
      <c r="H11" s="308"/>
    </row>
    <row r="12" spans="1:10" ht="15.75" thickBot="1" x14ac:dyDescent="0.3">
      <c r="A12" s="7" t="s">
        <v>101</v>
      </c>
      <c r="B12" s="139" t="s">
        <v>235</v>
      </c>
      <c r="C12" s="139" t="s">
        <v>217</v>
      </c>
      <c r="D12" s="163" t="s">
        <v>197</v>
      </c>
      <c r="E12" s="140" t="s">
        <v>173</v>
      </c>
      <c r="F12" s="305" t="s">
        <v>158</v>
      </c>
      <c r="G12" s="305"/>
      <c r="H12" s="306"/>
    </row>
    <row r="13" spans="1:10" x14ac:dyDescent="0.25">
      <c r="A13" s="4"/>
      <c r="B13" s="83">
        <f>B7+7</f>
        <v>8</v>
      </c>
      <c r="C13" s="83">
        <f>B13+1</f>
        <v>9</v>
      </c>
      <c r="D13" s="83">
        <f t="shared" ref="D13:H13" si="1">C13+1</f>
        <v>10</v>
      </c>
      <c r="E13" s="83">
        <f t="shared" si="1"/>
        <v>11</v>
      </c>
      <c r="F13" s="83">
        <f t="shared" si="1"/>
        <v>12</v>
      </c>
      <c r="G13" s="83">
        <f t="shared" si="1"/>
        <v>13</v>
      </c>
      <c r="H13" s="84">
        <f t="shared" si="1"/>
        <v>14</v>
      </c>
    </row>
    <row r="14" spans="1:10" x14ac:dyDescent="0.25">
      <c r="A14" s="7" t="s">
        <v>24</v>
      </c>
      <c r="B14" s="139">
        <v>3</v>
      </c>
      <c r="C14" s="140">
        <v>3</v>
      </c>
      <c r="D14" s="139">
        <v>3</v>
      </c>
      <c r="E14" s="140">
        <v>3</v>
      </c>
      <c r="F14" s="305">
        <v>3</v>
      </c>
      <c r="G14" s="305"/>
      <c r="H14" s="306"/>
    </row>
    <row r="15" spans="1:10" x14ac:dyDescent="0.25">
      <c r="A15" s="7" t="s">
        <v>21</v>
      </c>
      <c r="B15" s="162" t="s">
        <v>152</v>
      </c>
      <c r="C15" s="164" t="s">
        <v>173</v>
      </c>
      <c r="D15" s="166" t="s">
        <v>117</v>
      </c>
      <c r="E15" s="162" t="s">
        <v>152</v>
      </c>
      <c r="F15" s="305" t="s">
        <v>198</v>
      </c>
      <c r="G15" s="305"/>
      <c r="H15" s="306"/>
    </row>
    <row r="16" spans="1:10" x14ac:dyDescent="0.25">
      <c r="A16" s="7" t="s">
        <v>22</v>
      </c>
      <c r="B16" s="166" t="s">
        <v>215</v>
      </c>
      <c r="C16" s="139" t="s">
        <v>90</v>
      </c>
      <c r="D16" s="139" t="s">
        <v>216</v>
      </c>
      <c r="E16" s="166" t="s">
        <v>87</v>
      </c>
      <c r="F16" s="307" t="s">
        <v>116</v>
      </c>
      <c r="G16" s="307"/>
      <c r="H16" s="308"/>
    </row>
    <row r="17" spans="1:8" x14ac:dyDescent="0.25">
      <c r="A17" s="7" t="s">
        <v>23</v>
      </c>
      <c r="B17" s="139" t="s">
        <v>93</v>
      </c>
      <c r="C17" s="166" t="s">
        <v>103</v>
      </c>
      <c r="D17" s="163" t="s">
        <v>68</v>
      </c>
      <c r="E17" s="161" t="s">
        <v>93</v>
      </c>
      <c r="F17" s="305" t="s">
        <v>140</v>
      </c>
      <c r="G17" s="305"/>
      <c r="H17" s="306"/>
    </row>
    <row r="18" spans="1:8" ht="15.75" thickBot="1" x14ac:dyDescent="0.3">
      <c r="A18" s="7" t="s">
        <v>101</v>
      </c>
      <c r="B18" s="139" t="s">
        <v>198</v>
      </c>
      <c r="C18" s="37" t="s">
        <v>242</v>
      </c>
      <c r="D18" s="37" t="s">
        <v>243</v>
      </c>
      <c r="E18" s="139" t="s">
        <v>63</v>
      </c>
      <c r="F18" s="305" t="s">
        <v>138</v>
      </c>
      <c r="G18" s="305"/>
      <c r="H18" s="306"/>
    </row>
    <row r="19" spans="1:8" x14ac:dyDescent="0.25">
      <c r="A19" s="4"/>
      <c r="B19" s="83">
        <f>B13+7</f>
        <v>15</v>
      </c>
      <c r="C19" s="83">
        <f>B19+1</f>
        <v>16</v>
      </c>
      <c r="D19" s="83">
        <f t="shared" ref="D19:H19" si="2">C19+1</f>
        <v>17</v>
      </c>
      <c r="E19" s="83">
        <f t="shared" si="2"/>
        <v>18</v>
      </c>
      <c r="F19" s="83">
        <f t="shared" si="2"/>
        <v>19</v>
      </c>
      <c r="G19" s="83">
        <f>F19+1</f>
        <v>20</v>
      </c>
      <c r="H19" s="84">
        <f t="shared" si="2"/>
        <v>21</v>
      </c>
    </row>
    <row r="20" spans="1:8" x14ac:dyDescent="0.25">
      <c r="A20" s="7" t="s">
        <v>24</v>
      </c>
      <c r="B20" s="139">
        <v>3</v>
      </c>
      <c r="C20" s="140">
        <v>3</v>
      </c>
      <c r="D20" s="139">
        <v>3</v>
      </c>
      <c r="E20" s="140">
        <v>3</v>
      </c>
      <c r="F20" s="305">
        <v>3</v>
      </c>
      <c r="G20" s="305"/>
      <c r="H20" s="306"/>
    </row>
    <row r="21" spans="1:8" x14ac:dyDescent="0.25">
      <c r="A21" s="7" t="s">
        <v>21</v>
      </c>
      <c r="B21" s="163" t="s">
        <v>233</v>
      </c>
      <c r="C21" s="208" t="s">
        <v>63</v>
      </c>
      <c r="D21" s="166" t="s">
        <v>200</v>
      </c>
      <c r="E21" s="166" t="s">
        <v>154</v>
      </c>
      <c r="F21" s="305" t="s">
        <v>80</v>
      </c>
      <c r="G21" s="305"/>
      <c r="H21" s="306"/>
    </row>
    <row r="22" spans="1:8" x14ac:dyDescent="0.25">
      <c r="A22" s="7" t="s">
        <v>22</v>
      </c>
      <c r="B22" s="141" t="s">
        <v>201</v>
      </c>
      <c r="C22" s="207" t="s">
        <v>117</v>
      </c>
      <c r="D22" s="205" t="s">
        <v>157</v>
      </c>
      <c r="E22" s="164" t="s">
        <v>173</v>
      </c>
      <c r="F22" s="307" t="s">
        <v>82</v>
      </c>
      <c r="G22" s="307"/>
      <c r="H22" s="308"/>
    </row>
    <row r="23" spans="1:8" x14ac:dyDescent="0.25">
      <c r="A23" s="7" t="s">
        <v>23</v>
      </c>
      <c r="B23" s="140" t="s">
        <v>216</v>
      </c>
      <c r="C23" s="164" t="s">
        <v>217</v>
      </c>
      <c r="D23" s="163" t="s">
        <v>68</v>
      </c>
      <c r="E23" s="140" t="s">
        <v>90</v>
      </c>
      <c r="F23" s="305" t="s">
        <v>64</v>
      </c>
      <c r="G23" s="305"/>
      <c r="H23" s="306"/>
    </row>
    <row r="24" spans="1:8" ht="15.75" thickBot="1" x14ac:dyDescent="0.3">
      <c r="A24" s="7" t="s">
        <v>101</v>
      </c>
      <c r="B24" s="139" t="s">
        <v>139</v>
      </c>
      <c r="C24" s="139" t="s">
        <v>199</v>
      </c>
      <c r="D24" s="139" t="s">
        <v>155</v>
      </c>
      <c r="E24" s="140" t="s">
        <v>216</v>
      </c>
      <c r="F24" s="305" t="s">
        <v>242</v>
      </c>
      <c r="G24" s="305"/>
      <c r="H24" s="306"/>
    </row>
    <row r="25" spans="1:8" x14ac:dyDescent="0.25">
      <c r="A25" s="4"/>
      <c r="B25" s="83">
        <f>B19+7</f>
        <v>22</v>
      </c>
      <c r="C25" s="83">
        <f>B25+1</f>
        <v>23</v>
      </c>
      <c r="D25" s="83">
        <f t="shared" ref="D25:E25" si="3">C25+1</f>
        <v>24</v>
      </c>
      <c r="E25" s="83">
        <f t="shared" si="3"/>
        <v>25</v>
      </c>
      <c r="F25" s="5">
        <f>E25+1</f>
        <v>26</v>
      </c>
      <c r="G25" s="5">
        <f>F25+1</f>
        <v>27</v>
      </c>
      <c r="H25" s="6">
        <f>G25+1</f>
        <v>28</v>
      </c>
    </row>
    <row r="26" spans="1:8" x14ac:dyDescent="0.25">
      <c r="A26" s="7" t="s">
        <v>24</v>
      </c>
      <c r="B26" s="139">
        <v>3</v>
      </c>
      <c r="C26" s="140">
        <v>3</v>
      </c>
      <c r="D26" s="139">
        <v>3</v>
      </c>
      <c r="E26" s="140">
        <v>3</v>
      </c>
      <c r="F26" s="305">
        <v>3</v>
      </c>
      <c r="G26" s="305"/>
      <c r="H26" s="306"/>
    </row>
    <row r="27" spans="1:8" x14ac:dyDescent="0.25">
      <c r="A27" s="7" t="s">
        <v>21</v>
      </c>
      <c r="B27" s="163" t="s">
        <v>63</v>
      </c>
      <c r="C27" s="140" t="s">
        <v>67</v>
      </c>
      <c r="D27" s="140" t="s">
        <v>137</v>
      </c>
      <c r="E27" s="164" t="s">
        <v>83</v>
      </c>
      <c r="F27" s="312" t="s">
        <v>81</v>
      </c>
      <c r="G27" s="313"/>
      <c r="H27" s="314"/>
    </row>
    <row r="28" spans="1:8" x14ac:dyDescent="0.25">
      <c r="A28" s="7" t="s">
        <v>22</v>
      </c>
      <c r="B28" s="165" t="s">
        <v>217</v>
      </c>
      <c r="C28" s="166" t="s">
        <v>172</v>
      </c>
      <c r="D28" s="206" t="s">
        <v>216</v>
      </c>
      <c r="E28" s="165" t="s">
        <v>66</v>
      </c>
      <c r="F28" s="309" t="s">
        <v>103</v>
      </c>
      <c r="G28" s="310"/>
      <c r="H28" s="311"/>
    </row>
    <row r="29" spans="1:8" x14ac:dyDescent="0.25">
      <c r="A29" s="7" t="s">
        <v>23</v>
      </c>
      <c r="B29" s="163" t="s">
        <v>140</v>
      </c>
      <c r="C29" s="163" t="s">
        <v>153</v>
      </c>
      <c r="D29" s="139" t="s">
        <v>104</v>
      </c>
      <c r="E29" s="140" t="s">
        <v>215</v>
      </c>
      <c r="F29" s="305" t="s">
        <v>87</v>
      </c>
      <c r="G29" s="305"/>
      <c r="H29" s="306"/>
    </row>
    <row r="30" spans="1:8" ht="15.75" thickBot="1" x14ac:dyDescent="0.3">
      <c r="A30" s="11" t="s">
        <v>101</v>
      </c>
      <c r="B30" s="37" t="s">
        <v>235</v>
      </c>
      <c r="C30" s="138" t="s">
        <v>201</v>
      </c>
      <c r="D30" s="37" t="s">
        <v>243</v>
      </c>
      <c r="E30" s="138" t="s">
        <v>90</v>
      </c>
      <c r="F30" s="315" t="s">
        <v>197</v>
      </c>
      <c r="G30" s="315"/>
      <c r="H30" s="316"/>
    </row>
    <row r="31" spans="1:8" x14ac:dyDescent="0.25">
      <c r="A31" s="4"/>
      <c r="B31" s="83">
        <f>B25+7</f>
        <v>29</v>
      </c>
      <c r="C31" s="83">
        <f>B31+1</f>
        <v>30</v>
      </c>
      <c r="D31" s="83">
        <f t="shared" ref="D31" si="4">C31+1</f>
        <v>31</v>
      </c>
      <c r="E31" s="83">
        <v>1</v>
      </c>
      <c r="F31" s="5">
        <f>E31+1</f>
        <v>2</v>
      </c>
      <c r="G31" s="5">
        <f>F31+1</f>
        <v>3</v>
      </c>
      <c r="H31" s="6">
        <f>G31+1</f>
        <v>4</v>
      </c>
    </row>
    <row r="32" spans="1:8" x14ac:dyDescent="0.25">
      <c r="A32" s="7" t="s">
        <v>24</v>
      </c>
      <c r="B32" s="139">
        <v>3</v>
      </c>
      <c r="C32" s="140">
        <v>3</v>
      </c>
      <c r="D32" s="139">
        <v>3</v>
      </c>
      <c r="E32" s="140">
        <v>3</v>
      </c>
      <c r="F32" s="305">
        <v>3</v>
      </c>
      <c r="G32" s="305"/>
      <c r="H32" s="306"/>
    </row>
    <row r="33" spans="1:8" x14ac:dyDescent="0.25">
      <c r="A33" s="7" t="s">
        <v>21</v>
      </c>
      <c r="B33" s="166" t="s">
        <v>116</v>
      </c>
      <c r="C33" s="140" t="s">
        <v>158</v>
      </c>
      <c r="D33" s="203" t="s">
        <v>74</v>
      </c>
      <c r="E33" s="164" t="s">
        <v>138</v>
      </c>
      <c r="F33" s="312" t="s">
        <v>117</v>
      </c>
      <c r="G33" s="313"/>
      <c r="H33" s="314"/>
    </row>
    <row r="34" spans="1:8" x14ac:dyDescent="0.25">
      <c r="A34" s="7" t="s">
        <v>22</v>
      </c>
      <c r="B34" s="140" t="s">
        <v>215</v>
      </c>
      <c r="C34" s="139" t="s">
        <v>139</v>
      </c>
      <c r="D34" s="164" t="s">
        <v>137</v>
      </c>
      <c r="E34" s="166" t="s">
        <v>154</v>
      </c>
      <c r="F34" s="309" t="s">
        <v>156</v>
      </c>
      <c r="G34" s="310"/>
      <c r="H34" s="311"/>
    </row>
    <row r="35" spans="1:8" x14ac:dyDescent="0.25">
      <c r="A35" s="7" t="s">
        <v>23</v>
      </c>
      <c r="B35" s="161" t="s">
        <v>201</v>
      </c>
      <c r="C35" s="142" t="s">
        <v>90</v>
      </c>
      <c r="D35" s="204" t="s">
        <v>82</v>
      </c>
      <c r="E35" s="140" t="s">
        <v>64</v>
      </c>
      <c r="F35" s="305" t="s">
        <v>155</v>
      </c>
      <c r="G35" s="305"/>
      <c r="H35" s="306"/>
    </row>
    <row r="36" spans="1:8" ht="15.75" thickBot="1" x14ac:dyDescent="0.3">
      <c r="A36" s="11" t="s">
        <v>101</v>
      </c>
      <c r="B36" s="138" t="s">
        <v>217</v>
      </c>
      <c r="C36" s="138" t="s">
        <v>233</v>
      </c>
      <c r="D36" s="50" t="s">
        <v>235</v>
      </c>
      <c r="E36" s="138" t="s">
        <v>243</v>
      </c>
      <c r="F36" s="315" t="s">
        <v>172</v>
      </c>
      <c r="G36" s="315"/>
      <c r="H36" s="316"/>
    </row>
  </sheetData>
  <mergeCells count="30">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6:H36"/>
    <mergeCell ref="F23:H23"/>
    <mergeCell ref="F24:H24"/>
    <mergeCell ref="F26:H26"/>
    <mergeCell ref="F27:H27"/>
    <mergeCell ref="F28:H28"/>
    <mergeCell ref="F30:H30"/>
    <mergeCell ref="F32:H32"/>
    <mergeCell ref="F33:H33"/>
    <mergeCell ref="F34:H34"/>
    <mergeCell ref="F35:H35"/>
    <mergeCell ref="F29:H29"/>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A344F-0C8B-4479-8198-C22E5EB7240E}">
  <dimension ref="A1:B6"/>
  <sheetViews>
    <sheetView rightToLeft="1" zoomScale="220" zoomScaleNormal="220" workbookViewId="0">
      <selection activeCell="A2" sqref="A2"/>
    </sheetView>
  </sheetViews>
  <sheetFormatPr defaultRowHeight="15" x14ac:dyDescent="0.25"/>
  <cols>
    <col min="1" max="1" width="19.7109375" customWidth="1"/>
  </cols>
  <sheetData>
    <row r="1" spans="1:2" x14ac:dyDescent="0.25">
      <c r="A1" s="119" t="s">
        <v>265</v>
      </c>
      <c r="B1" s="120" t="s">
        <v>264</v>
      </c>
    </row>
    <row r="2" spans="1:2" x14ac:dyDescent="0.25">
      <c r="A2" s="122" t="s">
        <v>254</v>
      </c>
      <c r="B2" s="123" t="s">
        <v>259</v>
      </c>
    </row>
    <row r="3" spans="1:2" x14ac:dyDescent="0.25">
      <c r="A3" s="122" t="s">
        <v>255</v>
      </c>
      <c r="B3" s="123" t="s">
        <v>260</v>
      </c>
    </row>
    <row r="4" spans="1:2" x14ac:dyDescent="0.25">
      <c r="A4" s="122" t="s">
        <v>256</v>
      </c>
      <c r="B4" s="123" t="s">
        <v>261</v>
      </c>
    </row>
    <row r="5" spans="1:2" x14ac:dyDescent="0.25">
      <c r="A5" s="122" t="s">
        <v>257</v>
      </c>
      <c r="B5" s="123" t="s">
        <v>263</v>
      </c>
    </row>
    <row r="6" spans="1:2" ht="15.75" thickBot="1" x14ac:dyDescent="0.3">
      <c r="A6" s="125" t="s">
        <v>258</v>
      </c>
      <c r="B6" s="126" t="s">
        <v>262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30F4-2B91-4C62-B037-E91BCA6966EB}">
  <dimension ref="A1:J30"/>
  <sheetViews>
    <sheetView rightToLeft="1" zoomScale="130" zoomScaleNormal="130" workbookViewId="0">
      <selection activeCell="L26" sqref="L26"/>
    </sheetView>
  </sheetViews>
  <sheetFormatPr defaultRowHeight="15" x14ac:dyDescent="0.25"/>
  <cols>
    <col min="1" max="1" width="9.5703125" bestFit="1" customWidth="1"/>
    <col min="2" max="4" width="11.5703125" bestFit="1" customWidth="1"/>
    <col min="5" max="5" width="11.140625" bestFit="1" customWidth="1"/>
  </cols>
  <sheetData>
    <row r="1" spans="1:10" x14ac:dyDescent="0.25">
      <c r="A1" s="4"/>
      <c r="B1" s="5"/>
      <c r="C1" s="5"/>
      <c r="D1" s="5"/>
      <c r="E1" s="5"/>
      <c r="F1" s="5">
        <v>31</v>
      </c>
      <c r="G1" s="5">
        <v>1</v>
      </c>
      <c r="H1" s="6">
        <v>2</v>
      </c>
    </row>
    <row r="2" spans="1:10" x14ac:dyDescent="0.25">
      <c r="A2" s="7" t="s">
        <v>24</v>
      </c>
      <c r="B2" s="134"/>
      <c r="C2" s="135"/>
      <c r="D2" s="134"/>
      <c r="E2" s="135"/>
      <c r="F2" s="305">
        <v>2</v>
      </c>
      <c r="G2" s="305"/>
      <c r="H2" s="306"/>
    </row>
    <row r="3" spans="1:10" x14ac:dyDescent="0.25">
      <c r="A3" s="7" t="s">
        <v>21</v>
      </c>
      <c r="B3" s="115"/>
      <c r="C3" s="115"/>
      <c r="D3" s="116"/>
      <c r="E3" s="116"/>
      <c r="F3" s="312" t="s">
        <v>153</v>
      </c>
      <c r="G3" s="313"/>
      <c r="H3" s="314"/>
    </row>
    <row r="4" spans="1:10" x14ac:dyDescent="0.25">
      <c r="A4" s="7" t="s">
        <v>22</v>
      </c>
      <c r="B4" s="115"/>
      <c r="C4" s="116"/>
      <c r="D4" s="116"/>
      <c r="E4" s="115"/>
      <c r="F4" s="309" t="s">
        <v>74</v>
      </c>
      <c r="G4" s="310"/>
      <c r="H4" s="311"/>
    </row>
    <row r="5" spans="1:10" x14ac:dyDescent="0.25">
      <c r="A5" s="7" t="s">
        <v>23</v>
      </c>
      <c r="B5" s="116"/>
      <c r="C5" s="115"/>
      <c r="D5" s="115"/>
      <c r="E5" s="116"/>
      <c r="F5" s="307" t="s">
        <v>82</v>
      </c>
      <c r="G5" s="307"/>
      <c r="H5" s="308"/>
    </row>
    <row r="6" spans="1:10" ht="15.75" thickBot="1" x14ac:dyDescent="0.3">
      <c r="A6" s="11" t="s">
        <v>101</v>
      </c>
      <c r="B6" s="117"/>
      <c r="C6" s="117"/>
      <c r="D6" s="117"/>
      <c r="E6" s="118"/>
      <c r="F6" s="315" t="s">
        <v>190</v>
      </c>
      <c r="G6" s="315"/>
      <c r="H6" s="316"/>
    </row>
    <row r="7" spans="1:10" x14ac:dyDescent="0.25">
      <c r="A7" s="4"/>
      <c r="B7" s="83">
        <f>H1+1</f>
        <v>3</v>
      </c>
      <c r="C7" s="83">
        <f>B7+1</f>
        <v>4</v>
      </c>
      <c r="D7" s="83">
        <f t="shared" ref="D7:G7" si="0">C7+1</f>
        <v>5</v>
      </c>
      <c r="E7" s="83">
        <f t="shared" si="0"/>
        <v>6</v>
      </c>
      <c r="F7" s="83">
        <f t="shared" si="0"/>
        <v>7</v>
      </c>
      <c r="G7" s="83">
        <f t="shared" si="0"/>
        <v>8</v>
      </c>
      <c r="H7" s="84">
        <f>G7+1</f>
        <v>9</v>
      </c>
    </row>
    <row r="8" spans="1:10" x14ac:dyDescent="0.25">
      <c r="A8" s="7" t="s">
        <v>24</v>
      </c>
      <c r="B8" s="134">
        <v>3</v>
      </c>
      <c r="C8" s="135">
        <v>3</v>
      </c>
      <c r="D8" s="134">
        <v>3</v>
      </c>
      <c r="E8" s="135">
        <v>3</v>
      </c>
      <c r="F8" s="305">
        <v>3</v>
      </c>
      <c r="G8" s="305"/>
      <c r="H8" s="306"/>
    </row>
    <row r="9" spans="1:10" x14ac:dyDescent="0.25">
      <c r="A9" s="7" t="s">
        <v>21</v>
      </c>
      <c r="B9" s="150" t="s">
        <v>117</v>
      </c>
      <c r="C9" s="134" t="s">
        <v>173</v>
      </c>
      <c r="D9" s="153" t="s">
        <v>78</v>
      </c>
      <c r="E9" s="135" t="s">
        <v>154</v>
      </c>
      <c r="F9" s="305" t="s">
        <v>102</v>
      </c>
      <c r="G9" s="305"/>
      <c r="H9" s="306"/>
      <c r="J9" s="155" t="s">
        <v>236</v>
      </c>
    </row>
    <row r="10" spans="1:10" x14ac:dyDescent="0.25">
      <c r="A10" s="7" t="s">
        <v>22</v>
      </c>
      <c r="B10" s="135" t="s">
        <v>76</v>
      </c>
      <c r="C10" s="153" t="s">
        <v>137</v>
      </c>
      <c r="D10" s="151" t="s">
        <v>68</v>
      </c>
      <c r="E10" s="151" t="s">
        <v>172</v>
      </c>
      <c r="F10" s="305" t="s">
        <v>63</v>
      </c>
      <c r="G10" s="305"/>
      <c r="H10" s="306"/>
    </row>
    <row r="11" spans="1:10" x14ac:dyDescent="0.25">
      <c r="A11" s="7" t="s">
        <v>23</v>
      </c>
      <c r="B11" s="152" t="s">
        <v>116</v>
      </c>
      <c r="C11" s="134" t="s">
        <v>152</v>
      </c>
      <c r="D11" s="151" t="s">
        <v>81</v>
      </c>
      <c r="E11" s="152" t="s">
        <v>201</v>
      </c>
      <c r="F11" s="307" t="s">
        <v>66</v>
      </c>
      <c r="G11" s="307"/>
      <c r="H11" s="308"/>
    </row>
    <row r="12" spans="1:10" ht="15.75" thickBot="1" x14ac:dyDescent="0.3">
      <c r="A12" s="7" t="s">
        <v>101</v>
      </c>
      <c r="B12" s="134" t="s">
        <v>214</v>
      </c>
      <c r="C12" s="134" t="s">
        <v>233</v>
      </c>
      <c r="D12" s="37" t="s">
        <v>197</v>
      </c>
      <c r="E12" s="37" t="s">
        <v>234</v>
      </c>
      <c r="F12" s="305" t="s">
        <v>67</v>
      </c>
      <c r="G12" s="305"/>
      <c r="H12" s="306"/>
    </row>
    <row r="13" spans="1:10" x14ac:dyDescent="0.25">
      <c r="A13" s="4"/>
      <c r="B13" s="83">
        <f>B7+7</f>
        <v>10</v>
      </c>
      <c r="C13" s="83">
        <f>B13+1</f>
        <v>11</v>
      </c>
      <c r="D13" s="83">
        <f t="shared" ref="D13:H13" si="1">C13+1</f>
        <v>12</v>
      </c>
      <c r="E13" s="83">
        <f t="shared" si="1"/>
        <v>13</v>
      </c>
      <c r="F13" s="83">
        <f t="shared" si="1"/>
        <v>14</v>
      </c>
      <c r="G13" s="83">
        <f t="shared" si="1"/>
        <v>15</v>
      </c>
      <c r="H13" s="84">
        <f t="shared" si="1"/>
        <v>16</v>
      </c>
    </row>
    <row r="14" spans="1:10" x14ac:dyDescent="0.25">
      <c r="A14" s="7" t="s">
        <v>24</v>
      </c>
      <c r="B14" s="134">
        <v>3</v>
      </c>
      <c r="C14" s="135">
        <v>3</v>
      </c>
      <c r="D14" s="134">
        <v>3</v>
      </c>
      <c r="E14" s="135">
        <v>3</v>
      </c>
      <c r="F14" s="305">
        <v>3</v>
      </c>
      <c r="G14" s="305"/>
      <c r="H14" s="306"/>
    </row>
    <row r="15" spans="1:10" x14ac:dyDescent="0.25">
      <c r="A15" s="7" t="s">
        <v>21</v>
      </c>
      <c r="B15" s="136" t="s">
        <v>196</v>
      </c>
      <c r="C15" s="153" t="s">
        <v>82</v>
      </c>
      <c r="D15" s="153" t="s">
        <v>116</v>
      </c>
      <c r="E15" s="151" t="s">
        <v>198</v>
      </c>
      <c r="F15" s="305" t="s">
        <v>87</v>
      </c>
      <c r="G15" s="305"/>
      <c r="H15" s="306"/>
      <c r="J15" t="s">
        <v>238</v>
      </c>
    </row>
    <row r="16" spans="1:10" x14ac:dyDescent="0.25">
      <c r="A16" s="7" t="s">
        <v>22</v>
      </c>
      <c r="B16" s="151" t="s">
        <v>137</v>
      </c>
      <c r="C16" s="134" t="s">
        <v>90</v>
      </c>
      <c r="D16" s="150" t="s">
        <v>64</v>
      </c>
      <c r="E16" s="134" t="s">
        <v>74</v>
      </c>
      <c r="F16" s="305" t="s">
        <v>104</v>
      </c>
      <c r="G16" s="305"/>
      <c r="H16" s="306"/>
      <c r="J16" s="155" t="s">
        <v>239</v>
      </c>
    </row>
    <row r="17" spans="1:10" x14ac:dyDescent="0.25">
      <c r="A17" s="7" t="s">
        <v>23</v>
      </c>
      <c r="B17" s="151" t="s">
        <v>200</v>
      </c>
      <c r="C17" s="134" t="s">
        <v>158</v>
      </c>
      <c r="D17" s="150" t="s">
        <v>199</v>
      </c>
      <c r="E17" s="153" t="s">
        <v>103</v>
      </c>
      <c r="F17" s="307" t="s">
        <v>139</v>
      </c>
      <c r="G17" s="307"/>
      <c r="H17" s="308"/>
    </row>
    <row r="18" spans="1:10" ht="15.75" thickBot="1" x14ac:dyDescent="0.3">
      <c r="A18" s="7" t="s">
        <v>101</v>
      </c>
      <c r="B18" s="134" t="s">
        <v>217</v>
      </c>
      <c r="C18" s="134" t="s">
        <v>214</v>
      </c>
      <c r="D18" s="37" t="s">
        <v>197</v>
      </c>
      <c r="E18" s="134" t="s">
        <v>153</v>
      </c>
      <c r="F18" s="305" t="s">
        <v>68</v>
      </c>
      <c r="G18" s="305"/>
      <c r="H18" s="306"/>
    </row>
    <row r="19" spans="1:10" x14ac:dyDescent="0.25">
      <c r="A19" s="4"/>
      <c r="B19" s="83">
        <f>B13+7</f>
        <v>17</v>
      </c>
      <c r="C19" s="83">
        <f>B19+1</f>
        <v>18</v>
      </c>
      <c r="D19" s="83">
        <f t="shared" ref="D19:H19" si="2">C19+1</f>
        <v>19</v>
      </c>
      <c r="E19" s="83">
        <f t="shared" si="2"/>
        <v>20</v>
      </c>
      <c r="F19" s="83">
        <f t="shared" si="2"/>
        <v>21</v>
      </c>
      <c r="G19" s="83">
        <f>F19+1</f>
        <v>22</v>
      </c>
      <c r="H19" s="84">
        <f t="shared" si="2"/>
        <v>23</v>
      </c>
    </row>
    <row r="20" spans="1:10" x14ac:dyDescent="0.25">
      <c r="A20" s="7" t="s">
        <v>24</v>
      </c>
      <c r="B20" s="134">
        <v>3</v>
      </c>
      <c r="C20" s="135">
        <v>3</v>
      </c>
      <c r="D20" s="134">
        <v>3</v>
      </c>
      <c r="E20" s="135">
        <v>3</v>
      </c>
      <c r="F20" s="305">
        <v>3</v>
      </c>
      <c r="G20" s="305"/>
      <c r="H20" s="306"/>
    </row>
    <row r="21" spans="1:10" x14ac:dyDescent="0.25">
      <c r="A21" s="7" t="s">
        <v>21</v>
      </c>
      <c r="B21" s="150" t="s">
        <v>190</v>
      </c>
      <c r="C21" s="134" t="s">
        <v>198</v>
      </c>
      <c r="D21" s="151" t="s">
        <v>156</v>
      </c>
      <c r="E21" s="152" t="s">
        <v>153</v>
      </c>
      <c r="F21" s="305" t="s">
        <v>90</v>
      </c>
      <c r="G21" s="305"/>
      <c r="H21" s="306"/>
    </row>
    <row r="22" spans="1:10" x14ac:dyDescent="0.25">
      <c r="A22" s="7" t="s">
        <v>22</v>
      </c>
      <c r="B22" s="153" t="s">
        <v>173</v>
      </c>
      <c r="C22" s="153" t="s">
        <v>82</v>
      </c>
      <c r="D22" s="153" t="s">
        <v>116</v>
      </c>
      <c r="E22" s="151" t="s">
        <v>63</v>
      </c>
      <c r="F22" s="307" t="s">
        <v>73</v>
      </c>
      <c r="G22" s="307"/>
      <c r="H22" s="308"/>
    </row>
    <row r="23" spans="1:10" x14ac:dyDescent="0.25">
      <c r="A23" s="7" t="s">
        <v>23</v>
      </c>
      <c r="B23" s="150" t="s">
        <v>199</v>
      </c>
      <c r="C23" s="151" t="s">
        <v>201</v>
      </c>
      <c r="D23" s="151" t="s">
        <v>93</v>
      </c>
      <c r="E23" s="151" t="s">
        <v>200</v>
      </c>
      <c r="F23" s="305" t="s">
        <v>117</v>
      </c>
      <c r="G23" s="305"/>
      <c r="H23" s="306"/>
    </row>
    <row r="24" spans="1:10" ht="15.75" thickBot="1" x14ac:dyDescent="0.3">
      <c r="A24" s="7" t="s">
        <v>101</v>
      </c>
      <c r="B24" s="151" t="s">
        <v>235</v>
      </c>
      <c r="C24" s="134" t="s">
        <v>234</v>
      </c>
      <c r="D24" s="134" t="s">
        <v>155</v>
      </c>
      <c r="E24" s="135" t="s">
        <v>233</v>
      </c>
      <c r="F24" s="305" t="s">
        <v>83</v>
      </c>
      <c r="G24" s="305"/>
      <c r="H24" s="306"/>
    </row>
    <row r="25" spans="1:10" x14ac:dyDescent="0.25">
      <c r="A25" s="4"/>
      <c r="B25" s="83">
        <f>B19+7</f>
        <v>24</v>
      </c>
      <c r="C25" s="83">
        <f>B25+1</f>
        <v>25</v>
      </c>
      <c r="D25" s="83">
        <f t="shared" ref="D25:E25" si="3">C25+1</f>
        <v>26</v>
      </c>
      <c r="E25" s="83">
        <f t="shared" si="3"/>
        <v>27</v>
      </c>
      <c r="F25" s="5">
        <f>E25+1</f>
        <v>28</v>
      </c>
      <c r="G25" s="5">
        <f>F25+1</f>
        <v>29</v>
      </c>
      <c r="H25" s="6">
        <f>G25+1</f>
        <v>30</v>
      </c>
    </row>
    <row r="26" spans="1:10" x14ac:dyDescent="0.25">
      <c r="A26" s="7" t="s">
        <v>24</v>
      </c>
      <c r="B26" s="134">
        <v>3</v>
      </c>
      <c r="C26" s="135">
        <v>3</v>
      </c>
      <c r="D26" s="134">
        <v>3</v>
      </c>
      <c r="E26" s="135">
        <v>3</v>
      </c>
      <c r="F26" s="305">
        <v>3</v>
      </c>
      <c r="G26" s="305"/>
      <c r="H26" s="306"/>
    </row>
    <row r="27" spans="1:10" x14ac:dyDescent="0.25">
      <c r="A27" s="7" t="s">
        <v>21</v>
      </c>
      <c r="B27" s="151" t="s">
        <v>198</v>
      </c>
      <c r="C27" s="150" t="s">
        <v>217</v>
      </c>
      <c r="D27" s="150" t="s">
        <v>190</v>
      </c>
      <c r="E27" s="151" t="s">
        <v>157</v>
      </c>
      <c r="F27" s="312" t="s">
        <v>216</v>
      </c>
      <c r="G27" s="313"/>
      <c r="H27" s="314"/>
    </row>
    <row r="28" spans="1:10" x14ac:dyDescent="0.25">
      <c r="A28" s="7" t="s">
        <v>22</v>
      </c>
      <c r="B28" s="151" t="s">
        <v>154</v>
      </c>
      <c r="C28" s="152" t="s">
        <v>172</v>
      </c>
      <c r="D28" s="153" t="s">
        <v>158</v>
      </c>
      <c r="E28" s="151" t="s">
        <v>137</v>
      </c>
      <c r="F28" s="309" t="s">
        <v>196</v>
      </c>
      <c r="G28" s="310"/>
      <c r="H28" s="311"/>
      <c r="J28" s="48" t="s">
        <v>237</v>
      </c>
    </row>
    <row r="29" spans="1:10" x14ac:dyDescent="0.25">
      <c r="A29" s="7" t="s">
        <v>23</v>
      </c>
      <c r="B29" s="153" t="s">
        <v>103</v>
      </c>
      <c r="C29" s="150" t="s">
        <v>199</v>
      </c>
      <c r="D29" s="151" t="s">
        <v>81</v>
      </c>
      <c r="E29" s="153" t="s">
        <v>152</v>
      </c>
      <c r="F29" s="305" t="s">
        <v>215</v>
      </c>
      <c r="G29" s="305"/>
      <c r="H29" s="306"/>
    </row>
    <row r="30" spans="1:10" ht="15.75" thickBot="1" x14ac:dyDescent="0.3">
      <c r="A30" s="11" t="s">
        <v>101</v>
      </c>
      <c r="B30" s="133" t="s">
        <v>214</v>
      </c>
      <c r="C30" s="133" t="s">
        <v>140</v>
      </c>
      <c r="D30" s="50" t="s">
        <v>197</v>
      </c>
      <c r="E30" s="133" t="s">
        <v>138</v>
      </c>
      <c r="F30" s="315" t="s">
        <v>76</v>
      </c>
      <c r="G30" s="315"/>
      <c r="H30" s="316"/>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E3EB-3CE2-4CE9-AFE6-7D28BA933261}">
  <dimension ref="A1:H30"/>
  <sheetViews>
    <sheetView rightToLeft="1" zoomScale="115" zoomScaleNormal="115" workbookViewId="0">
      <selection activeCell="J24" sqref="J24"/>
    </sheetView>
  </sheetViews>
  <sheetFormatPr defaultRowHeight="15" x14ac:dyDescent="0.25"/>
  <cols>
    <col min="2" max="2" width="10.7109375" bestFit="1" customWidth="1"/>
    <col min="3" max="3" width="11.5703125" bestFit="1" customWidth="1"/>
    <col min="4" max="4" width="11.7109375" bestFit="1" customWidth="1"/>
    <col min="5" max="5" width="11.5703125" bestFit="1" customWidth="1"/>
  </cols>
  <sheetData>
    <row r="1" spans="1:8" x14ac:dyDescent="0.25">
      <c r="A1" s="4"/>
      <c r="B1" s="5">
        <v>29</v>
      </c>
      <c r="C1" s="5">
        <v>31</v>
      </c>
      <c r="D1" s="5">
        <v>1</v>
      </c>
      <c r="E1" s="5">
        <v>2</v>
      </c>
      <c r="F1" s="5">
        <v>3</v>
      </c>
      <c r="G1" s="5">
        <f>F1+1</f>
        <v>4</v>
      </c>
      <c r="H1" s="6">
        <f t="shared" ref="H1" si="0">G1+1</f>
        <v>5</v>
      </c>
    </row>
    <row r="2" spans="1:8" x14ac:dyDescent="0.25">
      <c r="A2" s="7" t="s">
        <v>24</v>
      </c>
      <c r="B2" s="129">
        <v>3</v>
      </c>
      <c r="C2" s="130">
        <v>3</v>
      </c>
      <c r="D2" s="129">
        <v>3</v>
      </c>
      <c r="E2" s="130">
        <v>3</v>
      </c>
      <c r="F2" s="323">
        <v>3</v>
      </c>
      <c r="G2" s="323"/>
      <c r="H2" s="324"/>
    </row>
    <row r="3" spans="1:8" x14ac:dyDescent="0.25">
      <c r="A3" s="7" t="s">
        <v>21</v>
      </c>
      <c r="B3" s="115"/>
      <c r="C3" s="115"/>
      <c r="D3" s="116"/>
      <c r="E3" s="116"/>
      <c r="F3" s="307" t="s">
        <v>74</v>
      </c>
      <c r="G3" s="307"/>
      <c r="H3" s="308"/>
    </row>
    <row r="4" spans="1:8" x14ac:dyDescent="0.25">
      <c r="A4" s="7" t="s">
        <v>22</v>
      </c>
      <c r="B4" s="115"/>
      <c r="C4" s="116"/>
      <c r="D4" s="116"/>
      <c r="E4" s="115"/>
      <c r="F4" s="305" t="s">
        <v>138</v>
      </c>
      <c r="G4" s="305"/>
      <c r="H4" s="306"/>
    </row>
    <row r="5" spans="1:8" x14ac:dyDescent="0.25">
      <c r="A5" s="7" t="s">
        <v>23</v>
      </c>
      <c r="B5" s="116"/>
      <c r="C5" s="115"/>
      <c r="D5" s="115"/>
      <c r="E5" s="116"/>
      <c r="F5" s="305" t="s">
        <v>64</v>
      </c>
      <c r="G5" s="305"/>
      <c r="H5" s="306"/>
    </row>
    <row r="6" spans="1:8" ht="15.75" thickBot="1" x14ac:dyDescent="0.3">
      <c r="A6" s="11" t="s">
        <v>101</v>
      </c>
      <c r="B6" s="117"/>
      <c r="C6" s="117"/>
      <c r="D6" s="117"/>
      <c r="E6" s="118"/>
      <c r="F6" s="315" t="s">
        <v>197</v>
      </c>
      <c r="G6" s="315"/>
      <c r="H6" s="316"/>
    </row>
    <row r="7" spans="1:8" x14ac:dyDescent="0.25">
      <c r="A7" s="4"/>
      <c r="B7" s="83">
        <f>H1+1</f>
        <v>6</v>
      </c>
      <c r="C7" s="83">
        <f>B7+1</f>
        <v>7</v>
      </c>
      <c r="D7" s="83">
        <f t="shared" ref="D7:G7" si="1">C7+1</f>
        <v>8</v>
      </c>
      <c r="E7" s="83">
        <f t="shared" si="1"/>
        <v>9</v>
      </c>
      <c r="F7" s="83">
        <f t="shared" si="1"/>
        <v>10</v>
      </c>
      <c r="G7" s="83">
        <f t="shared" si="1"/>
        <v>11</v>
      </c>
      <c r="H7" s="84">
        <f>G7+1</f>
        <v>12</v>
      </c>
    </row>
    <row r="8" spans="1:8" x14ac:dyDescent="0.25">
      <c r="A8" s="7" t="s">
        <v>24</v>
      </c>
      <c r="B8" s="129">
        <v>3</v>
      </c>
      <c r="C8" s="130">
        <v>3</v>
      </c>
      <c r="D8" s="129">
        <v>3</v>
      </c>
      <c r="E8" s="130">
        <v>3</v>
      </c>
      <c r="F8" s="305">
        <v>2</v>
      </c>
      <c r="G8" s="305"/>
      <c r="H8" s="306"/>
    </row>
    <row r="9" spans="1:8" x14ac:dyDescent="0.25">
      <c r="A9" s="7" t="s">
        <v>21</v>
      </c>
      <c r="B9" s="129" t="s">
        <v>139</v>
      </c>
      <c r="C9" s="129" t="s">
        <v>153</v>
      </c>
      <c r="D9" s="131" t="s">
        <v>78</v>
      </c>
      <c r="E9" s="130" t="s">
        <v>200</v>
      </c>
      <c r="F9" s="307" t="s">
        <v>116</v>
      </c>
      <c r="G9" s="307"/>
      <c r="H9" s="308"/>
    </row>
    <row r="10" spans="1:8" x14ac:dyDescent="0.25">
      <c r="A10" s="7" t="s">
        <v>22</v>
      </c>
      <c r="B10" s="130" t="s">
        <v>137</v>
      </c>
      <c r="C10" s="131" t="s">
        <v>73</v>
      </c>
      <c r="D10" s="130" t="s">
        <v>154</v>
      </c>
      <c r="E10" s="129" t="s">
        <v>201</v>
      </c>
      <c r="F10" s="305" t="s">
        <v>156</v>
      </c>
      <c r="G10" s="305"/>
      <c r="H10" s="306"/>
    </row>
    <row r="11" spans="1:8" x14ac:dyDescent="0.25">
      <c r="A11" s="7" t="s">
        <v>23</v>
      </c>
      <c r="B11" s="131" t="s">
        <v>103</v>
      </c>
      <c r="C11" s="129" t="s">
        <v>104</v>
      </c>
      <c r="D11" s="129" t="s">
        <v>216</v>
      </c>
      <c r="E11" s="131" t="s">
        <v>82</v>
      </c>
      <c r="F11" s="307" t="s">
        <v>155</v>
      </c>
      <c r="G11" s="307"/>
      <c r="H11" s="308"/>
    </row>
    <row r="12" spans="1:8" ht="15.75" thickBot="1" x14ac:dyDescent="0.3">
      <c r="A12" s="7" t="s">
        <v>101</v>
      </c>
      <c r="B12" s="129" t="s">
        <v>173</v>
      </c>
      <c r="C12" s="129" t="s">
        <v>102</v>
      </c>
      <c r="D12" s="37" t="s">
        <v>198</v>
      </c>
      <c r="E12" s="130" t="s">
        <v>172</v>
      </c>
      <c r="F12" s="305" t="s">
        <v>199</v>
      </c>
      <c r="G12" s="305"/>
      <c r="H12" s="306"/>
    </row>
    <row r="13" spans="1:8" x14ac:dyDescent="0.25">
      <c r="A13" s="4"/>
      <c r="B13" s="83">
        <f>B7+7</f>
        <v>13</v>
      </c>
      <c r="C13" s="83">
        <f>B13+1</f>
        <v>14</v>
      </c>
      <c r="D13" s="83">
        <f t="shared" ref="D13:H13" si="2">C13+1</f>
        <v>15</v>
      </c>
      <c r="E13" s="83">
        <f t="shared" si="2"/>
        <v>16</v>
      </c>
      <c r="F13" s="83">
        <f t="shared" si="2"/>
        <v>17</v>
      </c>
      <c r="G13" s="83">
        <f t="shared" si="2"/>
        <v>18</v>
      </c>
      <c r="H13" s="84">
        <f t="shared" si="2"/>
        <v>19</v>
      </c>
    </row>
    <row r="14" spans="1:8" x14ac:dyDescent="0.25">
      <c r="A14" s="7" t="s">
        <v>24</v>
      </c>
      <c r="B14" s="129">
        <v>3</v>
      </c>
      <c r="C14" s="130">
        <v>3</v>
      </c>
      <c r="D14" s="129">
        <v>3</v>
      </c>
      <c r="E14" s="130">
        <v>3</v>
      </c>
      <c r="F14" s="305" t="s">
        <v>202</v>
      </c>
      <c r="G14" s="305"/>
      <c r="H14" s="306"/>
    </row>
    <row r="15" spans="1:8" x14ac:dyDescent="0.25">
      <c r="A15" s="7" t="s">
        <v>21</v>
      </c>
      <c r="B15" s="131" t="s">
        <v>64</v>
      </c>
      <c r="C15" s="132" t="s">
        <v>66</v>
      </c>
      <c r="D15" s="130" t="s">
        <v>81</v>
      </c>
      <c r="E15" s="131" t="s">
        <v>103</v>
      </c>
      <c r="F15" s="305" t="s">
        <v>217</v>
      </c>
      <c r="G15" s="305"/>
      <c r="H15" s="306"/>
    </row>
    <row r="16" spans="1:8" x14ac:dyDescent="0.25">
      <c r="A16" s="7" t="s">
        <v>22</v>
      </c>
      <c r="B16" s="129" t="s">
        <v>157</v>
      </c>
      <c r="C16" s="129" t="s">
        <v>90</v>
      </c>
      <c r="D16" s="129" t="s">
        <v>69</v>
      </c>
      <c r="E16" s="129" t="s">
        <v>104</v>
      </c>
      <c r="F16" s="305" t="s">
        <v>214</v>
      </c>
      <c r="G16" s="305"/>
      <c r="H16" s="306"/>
    </row>
    <row r="17" spans="1:8" x14ac:dyDescent="0.25">
      <c r="A17" s="7" t="s">
        <v>23</v>
      </c>
      <c r="B17" s="129" t="s">
        <v>158</v>
      </c>
      <c r="C17" s="129" t="s">
        <v>67</v>
      </c>
      <c r="D17" s="132" t="s">
        <v>78</v>
      </c>
      <c r="E17" s="130" t="s">
        <v>83</v>
      </c>
      <c r="F17" s="307" t="s">
        <v>117</v>
      </c>
      <c r="G17" s="307"/>
      <c r="H17" s="308"/>
    </row>
    <row r="18" spans="1:8" ht="15.75" thickBot="1" x14ac:dyDescent="0.3">
      <c r="A18" s="7" t="s">
        <v>101</v>
      </c>
      <c r="B18" s="129" t="s">
        <v>87</v>
      </c>
      <c r="C18" s="129" t="s">
        <v>89</v>
      </c>
      <c r="D18" s="37" t="s">
        <v>197</v>
      </c>
      <c r="E18" s="129" t="s">
        <v>173</v>
      </c>
      <c r="F18" s="305" t="s">
        <v>198</v>
      </c>
      <c r="G18" s="305"/>
      <c r="H18" s="306"/>
    </row>
    <row r="19" spans="1:8" x14ac:dyDescent="0.25">
      <c r="A19" s="4"/>
      <c r="B19" s="83">
        <f>B13+7</f>
        <v>20</v>
      </c>
      <c r="C19" s="83">
        <f>B19+1</f>
        <v>21</v>
      </c>
      <c r="D19" s="83">
        <f t="shared" ref="D19:H19" si="3">C19+1</f>
        <v>22</v>
      </c>
      <c r="E19" s="83">
        <f t="shared" si="3"/>
        <v>23</v>
      </c>
      <c r="F19" s="83">
        <f t="shared" si="3"/>
        <v>24</v>
      </c>
      <c r="G19" s="83">
        <f>F19+1</f>
        <v>25</v>
      </c>
      <c r="H19" s="84">
        <f t="shared" si="3"/>
        <v>26</v>
      </c>
    </row>
    <row r="20" spans="1:8" x14ac:dyDescent="0.25">
      <c r="A20" s="7" t="s">
        <v>24</v>
      </c>
      <c r="B20" s="129" t="s">
        <v>202</v>
      </c>
      <c r="C20" s="130">
        <v>3</v>
      </c>
      <c r="D20" s="129">
        <v>3</v>
      </c>
      <c r="E20" s="130">
        <v>3</v>
      </c>
      <c r="F20" s="305">
        <v>3</v>
      </c>
      <c r="G20" s="305"/>
      <c r="H20" s="306"/>
    </row>
    <row r="21" spans="1:8" x14ac:dyDescent="0.25">
      <c r="A21" s="7" t="s">
        <v>21</v>
      </c>
      <c r="B21" s="130" t="s">
        <v>217</v>
      </c>
      <c r="C21" s="129" t="s">
        <v>80</v>
      </c>
      <c r="D21" s="131" t="s">
        <v>116</v>
      </c>
      <c r="E21" s="129" t="s">
        <v>216</v>
      </c>
      <c r="F21" s="305" t="s">
        <v>158</v>
      </c>
      <c r="G21" s="305"/>
      <c r="H21" s="306"/>
    </row>
    <row r="22" spans="1:8" x14ac:dyDescent="0.25">
      <c r="A22" s="7" t="s">
        <v>22</v>
      </c>
      <c r="B22" s="144" t="s">
        <v>214</v>
      </c>
      <c r="C22" s="130" t="s">
        <v>89</v>
      </c>
      <c r="D22" s="129" t="s">
        <v>157</v>
      </c>
      <c r="E22" s="131" t="s">
        <v>73</v>
      </c>
      <c r="F22" s="307" t="s">
        <v>200</v>
      </c>
      <c r="G22" s="307"/>
      <c r="H22" s="308"/>
    </row>
    <row r="23" spans="1:8" x14ac:dyDescent="0.25">
      <c r="A23" s="7" t="s">
        <v>23</v>
      </c>
      <c r="B23" s="145" t="s">
        <v>117</v>
      </c>
      <c r="C23" s="131" t="s">
        <v>66</v>
      </c>
      <c r="D23" s="129" t="s">
        <v>67</v>
      </c>
      <c r="E23" s="130" t="s">
        <v>215</v>
      </c>
      <c r="F23" s="305" t="s">
        <v>152</v>
      </c>
      <c r="G23" s="305"/>
      <c r="H23" s="306"/>
    </row>
    <row r="24" spans="1:8" ht="15.75" thickBot="1" x14ac:dyDescent="0.3">
      <c r="A24" s="7" t="s">
        <v>101</v>
      </c>
      <c r="B24" s="129" t="s">
        <v>198</v>
      </c>
      <c r="C24" s="129" t="s">
        <v>102</v>
      </c>
      <c r="D24" s="129" t="s">
        <v>140</v>
      </c>
      <c r="E24" s="130" t="s">
        <v>197</v>
      </c>
      <c r="F24" s="305" t="s">
        <v>69</v>
      </c>
      <c r="G24" s="305"/>
      <c r="H24" s="306"/>
    </row>
    <row r="25" spans="1:8" x14ac:dyDescent="0.25">
      <c r="A25" s="4"/>
      <c r="B25" s="83">
        <f>B19+7</f>
        <v>27</v>
      </c>
      <c r="C25" s="83">
        <f>B25+1</f>
        <v>28</v>
      </c>
      <c r="D25" s="83">
        <f t="shared" ref="D25:E25" si="4">C25+1</f>
        <v>29</v>
      </c>
      <c r="E25" s="83">
        <f t="shared" si="4"/>
        <v>30</v>
      </c>
      <c r="F25" s="5">
        <v>31</v>
      </c>
      <c r="G25" s="5">
        <v>1</v>
      </c>
      <c r="H25" s="6">
        <v>2</v>
      </c>
    </row>
    <row r="26" spans="1:8" x14ac:dyDescent="0.25">
      <c r="A26" s="7" t="s">
        <v>24</v>
      </c>
      <c r="B26" s="129">
        <v>3</v>
      </c>
      <c r="C26" s="130">
        <v>3</v>
      </c>
      <c r="D26" s="129">
        <v>3</v>
      </c>
      <c r="E26" s="130">
        <v>3</v>
      </c>
      <c r="F26" s="305">
        <v>2</v>
      </c>
      <c r="G26" s="305"/>
      <c r="H26" s="306"/>
    </row>
    <row r="27" spans="1:8" x14ac:dyDescent="0.25">
      <c r="A27" s="7" t="s">
        <v>21</v>
      </c>
      <c r="B27" s="129" t="s">
        <v>64</v>
      </c>
      <c r="C27" s="130" t="s">
        <v>117</v>
      </c>
      <c r="D27" s="130" t="s">
        <v>81</v>
      </c>
      <c r="E27" s="131" t="s">
        <v>78</v>
      </c>
      <c r="F27" s="312" t="s">
        <v>153</v>
      </c>
      <c r="G27" s="313"/>
      <c r="H27" s="314"/>
    </row>
    <row r="28" spans="1:8" x14ac:dyDescent="0.25">
      <c r="A28" s="7" t="s">
        <v>22</v>
      </c>
      <c r="B28" s="130" t="s">
        <v>154</v>
      </c>
      <c r="C28" s="129" t="s">
        <v>201</v>
      </c>
      <c r="D28" s="131" t="s">
        <v>73</v>
      </c>
      <c r="E28" s="129" t="s">
        <v>90</v>
      </c>
      <c r="F28" s="309" t="s">
        <v>74</v>
      </c>
      <c r="G28" s="310"/>
      <c r="H28" s="311"/>
    </row>
    <row r="29" spans="1:8" x14ac:dyDescent="0.25">
      <c r="A29" s="7" t="s">
        <v>23</v>
      </c>
      <c r="B29" s="132" t="s">
        <v>139</v>
      </c>
      <c r="C29" s="132" t="s">
        <v>103</v>
      </c>
      <c r="D29" s="129" t="s">
        <v>152</v>
      </c>
      <c r="E29" s="130" t="s">
        <v>215</v>
      </c>
      <c r="F29" s="307" t="s">
        <v>82</v>
      </c>
      <c r="G29" s="307"/>
      <c r="H29" s="308"/>
    </row>
    <row r="30" spans="1:8" ht="15.75" thickBot="1" x14ac:dyDescent="0.3">
      <c r="A30" s="11" t="s">
        <v>101</v>
      </c>
      <c r="B30" s="128" t="s">
        <v>173</v>
      </c>
      <c r="C30" s="128" t="s">
        <v>138</v>
      </c>
      <c r="D30" s="50" t="s">
        <v>172</v>
      </c>
      <c r="E30" s="128" t="s">
        <v>87</v>
      </c>
      <c r="F30" s="315" t="s">
        <v>190</v>
      </c>
      <c r="G30" s="315"/>
      <c r="H30" s="316"/>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CA5C6-D690-4ECF-BDC2-4CC736C97A66}">
  <dimension ref="A1:K30"/>
  <sheetViews>
    <sheetView rightToLeft="1" zoomScale="130" zoomScaleNormal="130" workbookViewId="0">
      <selection activeCell="C22" sqref="C22"/>
    </sheetView>
  </sheetViews>
  <sheetFormatPr defaultRowHeight="15" x14ac:dyDescent="0.25"/>
  <cols>
    <col min="2" max="2" width="11.7109375" customWidth="1"/>
    <col min="3" max="3" width="11.85546875" bestFit="1" customWidth="1"/>
    <col min="4" max="4" width="11.5703125" customWidth="1"/>
    <col min="5" max="5" width="11.85546875" customWidth="1"/>
    <col min="9" max="9" width="9.140625" bestFit="1" customWidth="1"/>
  </cols>
  <sheetData>
    <row r="1" spans="1:11" x14ac:dyDescent="0.25">
      <c r="A1" s="4"/>
      <c r="B1" s="83">
        <v>1</v>
      </c>
      <c r="C1" s="83">
        <f>B1+1</f>
        <v>2</v>
      </c>
      <c r="D1" s="83">
        <f t="shared" ref="D1:G1" si="0">C1+1</f>
        <v>3</v>
      </c>
      <c r="E1" s="83">
        <f t="shared" si="0"/>
        <v>4</v>
      </c>
      <c r="F1" s="83">
        <f t="shared" si="0"/>
        <v>5</v>
      </c>
      <c r="G1" s="83">
        <f t="shared" si="0"/>
        <v>6</v>
      </c>
      <c r="H1" s="84">
        <f>G1+1</f>
        <v>7</v>
      </c>
    </row>
    <row r="2" spans="1:11" x14ac:dyDescent="0.25">
      <c r="A2" s="7" t="s">
        <v>24</v>
      </c>
      <c r="B2" s="92">
        <v>3</v>
      </c>
      <c r="C2" s="26">
        <v>3</v>
      </c>
      <c r="D2" s="92">
        <v>3</v>
      </c>
      <c r="E2" s="26">
        <v>3</v>
      </c>
      <c r="F2" s="305" t="s">
        <v>170</v>
      </c>
      <c r="G2" s="305"/>
      <c r="H2" s="306"/>
    </row>
    <row r="3" spans="1:11" x14ac:dyDescent="0.25">
      <c r="A3" s="7" t="s">
        <v>21</v>
      </c>
      <c r="B3" s="93"/>
      <c r="C3" s="93"/>
      <c r="D3" s="95"/>
      <c r="E3" s="26"/>
      <c r="F3" s="307" t="s">
        <v>66</v>
      </c>
      <c r="G3" s="307"/>
      <c r="H3" s="308"/>
    </row>
    <row r="4" spans="1:11" x14ac:dyDescent="0.25">
      <c r="A4" s="7" t="s">
        <v>22</v>
      </c>
      <c r="B4" s="92"/>
      <c r="C4" s="26"/>
      <c r="D4" s="92"/>
      <c r="E4" s="92"/>
      <c r="F4" s="305" t="s">
        <v>152</v>
      </c>
      <c r="G4" s="305"/>
      <c r="H4" s="306"/>
    </row>
    <row r="5" spans="1:11" x14ac:dyDescent="0.25">
      <c r="A5" s="7" t="s">
        <v>23</v>
      </c>
      <c r="B5" s="26"/>
      <c r="C5" s="92"/>
      <c r="D5" s="26"/>
      <c r="E5" s="95"/>
      <c r="F5" s="305" t="s">
        <v>93</v>
      </c>
      <c r="G5" s="305"/>
      <c r="H5" s="306"/>
    </row>
    <row r="6" spans="1:11" ht="15.75" thickBot="1" x14ac:dyDescent="0.3">
      <c r="A6" s="7" t="s">
        <v>101</v>
      </c>
      <c r="B6" s="50"/>
      <c r="C6" s="94"/>
      <c r="D6" s="94"/>
      <c r="E6" s="50"/>
      <c r="F6" s="315" t="s">
        <v>67</v>
      </c>
      <c r="G6" s="315"/>
      <c r="H6" s="316"/>
    </row>
    <row r="7" spans="1:11" x14ac:dyDescent="0.25">
      <c r="A7" s="4"/>
      <c r="B7" s="83">
        <f>B1+7</f>
        <v>8</v>
      </c>
      <c r="C7" s="83">
        <f>B7+1</f>
        <v>9</v>
      </c>
      <c r="D7" s="83">
        <f t="shared" ref="D7:H7" si="1">C7+1</f>
        <v>10</v>
      </c>
      <c r="E7" s="83">
        <f t="shared" si="1"/>
        <v>11</v>
      </c>
      <c r="F7" s="83">
        <f t="shared" si="1"/>
        <v>12</v>
      </c>
      <c r="G7" s="83">
        <f t="shared" si="1"/>
        <v>13</v>
      </c>
      <c r="H7" s="84">
        <f t="shared" si="1"/>
        <v>14</v>
      </c>
    </row>
    <row r="8" spans="1:11" x14ac:dyDescent="0.25">
      <c r="A8" s="7" t="s">
        <v>24</v>
      </c>
      <c r="B8" s="92">
        <v>3</v>
      </c>
      <c r="C8" s="26">
        <v>3</v>
      </c>
      <c r="D8" s="92">
        <v>3</v>
      </c>
      <c r="E8" s="26">
        <v>3</v>
      </c>
      <c r="F8" s="305">
        <v>3</v>
      </c>
      <c r="G8" s="305"/>
      <c r="H8" s="306"/>
    </row>
    <row r="9" spans="1:11" x14ac:dyDescent="0.25">
      <c r="A9" s="7" t="s">
        <v>21</v>
      </c>
      <c r="B9" s="112" t="s">
        <v>153</v>
      </c>
      <c r="C9" s="112" t="s">
        <v>158</v>
      </c>
      <c r="D9" s="26" t="s">
        <v>76</v>
      </c>
      <c r="E9" s="112" t="s">
        <v>67</v>
      </c>
      <c r="F9" s="305" t="s">
        <v>102</v>
      </c>
      <c r="G9" s="305"/>
      <c r="H9" s="306"/>
    </row>
    <row r="10" spans="1:11" x14ac:dyDescent="0.25">
      <c r="A10" s="7" t="s">
        <v>22</v>
      </c>
      <c r="B10" s="110" t="s">
        <v>87</v>
      </c>
      <c r="C10" s="111" t="s">
        <v>103</v>
      </c>
      <c r="D10" s="93" t="s">
        <v>75</v>
      </c>
      <c r="E10" s="113" t="s">
        <v>196</v>
      </c>
      <c r="F10" s="305" t="s">
        <v>139</v>
      </c>
      <c r="G10" s="305"/>
      <c r="H10" s="306"/>
    </row>
    <row r="11" spans="1:11" x14ac:dyDescent="0.25">
      <c r="A11" s="7" t="s">
        <v>23</v>
      </c>
      <c r="B11" s="111" t="s">
        <v>102</v>
      </c>
      <c r="C11" s="110" t="s">
        <v>156</v>
      </c>
      <c r="D11" s="92" t="s">
        <v>138</v>
      </c>
      <c r="E11" s="92" t="s">
        <v>117</v>
      </c>
      <c r="F11" s="307" t="s">
        <v>73</v>
      </c>
      <c r="G11" s="307"/>
      <c r="H11" s="308"/>
    </row>
    <row r="12" spans="1:11" ht="15.75" thickBot="1" x14ac:dyDescent="0.3">
      <c r="A12" s="7" t="s">
        <v>101</v>
      </c>
      <c r="B12" s="92" t="s">
        <v>89</v>
      </c>
      <c r="C12" s="92" t="s">
        <v>201</v>
      </c>
      <c r="D12" s="37" t="s">
        <v>89</v>
      </c>
      <c r="E12" s="110" t="s">
        <v>90</v>
      </c>
      <c r="F12" s="305" t="s">
        <v>137</v>
      </c>
      <c r="G12" s="305"/>
      <c r="H12" s="306"/>
    </row>
    <row r="13" spans="1:11" x14ac:dyDescent="0.25">
      <c r="A13" s="4"/>
      <c r="B13" s="83">
        <f>B7+7</f>
        <v>15</v>
      </c>
      <c r="C13" s="83">
        <f>B13+1</f>
        <v>16</v>
      </c>
      <c r="D13" s="83">
        <f t="shared" ref="D13:H13" si="2">C13+1</f>
        <v>17</v>
      </c>
      <c r="E13" s="83">
        <f t="shared" si="2"/>
        <v>18</v>
      </c>
      <c r="F13" s="83">
        <f t="shared" si="2"/>
        <v>19</v>
      </c>
      <c r="G13" s="83">
        <f>F13+1</f>
        <v>20</v>
      </c>
      <c r="H13" s="84">
        <f t="shared" si="2"/>
        <v>21</v>
      </c>
    </row>
    <row r="14" spans="1:11" x14ac:dyDescent="0.25">
      <c r="A14" s="7" t="s">
        <v>24</v>
      </c>
      <c r="B14" s="92">
        <v>3</v>
      </c>
      <c r="C14" s="26">
        <v>3</v>
      </c>
      <c r="D14" s="92">
        <v>3</v>
      </c>
      <c r="E14" s="312">
        <v>2</v>
      </c>
      <c r="F14" s="313"/>
      <c r="G14" s="313"/>
      <c r="H14" s="314"/>
    </row>
    <row r="15" spans="1:11" x14ac:dyDescent="0.25">
      <c r="A15" s="7" t="s">
        <v>21</v>
      </c>
      <c r="B15" s="95" t="s">
        <v>78</v>
      </c>
      <c r="C15" s="111" t="s">
        <v>74</v>
      </c>
      <c r="D15" s="92" t="s">
        <v>93</v>
      </c>
      <c r="E15" s="312" t="s">
        <v>154</v>
      </c>
      <c r="F15" s="313"/>
      <c r="G15" s="313"/>
      <c r="H15" s="314"/>
      <c r="I15" s="48" t="s">
        <v>153</v>
      </c>
    </row>
    <row r="16" spans="1:11" x14ac:dyDescent="0.25">
      <c r="A16" s="7" t="s">
        <v>22</v>
      </c>
      <c r="B16" s="26" t="s">
        <v>104</v>
      </c>
      <c r="C16" s="110" t="s">
        <v>201</v>
      </c>
      <c r="D16" s="111" t="s">
        <v>200</v>
      </c>
      <c r="E16" s="309" t="s">
        <v>68</v>
      </c>
      <c r="F16" s="310"/>
      <c r="G16" s="310"/>
      <c r="H16" s="311"/>
      <c r="I16" s="36" t="s">
        <v>93</v>
      </c>
      <c r="K16" s="48"/>
    </row>
    <row r="17" spans="1:9" x14ac:dyDescent="0.25">
      <c r="A17" s="38" t="s">
        <v>23</v>
      </c>
      <c r="B17" s="112" t="s">
        <v>152</v>
      </c>
      <c r="C17" s="112" t="s">
        <v>155</v>
      </c>
      <c r="D17" s="112" t="s">
        <v>152</v>
      </c>
      <c r="E17" s="309" t="s">
        <v>80</v>
      </c>
      <c r="F17" s="310"/>
      <c r="G17" s="310"/>
      <c r="H17" s="311"/>
      <c r="I17" s="36" t="s">
        <v>90</v>
      </c>
    </row>
    <row r="18" spans="1:9" ht="15.75" thickBot="1" x14ac:dyDescent="0.3">
      <c r="A18" s="7" t="s">
        <v>101</v>
      </c>
      <c r="B18" s="92" t="s">
        <v>173</v>
      </c>
      <c r="C18" s="92" t="s">
        <v>117</v>
      </c>
      <c r="D18" s="92" t="s">
        <v>173</v>
      </c>
      <c r="E18" s="312" t="s">
        <v>172</v>
      </c>
      <c r="F18" s="313"/>
      <c r="G18" s="313"/>
      <c r="H18" s="314"/>
      <c r="I18" s="48" t="s">
        <v>84</v>
      </c>
    </row>
    <row r="19" spans="1:9" x14ac:dyDescent="0.25">
      <c r="A19" s="4"/>
      <c r="B19" s="83">
        <f>B13+7</f>
        <v>22</v>
      </c>
      <c r="C19" s="83">
        <f>B19+1</f>
        <v>23</v>
      </c>
      <c r="D19" s="83">
        <f t="shared" ref="D19:E19" si="3">C19+1</f>
        <v>24</v>
      </c>
      <c r="E19" s="83">
        <f t="shared" si="3"/>
        <v>25</v>
      </c>
      <c r="F19" s="5">
        <v>26</v>
      </c>
      <c r="G19" s="5">
        <f>F19+1</f>
        <v>27</v>
      </c>
      <c r="H19" s="6">
        <f t="shared" ref="H19" si="4">G19+1</f>
        <v>28</v>
      </c>
    </row>
    <row r="20" spans="1:9" x14ac:dyDescent="0.25">
      <c r="A20" s="7" t="s">
        <v>24</v>
      </c>
      <c r="B20" s="92">
        <v>3</v>
      </c>
      <c r="C20" s="26">
        <v>3</v>
      </c>
      <c r="D20" s="92">
        <v>3</v>
      </c>
      <c r="E20" s="26">
        <v>3</v>
      </c>
      <c r="F20" s="305">
        <v>3</v>
      </c>
      <c r="G20" s="323"/>
      <c r="H20" s="324"/>
    </row>
    <row r="21" spans="1:9" x14ac:dyDescent="0.25">
      <c r="A21" s="7" t="s">
        <v>21</v>
      </c>
      <c r="B21" s="112" t="s">
        <v>153</v>
      </c>
      <c r="C21" s="111" t="s">
        <v>66</v>
      </c>
      <c r="D21" s="112" t="s">
        <v>89</v>
      </c>
      <c r="E21" s="111" t="s">
        <v>74</v>
      </c>
      <c r="F21" s="305" t="s">
        <v>84</v>
      </c>
      <c r="G21" s="305"/>
      <c r="H21" s="306"/>
    </row>
    <row r="22" spans="1:9" x14ac:dyDescent="0.25">
      <c r="A22" s="7" t="s">
        <v>22</v>
      </c>
      <c r="B22" s="111" t="s">
        <v>200</v>
      </c>
      <c r="C22" s="26" t="s">
        <v>90</v>
      </c>
      <c r="D22" s="111" t="s">
        <v>76</v>
      </c>
      <c r="E22" s="110" t="s">
        <v>201</v>
      </c>
      <c r="F22" s="312" t="s">
        <v>157</v>
      </c>
      <c r="G22" s="313"/>
      <c r="H22" s="314"/>
    </row>
    <row r="23" spans="1:9" x14ac:dyDescent="0.25">
      <c r="A23" s="7" t="s">
        <v>23</v>
      </c>
      <c r="B23" s="112" t="s">
        <v>155</v>
      </c>
      <c r="C23" s="112" t="s">
        <v>104</v>
      </c>
      <c r="D23" s="92" t="s">
        <v>83</v>
      </c>
      <c r="E23" s="26" t="s">
        <v>158</v>
      </c>
      <c r="F23" s="309" t="s">
        <v>103</v>
      </c>
      <c r="G23" s="310"/>
      <c r="H23" s="311"/>
    </row>
    <row r="24" spans="1:9" ht="15.75" thickBot="1" x14ac:dyDescent="0.3">
      <c r="A24" s="7" t="s">
        <v>101</v>
      </c>
      <c r="B24" s="58" t="s">
        <v>190</v>
      </c>
      <c r="C24" s="37" t="s">
        <v>199</v>
      </c>
      <c r="D24" s="37" t="s">
        <v>173</v>
      </c>
      <c r="E24" s="58" t="s">
        <v>190</v>
      </c>
      <c r="F24" s="305" t="s">
        <v>81</v>
      </c>
      <c r="G24" s="305"/>
      <c r="H24" s="306"/>
    </row>
    <row r="25" spans="1:9" x14ac:dyDescent="0.25">
      <c r="A25" s="4"/>
      <c r="B25" s="83">
        <v>29</v>
      </c>
      <c r="C25" s="83">
        <f>B25+1</f>
        <v>30</v>
      </c>
      <c r="D25" s="83">
        <v>1</v>
      </c>
      <c r="E25" s="83">
        <f t="shared" ref="E25" si="5">D25+1</f>
        <v>2</v>
      </c>
      <c r="F25" s="5">
        <v>3</v>
      </c>
      <c r="G25" s="5">
        <f>F25+1</f>
        <v>4</v>
      </c>
      <c r="H25" s="6">
        <f t="shared" ref="H25" si="6">G25+1</f>
        <v>5</v>
      </c>
    </row>
    <row r="26" spans="1:9" x14ac:dyDescent="0.25">
      <c r="A26" s="7" t="s">
        <v>24</v>
      </c>
      <c r="B26" s="92">
        <v>3</v>
      </c>
      <c r="C26" s="26">
        <v>3</v>
      </c>
      <c r="D26" s="92">
        <v>3</v>
      </c>
      <c r="E26" s="26">
        <v>3</v>
      </c>
      <c r="F26" s="305">
        <v>3</v>
      </c>
      <c r="G26" s="323"/>
      <c r="H26" s="324"/>
    </row>
    <row r="27" spans="1:9" x14ac:dyDescent="0.25">
      <c r="A27" s="7" t="s">
        <v>21</v>
      </c>
      <c r="B27" s="110" t="s">
        <v>83</v>
      </c>
      <c r="C27" s="110" t="s">
        <v>117</v>
      </c>
      <c r="D27" s="111" t="s">
        <v>66</v>
      </c>
      <c r="E27" s="112" t="s">
        <v>153</v>
      </c>
      <c r="F27" s="307" t="s">
        <v>196</v>
      </c>
      <c r="G27" s="307"/>
      <c r="H27" s="308"/>
    </row>
    <row r="28" spans="1:9" x14ac:dyDescent="0.25">
      <c r="A28" s="7" t="s">
        <v>22</v>
      </c>
      <c r="B28" s="112" t="s">
        <v>104</v>
      </c>
      <c r="C28" s="111" t="s">
        <v>137</v>
      </c>
      <c r="D28" s="112" t="s">
        <v>158</v>
      </c>
      <c r="E28" s="111" t="s">
        <v>200</v>
      </c>
      <c r="F28" s="305" t="s">
        <v>138</v>
      </c>
      <c r="G28" s="305"/>
      <c r="H28" s="306"/>
    </row>
    <row r="29" spans="1:9" x14ac:dyDescent="0.25">
      <c r="A29" s="7" t="s">
        <v>23</v>
      </c>
      <c r="B29" s="113" t="s">
        <v>73</v>
      </c>
      <c r="C29" s="110" t="s">
        <v>156</v>
      </c>
      <c r="D29" s="112" t="s">
        <v>87</v>
      </c>
      <c r="E29" s="112" t="s">
        <v>155</v>
      </c>
      <c r="F29" s="305" t="s">
        <v>64</v>
      </c>
      <c r="G29" s="305"/>
      <c r="H29" s="306"/>
    </row>
    <row r="30" spans="1:9" ht="15.75" thickBot="1" x14ac:dyDescent="0.3">
      <c r="A30" s="11" t="s">
        <v>101</v>
      </c>
      <c r="B30" s="50" t="s">
        <v>198</v>
      </c>
      <c r="C30" s="94" t="s">
        <v>199</v>
      </c>
      <c r="D30" s="94" t="s">
        <v>198</v>
      </c>
      <c r="E30" s="50" t="s">
        <v>190</v>
      </c>
      <c r="F30" s="315" t="s">
        <v>197</v>
      </c>
      <c r="G30" s="315"/>
      <c r="H30" s="316"/>
    </row>
  </sheetData>
  <mergeCells count="25">
    <mergeCell ref="F30:H30"/>
    <mergeCell ref="E14:H14"/>
    <mergeCell ref="E15:H15"/>
    <mergeCell ref="E16:H16"/>
    <mergeCell ref="E17:H17"/>
    <mergeCell ref="E18:H18"/>
    <mergeCell ref="F23:H23"/>
    <mergeCell ref="F24:H24"/>
    <mergeCell ref="F26:H26"/>
    <mergeCell ref="F27:H27"/>
    <mergeCell ref="F28:H28"/>
    <mergeCell ref="F29:H29"/>
    <mergeCell ref="F20:H20"/>
    <mergeCell ref="F21:H21"/>
    <mergeCell ref="F22:H22"/>
    <mergeCell ref="F9:H9"/>
    <mergeCell ref="F10:H10"/>
    <mergeCell ref="F11:H11"/>
    <mergeCell ref="F12:H12"/>
    <mergeCell ref="F2:H2"/>
    <mergeCell ref="F3:H3"/>
    <mergeCell ref="F4:H4"/>
    <mergeCell ref="F5:H5"/>
    <mergeCell ref="F6:H6"/>
    <mergeCell ref="F8:H8"/>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70671-1862-471F-AF27-623E842740C8}">
  <dimension ref="A1:I42"/>
  <sheetViews>
    <sheetView rightToLeft="1" topLeftCell="A16" zoomScale="130" zoomScaleNormal="130" workbookViewId="0">
      <selection activeCell="J32" sqref="J32"/>
    </sheetView>
  </sheetViews>
  <sheetFormatPr defaultRowHeight="15" x14ac:dyDescent="0.25"/>
  <cols>
    <col min="2" max="2" width="10.42578125" customWidth="1"/>
    <col min="3" max="3" width="10.7109375" customWidth="1"/>
    <col min="4" max="4" width="10.85546875" customWidth="1"/>
    <col min="5" max="5" width="11.140625" customWidth="1"/>
    <col min="9" max="9" width="23.140625" bestFit="1" customWidth="1"/>
  </cols>
  <sheetData>
    <row r="1" spans="1:8" x14ac:dyDescent="0.25">
      <c r="A1" s="4"/>
      <c r="B1" s="5"/>
      <c r="C1" s="5"/>
      <c r="D1" s="5"/>
      <c r="E1" s="5"/>
      <c r="F1" s="5">
        <v>1</v>
      </c>
      <c r="G1" s="5">
        <f>F1+1</f>
        <v>2</v>
      </c>
      <c r="H1" s="6">
        <f t="shared" ref="H1" si="0">G1+1</f>
        <v>3</v>
      </c>
    </row>
    <row r="2" spans="1:8" x14ac:dyDescent="0.25">
      <c r="A2" s="7" t="s">
        <v>24</v>
      </c>
      <c r="B2" s="59"/>
      <c r="C2" s="59"/>
      <c r="D2" s="59"/>
      <c r="E2" s="8"/>
      <c r="F2" s="323">
        <v>3</v>
      </c>
      <c r="G2" s="323"/>
      <c r="H2" s="324"/>
    </row>
    <row r="3" spans="1:8" x14ac:dyDescent="0.25">
      <c r="A3" s="7" t="s">
        <v>21</v>
      </c>
      <c r="B3" s="61"/>
      <c r="C3" s="61"/>
      <c r="D3" s="9"/>
      <c r="E3" s="9"/>
      <c r="F3" s="307" t="s">
        <v>66</v>
      </c>
      <c r="G3" s="307"/>
      <c r="H3" s="308"/>
    </row>
    <row r="4" spans="1:8" x14ac:dyDescent="0.25">
      <c r="A4" s="7" t="s">
        <v>22</v>
      </c>
      <c r="B4" s="61"/>
      <c r="C4" s="8"/>
      <c r="D4" s="8"/>
      <c r="E4" s="59"/>
      <c r="F4" s="305" t="s">
        <v>156</v>
      </c>
      <c r="G4" s="305"/>
      <c r="H4" s="306"/>
    </row>
    <row r="5" spans="1:8" x14ac:dyDescent="0.25">
      <c r="A5" s="7" t="s">
        <v>23</v>
      </c>
      <c r="B5" s="8"/>
      <c r="C5" s="61"/>
      <c r="D5" s="59"/>
      <c r="E5" s="8"/>
      <c r="F5" s="305" t="s">
        <v>68</v>
      </c>
      <c r="G5" s="305"/>
      <c r="H5" s="306"/>
    </row>
    <row r="6" spans="1:8" ht="15.75" thickBot="1" x14ac:dyDescent="0.3">
      <c r="A6" s="11" t="s">
        <v>101</v>
      </c>
      <c r="B6" s="60"/>
      <c r="C6" s="60"/>
      <c r="D6" s="60"/>
      <c r="E6" s="10"/>
      <c r="F6" s="315" t="s">
        <v>154</v>
      </c>
      <c r="G6" s="325"/>
      <c r="H6" s="326"/>
    </row>
    <row r="7" spans="1:8" x14ac:dyDescent="0.25">
      <c r="A7" s="4"/>
      <c r="B7" s="83">
        <v>4</v>
      </c>
      <c r="C7" s="83">
        <f>B7+1</f>
        <v>5</v>
      </c>
      <c r="D7" s="83">
        <f t="shared" ref="D7:G7" si="1">C7+1</f>
        <v>6</v>
      </c>
      <c r="E7" s="83">
        <f t="shared" si="1"/>
        <v>7</v>
      </c>
      <c r="F7" s="83">
        <f t="shared" si="1"/>
        <v>8</v>
      </c>
      <c r="G7" s="83">
        <f t="shared" si="1"/>
        <v>9</v>
      </c>
      <c r="H7" s="84">
        <f>G7+1</f>
        <v>10</v>
      </c>
    </row>
    <row r="8" spans="1:8" x14ac:dyDescent="0.25">
      <c r="A8" s="7" t="s">
        <v>24</v>
      </c>
      <c r="B8" s="70">
        <v>3</v>
      </c>
      <c r="C8" s="26">
        <v>3</v>
      </c>
      <c r="D8" s="70">
        <v>3</v>
      </c>
      <c r="E8" s="26">
        <v>3</v>
      </c>
      <c r="F8" s="305">
        <v>3</v>
      </c>
      <c r="G8" s="305"/>
      <c r="H8" s="306"/>
    </row>
    <row r="9" spans="1:8" x14ac:dyDescent="0.25">
      <c r="A9" s="7" t="s">
        <v>21</v>
      </c>
      <c r="B9" s="85" t="s">
        <v>153</v>
      </c>
      <c r="C9" s="85" t="s">
        <v>87</v>
      </c>
      <c r="D9" s="87" t="s">
        <v>74</v>
      </c>
      <c r="E9" s="87" t="s">
        <v>82</v>
      </c>
      <c r="F9" s="305" t="s">
        <v>104</v>
      </c>
      <c r="G9" s="305"/>
      <c r="H9" s="306"/>
    </row>
    <row r="10" spans="1:8" x14ac:dyDescent="0.25">
      <c r="A10" s="7" t="s">
        <v>22</v>
      </c>
      <c r="B10" s="26" t="s">
        <v>113</v>
      </c>
      <c r="C10" s="87" t="s">
        <v>73</v>
      </c>
      <c r="D10" s="26" t="s">
        <v>81</v>
      </c>
      <c r="E10" s="88" t="s">
        <v>68</v>
      </c>
      <c r="F10" s="307" t="s">
        <v>117</v>
      </c>
      <c r="G10" s="307"/>
      <c r="H10" s="308"/>
    </row>
    <row r="11" spans="1:8" x14ac:dyDescent="0.25">
      <c r="A11" s="7" t="s">
        <v>23</v>
      </c>
      <c r="B11" s="87" t="s">
        <v>78</v>
      </c>
      <c r="C11" s="70" t="s">
        <v>155</v>
      </c>
      <c r="D11" s="70" t="s">
        <v>84</v>
      </c>
      <c r="E11" s="26" t="s">
        <v>139</v>
      </c>
      <c r="F11" s="305" t="s">
        <v>89</v>
      </c>
      <c r="G11" s="305"/>
      <c r="H11" s="306"/>
    </row>
    <row r="12" spans="1:8" ht="15.75" thickBot="1" x14ac:dyDescent="0.3">
      <c r="A12" s="7" t="s">
        <v>101</v>
      </c>
      <c r="B12" s="70" t="s">
        <v>138</v>
      </c>
      <c r="C12" s="70" t="s">
        <v>76</v>
      </c>
      <c r="D12" s="37" t="s">
        <v>102</v>
      </c>
      <c r="E12" s="26" t="s">
        <v>137</v>
      </c>
      <c r="F12" s="305" t="s">
        <v>172</v>
      </c>
      <c r="G12" s="305"/>
      <c r="H12" s="306"/>
    </row>
    <row r="13" spans="1:8" x14ac:dyDescent="0.25">
      <c r="A13" s="4"/>
      <c r="B13" s="83">
        <f>B7+7</f>
        <v>11</v>
      </c>
      <c r="C13" s="83">
        <f>B13+1</f>
        <v>12</v>
      </c>
      <c r="D13" s="83">
        <f t="shared" ref="D13:H13" si="2">C13+1</f>
        <v>13</v>
      </c>
      <c r="E13" s="83">
        <f t="shared" si="2"/>
        <v>14</v>
      </c>
      <c r="F13" s="83">
        <f t="shared" si="2"/>
        <v>15</v>
      </c>
      <c r="G13" s="83">
        <f t="shared" si="2"/>
        <v>16</v>
      </c>
      <c r="H13" s="84">
        <f t="shared" si="2"/>
        <v>17</v>
      </c>
    </row>
    <row r="14" spans="1:8" x14ac:dyDescent="0.25">
      <c r="A14" s="7" t="s">
        <v>24</v>
      </c>
      <c r="B14" s="70">
        <v>3</v>
      </c>
      <c r="C14" s="26">
        <v>3</v>
      </c>
      <c r="D14" s="70">
        <v>3</v>
      </c>
      <c r="E14" s="26">
        <v>3</v>
      </c>
      <c r="F14" s="305">
        <v>3</v>
      </c>
      <c r="G14" s="305"/>
      <c r="H14" s="306"/>
    </row>
    <row r="15" spans="1:8" x14ac:dyDescent="0.25">
      <c r="A15" s="7" t="s">
        <v>21</v>
      </c>
      <c r="B15" s="87" t="s">
        <v>103</v>
      </c>
      <c r="C15" s="70" t="s">
        <v>140</v>
      </c>
      <c r="D15" s="26" t="s">
        <v>138</v>
      </c>
      <c r="E15" s="26" t="s">
        <v>139</v>
      </c>
      <c r="F15" s="305" t="s">
        <v>87</v>
      </c>
      <c r="G15" s="305"/>
      <c r="H15" s="306"/>
    </row>
    <row r="16" spans="1:8" x14ac:dyDescent="0.25">
      <c r="A16" s="7" t="s">
        <v>22</v>
      </c>
      <c r="B16" s="70" t="s">
        <v>154</v>
      </c>
      <c r="C16" s="85" t="s">
        <v>153</v>
      </c>
      <c r="D16" s="89" t="s">
        <v>113</v>
      </c>
      <c r="E16" s="70" t="s">
        <v>156</v>
      </c>
      <c r="F16" s="307" t="s">
        <v>76</v>
      </c>
      <c r="G16" s="307"/>
      <c r="H16" s="308"/>
    </row>
    <row r="17" spans="1:9" x14ac:dyDescent="0.25">
      <c r="A17" s="7" t="s">
        <v>23</v>
      </c>
      <c r="B17" s="88" t="s">
        <v>67</v>
      </c>
      <c r="C17" s="86" t="s">
        <v>73</v>
      </c>
      <c r="D17" s="70" t="s">
        <v>159</v>
      </c>
      <c r="E17" s="70" t="s">
        <v>68</v>
      </c>
      <c r="F17" s="305" t="s">
        <v>90</v>
      </c>
      <c r="G17" s="305"/>
      <c r="H17" s="306"/>
    </row>
    <row r="18" spans="1:9" ht="15.75" thickBot="1" x14ac:dyDescent="0.3">
      <c r="A18" s="7" t="s">
        <v>101</v>
      </c>
      <c r="B18" s="70" t="s">
        <v>173</v>
      </c>
      <c r="C18" s="70" t="s">
        <v>137</v>
      </c>
      <c r="D18" s="37" t="s">
        <v>158</v>
      </c>
      <c r="E18" s="86" t="s">
        <v>66</v>
      </c>
      <c r="F18" s="305" t="s">
        <v>116</v>
      </c>
      <c r="G18" s="305"/>
      <c r="H18" s="306"/>
    </row>
    <row r="19" spans="1:9" x14ac:dyDescent="0.25">
      <c r="A19" s="4"/>
      <c r="B19" s="83">
        <f>B13+7</f>
        <v>18</v>
      </c>
      <c r="C19" s="83">
        <f>B19+1</f>
        <v>19</v>
      </c>
      <c r="D19" s="83">
        <f t="shared" ref="D19:H19" si="3">C19+1</f>
        <v>20</v>
      </c>
      <c r="E19" s="83">
        <f t="shared" si="3"/>
        <v>21</v>
      </c>
      <c r="F19" s="83">
        <f t="shared" si="3"/>
        <v>22</v>
      </c>
      <c r="G19" s="83">
        <f>F19+1</f>
        <v>23</v>
      </c>
      <c r="H19" s="84">
        <f t="shared" si="3"/>
        <v>24</v>
      </c>
    </row>
    <row r="20" spans="1:9" x14ac:dyDescent="0.25">
      <c r="A20" s="7" t="s">
        <v>24</v>
      </c>
      <c r="B20" s="70">
        <v>3</v>
      </c>
      <c r="C20" s="26">
        <v>3</v>
      </c>
      <c r="D20" s="70">
        <v>3</v>
      </c>
      <c r="E20" s="26">
        <v>3</v>
      </c>
      <c r="F20" s="305">
        <v>3</v>
      </c>
      <c r="G20" s="305"/>
      <c r="H20" s="306"/>
    </row>
    <row r="21" spans="1:9" x14ac:dyDescent="0.25">
      <c r="A21" s="7" t="s">
        <v>21</v>
      </c>
      <c r="B21" s="87" t="s">
        <v>73</v>
      </c>
      <c r="C21" s="85" t="s">
        <v>140</v>
      </c>
      <c r="D21" s="85" t="s">
        <v>154</v>
      </c>
      <c r="E21" s="26" t="s">
        <v>84</v>
      </c>
      <c r="F21" s="305" t="s">
        <v>159</v>
      </c>
      <c r="G21" s="305"/>
      <c r="H21" s="306"/>
    </row>
    <row r="22" spans="1:9" x14ac:dyDescent="0.25">
      <c r="A22" s="7" t="s">
        <v>22</v>
      </c>
      <c r="B22" s="26" t="s">
        <v>153</v>
      </c>
      <c r="C22" s="26" t="s">
        <v>158</v>
      </c>
      <c r="D22" s="26" t="s">
        <v>139</v>
      </c>
      <c r="E22" s="85" t="s">
        <v>90</v>
      </c>
      <c r="F22" s="307" t="s">
        <v>103</v>
      </c>
      <c r="G22" s="307"/>
      <c r="H22" s="308"/>
    </row>
    <row r="23" spans="1:9" x14ac:dyDescent="0.25">
      <c r="A23" s="7" t="s">
        <v>23</v>
      </c>
      <c r="B23" s="85" t="s">
        <v>102</v>
      </c>
      <c r="C23" s="87" t="s">
        <v>68</v>
      </c>
      <c r="D23" s="87" t="s">
        <v>78</v>
      </c>
      <c r="E23" s="87" t="s">
        <v>64</v>
      </c>
      <c r="F23" s="305" t="s">
        <v>83</v>
      </c>
      <c r="G23" s="305"/>
      <c r="H23" s="306"/>
    </row>
    <row r="24" spans="1:9" ht="15.75" thickBot="1" x14ac:dyDescent="0.3">
      <c r="A24" s="7" t="s">
        <v>101</v>
      </c>
      <c r="B24" s="70" t="s">
        <v>113</v>
      </c>
      <c r="C24" s="70" t="s">
        <v>172</v>
      </c>
      <c r="D24" s="70" t="s">
        <v>138</v>
      </c>
      <c r="E24" s="26" t="s">
        <v>81</v>
      </c>
      <c r="F24" s="305" t="s">
        <v>173</v>
      </c>
      <c r="G24" s="305"/>
      <c r="H24" s="306"/>
    </row>
    <row r="25" spans="1:9" x14ac:dyDescent="0.25">
      <c r="A25" s="4"/>
      <c r="B25" s="83">
        <f>B19+7</f>
        <v>25</v>
      </c>
      <c r="C25" s="83">
        <f>B25+1</f>
        <v>26</v>
      </c>
      <c r="D25" s="83">
        <f t="shared" ref="D25:E25" si="4">C25+1</f>
        <v>27</v>
      </c>
      <c r="E25" s="83">
        <f t="shared" si="4"/>
        <v>28</v>
      </c>
      <c r="F25" s="5">
        <v>29</v>
      </c>
      <c r="G25" s="5">
        <f>F25+1</f>
        <v>30</v>
      </c>
      <c r="H25" s="6">
        <f t="shared" ref="H25" si="5">G25+1</f>
        <v>31</v>
      </c>
    </row>
    <row r="26" spans="1:9" x14ac:dyDescent="0.25">
      <c r="A26" s="7" t="s">
        <v>24</v>
      </c>
      <c r="B26" s="70">
        <v>3</v>
      </c>
      <c r="C26" s="26">
        <v>3</v>
      </c>
      <c r="D26" s="70">
        <v>3</v>
      </c>
      <c r="E26" s="26">
        <v>3</v>
      </c>
      <c r="F26" s="305" t="s">
        <v>169</v>
      </c>
      <c r="G26" s="323"/>
      <c r="H26" s="324"/>
    </row>
    <row r="27" spans="1:9" x14ac:dyDescent="0.25">
      <c r="A27" s="7" t="s">
        <v>21</v>
      </c>
      <c r="B27" s="85" t="s">
        <v>154</v>
      </c>
      <c r="C27" s="85" t="s">
        <v>140</v>
      </c>
      <c r="D27" s="87" t="s">
        <v>102</v>
      </c>
      <c r="E27" s="87" t="s">
        <v>139</v>
      </c>
      <c r="F27" s="305" t="s">
        <v>80</v>
      </c>
      <c r="G27" s="305"/>
      <c r="H27" s="306"/>
      <c r="I27" s="48" t="s">
        <v>138</v>
      </c>
    </row>
    <row r="28" spans="1:9" x14ac:dyDescent="0.25">
      <c r="A28" s="7" t="s">
        <v>22</v>
      </c>
      <c r="B28" s="26" t="s">
        <v>64</v>
      </c>
      <c r="C28" s="26" t="s">
        <v>89</v>
      </c>
      <c r="D28" s="85" t="s">
        <v>81</v>
      </c>
      <c r="E28" s="88" t="s">
        <v>90</v>
      </c>
      <c r="F28" s="309" t="s">
        <v>156</v>
      </c>
      <c r="G28" s="310"/>
      <c r="H28" s="311"/>
      <c r="I28" s="36" t="s">
        <v>117</v>
      </c>
    </row>
    <row r="29" spans="1:9" x14ac:dyDescent="0.25">
      <c r="A29" s="7" t="s">
        <v>23</v>
      </c>
      <c r="B29" s="87" t="s">
        <v>138</v>
      </c>
      <c r="C29" s="86" t="s">
        <v>67</v>
      </c>
      <c r="D29" s="70" t="s">
        <v>152</v>
      </c>
      <c r="E29" s="26" t="s">
        <v>64</v>
      </c>
      <c r="F29" s="305" t="s">
        <v>158</v>
      </c>
      <c r="G29" s="305"/>
      <c r="H29" s="306"/>
      <c r="I29" s="48" t="s">
        <v>76</v>
      </c>
    </row>
    <row r="30" spans="1:9" ht="15.75" thickBot="1" x14ac:dyDescent="0.3">
      <c r="A30" s="7" t="s">
        <v>101</v>
      </c>
      <c r="B30" s="58" t="s">
        <v>156</v>
      </c>
      <c r="C30" s="37" t="s">
        <v>172</v>
      </c>
      <c r="D30" s="37" t="s">
        <v>137</v>
      </c>
      <c r="E30" s="58" t="s">
        <v>76</v>
      </c>
      <c r="F30" s="305" t="s">
        <v>155</v>
      </c>
      <c r="G30" s="305"/>
      <c r="H30" s="306"/>
      <c r="I30" s="48" t="s">
        <v>173</v>
      </c>
    </row>
    <row r="31" spans="1:9" x14ac:dyDescent="0.25">
      <c r="A31" s="4"/>
      <c r="B31" s="83">
        <v>1</v>
      </c>
      <c r="C31" s="83">
        <f>B31+1</f>
        <v>2</v>
      </c>
      <c r="D31" s="83">
        <f t="shared" ref="D31" si="6">C31+1</f>
        <v>3</v>
      </c>
      <c r="E31" s="83">
        <f t="shared" ref="E31" si="7">D31+1</f>
        <v>4</v>
      </c>
      <c r="F31" s="5">
        <v>5</v>
      </c>
      <c r="G31" s="5">
        <f>F31+1</f>
        <v>6</v>
      </c>
      <c r="H31" s="6">
        <f t="shared" ref="H31" si="8">G31+1</f>
        <v>7</v>
      </c>
    </row>
    <row r="32" spans="1:9" x14ac:dyDescent="0.25">
      <c r="A32" s="7" t="s">
        <v>24</v>
      </c>
      <c r="B32" s="70">
        <v>3</v>
      </c>
      <c r="C32" s="26">
        <v>3</v>
      </c>
      <c r="D32" s="70">
        <v>3</v>
      </c>
      <c r="E32" s="26">
        <v>3</v>
      </c>
      <c r="F32" s="305" t="s">
        <v>170</v>
      </c>
      <c r="G32" s="323"/>
      <c r="H32" s="324"/>
    </row>
    <row r="33" spans="1:9" x14ac:dyDescent="0.25">
      <c r="A33" s="7" t="s">
        <v>21</v>
      </c>
      <c r="B33" s="86" t="s">
        <v>74</v>
      </c>
      <c r="C33" s="86" t="s">
        <v>117</v>
      </c>
      <c r="D33" s="87" t="s">
        <v>73</v>
      </c>
      <c r="E33" s="26" t="s">
        <v>81</v>
      </c>
      <c r="F33" s="307" t="s">
        <v>66</v>
      </c>
      <c r="G33" s="307"/>
      <c r="H33" s="308"/>
      <c r="I33" s="36" t="s">
        <v>140</v>
      </c>
    </row>
    <row r="34" spans="1:9" x14ac:dyDescent="0.25">
      <c r="A34" s="7" t="s">
        <v>22</v>
      </c>
      <c r="B34" s="85" t="s">
        <v>68</v>
      </c>
      <c r="C34" s="26" t="s">
        <v>140</v>
      </c>
      <c r="D34" s="85" t="s">
        <v>154</v>
      </c>
      <c r="E34" s="70" t="s">
        <v>84</v>
      </c>
      <c r="F34" s="305" t="s">
        <v>152</v>
      </c>
      <c r="G34" s="305"/>
      <c r="H34" s="306"/>
      <c r="I34" s="48" t="s">
        <v>139</v>
      </c>
    </row>
    <row r="35" spans="1:9" x14ac:dyDescent="0.25">
      <c r="A35" s="7" t="s">
        <v>23</v>
      </c>
      <c r="B35" s="26" t="s">
        <v>83</v>
      </c>
      <c r="C35" s="85" t="s">
        <v>153</v>
      </c>
      <c r="D35" s="26" t="s">
        <v>83</v>
      </c>
      <c r="E35" s="87" t="s">
        <v>78</v>
      </c>
      <c r="F35" s="305" t="s">
        <v>93</v>
      </c>
      <c r="G35" s="305"/>
      <c r="H35" s="306"/>
      <c r="I35" s="48" t="s">
        <v>64</v>
      </c>
    </row>
    <row r="36" spans="1:9" ht="15.75" thickBot="1" x14ac:dyDescent="0.3">
      <c r="A36" s="11" t="s">
        <v>101</v>
      </c>
      <c r="B36" s="50" t="s">
        <v>173</v>
      </c>
      <c r="C36" s="90" t="s">
        <v>116</v>
      </c>
      <c r="D36" s="69" t="s">
        <v>137</v>
      </c>
      <c r="E36" s="50" t="s">
        <v>159</v>
      </c>
      <c r="F36" s="315" t="s">
        <v>67</v>
      </c>
      <c r="G36" s="315"/>
      <c r="H36" s="316"/>
      <c r="I36" s="48" t="s">
        <v>87</v>
      </c>
    </row>
    <row r="38" spans="1:9" x14ac:dyDescent="0.25">
      <c r="F38" s="305" t="s">
        <v>171</v>
      </c>
      <c r="G38" s="323"/>
      <c r="H38" s="324"/>
    </row>
    <row r="39" spans="1:9" x14ac:dyDescent="0.25">
      <c r="F39" s="305" t="s">
        <v>154</v>
      </c>
      <c r="G39" s="305"/>
      <c r="H39" s="306"/>
      <c r="I39" s="48" t="s">
        <v>153</v>
      </c>
    </row>
    <row r="40" spans="1:9" x14ac:dyDescent="0.25">
      <c r="F40" s="305" t="s">
        <v>159</v>
      </c>
      <c r="G40" s="305"/>
      <c r="H40" s="306"/>
      <c r="I40" s="48" t="s">
        <v>68</v>
      </c>
    </row>
    <row r="41" spans="1:9" x14ac:dyDescent="0.25">
      <c r="F41" s="307" t="s">
        <v>80</v>
      </c>
      <c r="G41" s="307"/>
      <c r="H41" s="308"/>
      <c r="I41" s="36" t="s">
        <v>90</v>
      </c>
    </row>
    <row r="42" spans="1:9" ht="15.75" thickBot="1" x14ac:dyDescent="0.3">
      <c r="F42" s="315" t="s">
        <v>172</v>
      </c>
      <c r="G42" s="315"/>
      <c r="H42" s="316"/>
      <c r="I42" s="48" t="s">
        <v>84</v>
      </c>
    </row>
  </sheetData>
  <mergeCells count="35">
    <mergeCell ref="F9:H9"/>
    <mergeCell ref="F8:H8"/>
    <mergeCell ref="F2:H2"/>
    <mergeCell ref="F3:H3"/>
    <mergeCell ref="F4:H4"/>
    <mergeCell ref="F5:H5"/>
    <mergeCell ref="F6:H6"/>
    <mergeCell ref="F22:H22"/>
    <mergeCell ref="F10:H10"/>
    <mergeCell ref="F11:H11"/>
    <mergeCell ref="F12:H12"/>
    <mergeCell ref="F14:H14"/>
    <mergeCell ref="F15:H15"/>
    <mergeCell ref="F16:H16"/>
    <mergeCell ref="F17:H17"/>
    <mergeCell ref="F18:H18"/>
    <mergeCell ref="F20:H20"/>
    <mergeCell ref="F21:H21"/>
    <mergeCell ref="F23:H23"/>
    <mergeCell ref="F24:H24"/>
    <mergeCell ref="F26:H26"/>
    <mergeCell ref="F27:H27"/>
    <mergeCell ref="F28:H28"/>
    <mergeCell ref="F35:H35"/>
    <mergeCell ref="F36:H36"/>
    <mergeCell ref="F29:H29"/>
    <mergeCell ref="F30:H30"/>
    <mergeCell ref="F32:H32"/>
    <mergeCell ref="F33:H33"/>
    <mergeCell ref="F34:H34"/>
    <mergeCell ref="F38:H38"/>
    <mergeCell ref="F39:H39"/>
    <mergeCell ref="F40:H40"/>
    <mergeCell ref="F41:H41"/>
    <mergeCell ref="F42:H42"/>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05B1F-3720-4C66-BEEC-A65D553090A2}">
  <dimension ref="A1:H32"/>
  <sheetViews>
    <sheetView rightToLeft="1" topLeftCell="A16" zoomScale="145" zoomScaleNormal="145" workbookViewId="0">
      <selection activeCell="D35" sqref="D35"/>
    </sheetView>
  </sheetViews>
  <sheetFormatPr defaultRowHeight="15" x14ac:dyDescent="0.25"/>
  <cols>
    <col min="1" max="1" width="11.42578125" customWidth="1"/>
    <col min="2" max="2" width="10.28515625" bestFit="1" customWidth="1"/>
    <col min="3" max="3" width="11.85546875" bestFit="1" customWidth="1"/>
    <col min="4" max="4" width="10.28515625" bestFit="1" customWidth="1"/>
    <col min="5" max="5" width="11.42578125" customWidth="1"/>
  </cols>
  <sheetData>
    <row r="1" spans="1:8" x14ac:dyDescent="0.25">
      <c r="A1" s="4"/>
      <c r="B1" s="5"/>
      <c r="C1" s="5"/>
      <c r="D1" s="5"/>
      <c r="E1" s="5"/>
      <c r="F1" s="5">
        <v>1</v>
      </c>
      <c r="G1" s="5">
        <f>F1+1</f>
        <v>2</v>
      </c>
      <c r="H1" s="6">
        <f t="shared" ref="H1" si="0">G1+1</f>
        <v>3</v>
      </c>
    </row>
    <row r="2" spans="1:8" x14ac:dyDescent="0.25">
      <c r="A2" s="7" t="s">
        <v>24</v>
      </c>
      <c r="B2" s="29"/>
      <c r="C2" s="29"/>
      <c r="D2" s="29"/>
      <c r="E2" s="8"/>
      <c r="F2" s="323">
        <v>2</v>
      </c>
      <c r="G2" s="323"/>
      <c r="H2" s="324"/>
    </row>
    <row r="3" spans="1:8" x14ac:dyDescent="0.25">
      <c r="A3" s="7" t="s">
        <v>21</v>
      </c>
      <c r="B3" s="30"/>
      <c r="C3" s="30"/>
      <c r="D3" s="9"/>
      <c r="E3" s="9"/>
      <c r="F3" s="305" t="s">
        <v>74</v>
      </c>
      <c r="G3" s="323"/>
      <c r="H3" s="324"/>
    </row>
    <row r="4" spans="1:8" x14ac:dyDescent="0.25">
      <c r="A4" s="7" t="s">
        <v>22</v>
      </c>
      <c r="B4" s="30"/>
      <c r="C4" s="8"/>
      <c r="D4" s="8"/>
      <c r="E4" s="29"/>
      <c r="F4" s="307" t="s">
        <v>117</v>
      </c>
      <c r="G4" s="307"/>
      <c r="H4" s="308"/>
    </row>
    <row r="5" spans="1:8" x14ac:dyDescent="0.25">
      <c r="A5" s="7" t="s">
        <v>23</v>
      </c>
      <c r="B5" s="8"/>
      <c r="C5" s="30"/>
      <c r="D5" s="29"/>
      <c r="E5" s="8"/>
      <c r="F5" s="307" t="s">
        <v>82</v>
      </c>
      <c r="G5" s="327"/>
      <c r="H5" s="328"/>
    </row>
    <row r="6" spans="1:8" ht="15.75" thickBot="1" x14ac:dyDescent="0.3">
      <c r="A6" s="11" t="s">
        <v>101</v>
      </c>
      <c r="B6" s="31"/>
      <c r="C6" s="31"/>
      <c r="D6" s="31"/>
      <c r="E6" s="10"/>
      <c r="F6" s="315" t="s">
        <v>102</v>
      </c>
      <c r="G6" s="325"/>
      <c r="H6" s="326"/>
    </row>
    <row r="7" spans="1:8" x14ac:dyDescent="0.25">
      <c r="A7" s="4"/>
      <c r="B7" s="5">
        <v>4</v>
      </c>
      <c r="C7" s="5">
        <f>B7+1</f>
        <v>5</v>
      </c>
      <c r="D7" s="5">
        <f t="shared" ref="D7:G7" si="1">C7+1</f>
        <v>6</v>
      </c>
      <c r="E7" s="5">
        <f t="shared" si="1"/>
        <v>7</v>
      </c>
      <c r="F7" s="5">
        <f t="shared" si="1"/>
        <v>8</v>
      </c>
      <c r="G7" s="5">
        <f t="shared" si="1"/>
        <v>9</v>
      </c>
      <c r="H7" s="6">
        <f>G7+1</f>
        <v>10</v>
      </c>
    </row>
    <row r="8" spans="1:8" x14ac:dyDescent="0.25">
      <c r="A8" s="7" t="s">
        <v>24</v>
      </c>
      <c r="B8" s="29">
        <v>2</v>
      </c>
      <c r="C8" s="29">
        <v>2</v>
      </c>
      <c r="D8" s="29">
        <v>3</v>
      </c>
      <c r="E8" s="8">
        <v>3</v>
      </c>
      <c r="F8" s="323">
        <v>3</v>
      </c>
      <c r="G8" s="323"/>
      <c r="H8" s="324"/>
    </row>
    <row r="9" spans="1:8" x14ac:dyDescent="0.25">
      <c r="A9" s="7" t="s">
        <v>21</v>
      </c>
      <c r="B9" s="54" t="s">
        <v>87</v>
      </c>
      <c r="C9" s="52" t="s">
        <v>84</v>
      </c>
      <c r="D9" s="26" t="s">
        <v>83</v>
      </c>
      <c r="E9" s="26" t="s">
        <v>90</v>
      </c>
      <c r="F9" s="305" t="s">
        <v>64</v>
      </c>
      <c r="G9" s="323"/>
      <c r="H9" s="324"/>
    </row>
    <row r="10" spans="1:8" x14ac:dyDescent="0.25">
      <c r="A10" s="7" t="s">
        <v>22</v>
      </c>
      <c r="B10" s="26" t="s">
        <v>89</v>
      </c>
      <c r="C10" s="26" t="s">
        <v>76</v>
      </c>
      <c r="D10" s="54" t="s">
        <v>82</v>
      </c>
      <c r="E10" s="53" t="s">
        <v>157</v>
      </c>
      <c r="F10" s="305" t="s">
        <v>139</v>
      </c>
      <c r="G10" s="323"/>
      <c r="H10" s="324"/>
    </row>
    <row r="11" spans="1:8" x14ac:dyDescent="0.25">
      <c r="A11" s="7" t="s">
        <v>23</v>
      </c>
      <c r="B11" s="52" t="s">
        <v>78</v>
      </c>
      <c r="C11" s="52" t="s">
        <v>67</v>
      </c>
      <c r="D11" s="53" t="s">
        <v>138</v>
      </c>
      <c r="E11" s="52" t="s">
        <v>78</v>
      </c>
      <c r="F11" s="307" t="s">
        <v>103</v>
      </c>
      <c r="G11" s="327"/>
      <c r="H11" s="328"/>
    </row>
    <row r="12" spans="1:8" ht="15.75" thickBot="1" x14ac:dyDescent="0.3">
      <c r="A12" s="7" t="s">
        <v>101</v>
      </c>
      <c r="B12" s="53" t="s">
        <v>116</v>
      </c>
      <c r="C12" s="53" t="s">
        <v>137</v>
      </c>
      <c r="D12" s="37" t="s">
        <v>80</v>
      </c>
      <c r="E12" s="26" t="s">
        <v>87</v>
      </c>
      <c r="F12" s="305" t="s">
        <v>75</v>
      </c>
      <c r="G12" s="323"/>
      <c r="H12" s="324"/>
    </row>
    <row r="13" spans="1:8" x14ac:dyDescent="0.25">
      <c r="A13" s="4"/>
      <c r="B13" s="5">
        <f>B7+7</f>
        <v>11</v>
      </c>
      <c r="C13" s="5">
        <f>B13+1</f>
        <v>12</v>
      </c>
      <c r="D13" s="5">
        <f t="shared" ref="D13:H13" si="2">C13+1</f>
        <v>13</v>
      </c>
      <c r="E13" s="5">
        <f t="shared" si="2"/>
        <v>14</v>
      </c>
      <c r="F13" s="5">
        <f t="shared" si="2"/>
        <v>15</v>
      </c>
      <c r="G13" s="5">
        <f t="shared" si="2"/>
        <v>16</v>
      </c>
      <c r="H13" s="6">
        <f t="shared" si="2"/>
        <v>17</v>
      </c>
    </row>
    <row r="14" spans="1:8" x14ac:dyDescent="0.25">
      <c r="A14" s="7" t="s">
        <v>24</v>
      </c>
      <c r="B14" s="29">
        <v>2</v>
      </c>
      <c r="C14" s="29">
        <v>2</v>
      </c>
      <c r="D14" s="29">
        <v>3</v>
      </c>
      <c r="E14" s="8">
        <v>3</v>
      </c>
      <c r="F14" s="323">
        <v>2</v>
      </c>
      <c r="G14" s="323"/>
      <c r="H14" s="324"/>
    </row>
    <row r="15" spans="1:8" x14ac:dyDescent="0.25">
      <c r="A15" s="7" t="s">
        <v>21</v>
      </c>
      <c r="B15" s="26" t="s">
        <v>87</v>
      </c>
      <c r="C15" s="53" t="s">
        <v>68</v>
      </c>
      <c r="D15" s="54" t="s">
        <v>66</v>
      </c>
      <c r="E15" s="26" t="s">
        <v>76</v>
      </c>
      <c r="F15" s="307" t="s">
        <v>104</v>
      </c>
      <c r="G15" s="327"/>
      <c r="H15" s="328"/>
    </row>
    <row r="16" spans="1:8" x14ac:dyDescent="0.25">
      <c r="A16" s="7" t="s">
        <v>22</v>
      </c>
      <c r="B16" s="52" t="s">
        <v>117</v>
      </c>
      <c r="C16" s="54" t="s">
        <v>89</v>
      </c>
      <c r="D16" s="26" t="s">
        <v>113</v>
      </c>
      <c r="E16" s="52" t="s">
        <v>117</v>
      </c>
      <c r="F16" s="305" t="s">
        <v>90</v>
      </c>
      <c r="G16" s="323"/>
      <c r="H16" s="324"/>
    </row>
    <row r="17" spans="1:8" x14ac:dyDescent="0.25">
      <c r="A17" s="7" t="s">
        <v>23</v>
      </c>
      <c r="B17" s="54" t="s">
        <v>73</v>
      </c>
      <c r="C17" s="52" t="s">
        <v>78</v>
      </c>
      <c r="D17" s="53" t="s">
        <v>67</v>
      </c>
      <c r="E17" s="53" t="s">
        <v>81</v>
      </c>
      <c r="F17" s="307" t="s">
        <v>80</v>
      </c>
      <c r="G17" s="327"/>
      <c r="H17" s="328"/>
    </row>
    <row r="18" spans="1:8" ht="15.75" thickBot="1" x14ac:dyDescent="0.3">
      <c r="A18" s="7" t="s">
        <v>101</v>
      </c>
      <c r="B18" s="53" t="s">
        <v>102</v>
      </c>
      <c r="C18" s="53" t="s">
        <v>138</v>
      </c>
      <c r="D18" s="37" t="s">
        <v>137</v>
      </c>
      <c r="E18" s="53" t="s">
        <v>84</v>
      </c>
      <c r="F18" s="305" t="s">
        <v>152</v>
      </c>
      <c r="G18" s="323"/>
      <c r="H18" s="324"/>
    </row>
    <row r="19" spans="1:8" x14ac:dyDescent="0.25">
      <c r="A19" s="4"/>
      <c r="B19" s="5">
        <f>B13+7</f>
        <v>18</v>
      </c>
      <c r="C19" s="5">
        <f>B19+1</f>
        <v>19</v>
      </c>
      <c r="D19" s="5">
        <f t="shared" ref="D19:H19" si="3">C19+1</f>
        <v>20</v>
      </c>
      <c r="E19" s="5">
        <f t="shared" si="3"/>
        <v>21</v>
      </c>
      <c r="F19" s="5">
        <f t="shared" si="3"/>
        <v>22</v>
      </c>
      <c r="G19" s="5">
        <f>F19+1</f>
        <v>23</v>
      </c>
      <c r="H19" s="6">
        <f t="shared" si="3"/>
        <v>24</v>
      </c>
    </row>
    <row r="20" spans="1:8" x14ac:dyDescent="0.25">
      <c r="A20" s="7" t="s">
        <v>24</v>
      </c>
      <c r="B20" s="29">
        <v>2</v>
      </c>
      <c r="C20" s="29">
        <v>2</v>
      </c>
      <c r="D20" s="29">
        <v>3</v>
      </c>
      <c r="E20" s="8">
        <v>3</v>
      </c>
      <c r="F20" s="323">
        <v>3</v>
      </c>
      <c r="G20" s="323"/>
      <c r="H20" s="324"/>
    </row>
    <row r="21" spans="1:8" x14ac:dyDescent="0.25">
      <c r="A21" s="7" t="s">
        <v>21</v>
      </c>
      <c r="B21" s="54" t="s">
        <v>82</v>
      </c>
      <c r="C21" s="54" t="s">
        <v>73</v>
      </c>
      <c r="D21" s="54" t="s">
        <v>76</v>
      </c>
      <c r="E21" s="54" t="s">
        <v>84</v>
      </c>
      <c r="F21" s="305" t="s">
        <v>93</v>
      </c>
      <c r="G21" s="323"/>
      <c r="H21" s="324"/>
    </row>
    <row r="22" spans="1:8" x14ac:dyDescent="0.25">
      <c r="A22" s="7" t="s">
        <v>22</v>
      </c>
      <c r="B22" s="52" t="s">
        <v>64</v>
      </c>
      <c r="C22" s="53" t="s">
        <v>117</v>
      </c>
      <c r="D22" s="26" t="s">
        <v>67</v>
      </c>
      <c r="E22" s="53" t="s">
        <v>64</v>
      </c>
      <c r="F22" s="307" t="s">
        <v>157</v>
      </c>
      <c r="G22" s="307"/>
      <c r="H22" s="308"/>
    </row>
    <row r="23" spans="1:8" x14ac:dyDescent="0.25">
      <c r="A23" s="7" t="s">
        <v>23</v>
      </c>
      <c r="B23" s="26" t="s">
        <v>74</v>
      </c>
      <c r="C23" s="54" t="s">
        <v>103</v>
      </c>
      <c r="D23" s="26" t="s">
        <v>87</v>
      </c>
      <c r="E23" s="54" t="s">
        <v>81</v>
      </c>
      <c r="F23" s="307" t="s">
        <v>74</v>
      </c>
      <c r="G23" s="327"/>
      <c r="H23" s="328"/>
    </row>
    <row r="24" spans="1:8" x14ac:dyDescent="0.25">
      <c r="A24" s="38" t="s">
        <v>61</v>
      </c>
      <c r="B24" s="53" t="s">
        <v>116</v>
      </c>
      <c r="C24" s="53" t="s">
        <v>102</v>
      </c>
      <c r="D24" s="53" t="s">
        <v>158</v>
      </c>
      <c r="E24" s="26" t="s">
        <v>159</v>
      </c>
      <c r="F24" s="305" t="s">
        <v>153</v>
      </c>
      <c r="G24" s="305"/>
      <c r="H24" s="306"/>
    </row>
    <row r="25" spans="1:8" ht="15.75" thickBot="1" x14ac:dyDescent="0.3">
      <c r="A25" s="38" t="s">
        <v>60</v>
      </c>
      <c r="B25" s="55" t="s">
        <v>62</v>
      </c>
      <c r="C25" s="55" t="s">
        <v>62</v>
      </c>
      <c r="D25" s="55" t="s">
        <v>62</v>
      </c>
      <c r="E25" s="55" t="s">
        <v>137</v>
      </c>
      <c r="F25" s="315" t="s">
        <v>155</v>
      </c>
      <c r="G25" s="325"/>
      <c r="H25" s="326"/>
    </row>
    <row r="26" spans="1:8" x14ac:dyDescent="0.25">
      <c r="A26" s="4"/>
      <c r="B26" s="5">
        <f>B19+7</f>
        <v>25</v>
      </c>
      <c r="C26" s="5">
        <f>B26+1</f>
        <v>26</v>
      </c>
      <c r="D26" s="5">
        <f t="shared" ref="D26:E26" si="4">C26+1</f>
        <v>27</v>
      </c>
      <c r="E26" s="5">
        <f t="shared" si="4"/>
        <v>28</v>
      </c>
      <c r="F26" s="5">
        <v>1</v>
      </c>
      <c r="G26" s="5">
        <f>F26+1</f>
        <v>2</v>
      </c>
      <c r="H26" s="6">
        <f t="shared" ref="H26" si="5">G26+1</f>
        <v>3</v>
      </c>
    </row>
    <row r="27" spans="1:8" x14ac:dyDescent="0.25">
      <c r="A27" s="7" t="s">
        <v>24</v>
      </c>
      <c r="B27" s="29">
        <v>2</v>
      </c>
      <c r="C27" s="29">
        <v>2</v>
      </c>
      <c r="D27" s="29">
        <v>3</v>
      </c>
      <c r="E27" s="8">
        <v>3</v>
      </c>
      <c r="F27" s="323">
        <v>2</v>
      </c>
      <c r="G27" s="323"/>
      <c r="H27" s="324"/>
    </row>
    <row r="28" spans="1:8" x14ac:dyDescent="0.25">
      <c r="A28" s="7" t="s">
        <v>21</v>
      </c>
      <c r="B28" s="52" t="s">
        <v>139</v>
      </c>
      <c r="C28" s="52" t="s">
        <v>113</v>
      </c>
      <c r="D28" s="53" t="s">
        <v>83</v>
      </c>
      <c r="E28" s="54" t="s">
        <v>93</v>
      </c>
      <c r="F28" s="307" t="s">
        <v>66</v>
      </c>
      <c r="G28" s="307"/>
      <c r="H28" s="308"/>
    </row>
    <row r="29" spans="1:8" x14ac:dyDescent="0.25">
      <c r="A29" s="7" t="s">
        <v>22</v>
      </c>
      <c r="B29" s="53" t="s">
        <v>117</v>
      </c>
      <c r="C29" s="26" t="s">
        <v>74</v>
      </c>
      <c r="D29" s="26" t="s">
        <v>89</v>
      </c>
      <c r="E29" s="52" t="s">
        <v>75</v>
      </c>
      <c r="F29" s="307" t="s">
        <v>73</v>
      </c>
      <c r="G29" s="307"/>
      <c r="H29" s="308"/>
    </row>
    <row r="30" spans="1:8" x14ac:dyDescent="0.25">
      <c r="A30" s="7" t="s">
        <v>23</v>
      </c>
      <c r="B30" s="54" t="s">
        <v>138</v>
      </c>
      <c r="C30" s="54" t="s">
        <v>103</v>
      </c>
      <c r="D30" s="52" t="s">
        <v>87</v>
      </c>
      <c r="E30" s="26" t="s">
        <v>90</v>
      </c>
      <c r="F30" s="307" t="s">
        <v>68</v>
      </c>
      <c r="G30" s="327"/>
      <c r="H30" s="328"/>
    </row>
    <row r="31" spans="1:8" x14ac:dyDescent="0.25">
      <c r="A31" s="57" t="s">
        <v>61</v>
      </c>
      <c r="B31" s="58" t="s">
        <v>158</v>
      </c>
      <c r="C31" s="37" t="s">
        <v>116</v>
      </c>
      <c r="D31" s="37" t="s">
        <v>152</v>
      </c>
      <c r="E31" s="58" t="s">
        <v>159</v>
      </c>
      <c r="F31" s="305" t="s">
        <v>154</v>
      </c>
      <c r="G31" s="305"/>
      <c r="H31" s="306"/>
    </row>
    <row r="32" spans="1:8" ht="15.75" thickBot="1" x14ac:dyDescent="0.3">
      <c r="A32" s="56" t="s">
        <v>60</v>
      </c>
      <c r="B32" s="55" t="s">
        <v>62</v>
      </c>
      <c r="C32" s="55" t="s">
        <v>62</v>
      </c>
      <c r="D32" s="55" t="s">
        <v>62</v>
      </c>
      <c r="E32" s="55" t="s">
        <v>102</v>
      </c>
      <c r="F32" s="315" t="s">
        <v>156</v>
      </c>
      <c r="G32" s="325"/>
      <c r="H32" s="326"/>
    </row>
  </sheetData>
  <mergeCells count="27">
    <mergeCell ref="F15:H15"/>
    <mergeCell ref="F16:H16"/>
    <mergeCell ref="F17:H17"/>
    <mergeCell ref="F9:H9"/>
    <mergeCell ref="F10:H10"/>
    <mergeCell ref="F11:H11"/>
    <mergeCell ref="F12:H12"/>
    <mergeCell ref="F14:H14"/>
    <mergeCell ref="F8:H8"/>
    <mergeCell ref="F2:H2"/>
    <mergeCell ref="F3:H3"/>
    <mergeCell ref="F4:H4"/>
    <mergeCell ref="F5:H5"/>
    <mergeCell ref="F6:H6"/>
    <mergeCell ref="F18:H18"/>
    <mergeCell ref="F20:H20"/>
    <mergeCell ref="F21:H21"/>
    <mergeCell ref="F32:H32"/>
    <mergeCell ref="F24:H24"/>
    <mergeCell ref="F25:H25"/>
    <mergeCell ref="F27:H27"/>
    <mergeCell ref="F28:H28"/>
    <mergeCell ref="F29:H29"/>
    <mergeCell ref="F30:H30"/>
    <mergeCell ref="F31:H31"/>
    <mergeCell ref="F23:H23"/>
    <mergeCell ref="F22:H22"/>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6FC1-CA2A-4BA4-A79A-B6D57617074B}">
  <dimension ref="A1:I30"/>
  <sheetViews>
    <sheetView rightToLeft="1" zoomScale="115" zoomScaleNormal="115" workbookViewId="0">
      <selection activeCell="N16" sqref="N16"/>
    </sheetView>
  </sheetViews>
  <sheetFormatPr defaultRowHeight="15" x14ac:dyDescent="0.25"/>
  <cols>
    <col min="1" max="1" width="9.5703125" bestFit="1" customWidth="1"/>
    <col min="2" max="2" width="11.85546875" bestFit="1" customWidth="1"/>
    <col min="3" max="3" width="11" bestFit="1" customWidth="1"/>
    <col min="4" max="4" width="10.85546875" bestFit="1" customWidth="1"/>
    <col min="5" max="5" width="11.85546875" bestFit="1" customWidth="1"/>
  </cols>
  <sheetData>
    <row r="1" spans="1:8" x14ac:dyDescent="0.25">
      <c r="A1" s="4"/>
      <c r="B1" s="5">
        <v>31</v>
      </c>
      <c r="C1" s="5">
        <v>1</v>
      </c>
      <c r="D1" s="5">
        <f t="shared" ref="D1:H1" si="0">C1+1</f>
        <v>2</v>
      </c>
      <c r="E1" s="5">
        <f t="shared" si="0"/>
        <v>3</v>
      </c>
      <c r="F1" s="5">
        <f t="shared" si="0"/>
        <v>4</v>
      </c>
      <c r="G1" s="5">
        <f t="shared" si="0"/>
        <v>5</v>
      </c>
      <c r="H1" s="6">
        <f t="shared" si="0"/>
        <v>6</v>
      </c>
    </row>
    <row r="2" spans="1:8" x14ac:dyDescent="0.25">
      <c r="A2" s="7" t="s">
        <v>24</v>
      </c>
      <c r="B2" s="29">
        <v>2</v>
      </c>
      <c r="C2" s="29">
        <v>2</v>
      </c>
      <c r="D2" s="29">
        <v>3</v>
      </c>
      <c r="E2" s="8">
        <v>3</v>
      </c>
      <c r="F2" s="323">
        <v>2</v>
      </c>
      <c r="G2" s="323"/>
      <c r="H2" s="324"/>
    </row>
    <row r="3" spans="1:8" x14ac:dyDescent="0.25">
      <c r="A3" s="7" t="s">
        <v>21</v>
      </c>
      <c r="B3" s="30"/>
      <c r="C3" s="30"/>
      <c r="D3" s="9"/>
      <c r="E3" s="9"/>
      <c r="F3" s="307" t="s">
        <v>77</v>
      </c>
      <c r="G3" s="327"/>
      <c r="H3" s="328"/>
    </row>
    <row r="4" spans="1:8" x14ac:dyDescent="0.25">
      <c r="A4" s="7" t="s">
        <v>22</v>
      </c>
      <c r="B4" s="30"/>
      <c r="C4" s="8"/>
      <c r="D4" s="8"/>
      <c r="E4" s="29"/>
      <c r="F4" s="307" t="s">
        <v>103</v>
      </c>
      <c r="G4" s="327"/>
      <c r="H4" s="328"/>
    </row>
    <row r="5" spans="1:8" x14ac:dyDescent="0.25">
      <c r="A5" s="7" t="s">
        <v>23</v>
      </c>
      <c r="B5" s="8"/>
      <c r="C5" s="30"/>
      <c r="D5" s="29"/>
      <c r="E5" s="8"/>
      <c r="F5" s="305" t="s">
        <v>65</v>
      </c>
      <c r="G5" s="323"/>
      <c r="H5" s="324"/>
    </row>
    <row r="6" spans="1:8" ht="15.75" thickBot="1" x14ac:dyDescent="0.3">
      <c r="A6" s="7" t="s">
        <v>101</v>
      </c>
      <c r="B6" s="29"/>
      <c r="C6" s="29"/>
      <c r="D6" s="37" t="s">
        <v>138</v>
      </c>
      <c r="E6" s="8"/>
      <c r="F6" s="305" t="s">
        <v>89</v>
      </c>
      <c r="G6" s="323"/>
      <c r="H6" s="324"/>
    </row>
    <row r="7" spans="1:8" x14ac:dyDescent="0.25">
      <c r="A7" s="4"/>
      <c r="B7" s="5">
        <v>7</v>
      </c>
      <c r="C7" s="5">
        <f>B7+1</f>
        <v>8</v>
      </c>
      <c r="D7" s="5">
        <f t="shared" ref="D7:G7" si="1">C7+1</f>
        <v>9</v>
      </c>
      <c r="E7" s="5">
        <f t="shared" si="1"/>
        <v>10</v>
      </c>
      <c r="F7" s="5">
        <f t="shared" si="1"/>
        <v>11</v>
      </c>
      <c r="G7" s="5">
        <f t="shared" si="1"/>
        <v>12</v>
      </c>
      <c r="H7" s="6">
        <f>G7+1</f>
        <v>13</v>
      </c>
    </row>
    <row r="8" spans="1:8" x14ac:dyDescent="0.25">
      <c r="A8" s="7" t="s">
        <v>24</v>
      </c>
      <c r="B8" s="29">
        <v>2</v>
      </c>
      <c r="C8" s="29">
        <v>2</v>
      </c>
      <c r="D8" s="29">
        <v>3</v>
      </c>
      <c r="E8" s="8">
        <v>3</v>
      </c>
      <c r="F8" s="323">
        <v>3</v>
      </c>
      <c r="G8" s="323"/>
      <c r="H8" s="324"/>
    </row>
    <row r="9" spans="1:8" x14ac:dyDescent="0.25">
      <c r="A9" s="7" t="s">
        <v>21</v>
      </c>
      <c r="B9" s="45" t="s">
        <v>72</v>
      </c>
      <c r="C9" s="45" t="s">
        <v>117</v>
      </c>
      <c r="D9" s="26" t="s">
        <v>68</v>
      </c>
      <c r="E9" s="46" t="s">
        <v>85</v>
      </c>
      <c r="F9" s="305" t="s">
        <v>84</v>
      </c>
      <c r="G9" s="305"/>
      <c r="H9" s="306"/>
    </row>
    <row r="10" spans="1:8" x14ac:dyDescent="0.25">
      <c r="A10" s="7" t="s">
        <v>22</v>
      </c>
      <c r="B10" s="46" t="s">
        <v>85</v>
      </c>
      <c r="C10" s="45" t="s">
        <v>67</v>
      </c>
      <c r="D10" s="46" t="s">
        <v>83</v>
      </c>
      <c r="E10" s="45" t="s">
        <v>88</v>
      </c>
      <c r="F10" s="307" t="s">
        <v>72</v>
      </c>
      <c r="G10" s="307"/>
      <c r="H10" s="308"/>
    </row>
    <row r="11" spans="1:8" x14ac:dyDescent="0.25">
      <c r="A11" s="7" t="s">
        <v>23</v>
      </c>
      <c r="B11" s="27" t="s">
        <v>88</v>
      </c>
      <c r="C11" s="46" t="s">
        <v>93</v>
      </c>
      <c r="D11" s="47" t="s">
        <v>66</v>
      </c>
      <c r="E11" s="46" t="s">
        <v>93</v>
      </c>
      <c r="F11" s="305" t="s">
        <v>90</v>
      </c>
      <c r="G11" s="305"/>
      <c r="H11" s="306"/>
    </row>
    <row r="12" spans="1:8" ht="15.75" thickBot="1" x14ac:dyDescent="0.3">
      <c r="A12" s="7" t="s">
        <v>101</v>
      </c>
      <c r="B12" s="49" t="s">
        <v>116</v>
      </c>
      <c r="C12" s="40" t="s">
        <v>113</v>
      </c>
      <c r="D12" s="37" t="s">
        <v>139</v>
      </c>
      <c r="E12" s="26" t="s">
        <v>138</v>
      </c>
      <c r="F12" s="305" t="s">
        <v>81</v>
      </c>
      <c r="G12" s="323"/>
      <c r="H12" s="324"/>
    </row>
    <row r="13" spans="1:8" x14ac:dyDescent="0.25">
      <c r="A13" s="4"/>
      <c r="B13" s="5">
        <f>B7+7</f>
        <v>14</v>
      </c>
      <c r="C13" s="5">
        <f>B13+1</f>
        <v>15</v>
      </c>
      <c r="D13" s="5">
        <f t="shared" ref="D13:H13" si="2">C13+1</f>
        <v>16</v>
      </c>
      <c r="E13" s="5">
        <f t="shared" si="2"/>
        <v>17</v>
      </c>
      <c r="F13" s="5">
        <f t="shared" si="2"/>
        <v>18</v>
      </c>
      <c r="G13" s="5">
        <f t="shared" si="2"/>
        <v>19</v>
      </c>
      <c r="H13" s="6">
        <f t="shared" si="2"/>
        <v>20</v>
      </c>
    </row>
    <row r="14" spans="1:8" x14ac:dyDescent="0.25">
      <c r="A14" s="7" t="s">
        <v>24</v>
      </c>
      <c r="B14" s="29">
        <v>2</v>
      </c>
      <c r="C14" s="29">
        <v>2</v>
      </c>
      <c r="D14" s="29">
        <v>3</v>
      </c>
      <c r="E14" s="8">
        <v>3</v>
      </c>
      <c r="F14" s="323">
        <v>2</v>
      </c>
      <c r="G14" s="323"/>
      <c r="H14" s="324"/>
    </row>
    <row r="15" spans="1:8" x14ac:dyDescent="0.25">
      <c r="A15" s="7" t="s">
        <v>21</v>
      </c>
      <c r="B15" s="45" t="s">
        <v>79</v>
      </c>
      <c r="C15" s="46" t="s">
        <v>74</v>
      </c>
      <c r="D15" s="26" t="s">
        <v>89</v>
      </c>
      <c r="E15" s="45" t="s">
        <v>79</v>
      </c>
      <c r="F15" s="307" t="s">
        <v>66</v>
      </c>
      <c r="G15" s="327"/>
      <c r="H15" s="328"/>
    </row>
    <row r="16" spans="1:8" x14ac:dyDescent="0.25">
      <c r="A16" s="7" t="s">
        <v>22</v>
      </c>
      <c r="B16" s="46" t="s">
        <v>140</v>
      </c>
      <c r="C16" s="47" t="s">
        <v>73</v>
      </c>
      <c r="D16" s="45" t="s">
        <v>72</v>
      </c>
      <c r="E16" s="46" t="s">
        <v>80</v>
      </c>
      <c r="F16" s="305" t="s">
        <v>64</v>
      </c>
      <c r="G16" s="305"/>
      <c r="H16" s="306"/>
    </row>
    <row r="17" spans="1:9" x14ac:dyDescent="0.25">
      <c r="A17" s="7" t="s">
        <v>23</v>
      </c>
      <c r="B17" s="45" t="s">
        <v>83</v>
      </c>
      <c r="C17" s="27" t="s">
        <v>88</v>
      </c>
      <c r="D17" s="46" t="s">
        <v>83</v>
      </c>
      <c r="E17" s="26" t="s">
        <v>91</v>
      </c>
      <c r="F17" s="309" t="s">
        <v>115</v>
      </c>
      <c r="G17" s="310"/>
      <c r="H17" s="311"/>
    </row>
    <row r="18" spans="1:9" ht="15.75" thickBot="1" x14ac:dyDescent="0.3">
      <c r="A18" s="7" t="s">
        <v>101</v>
      </c>
      <c r="B18" s="46" t="s">
        <v>116</v>
      </c>
      <c r="C18" s="46" t="s">
        <v>113</v>
      </c>
      <c r="D18" s="37" t="s">
        <v>139</v>
      </c>
      <c r="E18" s="26" t="s">
        <v>137</v>
      </c>
      <c r="F18" s="305" t="s">
        <v>138</v>
      </c>
      <c r="G18" s="323"/>
      <c r="H18" s="324"/>
    </row>
    <row r="19" spans="1:9" x14ac:dyDescent="0.25">
      <c r="A19" s="4"/>
      <c r="B19" s="5">
        <f>B13+7</f>
        <v>21</v>
      </c>
      <c r="C19" s="5">
        <f>B19+1</f>
        <v>22</v>
      </c>
      <c r="D19" s="5">
        <f t="shared" ref="D19:H19" si="3">C19+1</f>
        <v>23</v>
      </c>
      <c r="E19" s="5">
        <f t="shared" si="3"/>
        <v>24</v>
      </c>
      <c r="F19" s="5">
        <f t="shared" si="3"/>
        <v>25</v>
      </c>
      <c r="G19" s="5">
        <f>F19+1</f>
        <v>26</v>
      </c>
      <c r="H19" s="6">
        <f t="shared" si="3"/>
        <v>27</v>
      </c>
    </row>
    <row r="20" spans="1:9" x14ac:dyDescent="0.25">
      <c r="A20" s="7" t="s">
        <v>24</v>
      </c>
      <c r="B20" s="29">
        <v>2</v>
      </c>
      <c r="C20" s="29">
        <v>2</v>
      </c>
      <c r="D20" s="29">
        <v>3</v>
      </c>
      <c r="E20" s="8">
        <v>3</v>
      </c>
      <c r="F20" s="323">
        <v>3</v>
      </c>
      <c r="G20" s="323"/>
      <c r="H20" s="324"/>
    </row>
    <row r="21" spans="1:9" x14ac:dyDescent="0.25">
      <c r="A21" s="7" t="s">
        <v>21</v>
      </c>
      <c r="B21" s="47" t="s">
        <v>103</v>
      </c>
      <c r="C21" s="46" t="s">
        <v>140</v>
      </c>
      <c r="D21" s="47" t="s">
        <v>73</v>
      </c>
      <c r="E21" s="26" t="s">
        <v>89</v>
      </c>
      <c r="F21" s="305" t="s">
        <v>76</v>
      </c>
      <c r="G21" s="323"/>
      <c r="H21" s="324"/>
    </row>
    <row r="22" spans="1:9" x14ac:dyDescent="0.25">
      <c r="A22" s="7" t="s">
        <v>22</v>
      </c>
      <c r="B22" s="46" t="s">
        <v>104</v>
      </c>
      <c r="C22" s="47" t="s">
        <v>76</v>
      </c>
      <c r="D22" s="26" t="s">
        <v>91</v>
      </c>
      <c r="E22" s="46" t="s">
        <v>90</v>
      </c>
      <c r="F22" s="307" t="s">
        <v>117</v>
      </c>
      <c r="G22" s="327"/>
      <c r="H22" s="328"/>
    </row>
    <row r="23" spans="1:9" x14ac:dyDescent="0.25">
      <c r="A23" s="7" t="s">
        <v>23</v>
      </c>
      <c r="B23" s="47" t="s">
        <v>79</v>
      </c>
      <c r="C23" s="47" t="s">
        <v>117</v>
      </c>
      <c r="D23" s="46" t="s">
        <v>64</v>
      </c>
      <c r="E23" s="47" t="s">
        <v>103</v>
      </c>
      <c r="F23" s="305" t="s">
        <v>67</v>
      </c>
      <c r="G23" s="305"/>
      <c r="H23" s="306"/>
    </row>
    <row r="24" spans="1:9" ht="15.75" thickBot="1" x14ac:dyDescent="0.3">
      <c r="A24" s="7" t="s">
        <v>101</v>
      </c>
      <c r="B24" s="44" t="s">
        <v>102</v>
      </c>
      <c r="C24" s="46" t="s">
        <v>113</v>
      </c>
      <c r="D24" s="37" t="s">
        <v>139</v>
      </c>
      <c r="E24" s="50" t="s">
        <v>116</v>
      </c>
      <c r="F24" s="315" t="s">
        <v>137</v>
      </c>
      <c r="G24" s="325"/>
      <c r="H24" s="326"/>
    </row>
    <row r="25" spans="1:9" x14ac:dyDescent="0.25">
      <c r="A25" s="4"/>
      <c r="B25" s="5">
        <f>B19+7</f>
        <v>28</v>
      </c>
      <c r="C25" s="5">
        <f>B25+1</f>
        <v>29</v>
      </c>
      <c r="D25" s="5">
        <f t="shared" ref="D25:E25" si="4">C25+1</f>
        <v>30</v>
      </c>
      <c r="E25" s="5">
        <f t="shared" si="4"/>
        <v>31</v>
      </c>
      <c r="F25" s="5">
        <v>1</v>
      </c>
      <c r="G25" s="5">
        <f>F25+1</f>
        <v>2</v>
      </c>
      <c r="H25" s="6">
        <f t="shared" ref="H25" si="5">G25+1</f>
        <v>3</v>
      </c>
    </row>
    <row r="26" spans="1:9" x14ac:dyDescent="0.25">
      <c r="A26" s="7" t="s">
        <v>24</v>
      </c>
      <c r="B26" s="29">
        <v>2</v>
      </c>
      <c r="C26" s="29">
        <v>2</v>
      </c>
      <c r="D26" s="29">
        <v>3</v>
      </c>
      <c r="E26" s="8">
        <v>3</v>
      </c>
      <c r="F26" s="323">
        <v>2</v>
      </c>
      <c r="G26" s="323"/>
      <c r="H26" s="324"/>
    </row>
    <row r="27" spans="1:9" x14ac:dyDescent="0.25">
      <c r="A27" s="7" t="s">
        <v>21</v>
      </c>
      <c r="B27" s="45" t="s">
        <v>68</v>
      </c>
      <c r="C27" s="45" t="s">
        <v>113</v>
      </c>
      <c r="D27" s="26" t="s">
        <v>81</v>
      </c>
      <c r="E27" s="46" t="s">
        <v>80</v>
      </c>
      <c r="F27" s="305" t="s">
        <v>74</v>
      </c>
      <c r="G27" s="323"/>
      <c r="H27" s="324"/>
      <c r="I27" s="48"/>
    </row>
    <row r="28" spans="1:9" x14ac:dyDescent="0.25">
      <c r="A28" s="7" t="s">
        <v>22</v>
      </c>
      <c r="B28" s="46" t="s">
        <v>85</v>
      </c>
      <c r="C28" s="46" t="s">
        <v>90</v>
      </c>
      <c r="D28" s="47" t="s">
        <v>66</v>
      </c>
      <c r="E28" s="45" t="s">
        <v>93</v>
      </c>
      <c r="F28" s="307" t="s">
        <v>73</v>
      </c>
      <c r="G28" s="307"/>
      <c r="H28" s="308"/>
    </row>
    <row r="29" spans="1:9" x14ac:dyDescent="0.25">
      <c r="A29" s="7" t="s">
        <v>23</v>
      </c>
      <c r="B29" s="47" t="s">
        <v>78</v>
      </c>
      <c r="C29" s="47" t="s">
        <v>103</v>
      </c>
      <c r="D29" s="46" t="s">
        <v>104</v>
      </c>
      <c r="E29" s="26" t="s">
        <v>68</v>
      </c>
      <c r="F29" s="307" t="s">
        <v>82</v>
      </c>
      <c r="G29" s="327"/>
      <c r="H29" s="328"/>
    </row>
    <row r="30" spans="1:9" ht="15.75" thickBot="1" x14ac:dyDescent="0.3">
      <c r="A30" s="11" t="s">
        <v>101</v>
      </c>
      <c r="B30" s="44" t="s">
        <v>116</v>
      </c>
      <c r="C30" s="31" t="s">
        <v>140</v>
      </c>
      <c r="D30" s="44" t="s">
        <v>138</v>
      </c>
      <c r="E30" s="50" t="s">
        <v>137</v>
      </c>
      <c r="F30" s="315" t="s">
        <v>102</v>
      </c>
      <c r="G30" s="325"/>
      <c r="H30" s="326"/>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1F6C-2EBB-45FB-84F5-39318244E382}">
  <dimension ref="A1:C7"/>
  <sheetViews>
    <sheetView rightToLeft="1" zoomScale="250" zoomScaleNormal="250" workbookViewId="0">
      <selection activeCell="C3" sqref="C3"/>
    </sheetView>
  </sheetViews>
  <sheetFormatPr defaultRowHeight="15" x14ac:dyDescent="0.25"/>
  <cols>
    <col min="3" max="3" width="40.42578125" bestFit="1" customWidth="1"/>
  </cols>
  <sheetData>
    <row r="1" spans="1:3" x14ac:dyDescent="0.25">
      <c r="A1" s="167" t="s">
        <v>0</v>
      </c>
      <c r="B1" s="167" t="s">
        <v>1</v>
      </c>
      <c r="C1" s="167" t="s">
        <v>246</v>
      </c>
    </row>
    <row r="2" spans="1:3" x14ac:dyDescent="0.25">
      <c r="A2" s="214">
        <v>11</v>
      </c>
      <c r="B2" s="214" t="s">
        <v>244</v>
      </c>
      <c r="C2" s="2" t="s">
        <v>251</v>
      </c>
    </row>
    <row r="3" spans="1:3" x14ac:dyDescent="0.25">
      <c r="A3" s="32">
        <v>11</v>
      </c>
      <c r="B3" s="32" t="s">
        <v>194</v>
      </c>
      <c r="C3" s="2" t="s">
        <v>247</v>
      </c>
    </row>
    <row r="4" spans="1:3" x14ac:dyDescent="0.25">
      <c r="A4" s="32">
        <v>11</v>
      </c>
      <c r="B4" s="32" t="s">
        <v>148</v>
      </c>
      <c r="C4" s="2" t="s">
        <v>248</v>
      </c>
    </row>
    <row r="5" spans="1:3" x14ac:dyDescent="0.25">
      <c r="A5" s="32" t="s">
        <v>71</v>
      </c>
      <c r="B5" s="32" t="s">
        <v>253</v>
      </c>
      <c r="C5" s="2" t="s">
        <v>252</v>
      </c>
    </row>
    <row r="6" spans="1:3" x14ac:dyDescent="0.25">
      <c r="A6" s="214" t="s">
        <v>71</v>
      </c>
      <c r="B6" s="214" t="s">
        <v>205</v>
      </c>
      <c r="C6" s="2" t="s">
        <v>250</v>
      </c>
    </row>
    <row r="7" spans="1:3" x14ac:dyDescent="0.25">
      <c r="A7" s="214" t="s">
        <v>15</v>
      </c>
      <c r="B7" s="214" t="s">
        <v>230</v>
      </c>
      <c r="C7" s="2" t="s">
        <v>249</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88DA3-9AC5-46A7-AD6D-456756F29986}">
  <dimension ref="A1:B42"/>
  <sheetViews>
    <sheetView rightToLeft="1" topLeftCell="A22" zoomScale="145" zoomScaleNormal="145" workbookViewId="0">
      <selection activeCell="D14" sqref="D14"/>
    </sheetView>
  </sheetViews>
  <sheetFormatPr defaultRowHeight="15" x14ac:dyDescent="0.25"/>
  <cols>
    <col min="1" max="1" width="11.5703125" bestFit="1" customWidth="1"/>
    <col min="2" max="2" width="10.5703125" bestFit="1" customWidth="1"/>
  </cols>
  <sheetData>
    <row r="1" spans="1:2" x14ac:dyDescent="0.25">
      <c r="A1" t="s">
        <v>70</v>
      </c>
      <c r="B1" t="s">
        <v>286</v>
      </c>
    </row>
    <row r="2" spans="1:2" x14ac:dyDescent="0.25">
      <c r="A2" t="s">
        <v>64</v>
      </c>
      <c r="B2" t="s">
        <v>6</v>
      </c>
    </row>
    <row r="3" spans="1:2" x14ac:dyDescent="0.25">
      <c r="A3" t="s">
        <v>285</v>
      </c>
      <c r="B3" t="s">
        <v>6</v>
      </c>
    </row>
    <row r="4" spans="1:2" x14ac:dyDescent="0.25">
      <c r="A4" t="s">
        <v>68</v>
      </c>
      <c r="B4" t="s">
        <v>6</v>
      </c>
    </row>
    <row r="5" spans="1:2" x14ac:dyDescent="0.25">
      <c r="A5" t="s">
        <v>190</v>
      </c>
      <c r="B5" t="s">
        <v>6</v>
      </c>
    </row>
    <row r="6" spans="1:2" x14ac:dyDescent="0.25">
      <c r="A6" t="s">
        <v>93</v>
      </c>
      <c r="B6" t="s">
        <v>6</v>
      </c>
    </row>
    <row r="7" spans="1:2" x14ac:dyDescent="0.25">
      <c r="A7" t="s">
        <v>197</v>
      </c>
      <c r="B7" t="s">
        <v>6</v>
      </c>
    </row>
    <row r="8" spans="1:2" x14ac:dyDescent="0.25">
      <c r="A8" t="s">
        <v>172</v>
      </c>
      <c r="B8" t="s">
        <v>6</v>
      </c>
    </row>
    <row r="9" spans="1:2" x14ac:dyDescent="0.25">
      <c r="A9" t="s">
        <v>157</v>
      </c>
      <c r="B9" t="s">
        <v>6</v>
      </c>
    </row>
    <row r="10" spans="1:2" x14ac:dyDescent="0.25">
      <c r="A10" t="s">
        <v>140</v>
      </c>
      <c r="B10" t="s">
        <v>6</v>
      </c>
    </row>
    <row r="11" spans="1:2" x14ac:dyDescent="0.25">
      <c r="A11" t="s">
        <v>217</v>
      </c>
      <c r="B11" t="s">
        <v>6</v>
      </c>
    </row>
    <row r="12" spans="1:2" x14ac:dyDescent="0.25">
      <c r="A12" t="s">
        <v>66</v>
      </c>
      <c r="B12" t="s">
        <v>6</v>
      </c>
    </row>
    <row r="13" spans="1:2" x14ac:dyDescent="0.25">
      <c r="A13" t="s">
        <v>154</v>
      </c>
      <c r="B13" t="s">
        <v>6</v>
      </c>
    </row>
    <row r="14" spans="1:2" x14ac:dyDescent="0.25">
      <c r="A14" t="s">
        <v>67</v>
      </c>
      <c r="B14" t="s">
        <v>6</v>
      </c>
    </row>
    <row r="15" spans="1:2" x14ac:dyDescent="0.25">
      <c r="A15" t="s">
        <v>198</v>
      </c>
      <c r="B15" t="s">
        <v>6</v>
      </c>
    </row>
    <row r="16" spans="1:2" x14ac:dyDescent="0.25">
      <c r="A16" t="s">
        <v>83</v>
      </c>
      <c r="B16" t="s">
        <v>6</v>
      </c>
    </row>
    <row r="17" spans="1:2" x14ac:dyDescent="0.25">
      <c r="A17" t="s">
        <v>117</v>
      </c>
      <c r="B17" t="s">
        <v>6</v>
      </c>
    </row>
    <row r="18" spans="1:2" x14ac:dyDescent="0.25">
      <c r="A18" t="s">
        <v>63</v>
      </c>
      <c r="B18" t="s">
        <v>6</v>
      </c>
    </row>
    <row r="19" spans="1:2" x14ac:dyDescent="0.25">
      <c r="A19" t="s">
        <v>155</v>
      </c>
      <c r="B19" t="s">
        <v>6</v>
      </c>
    </row>
    <row r="20" spans="1:2" x14ac:dyDescent="0.25">
      <c r="A20" t="s">
        <v>200</v>
      </c>
      <c r="B20" t="s">
        <v>6</v>
      </c>
    </row>
    <row r="21" spans="1:2" x14ac:dyDescent="0.25">
      <c r="A21" t="s">
        <v>156</v>
      </c>
      <c r="B21" t="s">
        <v>6</v>
      </c>
    </row>
    <row r="22" spans="1:2" x14ac:dyDescent="0.25">
      <c r="A22" t="s">
        <v>283</v>
      </c>
      <c r="B22" t="s">
        <v>6</v>
      </c>
    </row>
    <row r="23" spans="1:2" x14ac:dyDescent="0.25">
      <c r="A23" t="s">
        <v>158</v>
      </c>
      <c r="B23" t="s">
        <v>6</v>
      </c>
    </row>
    <row r="24" spans="1:2" x14ac:dyDescent="0.25">
      <c r="A24" t="s">
        <v>287</v>
      </c>
      <c r="B24" t="s">
        <v>6</v>
      </c>
    </row>
    <row r="25" spans="1:2" x14ac:dyDescent="0.25">
      <c r="A25" t="s">
        <v>235</v>
      </c>
      <c r="B25" t="s">
        <v>6</v>
      </c>
    </row>
    <row r="26" spans="1:2" x14ac:dyDescent="0.25">
      <c r="A26" t="s">
        <v>116</v>
      </c>
      <c r="B26" t="s">
        <v>6</v>
      </c>
    </row>
    <row r="27" spans="1:2" x14ac:dyDescent="0.25">
      <c r="A27" t="s">
        <v>173</v>
      </c>
      <c r="B27" t="s">
        <v>7</v>
      </c>
    </row>
    <row r="28" spans="1:2" x14ac:dyDescent="0.25">
      <c r="A28" t="s">
        <v>242</v>
      </c>
      <c r="B28" t="s">
        <v>7</v>
      </c>
    </row>
    <row r="29" spans="1:2" x14ac:dyDescent="0.25">
      <c r="A29" t="s">
        <v>74</v>
      </c>
      <c r="B29" t="s">
        <v>7</v>
      </c>
    </row>
    <row r="30" spans="1:2" x14ac:dyDescent="0.25">
      <c r="A30" t="s">
        <v>278</v>
      </c>
      <c r="B30" t="s">
        <v>7</v>
      </c>
    </row>
    <row r="31" spans="1:2" x14ac:dyDescent="0.25">
      <c r="A31" t="s">
        <v>216</v>
      </c>
      <c r="B31" t="s">
        <v>7</v>
      </c>
    </row>
    <row r="32" spans="1:2" x14ac:dyDescent="0.25">
      <c r="A32" t="s">
        <v>137</v>
      </c>
      <c r="B32" t="s">
        <v>7</v>
      </c>
    </row>
    <row r="33" spans="1:2" x14ac:dyDescent="0.25">
      <c r="A33" t="s">
        <v>104</v>
      </c>
      <c r="B33" t="s">
        <v>7</v>
      </c>
    </row>
    <row r="34" spans="1:2" x14ac:dyDescent="0.25">
      <c r="A34" t="s">
        <v>201</v>
      </c>
      <c r="B34" t="s">
        <v>7</v>
      </c>
    </row>
    <row r="35" spans="1:2" x14ac:dyDescent="0.25">
      <c r="A35" t="s">
        <v>277</v>
      </c>
      <c r="B35" t="s">
        <v>7</v>
      </c>
    </row>
    <row r="36" spans="1:2" x14ac:dyDescent="0.25">
      <c r="A36" t="s">
        <v>139</v>
      </c>
      <c r="B36" t="s">
        <v>7</v>
      </c>
    </row>
    <row r="37" spans="1:2" x14ac:dyDescent="0.25">
      <c r="A37" t="s">
        <v>138</v>
      </c>
      <c r="B37" t="s">
        <v>7</v>
      </c>
    </row>
    <row r="38" spans="1:2" x14ac:dyDescent="0.25">
      <c r="A38" t="s">
        <v>215</v>
      </c>
      <c r="B38" t="s">
        <v>7</v>
      </c>
    </row>
    <row r="39" spans="1:2" x14ac:dyDescent="0.25">
      <c r="A39" t="s">
        <v>103</v>
      </c>
      <c r="B39" t="s">
        <v>7</v>
      </c>
    </row>
    <row r="40" spans="1:2" x14ac:dyDescent="0.25">
      <c r="A40" t="s">
        <v>153</v>
      </c>
      <c r="B40" t="s">
        <v>7</v>
      </c>
    </row>
    <row r="41" spans="1:2" x14ac:dyDescent="0.25">
      <c r="A41" t="s">
        <v>243</v>
      </c>
      <c r="B41" t="s">
        <v>7</v>
      </c>
    </row>
    <row r="42" spans="1:2" x14ac:dyDescent="0.25">
      <c r="A42" t="s">
        <v>87</v>
      </c>
      <c r="B42" t="s">
        <v>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חיילים</vt:lpstr>
      <vt:lpstr>הזנת לוח</vt:lpstr>
      <vt:lpstr>לוח אוקטובר</vt:lpstr>
      <vt:lpstr>לוח נובמבר</vt:lpstr>
      <vt:lpstr>לוח דצמבר</vt:lpstr>
      <vt:lpstr>סטטיסטיקה</vt:lpstr>
      <vt:lpstr>לוח ספטמבר</vt:lpstr>
      <vt:lpstr>לוח נוב 18</vt:lpstr>
      <vt:lpstr>לוח אוגוסט</vt:lpstr>
      <vt:lpstr>לוח יולי</vt:lpstr>
      <vt:lpstr>תקנים עתידיים מושלם</vt:lpstr>
      <vt:lpstr>לוח יוני</vt:lpstr>
      <vt:lpstr>לוח מאי</vt:lpstr>
      <vt:lpstr>לוח אפריל</vt:lpstr>
      <vt:lpstr>לוח מרץ</vt:lpstr>
      <vt:lpstr>לוח פברואר</vt:lpstr>
      <vt:lpstr>לוח ינואר</vt:lpstr>
      <vt:lpstr>חיילים שלא עברו מבחן</vt:lpstr>
      <vt:lpstr>חגים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Yuval</dc:creator>
  <cp:lastModifiedBy>Yuval</cp:lastModifiedBy>
  <dcterms:created xsi:type="dcterms:W3CDTF">2017-07-19T17:48:32Z</dcterms:created>
  <dcterms:modified xsi:type="dcterms:W3CDTF">2018-09-11T19:32:20Z</dcterms:modified>
</cp:coreProperties>
</file>