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9D167CD7-D08E-4E35-B72F-9CE341571BA1}" xr6:coauthVersionLast="40" xr6:coauthVersionMax="40" xr10:uidLastSave="{00000000-0000-0000-0000-000000000000}"/>
  <bookViews>
    <workbookView xWindow="0" yWindow="0" windowWidth="28800" windowHeight="12225" tabRatio="1000" activeTab="2" xr2:uid="{00000000-000D-0000-FFFF-FFFF00000000}"/>
  </bookViews>
  <sheets>
    <sheet name="לוח ינואר" sheetId="33" r:id="rId1"/>
    <sheet name="לוח דצמבר" sheetId="30" r:id="rId2"/>
    <sheet name="חיילים" sheetId="1" r:id="rId3"/>
    <sheet name="הזנת לוח" sheetId="32" r:id="rId4"/>
    <sheet name="סטטיסטיקה" sheetId="3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אוקטובר" sheetId="27" r:id="rId11"/>
    <sheet name="לוח ספטמבר" sheetId="26" r:id="rId12"/>
  </sheets>
  <definedNames>
    <definedName name="_xlnm._FilterDatabase" localSheetId="3" hidden="1">'הזנת לוח'!$A$1:$J$45</definedName>
    <definedName name="_xlnm._FilterDatabase" localSheetId="2" hidden="1">חיילים!$A$1:$EU$45</definedName>
    <definedName name="_xlnm._FilterDatabase" localSheetId="8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I4" i="3"/>
  <c r="J4" i="3"/>
  <c r="G4" i="3"/>
  <c r="ES3" i="1"/>
  <c r="ET3" i="1"/>
  <c r="ES29" i="1"/>
  <c r="ET29" i="1"/>
  <c r="ES16" i="1"/>
  <c r="ET16" i="1"/>
  <c r="ES4" i="1"/>
  <c r="ET4" i="1"/>
  <c r="ES5" i="1"/>
  <c r="ET5" i="1"/>
  <c r="ES6" i="1"/>
  <c r="ET6" i="1"/>
  <c r="ES7" i="1"/>
  <c r="ET7" i="1"/>
  <c r="ES8" i="1"/>
  <c r="ET8" i="1"/>
  <c r="ES9" i="1"/>
  <c r="ET9" i="1"/>
  <c r="ES10" i="1"/>
  <c r="ET10" i="1"/>
  <c r="ES2" i="1"/>
  <c r="ET2" i="1"/>
  <c r="ES13" i="1"/>
  <c r="ET13" i="1"/>
  <c r="ES11" i="1"/>
  <c r="ET11" i="1"/>
  <c r="ES14" i="1"/>
  <c r="ET14" i="1"/>
  <c r="ES12" i="1"/>
  <c r="ET12" i="1"/>
  <c r="ES15" i="1"/>
  <c r="ET15" i="1"/>
  <c r="ES17" i="1"/>
  <c r="ET17" i="1"/>
  <c r="ES18" i="1"/>
  <c r="ET18" i="1"/>
  <c r="ES20" i="1"/>
  <c r="ET20" i="1"/>
  <c r="ES19" i="1"/>
  <c r="ET19" i="1"/>
  <c r="ES22" i="1"/>
  <c r="ET22" i="1"/>
  <c r="ES23" i="1"/>
  <c r="ET23" i="1"/>
  <c r="ES21" i="1"/>
  <c r="ET21" i="1"/>
  <c r="ES24" i="1"/>
  <c r="ET24" i="1"/>
  <c r="ES25" i="1"/>
  <c r="ET25" i="1"/>
  <c r="ES26" i="1"/>
  <c r="ET26" i="1"/>
  <c r="ES30" i="1"/>
  <c r="ET30" i="1"/>
  <c r="ES28" i="1"/>
  <c r="ET28" i="1"/>
  <c r="ES32" i="1"/>
  <c r="ET32" i="1"/>
  <c r="ES31" i="1"/>
  <c r="ET31" i="1"/>
  <c r="ES33" i="1"/>
  <c r="ET33" i="1"/>
  <c r="ES34" i="1"/>
  <c r="ET34" i="1"/>
  <c r="ES35" i="1"/>
  <c r="ET35" i="1"/>
  <c r="ES36" i="1"/>
  <c r="ET36" i="1"/>
  <c r="ES37" i="1"/>
  <c r="ET37" i="1"/>
  <c r="ES38" i="1"/>
  <c r="ET38" i="1"/>
  <c r="ES39" i="1"/>
  <c r="ET39" i="1"/>
  <c r="ES40" i="1"/>
  <c r="ET40" i="1"/>
  <c r="ES41" i="1"/>
  <c r="ET41" i="1"/>
  <c r="ES42" i="1"/>
  <c r="ET42" i="1"/>
  <c r="ES43" i="1"/>
  <c r="ET43" i="1"/>
  <c r="ES44" i="1"/>
  <c r="ET44" i="1"/>
  <c r="ES45" i="1"/>
  <c r="ET45" i="1"/>
  <c r="ET27" i="1"/>
  <c r="ES27" i="1"/>
  <c r="EJ3" i="1"/>
  <c r="EK3" i="1"/>
  <c r="EJ29" i="1"/>
  <c r="EK29" i="1"/>
  <c r="EJ16" i="1"/>
  <c r="EK16" i="1"/>
  <c r="EJ4" i="1"/>
  <c r="EK4" i="1"/>
  <c r="EJ5" i="1"/>
  <c r="EK5" i="1"/>
  <c r="EJ6" i="1"/>
  <c r="EK6" i="1"/>
  <c r="EJ7" i="1"/>
  <c r="EK7" i="1"/>
  <c r="EJ8" i="1"/>
  <c r="EK8" i="1"/>
  <c r="EJ9" i="1"/>
  <c r="EK9" i="1"/>
  <c r="EJ10" i="1"/>
  <c r="EK10" i="1"/>
  <c r="EJ2" i="1"/>
  <c r="EK2" i="1"/>
  <c r="EJ13" i="1"/>
  <c r="EK13" i="1"/>
  <c r="EJ11" i="1"/>
  <c r="EK11" i="1"/>
  <c r="EJ14" i="1"/>
  <c r="EK14" i="1"/>
  <c r="EJ12" i="1"/>
  <c r="EK12" i="1"/>
  <c r="EJ15" i="1"/>
  <c r="EK15" i="1"/>
  <c r="EJ17" i="1"/>
  <c r="EK17" i="1"/>
  <c r="EJ18" i="1"/>
  <c r="EK18" i="1"/>
  <c r="EJ20" i="1"/>
  <c r="EK20" i="1"/>
  <c r="EJ19" i="1"/>
  <c r="EK19" i="1"/>
  <c r="EJ22" i="1"/>
  <c r="EK22" i="1"/>
  <c r="EJ23" i="1"/>
  <c r="EK23" i="1"/>
  <c r="EJ21" i="1"/>
  <c r="EK21" i="1"/>
  <c r="EJ24" i="1"/>
  <c r="EK24" i="1"/>
  <c r="EJ25" i="1"/>
  <c r="EK25" i="1"/>
  <c r="EJ26" i="1"/>
  <c r="EK26" i="1"/>
  <c r="EJ30" i="1"/>
  <c r="EK30" i="1"/>
  <c r="EJ28" i="1"/>
  <c r="EK28" i="1"/>
  <c r="EJ32" i="1"/>
  <c r="EK32" i="1"/>
  <c r="EJ31" i="1"/>
  <c r="EK31" i="1"/>
  <c r="EJ33" i="1"/>
  <c r="EK33" i="1"/>
  <c r="EJ34" i="1"/>
  <c r="EK34" i="1"/>
  <c r="EJ35" i="1"/>
  <c r="EK35" i="1"/>
  <c r="EJ36" i="1"/>
  <c r="EK36" i="1"/>
  <c r="EJ37" i="1"/>
  <c r="EK37" i="1"/>
  <c r="EJ38" i="1"/>
  <c r="EK38" i="1"/>
  <c r="EJ39" i="1"/>
  <c r="EK39" i="1"/>
  <c r="EJ40" i="1"/>
  <c r="EK40" i="1"/>
  <c r="EJ41" i="1"/>
  <c r="EK41" i="1"/>
  <c r="EJ42" i="1"/>
  <c r="EK42" i="1"/>
  <c r="EJ43" i="1"/>
  <c r="EK43" i="1"/>
  <c r="EJ44" i="1"/>
  <c r="EK44" i="1"/>
  <c r="EJ45" i="1"/>
  <c r="EK45" i="1"/>
  <c r="EK27" i="1"/>
  <c r="EJ27" i="1"/>
  <c r="J6" i="3"/>
  <c r="I6" i="3"/>
  <c r="H6" i="3"/>
  <c r="G6" i="3"/>
  <c r="B33" i="33"/>
  <c r="B25" i="33"/>
  <c r="B17" i="33"/>
  <c r="B9" i="33"/>
  <c r="C9" i="33"/>
  <c r="D9" i="33" s="1"/>
  <c r="E9" i="33" s="1"/>
  <c r="F9" i="33" s="1"/>
  <c r="G1" i="33"/>
  <c r="H1" i="33" s="1"/>
  <c r="EL36" i="1" l="1"/>
  <c r="EL34" i="1"/>
  <c r="EL28" i="1"/>
  <c r="EL24" i="1"/>
  <c r="EL13" i="1"/>
  <c r="EL8" i="1"/>
  <c r="EL4" i="1"/>
  <c r="EU24" i="1"/>
  <c r="EU15" i="1"/>
  <c r="EU8" i="1"/>
  <c r="EL41" i="1"/>
  <c r="EL14" i="1"/>
  <c r="EU44" i="1"/>
  <c r="EU40" i="1"/>
  <c r="EU36" i="1"/>
  <c r="EU26" i="1"/>
  <c r="EU43" i="1"/>
  <c r="EU39" i="1"/>
  <c r="EU35" i="1"/>
  <c r="EU32" i="1"/>
  <c r="EU22" i="1"/>
  <c r="EU11" i="1"/>
  <c r="EL37" i="1"/>
  <c r="EU37" i="1"/>
  <c r="EU30" i="1"/>
  <c r="EU16" i="1"/>
  <c r="EU17" i="1"/>
  <c r="EL44" i="1"/>
  <c r="EU42" i="1"/>
  <c r="EU38" i="1"/>
  <c r="EU34" i="1"/>
  <c r="EU28" i="1"/>
  <c r="EL26" i="1"/>
  <c r="EU13" i="1"/>
  <c r="EU12" i="1"/>
  <c r="EL3" i="1"/>
  <c r="EU2" i="1"/>
  <c r="EU4" i="1"/>
  <c r="EU29" i="1"/>
  <c r="EU33" i="1"/>
  <c r="EU19" i="1"/>
  <c r="EU9" i="1"/>
  <c r="EL33" i="1"/>
  <c r="EL30" i="1"/>
  <c r="EL2" i="1"/>
  <c r="EU31" i="1"/>
  <c r="EU21" i="1"/>
  <c r="EU5" i="1"/>
  <c r="EU3" i="1"/>
  <c r="EL40" i="1"/>
  <c r="EU45" i="1"/>
  <c r="EU20" i="1"/>
  <c r="EU41" i="1"/>
  <c r="EU25" i="1"/>
  <c r="EU18" i="1"/>
  <c r="EL42" i="1"/>
  <c r="EL32" i="1"/>
  <c r="EL25" i="1"/>
  <c r="EL22" i="1"/>
  <c r="EL17" i="1"/>
  <c r="EL9" i="1"/>
  <c r="EL5" i="1"/>
  <c r="EU14" i="1"/>
  <c r="EU7" i="1"/>
  <c r="EU10" i="1"/>
  <c r="EU23" i="1"/>
  <c r="EL10" i="1"/>
  <c r="EU6" i="1"/>
  <c r="EL29" i="1"/>
  <c r="EL45" i="1"/>
  <c r="EL38" i="1"/>
  <c r="EL31" i="1"/>
  <c r="EL19" i="1"/>
  <c r="EL15" i="1"/>
  <c r="EL21" i="1"/>
  <c r="EL20" i="1"/>
  <c r="EL12" i="1"/>
  <c r="EL7" i="1"/>
  <c r="EL35" i="1"/>
  <c r="EL11" i="1"/>
  <c r="EL16" i="1"/>
  <c r="EL6" i="1"/>
  <c r="EL43" i="1"/>
  <c r="EL23" i="1"/>
  <c r="EL18" i="1"/>
  <c r="EL27" i="1"/>
  <c r="EL39" i="1"/>
  <c r="G9" i="33"/>
  <c r="H9" i="33" s="1"/>
  <c r="C17" i="33"/>
  <c r="D17" i="33" s="1"/>
  <c r="E17" i="33" s="1"/>
  <c r="F17" i="33" s="1"/>
  <c r="G17" i="33" s="1"/>
  <c r="H17" i="33" s="1"/>
  <c r="C15" i="1"/>
  <c r="I5" i="3" l="1"/>
  <c r="C25" i="33"/>
  <c r="D25" i="33" s="1"/>
  <c r="E25" i="33" s="1"/>
  <c r="F25" i="33" s="1"/>
  <c r="EC10" i="1"/>
  <c r="ED10" i="1"/>
  <c r="DV10" i="1"/>
  <c r="DW10" i="1"/>
  <c r="DO10" i="1"/>
  <c r="DP10" i="1"/>
  <c r="EO10" i="1" s="1"/>
  <c r="EP10" i="1" s="1"/>
  <c r="C10" i="1"/>
  <c r="EM10" i="1" l="1"/>
  <c r="EQ10" i="1" s="1"/>
  <c r="C33" i="33"/>
  <c r="D33" i="33" s="1"/>
  <c r="E33" i="33" s="1"/>
  <c r="F33" i="33" s="1"/>
  <c r="H33" i="33" s="1"/>
  <c r="G25" i="33"/>
  <c r="H25" i="33" s="1"/>
  <c r="DQ10" i="1"/>
  <c r="DX10" i="1"/>
  <c r="EE10" i="1"/>
  <c r="EC14" i="1"/>
  <c r="ED14" i="1"/>
  <c r="EC43" i="1"/>
  <c r="ED43" i="1"/>
  <c r="EC18" i="1"/>
  <c r="ED18" i="1"/>
  <c r="DV14" i="1"/>
  <c r="DW14" i="1"/>
  <c r="DV43" i="1"/>
  <c r="DW43" i="1"/>
  <c r="DV18" i="1"/>
  <c r="DW18" i="1"/>
  <c r="DO14" i="1"/>
  <c r="DP14" i="1"/>
  <c r="DO43" i="1"/>
  <c r="DP43" i="1"/>
  <c r="DO18" i="1"/>
  <c r="DP18" i="1"/>
  <c r="C18" i="1"/>
  <c r="C43" i="1"/>
  <c r="C14" i="1"/>
  <c r="EN10" i="1" l="1"/>
  <c r="ER10" i="1" s="1"/>
  <c r="EO18" i="1"/>
  <c r="EP18" i="1" s="1"/>
  <c r="EM18" i="1"/>
  <c r="EM43" i="1"/>
  <c r="EO43" i="1"/>
  <c r="EP43" i="1" s="1"/>
  <c r="EO14" i="1"/>
  <c r="EP14" i="1" s="1"/>
  <c r="EM14" i="1"/>
  <c r="EE14" i="1"/>
  <c r="DX18" i="1"/>
  <c r="DQ14" i="1"/>
  <c r="EE43" i="1"/>
  <c r="DX14" i="1"/>
  <c r="DQ43" i="1"/>
  <c r="EE18" i="1"/>
  <c r="DQ18" i="1"/>
  <c r="DX43" i="1"/>
  <c r="EQ14" i="1" l="1"/>
  <c r="EN14" i="1"/>
  <c r="ER14" i="1" s="1"/>
  <c r="EN43" i="1"/>
  <c r="ER43" i="1" s="1"/>
  <c r="EQ43" i="1"/>
  <c r="EQ18" i="1"/>
  <c r="EN18" i="1"/>
  <c r="ER18" i="1" s="1"/>
  <c r="ED41" i="1"/>
  <c r="EC41" i="1"/>
  <c r="ED40" i="1"/>
  <c r="EC40" i="1"/>
  <c r="ED39" i="1"/>
  <c r="EC39" i="1"/>
  <c r="ED36" i="1"/>
  <c r="EC36" i="1"/>
  <c r="ED32" i="1"/>
  <c r="EC32" i="1"/>
  <c r="ED28" i="1"/>
  <c r="EC28" i="1"/>
  <c r="ED20" i="1"/>
  <c r="EC20" i="1"/>
  <c r="ED15" i="1"/>
  <c r="EC15" i="1"/>
  <c r="ED9" i="1"/>
  <c r="EC9" i="1"/>
  <c r="ED5" i="1"/>
  <c r="EC5" i="1"/>
  <c r="ED4" i="1"/>
  <c r="EC4" i="1"/>
  <c r="ED45" i="1"/>
  <c r="EC45" i="1"/>
  <c r="ED44" i="1"/>
  <c r="EC44" i="1"/>
  <c r="ED42" i="1"/>
  <c r="EC42" i="1"/>
  <c r="ED38" i="1"/>
  <c r="EC38" i="1"/>
  <c r="ED37" i="1"/>
  <c r="EC37" i="1"/>
  <c r="ED35" i="1"/>
  <c r="EC35" i="1"/>
  <c r="ED34" i="1"/>
  <c r="EC34" i="1"/>
  <c r="ED33" i="1"/>
  <c r="EC33" i="1"/>
  <c r="ED31" i="1"/>
  <c r="EC31" i="1"/>
  <c r="ED29" i="1"/>
  <c r="EC29" i="1"/>
  <c r="ED27" i="1"/>
  <c r="EC27" i="1"/>
  <c r="ED30" i="1"/>
  <c r="EC30" i="1"/>
  <c r="ED26" i="1"/>
  <c r="EC26" i="1"/>
  <c r="ED25" i="1"/>
  <c r="EC25" i="1"/>
  <c r="ED24" i="1"/>
  <c r="EC24" i="1"/>
  <c r="ED21" i="1"/>
  <c r="EC21" i="1"/>
  <c r="ED23" i="1"/>
  <c r="EC23" i="1"/>
  <c r="ED22" i="1"/>
  <c r="EC22" i="1"/>
  <c r="ED19" i="1"/>
  <c r="EC19" i="1"/>
  <c r="ED17" i="1"/>
  <c r="EC17" i="1"/>
  <c r="ED16" i="1"/>
  <c r="EC16" i="1"/>
  <c r="ED12" i="1"/>
  <c r="EC12" i="1"/>
  <c r="ED11" i="1"/>
  <c r="EC11" i="1"/>
  <c r="ED13" i="1"/>
  <c r="EC13" i="1"/>
  <c r="ED2" i="1"/>
  <c r="EC2" i="1"/>
  <c r="ED8" i="1"/>
  <c r="EC8" i="1"/>
  <c r="ED7" i="1"/>
  <c r="EC7" i="1"/>
  <c r="ED6" i="1"/>
  <c r="EC6" i="1"/>
  <c r="ED3" i="1"/>
  <c r="EC3" i="1"/>
  <c r="EE21" i="1" l="1"/>
  <c r="EE30" i="1"/>
  <c r="EE38" i="1"/>
  <c r="EE20" i="1"/>
  <c r="EE17" i="1"/>
  <c r="EU27" i="1"/>
  <c r="EE6" i="1"/>
  <c r="EE36" i="1"/>
  <c r="EE34" i="1"/>
  <c r="EE27" i="1"/>
  <c r="EE8" i="1"/>
  <c r="EE12" i="1"/>
  <c r="EE45" i="1"/>
  <c r="EE15" i="1"/>
  <c r="EE3" i="1"/>
  <c r="EE22" i="1"/>
  <c r="EE42" i="1"/>
  <c r="EE2" i="1"/>
  <c r="EE7" i="1"/>
  <c r="EE11" i="1"/>
  <c r="EE33" i="1"/>
  <c r="EE41" i="1"/>
  <c r="EE19" i="1"/>
  <c r="EE24" i="1"/>
  <c r="EE4" i="1"/>
  <c r="EE25" i="1"/>
  <c r="EE5" i="1"/>
  <c r="EE16" i="1"/>
  <c r="EE29" i="1"/>
  <c r="EE35" i="1"/>
  <c r="EE28" i="1"/>
  <c r="EE39" i="1"/>
  <c r="EE23" i="1"/>
  <c r="EE26" i="1"/>
  <c r="EE44" i="1"/>
  <c r="EE9" i="1"/>
  <c r="EE13" i="1"/>
  <c r="EE31" i="1"/>
  <c r="EE37" i="1"/>
  <c r="EE32" i="1"/>
  <c r="EE40" i="1"/>
  <c r="DV41" i="1"/>
  <c r="DW41" i="1"/>
  <c r="DV31" i="1"/>
  <c r="DW31" i="1"/>
  <c r="DO41" i="1"/>
  <c r="DP41" i="1"/>
  <c r="DO31" i="1"/>
  <c r="DP31" i="1"/>
  <c r="DH41" i="1"/>
  <c r="DI41" i="1"/>
  <c r="DH31" i="1"/>
  <c r="DI31" i="1"/>
  <c r="C31" i="1"/>
  <c r="C41" i="1"/>
  <c r="EO31" i="1" l="1"/>
  <c r="EP31" i="1" s="1"/>
  <c r="EM31" i="1"/>
  <c r="EO41" i="1"/>
  <c r="EP41" i="1" s="1"/>
  <c r="EM41" i="1"/>
  <c r="DJ31" i="1"/>
  <c r="DJ41" i="1"/>
  <c r="DX31" i="1"/>
  <c r="DQ41" i="1"/>
  <c r="DX41" i="1"/>
  <c r="DQ31" i="1"/>
  <c r="DV28" i="1"/>
  <c r="DW28" i="1"/>
  <c r="DO28" i="1"/>
  <c r="DP28" i="1"/>
  <c r="DH28" i="1"/>
  <c r="DI28" i="1"/>
  <c r="DH27" i="1"/>
  <c r="DI27" i="1"/>
  <c r="C28" i="1"/>
  <c r="EO28" i="1" l="1"/>
  <c r="EP28" i="1" s="1"/>
  <c r="EM28" i="1"/>
  <c r="EN28" i="1" s="1"/>
  <c r="EN41" i="1"/>
  <c r="ER41" i="1" s="1"/>
  <c r="EQ41" i="1"/>
  <c r="EQ31" i="1"/>
  <c r="EN31" i="1"/>
  <c r="ER31" i="1" s="1"/>
  <c r="DJ27" i="1"/>
  <c r="DX28" i="1"/>
  <c r="DQ28" i="1"/>
  <c r="DJ28" i="1"/>
  <c r="DW24" i="1"/>
  <c r="DV24" i="1"/>
  <c r="DW29" i="1"/>
  <c r="DV29" i="1"/>
  <c r="DW26" i="1"/>
  <c r="DV26" i="1"/>
  <c r="DW35" i="1"/>
  <c r="DV35" i="1"/>
  <c r="DW16" i="1"/>
  <c r="DV16" i="1"/>
  <c r="DW2" i="1"/>
  <c r="DV2" i="1"/>
  <c r="DW3" i="1"/>
  <c r="DV3" i="1"/>
  <c r="DW44" i="1"/>
  <c r="DV44" i="1"/>
  <c r="DW42" i="1"/>
  <c r="DV42" i="1"/>
  <c r="DW33" i="1"/>
  <c r="DV33" i="1"/>
  <c r="DW27" i="1"/>
  <c r="DV27" i="1"/>
  <c r="DW7" i="1"/>
  <c r="DV7" i="1"/>
  <c r="DW34" i="1"/>
  <c r="DV34" i="1"/>
  <c r="DW17" i="1"/>
  <c r="DV17" i="1"/>
  <c r="DW12" i="1"/>
  <c r="DV12" i="1"/>
  <c r="DW6" i="1"/>
  <c r="DV6" i="1"/>
  <c r="DW45" i="1"/>
  <c r="DV45" i="1"/>
  <c r="DW32" i="1"/>
  <c r="DV32" i="1"/>
  <c r="DW20" i="1"/>
  <c r="DV20" i="1"/>
  <c r="DW19" i="1"/>
  <c r="DV19" i="1"/>
  <c r="DW22" i="1"/>
  <c r="DV22" i="1"/>
  <c r="DW13" i="1"/>
  <c r="DV13" i="1"/>
  <c r="DW40" i="1"/>
  <c r="DV40" i="1"/>
  <c r="DW38" i="1"/>
  <c r="DV38" i="1"/>
  <c r="DW23" i="1"/>
  <c r="DV23" i="1"/>
  <c r="DW4" i="1"/>
  <c r="DV4" i="1"/>
  <c r="DW36" i="1"/>
  <c r="DV36" i="1"/>
  <c r="DW37" i="1"/>
  <c r="DV37" i="1"/>
  <c r="DW30" i="1"/>
  <c r="DV30" i="1"/>
  <c r="DW25" i="1"/>
  <c r="DV25" i="1"/>
  <c r="DW21" i="1"/>
  <c r="DV21" i="1"/>
  <c r="DW11" i="1"/>
  <c r="DV11" i="1"/>
  <c r="DW39" i="1"/>
  <c r="DV39" i="1"/>
  <c r="DW15" i="1"/>
  <c r="DV15" i="1"/>
  <c r="DW9" i="1"/>
  <c r="DV9" i="1"/>
  <c r="DW5" i="1"/>
  <c r="DV5" i="1"/>
  <c r="DW8" i="1"/>
  <c r="DV8" i="1"/>
  <c r="DO19" i="1"/>
  <c r="DP19" i="1"/>
  <c r="DO20" i="1"/>
  <c r="DP20" i="1"/>
  <c r="DO32" i="1"/>
  <c r="DP32" i="1"/>
  <c r="DO45" i="1"/>
  <c r="DP45" i="1"/>
  <c r="DH19" i="1"/>
  <c r="DI19" i="1"/>
  <c r="DH20" i="1"/>
  <c r="DI20" i="1"/>
  <c r="DH32" i="1"/>
  <c r="DI32" i="1"/>
  <c r="EO32" i="1" s="1"/>
  <c r="EP32" i="1" s="1"/>
  <c r="DH45" i="1"/>
  <c r="DI45" i="1"/>
  <c r="C45" i="1"/>
  <c r="C19" i="1"/>
  <c r="C20" i="1"/>
  <c r="C32" i="1"/>
  <c r="ER28" i="1" l="1"/>
  <c r="EO45" i="1"/>
  <c r="EP45" i="1" s="1"/>
  <c r="EO20" i="1"/>
  <c r="EP20" i="1" s="1"/>
  <c r="EM19" i="1"/>
  <c r="EN19" i="1" s="1"/>
  <c r="EM20" i="1"/>
  <c r="EN20" i="1" s="1"/>
  <c r="EO19" i="1"/>
  <c r="EP19" i="1" s="1"/>
  <c r="EQ28" i="1"/>
  <c r="EM45" i="1"/>
  <c r="EQ45" i="1" s="1"/>
  <c r="EM32" i="1"/>
  <c r="DQ45" i="1"/>
  <c r="DQ19" i="1"/>
  <c r="DX27" i="1"/>
  <c r="DJ20" i="1"/>
  <c r="DX39" i="1"/>
  <c r="DX3" i="1"/>
  <c r="DJ32" i="1"/>
  <c r="DX21" i="1"/>
  <c r="DX36" i="1"/>
  <c r="DJ45" i="1"/>
  <c r="DX23" i="1"/>
  <c r="DX25" i="1"/>
  <c r="DX34" i="1"/>
  <c r="DX6" i="1"/>
  <c r="DX44" i="1"/>
  <c r="DX29" i="1"/>
  <c r="DX22" i="1"/>
  <c r="DX12" i="1"/>
  <c r="DX11" i="1"/>
  <c r="DX17" i="1"/>
  <c r="DX4" i="1"/>
  <c r="DX19" i="1"/>
  <c r="DX26" i="1"/>
  <c r="DX24" i="1"/>
  <c r="DX5" i="1"/>
  <c r="DX38" i="1"/>
  <c r="DX16" i="1"/>
  <c r="DX30" i="1"/>
  <c r="DX45" i="1"/>
  <c r="DX35" i="1"/>
  <c r="DX9" i="1"/>
  <c r="DX40" i="1"/>
  <c r="DX33" i="1"/>
  <c r="DX13" i="1"/>
  <c r="DX20" i="1"/>
  <c r="DX42" i="1"/>
  <c r="DX37" i="1"/>
  <c r="DX7" i="1"/>
  <c r="DX8" i="1"/>
  <c r="DX15" i="1"/>
  <c r="DX32" i="1"/>
  <c r="DX2" i="1"/>
  <c r="DJ19" i="1"/>
  <c r="DQ32" i="1"/>
  <c r="DQ20" i="1"/>
  <c r="ER20" i="1" l="1"/>
  <c r="EQ19" i="1"/>
  <c r="EQ20" i="1"/>
  <c r="ER19" i="1"/>
  <c r="EN45" i="1"/>
  <c r="ER45" i="1" s="1"/>
  <c r="EN32" i="1"/>
  <c r="ER32" i="1" s="1"/>
  <c r="EQ32" i="1"/>
  <c r="DO9" i="1"/>
  <c r="DP9" i="1"/>
  <c r="DH9" i="1"/>
  <c r="DI9" i="1"/>
  <c r="C9" i="1"/>
  <c r="DO5" i="1"/>
  <c r="DP5" i="1"/>
  <c r="DO15" i="1"/>
  <c r="DP15" i="1"/>
  <c r="DH5" i="1"/>
  <c r="DI5" i="1"/>
  <c r="DH15" i="1"/>
  <c r="DI15" i="1"/>
  <c r="C5" i="1"/>
  <c r="EO9" i="1" l="1"/>
  <c r="EP9" i="1" s="1"/>
  <c r="EM15" i="1"/>
  <c r="EN15" i="1" s="1"/>
  <c r="EM9" i="1"/>
  <c r="EO15" i="1"/>
  <c r="EP15" i="1" s="1"/>
  <c r="EO5" i="1"/>
  <c r="EP5" i="1" s="1"/>
  <c r="EM5" i="1"/>
  <c r="EN9" i="1"/>
  <c r="EQ9" i="1"/>
  <c r="DJ15" i="1"/>
  <c r="DQ9" i="1"/>
  <c r="DJ9" i="1"/>
  <c r="DJ5" i="1"/>
  <c r="DQ15" i="1"/>
  <c r="DQ5" i="1"/>
  <c r="ER9" i="1" l="1"/>
  <c r="EQ15" i="1"/>
  <c r="ER15" i="1"/>
  <c r="EN5" i="1"/>
  <c r="ER5" i="1" s="1"/>
  <c r="EQ5" i="1"/>
  <c r="DO39" i="1"/>
  <c r="DP39" i="1"/>
  <c r="DH39" i="1"/>
  <c r="DI39" i="1"/>
  <c r="DA39" i="1"/>
  <c r="DB39" i="1"/>
  <c r="C39" i="1"/>
  <c r="EO39" i="1" l="1"/>
  <c r="EP39" i="1" s="1"/>
  <c r="EM39" i="1"/>
  <c r="EQ39" i="1" s="1"/>
  <c r="DJ39" i="1"/>
  <c r="DQ39" i="1"/>
  <c r="DC39" i="1"/>
  <c r="EN39" i="1" l="1"/>
  <c r="ER39" i="1" s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8" i="1"/>
  <c r="DO8" i="1"/>
  <c r="DP34" i="1"/>
  <c r="DO34" i="1"/>
  <c r="DP44" i="1"/>
  <c r="DO44" i="1"/>
  <c r="DP12" i="1"/>
  <c r="DO12" i="1"/>
  <c r="DP17" i="1"/>
  <c r="DO17" i="1"/>
  <c r="DP16" i="1"/>
  <c r="DO16" i="1"/>
  <c r="DP11" i="1"/>
  <c r="DO11" i="1"/>
  <c r="DP21" i="1"/>
  <c r="DO21" i="1"/>
  <c r="DP25" i="1"/>
  <c r="DO25" i="1"/>
  <c r="DP37" i="1"/>
  <c r="DO37" i="1"/>
  <c r="DP2" i="1"/>
  <c r="DO2" i="1"/>
  <c r="DP42" i="1"/>
  <c r="DO42" i="1"/>
  <c r="DP6" i="1"/>
  <c r="DO6" i="1"/>
  <c r="DP3" i="1"/>
  <c r="DO3" i="1"/>
  <c r="DP23" i="1"/>
  <c r="DO23" i="1"/>
  <c r="DP29" i="1"/>
  <c r="DO29" i="1"/>
  <c r="DP35" i="1"/>
  <c r="DO35" i="1"/>
  <c r="DP26" i="1"/>
  <c r="DO26" i="1"/>
  <c r="DP33" i="1"/>
  <c r="DO33" i="1"/>
  <c r="DP7" i="1"/>
  <c r="DO7" i="1"/>
  <c r="DP24" i="1"/>
  <c r="DO24" i="1"/>
  <c r="DP30" i="1"/>
  <c r="DO30" i="1"/>
  <c r="DP38" i="1"/>
  <c r="DO38" i="1"/>
  <c r="DP27" i="1"/>
  <c r="DO27" i="1"/>
  <c r="DP40" i="1"/>
  <c r="DO40" i="1"/>
  <c r="DP4" i="1"/>
  <c r="DO4" i="1"/>
  <c r="DP22" i="1"/>
  <c r="DO22" i="1"/>
  <c r="DP13" i="1"/>
  <c r="DO13" i="1"/>
  <c r="DP36" i="1"/>
  <c r="DO36" i="1"/>
  <c r="DQ3" i="1" l="1"/>
  <c r="DQ40" i="1"/>
  <c r="DQ35" i="1"/>
  <c r="DQ11" i="1"/>
  <c r="DQ33" i="1"/>
  <c r="DQ25" i="1"/>
  <c r="DQ27" i="1"/>
  <c r="DQ16" i="1"/>
  <c r="C15" i="30"/>
  <c r="D15" i="30" s="1"/>
  <c r="E15" i="30" s="1"/>
  <c r="F15" i="30" s="1"/>
  <c r="G15" i="30" s="1"/>
  <c r="H15" i="30" s="1"/>
  <c r="B23" i="30"/>
  <c r="DQ30" i="1"/>
  <c r="DQ26" i="1"/>
  <c r="DQ12" i="1"/>
  <c r="DQ36" i="1"/>
  <c r="DQ29" i="1"/>
  <c r="DQ38" i="1"/>
  <c r="DQ21" i="1"/>
  <c r="DQ8" i="1"/>
  <c r="DQ37" i="1"/>
  <c r="DQ6" i="1"/>
  <c r="DQ22" i="1"/>
  <c r="DQ44" i="1"/>
  <c r="DQ13" i="1"/>
  <c r="DQ4" i="1"/>
  <c r="DQ23" i="1"/>
  <c r="DQ42" i="1"/>
  <c r="DQ17" i="1"/>
  <c r="DQ2" i="1"/>
  <c r="DQ34" i="1"/>
  <c r="DQ24" i="1"/>
  <c r="DQ7" i="1"/>
  <c r="DA4" i="1"/>
  <c r="DB4" i="1"/>
  <c r="DH4" i="1"/>
  <c r="DI4" i="1"/>
  <c r="CT4" i="1"/>
  <c r="CU4" i="1"/>
  <c r="C4" i="1"/>
  <c r="EO4" i="1" l="1"/>
  <c r="EP4" i="1" s="1"/>
  <c r="EM4" i="1"/>
  <c r="C23" i="30"/>
  <c r="D23" i="30" s="1"/>
  <c r="E23" i="30" s="1"/>
  <c r="F23" i="30" s="1"/>
  <c r="G23" i="30" s="1"/>
  <c r="H23" i="30" s="1"/>
  <c r="B31" i="30"/>
  <c r="CV4" i="1"/>
  <c r="DJ4" i="1"/>
  <c r="DC4" i="1"/>
  <c r="DI44" i="1"/>
  <c r="DH44" i="1"/>
  <c r="DI42" i="1"/>
  <c r="DH42" i="1"/>
  <c r="DI40" i="1"/>
  <c r="DH40" i="1"/>
  <c r="DI38" i="1"/>
  <c r="DH38" i="1"/>
  <c r="DI37" i="1"/>
  <c r="DH37" i="1"/>
  <c r="DI36" i="1"/>
  <c r="DH36" i="1"/>
  <c r="DI35" i="1"/>
  <c r="DH35" i="1"/>
  <c r="DI34" i="1"/>
  <c r="DH34" i="1"/>
  <c r="DI33" i="1"/>
  <c r="DH33" i="1"/>
  <c r="DI29" i="1"/>
  <c r="DH29" i="1"/>
  <c r="DI30" i="1"/>
  <c r="DH30" i="1"/>
  <c r="DI26" i="1"/>
  <c r="DH26" i="1"/>
  <c r="DI25" i="1"/>
  <c r="DH25" i="1"/>
  <c r="DI24" i="1"/>
  <c r="DH24" i="1"/>
  <c r="DI21" i="1"/>
  <c r="DH21" i="1"/>
  <c r="DI23" i="1"/>
  <c r="DH23" i="1"/>
  <c r="DI22" i="1"/>
  <c r="DH22" i="1"/>
  <c r="DI17" i="1"/>
  <c r="DH17" i="1"/>
  <c r="DI16" i="1"/>
  <c r="DH16" i="1"/>
  <c r="DI12" i="1"/>
  <c r="DH12" i="1"/>
  <c r="DI11" i="1"/>
  <c r="DH11" i="1"/>
  <c r="DI13" i="1"/>
  <c r="DH13" i="1"/>
  <c r="DI2" i="1"/>
  <c r="DH2" i="1"/>
  <c r="DI8" i="1"/>
  <c r="DH8" i="1"/>
  <c r="DI7" i="1"/>
  <c r="DH7" i="1"/>
  <c r="DI6" i="1"/>
  <c r="DH6" i="1"/>
  <c r="DI3" i="1"/>
  <c r="DH3" i="1"/>
  <c r="DA40" i="1"/>
  <c r="DB40" i="1"/>
  <c r="CT40" i="1"/>
  <c r="EM40" i="1" s="1"/>
  <c r="EN40" i="1" s="1"/>
  <c r="CU40" i="1"/>
  <c r="C40" i="1"/>
  <c r="EO40" i="1" l="1"/>
  <c r="EN4" i="1"/>
  <c r="ER4" i="1" s="1"/>
  <c r="EQ4" i="1"/>
  <c r="DJ30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16" i="1"/>
  <c r="CV40" i="1"/>
  <c r="DJ21" i="1"/>
  <c r="DJ22" i="1"/>
  <c r="DJ29" i="1"/>
  <c r="DJ23" i="1"/>
  <c r="DJ35" i="1"/>
  <c r="DJ44" i="1"/>
  <c r="DC40" i="1"/>
  <c r="DJ7" i="1"/>
  <c r="DJ12" i="1"/>
  <c r="DJ37" i="1"/>
  <c r="DJ8" i="1"/>
  <c r="DJ17" i="1"/>
  <c r="DJ26" i="1"/>
  <c r="DJ38" i="1"/>
  <c r="DJ2" i="1"/>
  <c r="DJ6" i="1"/>
  <c r="DJ40" i="1"/>
  <c r="DJ36" i="1"/>
  <c r="DJ13" i="1"/>
  <c r="DJ24" i="1"/>
  <c r="DJ33" i="1"/>
  <c r="DJ3" i="1"/>
  <c r="DJ11" i="1"/>
  <c r="DJ25" i="1"/>
  <c r="DJ34" i="1"/>
  <c r="DJ42" i="1"/>
  <c r="EQ40" i="1" l="1"/>
  <c r="EP40" i="1"/>
  <c r="ER40" i="1" s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6" i="1"/>
  <c r="DB36" i="1"/>
  <c r="CT36" i="1"/>
  <c r="CU36" i="1"/>
  <c r="CM36" i="1"/>
  <c r="EM36" i="1" s="1"/>
  <c r="CN36" i="1"/>
  <c r="C36" i="1"/>
  <c r="EN36" i="1" l="1"/>
  <c r="EO36" i="1"/>
  <c r="EP36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36" i="1"/>
  <c r="CV36" i="1"/>
  <c r="CO36" i="1"/>
  <c r="DB34" i="1"/>
  <c r="DA34" i="1"/>
  <c r="DB13" i="1"/>
  <c r="DA13" i="1"/>
  <c r="DB44" i="1"/>
  <c r="DA44" i="1"/>
  <c r="DB8" i="1"/>
  <c r="DA8" i="1"/>
  <c r="DB22" i="1"/>
  <c r="DA22" i="1"/>
  <c r="DB35" i="1"/>
  <c r="DA35" i="1"/>
  <c r="DB12" i="1"/>
  <c r="DA12" i="1"/>
  <c r="DB11" i="1"/>
  <c r="DA11" i="1"/>
  <c r="DB25" i="1"/>
  <c r="DA25" i="1"/>
  <c r="DB21" i="1"/>
  <c r="DA21" i="1"/>
  <c r="DB42" i="1"/>
  <c r="DA42" i="1"/>
  <c r="DB27" i="1"/>
  <c r="DA27" i="1"/>
  <c r="DB30" i="1"/>
  <c r="DA30" i="1"/>
  <c r="DB17" i="1"/>
  <c r="DA17" i="1"/>
  <c r="DB6" i="1"/>
  <c r="DA6" i="1"/>
  <c r="DB2" i="1"/>
  <c r="DA2" i="1"/>
  <c r="DB38" i="1"/>
  <c r="DA38" i="1"/>
  <c r="DB23" i="1"/>
  <c r="DA23" i="1"/>
  <c r="DB3" i="1"/>
  <c r="DA3" i="1"/>
  <c r="DB7" i="1"/>
  <c r="DA7" i="1"/>
  <c r="DB16" i="1"/>
  <c r="DA16" i="1"/>
  <c r="DB33" i="1"/>
  <c r="DA33" i="1"/>
  <c r="DB26" i="1"/>
  <c r="DA26" i="1"/>
  <c r="DB37" i="1"/>
  <c r="DA37" i="1"/>
  <c r="DB29" i="1"/>
  <c r="DA29" i="1"/>
  <c r="DB24" i="1"/>
  <c r="DA24" i="1"/>
  <c r="ER36" i="1" l="1"/>
  <c r="EQ36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6" i="1"/>
  <c r="DC21" i="1"/>
  <c r="DC11" i="1"/>
  <c r="DC44" i="1"/>
  <c r="DC29" i="1"/>
  <c r="DC34" i="1"/>
  <c r="DC33" i="1"/>
  <c r="DC7" i="1"/>
  <c r="DC16" i="1"/>
  <c r="DC6" i="1"/>
  <c r="DC24" i="1"/>
  <c r="DC38" i="1"/>
  <c r="DC42" i="1"/>
  <c r="DC25" i="1"/>
  <c r="DC22" i="1"/>
  <c r="DC2" i="1"/>
  <c r="DC13" i="1"/>
  <c r="DC17" i="1"/>
  <c r="DC37" i="1"/>
  <c r="DC3" i="1"/>
  <c r="DC30" i="1"/>
  <c r="DC12" i="1"/>
  <c r="DC8" i="1"/>
  <c r="DC23" i="1"/>
  <c r="DC27" i="1"/>
  <c r="DC35" i="1"/>
  <c r="CT13" i="1"/>
  <c r="CU13" i="1"/>
  <c r="CT37" i="1"/>
  <c r="CU37" i="1"/>
  <c r="CM13" i="1"/>
  <c r="CN13" i="1"/>
  <c r="CM37" i="1"/>
  <c r="CN37" i="1"/>
  <c r="CF13" i="1"/>
  <c r="CG13" i="1"/>
  <c r="CF37" i="1"/>
  <c r="CG37" i="1"/>
  <c r="BY13" i="1"/>
  <c r="BZ13" i="1"/>
  <c r="BY37" i="1"/>
  <c r="BZ37" i="1"/>
  <c r="BR13" i="1"/>
  <c r="BS13" i="1"/>
  <c r="BR37" i="1"/>
  <c r="BS37" i="1"/>
  <c r="BK13" i="1"/>
  <c r="BL13" i="1"/>
  <c r="BK37" i="1"/>
  <c r="BL37" i="1"/>
  <c r="BD13" i="1"/>
  <c r="BE13" i="1"/>
  <c r="BD37" i="1"/>
  <c r="BE37" i="1"/>
  <c r="AW13" i="1"/>
  <c r="AX13" i="1"/>
  <c r="AW37" i="1"/>
  <c r="AX37" i="1"/>
  <c r="AP13" i="1"/>
  <c r="AQ13" i="1"/>
  <c r="AP37" i="1"/>
  <c r="AQ37" i="1"/>
  <c r="AI13" i="1"/>
  <c r="AJ13" i="1"/>
  <c r="AI37" i="1"/>
  <c r="AJ37" i="1"/>
  <c r="AB13" i="1"/>
  <c r="AC13" i="1"/>
  <c r="AB37" i="1"/>
  <c r="AC37" i="1"/>
  <c r="U13" i="1"/>
  <c r="V13" i="1"/>
  <c r="U37" i="1"/>
  <c r="V37" i="1"/>
  <c r="N13" i="1"/>
  <c r="O13" i="1"/>
  <c r="N37" i="1"/>
  <c r="O37" i="1"/>
  <c r="C37" i="1"/>
  <c r="EO13" i="1" l="1"/>
  <c r="EP13" i="1" s="1"/>
  <c r="EM13" i="1"/>
  <c r="EN13" i="1" s="1"/>
  <c r="EM37" i="1"/>
  <c r="EN37" i="1" s="1"/>
  <c r="EO37" i="1"/>
  <c r="EP37" i="1" s="1"/>
  <c r="BT13" i="1"/>
  <c r="CH13" i="1"/>
  <c r="CV37" i="1"/>
  <c r="CV13" i="1"/>
  <c r="CA37" i="1"/>
  <c r="CA13" i="1"/>
  <c r="P13" i="1"/>
  <c r="W13" i="1"/>
  <c r="AK13" i="1"/>
  <c r="AY37" i="1"/>
  <c r="AY13" i="1"/>
  <c r="CO37" i="1"/>
  <c r="AR13" i="1"/>
  <c r="AK37" i="1"/>
  <c r="P37" i="1"/>
  <c r="AD37" i="1"/>
  <c r="AD13" i="1"/>
  <c r="AR37" i="1"/>
  <c r="CO13" i="1"/>
  <c r="BF37" i="1"/>
  <c r="BM37" i="1"/>
  <c r="BM13" i="1"/>
  <c r="CH37" i="1"/>
  <c r="W37" i="1"/>
  <c r="BF13" i="1"/>
  <c r="BT37" i="1"/>
  <c r="C6" i="1"/>
  <c r="C13" i="1"/>
  <c r="EQ13" i="1" l="1"/>
  <c r="ER13" i="1"/>
  <c r="ER37" i="1"/>
  <c r="EQ37" i="1"/>
  <c r="CT21" i="1"/>
  <c r="CU21" i="1"/>
  <c r="CT3" i="1"/>
  <c r="CU3" i="1"/>
  <c r="CT16" i="1"/>
  <c r="CU16" i="1"/>
  <c r="CT26" i="1"/>
  <c r="CU26" i="1"/>
  <c r="CT8" i="1"/>
  <c r="CU8" i="1"/>
  <c r="CT34" i="1"/>
  <c r="CU34" i="1"/>
  <c r="CT42" i="1"/>
  <c r="CU42" i="1"/>
  <c r="CT2" i="1"/>
  <c r="CU2" i="1"/>
  <c r="CT7" i="1"/>
  <c r="CU7" i="1"/>
  <c r="CT23" i="1"/>
  <c r="CU23" i="1"/>
  <c r="CT29" i="1"/>
  <c r="CU29" i="1"/>
  <c r="CT22" i="1"/>
  <c r="CU22" i="1"/>
  <c r="CT33" i="1"/>
  <c r="CU33" i="1"/>
  <c r="CT35" i="1"/>
  <c r="CU35" i="1"/>
  <c r="CT44" i="1"/>
  <c r="CU44" i="1"/>
  <c r="CT17" i="1"/>
  <c r="CU17" i="1"/>
  <c r="CT12" i="1"/>
  <c r="CU12" i="1"/>
  <c r="CT38" i="1"/>
  <c r="CU38" i="1"/>
  <c r="CM21" i="1"/>
  <c r="CN21" i="1"/>
  <c r="CM3" i="1"/>
  <c r="CN3" i="1"/>
  <c r="CM16" i="1"/>
  <c r="CN16" i="1"/>
  <c r="CM26" i="1"/>
  <c r="CN26" i="1"/>
  <c r="CM8" i="1"/>
  <c r="CN8" i="1"/>
  <c r="CM34" i="1"/>
  <c r="CN34" i="1"/>
  <c r="CM42" i="1"/>
  <c r="CN42" i="1"/>
  <c r="CM2" i="1"/>
  <c r="CN2" i="1"/>
  <c r="CM7" i="1"/>
  <c r="CN7" i="1"/>
  <c r="CM23" i="1"/>
  <c r="CN23" i="1"/>
  <c r="CM29" i="1"/>
  <c r="CN29" i="1"/>
  <c r="CM22" i="1"/>
  <c r="CN22" i="1"/>
  <c r="CM33" i="1"/>
  <c r="CN33" i="1"/>
  <c r="CM35" i="1"/>
  <c r="CN35" i="1"/>
  <c r="CM44" i="1"/>
  <c r="CN44" i="1"/>
  <c r="CM17" i="1"/>
  <c r="CN17" i="1"/>
  <c r="CM12" i="1"/>
  <c r="CN12" i="1"/>
  <c r="CM38" i="1"/>
  <c r="CN38" i="1"/>
  <c r="CM11" i="1"/>
  <c r="CN11" i="1"/>
  <c r="CM25" i="1"/>
  <c r="CN25" i="1"/>
  <c r="CM30" i="1"/>
  <c r="CN30" i="1"/>
  <c r="CM27" i="1"/>
  <c r="CN27" i="1"/>
  <c r="CU24" i="1"/>
  <c r="CT24" i="1"/>
  <c r="CU6" i="1"/>
  <c r="CT6" i="1"/>
  <c r="CU27" i="1"/>
  <c r="CT27" i="1"/>
  <c r="CU30" i="1"/>
  <c r="CT30" i="1"/>
  <c r="CU25" i="1"/>
  <c r="CT25" i="1"/>
  <c r="CU11" i="1"/>
  <c r="CT11" i="1"/>
  <c r="CO35" i="1" l="1"/>
  <c r="CO29" i="1"/>
  <c r="CO42" i="1"/>
  <c r="CO3" i="1"/>
  <c r="CV38" i="1"/>
  <c r="CV35" i="1"/>
  <c r="CO23" i="1"/>
  <c r="CO7" i="1"/>
  <c r="CO34" i="1"/>
  <c r="CO21" i="1"/>
  <c r="CV12" i="1"/>
  <c r="CV33" i="1"/>
  <c r="CO30" i="1"/>
  <c r="CO17" i="1"/>
  <c r="CV26" i="1"/>
  <c r="CV27" i="1"/>
  <c r="CO25" i="1"/>
  <c r="CO12" i="1"/>
  <c r="CO2" i="1"/>
  <c r="CV42" i="1"/>
  <c r="CV8" i="1"/>
  <c r="CV6" i="1"/>
  <c r="CO11" i="1"/>
  <c r="CO38" i="1"/>
  <c r="CV17" i="1"/>
  <c r="CV44" i="1"/>
  <c r="CV7" i="1"/>
  <c r="CV3" i="1"/>
  <c r="CV11" i="1"/>
  <c r="CV30" i="1"/>
  <c r="CV29" i="1"/>
  <c r="CO22" i="1"/>
  <c r="CO16" i="1"/>
  <c r="CV22" i="1"/>
  <c r="CV23" i="1"/>
  <c r="CV2" i="1"/>
  <c r="CV34" i="1"/>
  <c r="CV16" i="1"/>
  <c r="CV21" i="1"/>
  <c r="CO27" i="1"/>
  <c r="CO33" i="1"/>
  <c r="CO26" i="1"/>
  <c r="CO44" i="1"/>
  <c r="CO8" i="1"/>
  <c r="CV25" i="1"/>
  <c r="CV24" i="1"/>
  <c r="CF44" i="1" l="1"/>
  <c r="CG44" i="1"/>
  <c r="CF11" i="1"/>
  <c r="CG11" i="1"/>
  <c r="BY44" i="1"/>
  <c r="BZ44" i="1"/>
  <c r="BY11" i="1"/>
  <c r="BZ11" i="1"/>
  <c r="BR44" i="1"/>
  <c r="BS44" i="1"/>
  <c r="BR11" i="1"/>
  <c r="BS11" i="1"/>
  <c r="BK44" i="1"/>
  <c r="BL44" i="1"/>
  <c r="BD44" i="1"/>
  <c r="BE44" i="1"/>
  <c r="BD11" i="1"/>
  <c r="BE11" i="1"/>
  <c r="AW44" i="1"/>
  <c r="AX44" i="1"/>
  <c r="AP44" i="1"/>
  <c r="AQ44" i="1"/>
  <c r="AP11" i="1"/>
  <c r="AQ11" i="1"/>
  <c r="AI44" i="1"/>
  <c r="AJ44" i="1"/>
  <c r="AI11" i="1"/>
  <c r="AJ11" i="1"/>
  <c r="AB44" i="1"/>
  <c r="AC44" i="1"/>
  <c r="AB11" i="1"/>
  <c r="AC11" i="1"/>
  <c r="U44" i="1"/>
  <c r="V44" i="1"/>
  <c r="U11" i="1"/>
  <c r="V11" i="1"/>
  <c r="U25" i="1"/>
  <c r="V25" i="1"/>
  <c r="N21" i="1"/>
  <c r="O21" i="1"/>
  <c r="N44" i="1"/>
  <c r="O44" i="1"/>
  <c r="N11" i="1"/>
  <c r="O11" i="1"/>
  <c r="N25" i="1"/>
  <c r="O25" i="1"/>
  <c r="C44" i="1"/>
  <c r="EM44" i="1" l="1"/>
  <c r="EN44" i="1" s="1"/>
  <c r="EO44" i="1"/>
  <c r="EP44" i="1" s="1"/>
  <c r="P11" i="1"/>
  <c r="P21" i="1"/>
  <c r="AK44" i="1"/>
  <c r="BM44" i="1"/>
  <c r="BT11" i="1"/>
  <c r="CH11" i="1"/>
  <c r="P44" i="1"/>
  <c r="W11" i="1"/>
  <c r="AD11" i="1"/>
  <c r="AY44" i="1"/>
  <c r="W44" i="1"/>
  <c r="BF11" i="1"/>
  <c r="W25" i="1"/>
  <c r="AK11" i="1"/>
  <c r="AR11" i="1"/>
  <c r="CA44" i="1"/>
  <c r="AR44" i="1"/>
  <c r="BF44" i="1"/>
  <c r="BT44" i="1"/>
  <c r="CH44" i="1"/>
  <c r="P25" i="1"/>
  <c r="AD44" i="1"/>
  <c r="CA11" i="1"/>
  <c r="C7" i="23"/>
  <c r="D7" i="23" s="1"/>
  <c r="E7" i="23" s="1"/>
  <c r="F7" i="23" s="1"/>
  <c r="G7" i="23" s="1"/>
  <c r="H7" i="23" s="1"/>
  <c r="H1" i="23"/>
  <c r="EQ44" i="1" l="1"/>
  <c r="ER44" i="1"/>
  <c r="B13" i="23"/>
  <c r="B20" i="23" s="1"/>
  <c r="B26" i="23" s="1"/>
  <c r="C26" i="23" s="1"/>
  <c r="D26" i="23" s="1"/>
  <c r="E26" i="23" s="1"/>
  <c r="G5" i="3"/>
  <c r="CN24" i="1"/>
  <c r="CM24" i="1"/>
  <c r="CN6" i="1"/>
  <c r="CM6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6" i="1"/>
  <c r="CO24" i="1"/>
  <c r="C26" i="1" l="1"/>
  <c r="CF25" i="1" l="1"/>
  <c r="CG25" i="1"/>
  <c r="CF21" i="1"/>
  <c r="CG21" i="1"/>
  <c r="BY25" i="1"/>
  <c r="BZ25" i="1"/>
  <c r="BY21" i="1"/>
  <c r="BZ21" i="1"/>
  <c r="CG42" i="1"/>
  <c r="CF42" i="1"/>
  <c r="CG34" i="1"/>
  <c r="CF34" i="1"/>
  <c r="CG38" i="1"/>
  <c r="CF38" i="1"/>
  <c r="CG35" i="1"/>
  <c r="CF35" i="1"/>
  <c r="CG33" i="1"/>
  <c r="CF33" i="1"/>
  <c r="CG27" i="1"/>
  <c r="CF27" i="1"/>
  <c r="CG30" i="1"/>
  <c r="CF30" i="1"/>
  <c r="CG29" i="1"/>
  <c r="CF29" i="1"/>
  <c r="CG22" i="1"/>
  <c r="CF22" i="1"/>
  <c r="CG26" i="1"/>
  <c r="CF26" i="1"/>
  <c r="CG24" i="1"/>
  <c r="CF24" i="1"/>
  <c r="CG23" i="1"/>
  <c r="CF23" i="1"/>
  <c r="CG16" i="1"/>
  <c r="CF16" i="1"/>
  <c r="CG17" i="1"/>
  <c r="CF17" i="1"/>
  <c r="CG12" i="1"/>
  <c r="CF12" i="1"/>
  <c r="CG8" i="1"/>
  <c r="CF8" i="1"/>
  <c r="CG6" i="1"/>
  <c r="CF6" i="1"/>
  <c r="CG2" i="1"/>
  <c r="CF2" i="1"/>
  <c r="CG7" i="1"/>
  <c r="CF7" i="1"/>
  <c r="CG3" i="1"/>
  <c r="CF3" i="1"/>
  <c r="AW11" i="1"/>
  <c r="AX11" i="1"/>
  <c r="BK11" i="1"/>
  <c r="BL11" i="1"/>
  <c r="AB25" i="1"/>
  <c r="AC25" i="1"/>
  <c r="AI25" i="1"/>
  <c r="AJ25" i="1"/>
  <c r="AP25" i="1"/>
  <c r="AQ25" i="1"/>
  <c r="AW25" i="1"/>
  <c r="AX25" i="1"/>
  <c r="BD25" i="1"/>
  <c r="BE25" i="1"/>
  <c r="BK25" i="1"/>
  <c r="BL25" i="1"/>
  <c r="BR25" i="1"/>
  <c r="BS25" i="1"/>
  <c r="U21" i="1"/>
  <c r="V21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C21" i="1"/>
  <c r="C25" i="1"/>
  <c r="C11" i="1"/>
  <c r="EO11" i="1" l="1"/>
  <c r="EP11" i="1" s="1"/>
  <c r="EO21" i="1"/>
  <c r="EP21" i="1" s="1"/>
  <c r="EO25" i="1"/>
  <c r="EP25" i="1" s="1"/>
  <c r="EM21" i="1"/>
  <c r="EM25" i="1"/>
  <c r="EM11" i="1"/>
  <c r="CA25" i="1"/>
  <c r="CH25" i="1"/>
  <c r="CH2" i="1"/>
  <c r="CH6" i="1"/>
  <c r="CH8" i="1"/>
  <c r="CH12" i="1"/>
  <c r="CH16" i="1"/>
  <c r="CH26" i="1"/>
  <c r="CH34" i="1"/>
  <c r="BM25" i="1"/>
  <c r="CH42" i="1"/>
  <c r="BT21" i="1"/>
  <c r="AR21" i="1"/>
  <c r="BM11" i="1"/>
  <c r="AY11" i="1"/>
  <c r="CH17" i="1"/>
  <c r="CA21" i="1"/>
  <c r="CH21" i="1"/>
  <c r="AK25" i="1"/>
  <c r="CH7" i="1"/>
  <c r="CH24" i="1"/>
  <c r="CH22" i="1"/>
  <c r="CH29" i="1"/>
  <c r="CH27" i="1"/>
  <c r="CH33" i="1"/>
  <c r="AK21" i="1"/>
  <c r="W21" i="1"/>
  <c r="BF25" i="1"/>
  <c r="AR25" i="1"/>
  <c r="AD25" i="1"/>
  <c r="CH23" i="1"/>
  <c r="CH30" i="1"/>
  <c r="CH35" i="1"/>
  <c r="CH38" i="1"/>
  <c r="CH3" i="1"/>
  <c r="BF21" i="1"/>
  <c r="BM21" i="1"/>
  <c r="AY21" i="1"/>
  <c r="AD21" i="1"/>
  <c r="BT25" i="1"/>
  <c r="AY25" i="1"/>
  <c r="EQ11" i="1" l="1"/>
  <c r="EN11" i="1"/>
  <c r="ER11" i="1" s="1"/>
  <c r="EN25" i="1"/>
  <c r="ER25" i="1" s="1"/>
  <c r="EQ25" i="1"/>
  <c r="EN21" i="1"/>
  <c r="ER21" i="1" s="1"/>
  <c r="EQ21" i="1"/>
  <c r="BY8" i="1"/>
  <c r="BZ8" i="1"/>
  <c r="BY34" i="1"/>
  <c r="BZ34" i="1"/>
  <c r="BR8" i="1"/>
  <c r="BS8" i="1"/>
  <c r="BR34" i="1"/>
  <c r="BS34" i="1"/>
  <c r="BK8" i="1"/>
  <c r="BL8" i="1"/>
  <c r="BK34" i="1"/>
  <c r="BL34" i="1"/>
  <c r="BD8" i="1"/>
  <c r="BE8" i="1"/>
  <c r="BD34" i="1"/>
  <c r="BE34" i="1"/>
  <c r="AW8" i="1"/>
  <c r="AX8" i="1"/>
  <c r="AW34" i="1"/>
  <c r="AX34" i="1"/>
  <c r="AP38" i="1"/>
  <c r="AP8" i="1"/>
  <c r="AQ8" i="1"/>
  <c r="AP34" i="1"/>
  <c r="AQ34" i="1"/>
  <c r="AI8" i="1"/>
  <c r="AJ8" i="1"/>
  <c r="AI34" i="1"/>
  <c r="AJ34" i="1"/>
  <c r="AB8" i="1"/>
  <c r="AC8" i="1"/>
  <c r="AB34" i="1"/>
  <c r="AC34" i="1"/>
  <c r="U8" i="1"/>
  <c r="V8" i="1"/>
  <c r="U34" i="1"/>
  <c r="V34" i="1"/>
  <c r="N12" i="1"/>
  <c r="O12" i="1"/>
  <c r="N38" i="1"/>
  <c r="O38" i="1"/>
  <c r="N8" i="1"/>
  <c r="O8" i="1"/>
  <c r="N34" i="1"/>
  <c r="O34" i="1"/>
  <c r="C8" i="1"/>
  <c r="C34" i="1"/>
  <c r="EO8" i="1" l="1"/>
  <c r="EP8" i="1" s="1"/>
  <c r="EM34" i="1"/>
  <c r="EM8" i="1"/>
  <c r="EN8" i="1" s="1"/>
  <c r="EN34" i="1"/>
  <c r="EO34" i="1"/>
  <c r="EP34" i="1" s="1"/>
  <c r="BF8" i="1"/>
  <c r="BM8" i="1"/>
  <c r="AR34" i="1"/>
  <c r="P34" i="1"/>
  <c r="AD8" i="1"/>
  <c r="AD34" i="1"/>
  <c r="AK8" i="1"/>
  <c r="AY34" i="1"/>
  <c r="BM34" i="1"/>
  <c r="BT34" i="1"/>
  <c r="P8" i="1"/>
  <c r="P12" i="1"/>
  <c r="AR8" i="1"/>
  <c r="CA34" i="1"/>
  <c r="W8" i="1"/>
  <c r="AK34" i="1"/>
  <c r="BF34" i="1"/>
  <c r="BT8" i="1"/>
  <c r="CA8" i="1"/>
  <c r="P38" i="1"/>
  <c r="W34" i="1"/>
  <c r="AY8" i="1"/>
  <c r="BZ16" i="1"/>
  <c r="BY16" i="1"/>
  <c r="BZ2" i="1"/>
  <c r="BY2" i="1"/>
  <c r="BZ24" i="1"/>
  <c r="BY24" i="1"/>
  <c r="BZ29" i="1"/>
  <c r="BY29" i="1"/>
  <c r="BZ33" i="1"/>
  <c r="BY33" i="1"/>
  <c r="BZ30" i="1"/>
  <c r="BY30" i="1"/>
  <c r="BZ27" i="1"/>
  <c r="BY27" i="1"/>
  <c r="BZ38" i="1"/>
  <c r="BY38" i="1"/>
  <c r="BZ35" i="1"/>
  <c r="BY35" i="1"/>
  <c r="BZ12" i="1"/>
  <c r="BY12" i="1"/>
  <c r="BZ17" i="1"/>
  <c r="BY17" i="1"/>
  <c r="BZ7" i="1"/>
  <c r="BY7" i="1"/>
  <c r="BZ6" i="1"/>
  <c r="BY6" i="1"/>
  <c r="BZ3" i="1"/>
  <c r="BY3" i="1"/>
  <c r="BZ42" i="1"/>
  <c r="BY42" i="1"/>
  <c r="BZ26" i="1"/>
  <c r="BY26" i="1"/>
  <c r="BZ23" i="1"/>
  <c r="BY23" i="1"/>
  <c r="BZ22" i="1"/>
  <c r="BY22" i="1"/>
  <c r="EQ8" i="1" l="1"/>
  <c r="ER8" i="1"/>
  <c r="ER34" i="1"/>
  <c r="EQ34" i="1"/>
  <c r="CA3" i="1"/>
  <c r="CA7" i="1"/>
  <c r="CA12" i="1"/>
  <c r="CA27" i="1"/>
  <c r="CA2" i="1"/>
  <c r="CA16" i="1"/>
  <c r="CA23" i="1"/>
  <c r="CA17" i="1"/>
  <c r="CA35" i="1"/>
  <c r="CA26" i="1"/>
  <c r="CA30" i="1"/>
  <c r="CA29" i="1"/>
  <c r="CA24" i="1"/>
  <c r="CA22" i="1"/>
  <c r="CA42" i="1"/>
  <c r="CA6" i="1"/>
  <c r="CA38" i="1"/>
  <c r="CA33" i="1"/>
  <c r="BR2" i="1"/>
  <c r="BS2" i="1"/>
  <c r="BR3" i="1"/>
  <c r="BS3" i="1"/>
  <c r="BR29" i="1"/>
  <c r="BS29" i="1"/>
  <c r="BR7" i="1"/>
  <c r="BS7" i="1"/>
  <c r="BR6" i="1"/>
  <c r="BS6" i="1"/>
  <c r="BR12" i="1"/>
  <c r="BS12" i="1"/>
  <c r="BR16" i="1"/>
  <c r="BS16" i="1"/>
  <c r="BR17" i="1"/>
  <c r="BS17" i="1"/>
  <c r="BR24" i="1"/>
  <c r="BS24" i="1"/>
  <c r="BR22" i="1"/>
  <c r="BS22" i="1"/>
  <c r="BR26" i="1"/>
  <c r="BS26" i="1"/>
  <c r="BR23" i="1"/>
  <c r="BS23" i="1"/>
  <c r="BR30" i="1"/>
  <c r="BS30" i="1"/>
  <c r="BR27" i="1"/>
  <c r="BS27" i="1"/>
  <c r="BR33" i="1"/>
  <c r="BS33" i="1"/>
  <c r="BR35" i="1"/>
  <c r="BS35" i="1"/>
  <c r="BR38" i="1"/>
  <c r="BS38" i="1"/>
  <c r="BR42" i="1"/>
  <c r="BS42" i="1"/>
  <c r="BT3" i="1" l="1"/>
  <c r="BT23" i="1"/>
  <c r="BT22" i="1"/>
  <c r="BT29" i="1"/>
  <c r="BT12" i="1"/>
  <c r="BT38" i="1"/>
  <c r="BT33" i="1"/>
  <c r="BT7" i="1"/>
  <c r="BT2" i="1"/>
  <c r="BT24" i="1"/>
  <c r="BT16" i="1"/>
  <c r="BT6" i="1"/>
  <c r="BT35" i="1"/>
  <c r="BT26" i="1"/>
  <c r="BT30" i="1"/>
  <c r="BT42" i="1"/>
  <c r="BT27" i="1"/>
  <c r="BT17" i="1"/>
  <c r="BK12" i="1"/>
  <c r="BL12" i="1"/>
  <c r="U12" i="1"/>
  <c r="V12" i="1"/>
  <c r="AB12" i="1"/>
  <c r="AC12" i="1"/>
  <c r="AI12" i="1"/>
  <c r="AJ12" i="1"/>
  <c r="AP12" i="1"/>
  <c r="AQ12" i="1"/>
  <c r="AW12" i="1"/>
  <c r="AX12" i="1"/>
  <c r="BD12" i="1"/>
  <c r="BE12" i="1"/>
  <c r="C12" i="1"/>
  <c r="BK38" i="1"/>
  <c r="BL38" i="1"/>
  <c r="U38" i="1"/>
  <c r="V38" i="1"/>
  <c r="AB38" i="1"/>
  <c r="AC38" i="1"/>
  <c r="AI38" i="1"/>
  <c r="EM38" i="1" s="1"/>
  <c r="AJ38" i="1"/>
  <c r="AQ38" i="1"/>
  <c r="AW38" i="1"/>
  <c r="AX38" i="1"/>
  <c r="BD38" i="1"/>
  <c r="BE38" i="1"/>
  <c r="C38" i="1"/>
  <c r="EN38" i="1" l="1"/>
  <c r="EO12" i="1"/>
  <c r="EP12" i="1" s="1"/>
  <c r="EM12" i="1"/>
  <c r="EO38" i="1"/>
  <c r="EP38" i="1" s="1"/>
  <c r="AY38" i="1"/>
  <c r="W38" i="1"/>
  <c r="BF38" i="1"/>
  <c r="AR38" i="1"/>
  <c r="AD38" i="1"/>
  <c r="AY12" i="1"/>
  <c r="BM12" i="1"/>
  <c r="BF12" i="1"/>
  <c r="AK12" i="1"/>
  <c r="AK38" i="1"/>
  <c r="BM38" i="1"/>
  <c r="AR12" i="1"/>
  <c r="AD12" i="1"/>
  <c r="BK22" i="1"/>
  <c r="BL22" i="1"/>
  <c r="BK26" i="1"/>
  <c r="BL26" i="1"/>
  <c r="BK33" i="1"/>
  <c r="BL33" i="1"/>
  <c r="BK35" i="1"/>
  <c r="BL35" i="1"/>
  <c r="BD22" i="1"/>
  <c r="BE22" i="1"/>
  <c r="BD26" i="1"/>
  <c r="BE26" i="1"/>
  <c r="BD33" i="1"/>
  <c r="BE33" i="1"/>
  <c r="BD35" i="1"/>
  <c r="BE35" i="1"/>
  <c r="AW22" i="1"/>
  <c r="AX22" i="1"/>
  <c r="AW26" i="1"/>
  <c r="AX26" i="1"/>
  <c r="AW33" i="1"/>
  <c r="AX33" i="1"/>
  <c r="AW35" i="1"/>
  <c r="AX35" i="1"/>
  <c r="AP22" i="1"/>
  <c r="AQ22" i="1"/>
  <c r="AP26" i="1"/>
  <c r="AQ26" i="1"/>
  <c r="AP33" i="1"/>
  <c r="AQ33" i="1"/>
  <c r="AP35" i="1"/>
  <c r="AQ35" i="1"/>
  <c r="AI22" i="1"/>
  <c r="AJ22" i="1"/>
  <c r="AI26" i="1"/>
  <c r="AJ26" i="1"/>
  <c r="AI33" i="1"/>
  <c r="AJ33" i="1"/>
  <c r="AI35" i="1"/>
  <c r="AJ35" i="1"/>
  <c r="AB22" i="1"/>
  <c r="AC22" i="1"/>
  <c r="AB26" i="1"/>
  <c r="AC26" i="1"/>
  <c r="AB33" i="1"/>
  <c r="AC33" i="1"/>
  <c r="AB35" i="1"/>
  <c r="AC35" i="1"/>
  <c r="U22" i="1"/>
  <c r="V22" i="1"/>
  <c r="U26" i="1"/>
  <c r="V26" i="1"/>
  <c r="U33" i="1"/>
  <c r="V33" i="1"/>
  <c r="U35" i="1"/>
  <c r="V35" i="1"/>
  <c r="N22" i="1"/>
  <c r="O22" i="1"/>
  <c r="N26" i="1"/>
  <c r="O26" i="1"/>
  <c r="N33" i="1"/>
  <c r="O33" i="1"/>
  <c r="N35" i="1"/>
  <c r="O35" i="1"/>
  <c r="C3" i="1"/>
  <c r="C7" i="1"/>
  <c r="C2" i="1"/>
  <c r="C16" i="1"/>
  <c r="C17" i="1"/>
  <c r="C23" i="1"/>
  <c r="C22" i="1"/>
  <c r="C24" i="1"/>
  <c r="C30" i="1"/>
  <c r="C27" i="1"/>
  <c r="C29" i="1"/>
  <c r="C33" i="1"/>
  <c r="C35" i="1"/>
  <c r="C42" i="1"/>
  <c r="ER38" i="1" l="1"/>
  <c r="EM26" i="1"/>
  <c r="EO33" i="1"/>
  <c r="EP33" i="1" s="1"/>
  <c r="EM33" i="1"/>
  <c r="EO26" i="1"/>
  <c r="EP26" i="1" s="1"/>
  <c r="EN26" i="1"/>
  <c r="EO22" i="1"/>
  <c r="EP22" i="1" s="1"/>
  <c r="EN12" i="1"/>
  <c r="ER12" i="1" s="1"/>
  <c r="EQ12" i="1"/>
  <c r="EM22" i="1"/>
  <c r="EO35" i="1"/>
  <c r="EP35" i="1" s="1"/>
  <c r="EQ38" i="1"/>
  <c r="EM35" i="1"/>
  <c r="W33" i="1"/>
  <c r="AK33" i="1"/>
  <c r="AY33" i="1"/>
  <c r="AY22" i="1"/>
  <c r="AY26" i="1"/>
  <c r="BM33" i="1"/>
  <c r="AR22" i="1"/>
  <c r="BM22" i="1"/>
  <c r="P33" i="1"/>
  <c r="P22" i="1"/>
  <c r="AD33" i="1"/>
  <c r="AD22" i="1"/>
  <c r="AR33" i="1"/>
  <c r="BF26" i="1"/>
  <c r="P35" i="1"/>
  <c r="W35" i="1"/>
  <c r="BF33" i="1"/>
  <c r="AD26" i="1"/>
  <c r="AK35" i="1"/>
  <c r="AR26" i="1"/>
  <c r="P26" i="1"/>
  <c r="W22" i="1"/>
  <c r="AK26" i="1"/>
  <c r="AR35" i="1"/>
  <c r="BF35" i="1"/>
  <c r="BF22" i="1"/>
  <c r="BM35" i="1"/>
  <c r="W26" i="1"/>
  <c r="AD35" i="1"/>
  <c r="AK22" i="1"/>
  <c r="AY35" i="1"/>
  <c r="BM26" i="1"/>
  <c r="EQ26" i="1" l="1"/>
  <c r="EN35" i="1"/>
  <c r="ER35" i="1" s="1"/>
  <c r="EQ35" i="1"/>
  <c r="EN22" i="1"/>
  <c r="ER22" i="1" s="1"/>
  <c r="EQ22" i="1"/>
  <c r="ER26" i="1"/>
  <c r="EN33" i="1"/>
  <c r="ER33" i="1" s="1"/>
  <c r="EQ33" i="1"/>
  <c r="BL3" i="1"/>
  <c r="BK3" i="1"/>
  <c r="BE3" i="1"/>
  <c r="O3" i="1"/>
  <c r="BD6" i="1"/>
  <c r="BE6" i="1"/>
  <c r="BD7" i="1"/>
  <c r="BE7" i="1"/>
  <c r="BD2" i="1"/>
  <c r="BE2" i="1"/>
  <c r="BD16" i="1"/>
  <c r="BE16" i="1"/>
  <c r="BD17" i="1"/>
  <c r="BE17" i="1"/>
  <c r="BD23" i="1"/>
  <c r="BE23" i="1"/>
  <c r="AW6" i="1"/>
  <c r="AX6" i="1"/>
  <c r="AW7" i="1"/>
  <c r="AX7" i="1"/>
  <c r="AW2" i="1"/>
  <c r="AX2" i="1"/>
  <c r="AW16" i="1"/>
  <c r="AX16" i="1"/>
  <c r="AP6" i="1"/>
  <c r="AQ6" i="1"/>
  <c r="AP7" i="1"/>
  <c r="AQ7" i="1"/>
  <c r="AP2" i="1"/>
  <c r="AQ2" i="1"/>
  <c r="AP16" i="1"/>
  <c r="EM16" i="1" s="1"/>
  <c r="AQ16" i="1"/>
  <c r="AP17" i="1"/>
  <c r="AQ17" i="1"/>
  <c r="AI6" i="1"/>
  <c r="AJ6" i="1"/>
  <c r="AI7" i="1"/>
  <c r="AJ7" i="1"/>
  <c r="AI2" i="1"/>
  <c r="AJ2" i="1"/>
  <c r="AI16" i="1"/>
  <c r="AJ16" i="1"/>
  <c r="AI17" i="1"/>
  <c r="AJ17" i="1"/>
  <c r="AI23" i="1"/>
  <c r="AJ23" i="1"/>
  <c r="AI24" i="1"/>
  <c r="AJ24" i="1"/>
  <c r="AI30" i="1"/>
  <c r="AJ30" i="1"/>
  <c r="AB6" i="1"/>
  <c r="AC6" i="1"/>
  <c r="AB7" i="1"/>
  <c r="AC7" i="1"/>
  <c r="AB2" i="1"/>
  <c r="AC2" i="1"/>
  <c r="AB16" i="1"/>
  <c r="AC16" i="1"/>
  <c r="AB17" i="1"/>
  <c r="AC17" i="1"/>
  <c r="U6" i="1"/>
  <c r="V6" i="1"/>
  <c r="U7" i="1"/>
  <c r="V7" i="1"/>
  <c r="U2" i="1"/>
  <c r="V2" i="1"/>
  <c r="U16" i="1"/>
  <c r="V16" i="1"/>
  <c r="U17" i="1"/>
  <c r="V17" i="1"/>
  <c r="N6" i="1"/>
  <c r="O6" i="1"/>
  <c r="N7" i="1"/>
  <c r="O7" i="1"/>
  <c r="N2" i="1"/>
  <c r="O2" i="1"/>
  <c r="N16" i="1"/>
  <c r="O16" i="1"/>
  <c r="N17" i="1"/>
  <c r="O17" i="1"/>
  <c r="N23" i="1"/>
  <c r="O23" i="1"/>
  <c r="BK16" i="1"/>
  <c r="BL16" i="1"/>
  <c r="BL42" i="1"/>
  <c r="BK42" i="1"/>
  <c r="BL29" i="1"/>
  <c r="BK29" i="1"/>
  <c r="BL27" i="1"/>
  <c r="BK27" i="1"/>
  <c r="BL30" i="1"/>
  <c r="BK30" i="1"/>
  <c r="BL24" i="1"/>
  <c r="BK24" i="1"/>
  <c r="BL23" i="1"/>
  <c r="BK23" i="1"/>
  <c r="BL17" i="1"/>
  <c r="BK17" i="1"/>
  <c r="BL2" i="1"/>
  <c r="BK2" i="1"/>
  <c r="BL7" i="1"/>
  <c r="BK7" i="1"/>
  <c r="BL6" i="1"/>
  <c r="BK6" i="1"/>
  <c r="EO2" i="1" l="1"/>
  <c r="EP2" i="1" s="1"/>
  <c r="EM2" i="1"/>
  <c r="EO7" i="1"/>
  <c r="EP7" i="1" s="1"/>
  <c r="EM7" i="1"/>
  <c r="EO6" i="1"/>
  <c r="EP6" i="1" s="1"/>
  <c r="EM6" i="1"/>
  <c r="EN16" i="1"/>
  <c r="EO16" i="1"/>
  <c r="EP16" i="1" s="1"/>
  <c r="W2" i="1"/>
  <c r="AR16" i="1"/>
  <c r="AY16" i="1"/>
  <c r="AY2" i="1"/>
  <c r="BF2" i="1"/>
  <c r="BM3" i="1"/>
  <c r="BM16" i="1"/>
  <c r="P16" i="1"/>
  <c r="W17" i="1"/>
  <c r="AD7" i="1"/>
  <c r="AR2" i="1"/>
  <c r="AD6" i="1"/>
  <c r="AR17" i="1"/>
  <c r="BM7" i="1"/>
  <c r="BM2" i="1"/>
  <c r="BM23" i="1"/>
  <c r="BM30" i="1"/>
  <c r="BM29" i="1"/>
  <c r="P2" i="1"/>
  <c r="W16" i="1"/>
  <c r="W7" i="1"/>
  <c r="AK2" i="1"/>
  <c r="AR7" i="1"/>
  <c r="BM6" i="1"/>
  <c r="BM27" i="1"/>
  <c r="W6" i="1"/>
  <c r="AD17" i="1"/>
  <c r="AD16" i="1"/>
  <c r="AK30" i="1"/>
  <c r="AR6" i="1"/>
  <c r="BF23" i="1"/>
  <c r="P23" i="1"/>
  <c r="P17" i="1"/>
  <c r="P7" i="1"/>
  <c r="AK24" i="1"/>
  <c r="AK6" i="1"/>
  <c r="AY6" i="1"/>
  <c r="BF17" i="1"/>
  <c r="BF16" i="1"/>
  <c r="BF6" i="1"/>
  <c r="BM17" i="1"/>
  <c r="BM24" i="1"/>
  <c r="BM42" i="1"/>
  <c r="P6" i="1"/>
  <c r="AD2" i="1"/>
  <c r="AK23" i="1"/>
  <c r="AK17" i="1"/>
  <c r="AK16" i="1"/>
  <c r="AK7" i="1"/>
  <c r="AY7" i="1"/>
  <c r="BF7" i="1"/>
  <c r="ER16" i="1" l="1"/>
  <c r="EN7" i="1"/>
  <c r="ER7" i="1" s="1"/>
  <c r="EQ7" i="1"/>
  <c r="EQ16" i="1"/>
  <c r="EN2" i="1"/>
  <c r="ER2" i="1" s="1"/>
  <c r="EQ2" i="1"/>
  <c r="EN6" i="1"/>
  <c r="ER6" i="1" s="1"/>
  <c r="EQ6" i="1"/>
  <c r="BE42" i="1"/>
  <c r="BD42" i="1"/>
  <c r="BE29" i="1"/>
  <c r="BD29" i="1"/>
  <c r="BE27" i="1"/>
  <c r="BD27" i="1"/>
  <c r="BE30" i="1"/>
  <c r="BD30" i="1"/>
  <c r="BE24" i="1"/>
  <c r="BD24" i="1"/>
  <c r="BD3" i="1"/>
  <c r="AW17" i="1"/>
  <c r="EM17" i="1" s="1"/>
  <c r="AX17" i="1"/>
  <c r="EO17" i="1" s="1"/>
  <c r="EP17" i="1" s="1"/>
  <c r="AW42" i="1"/>
  <c r="AX42" i="1"/>
  <c r="AP42" i="1"/>
  <c r="AQ42" i="1"/>
  <c r="AI42" i="1"/>
  <c r="AJ42" i="1"/>
  <c r="U42" i="1"/>
  <c r="V42" i="1"/>
  <c r="AB42" i="1"/>
  <c r="AC42" i="1"/>
  <c r="N42" i="1"/>
  <c r="O42" i="1"/>
  <c r="EN17" i="1" l="1"/>
  <c r="ER17" i="1" s="1"/>
  <c r="EQ17" i="1"/>
  <c r="EO42" i="1"/>
  <c r="EP42" i="1" s="1"/>
  <c r="EM42" i="1"/>
  <c r="BF3" i="1"/>
  <c r="BF24" i="1"/>
  <c r="BF30" i="1"/>
  <c r="BF29" i="1"/>
  <c r="BF42" i="1"/>
  <c r="BF27" i="1"/>
  <c r="AD42" i="1"/>
  <c r="W42" i="1"/>
  <c r="AK42" i="1"/>
  <c r="AY42" i="1"/>
  <c r="P42" i="1"/>
  <c r="AR42" i="1"/>
  <c r="AY17" i="1"/>
  <c r="EQ42" i="1" l="1"/>
  <c r="EN42" i="1"/>
  <c r="ER42" i="1" s="1"/>
  <c r="AX30" i="1"/>
  <c r="AW30" i="1"/>
  <c r="AX27" i="1"/>
  <c r="AW27" i="1"/>
  <c r="AX24" i="1"/>
  <c r="AW24" i="1"/>
  <c r="AX29" i="1"/>
  <c r="AW29" i="1"/>
  <c r="AX23" i="1"/>
  <c r="AW23" i="1"/>
  <c r="AX3" i="1"/>
  <c r="AW3" i="1"/>
  <c r="AY3" i="1" l="1"/>
  <c r="AY23" i="1"/>
  <c r="AY29" i="1"/>
  <c r="AY24" i="1"/>
  <c r="AY30" i="1"/>
  <c r="AY27" i="1"/>
  <c r="AP3" i="1" l="1"/>
  <c r="AQ3" i="1"/>
  <c r="AP24" i="1"/>
  <c r="AQ24" i="1"/>
  <c r="AP23" i="1"/>
  <c r="AQ23" i="1"/>
  <c r="AP29" i="1"/>
  <c r="AQ29" i="1"/>
  <c r="AP27" i="1"/>
  <c r="AQ27" i="1"/>
  <c r="AP30" i="1"/>
  <c r="AQ30" i="1"/>
  <c r="AR27" i="1" l="1"/>
  <c r="AR23" i="1"/>
  <c r="AR30" i="1"/>
  <c r="AR29" i="1"/>
  <c r="AR24" i="1"/>
  <c r="AR3" i="1"/>
  <c r="N24" i="1" l="1"/>
  <c r="O24" i="1"/>
  <c r="N30" i="1"/>
  <c r="O30" i="1"/>
  <c r="N27" i="1"/>
  <c r="O27" i="1"/>
  <c r="N29" i="1"/>
  <c r="O29" i="1"/>
  <c r="U23" i="1"/>
  <c r="V23" i="1"/>
  <c r="U24" i="1"/>
  <c r="V24" i="1"/>
  <c r="U30" i="1"/>
  <c r="V30" i="1"/>
  <c r="U27" i="1"/>
  <c r="V27" i="1"/>
  <c r="U29" i="1"/>
  <c r="V29" i="1"/>
  <c r="AB23" i="1"/>
  <c r="AC23" i="1"/>
  <c r="EO23" i="1" s="1"/>
  <c r="EP23" i="1" s="1"/>
  <c r="AB24" i="1"/>
  <c r="AC24" i="1"/>
  <c r="EO24" i="1" s="1"/>
  <c r="EP24" i="1" s="1"/>
  <c r="AB30" i="1"/>
  <c r="EM30" i="1" s="1"/>
  <c r="AC30" i="1"/>
  <c r="EO30" i="1" s="1"/>
  <c r="EP30" i="1" s="1"/>
  <c r="AB27" i="1"/>
  <c r="AC27" i="1"/>
  <c r="AB29" i="1"/>
  <c r="AC29" i="1"/>
  <c r="AI27" i="1"/>
  <c r="AJ27" i="1"/>
  <c r="AI29" i="1"/>
  <c r="AJ29" i="1"/>
  <c r="EO29" i="1" s="1"/>
  <c r="EP29" i="1" s="1"/>
  <c r="EM29" i="1" l="1"/>
  <c r="EM24" i="1"/>
  <c r="EM23" i="1"/>
  <c r="EQ23" i="1" s="1"/>
  <c r="EM27" i="1"/>
  <c r="EN27" i="1" s="1"/>
  <c r="EN30" i="1"/>
  <c r="ER30" i="1" s="1"/>
  <c r="EQ30" i="1"/>
  <c r="EO27" i="1"/>
  <c r="EQ27" i="1" s="1"/>
  <c r="EN29" i="1"/>
  <c r="ER29" i="1" s="1"/>
  <c r="EQ29" i="1"/>
  <c r="EN24" i="1"/>
  <c r="ER24" i="1" s="1"/>
  <c r="EQ24" i="1"/>
  <c r="P27" i="1"/>
  <c r="AD27" i="1"/>
  <c r="P30" i="1"/>
  <c r="AD23" i="1"/>
  <c r="AD24" i="1"/>
  <c r="W30" i="1"/>
  <c r="AK29" i="1"/>
  <c r="AD30" i="1"/>
  <c r="W29" i="1"/>
  <c r="W24" i="1"/>
  <c r="W27" i="1"/>
  <c r="P24" i="1"/>
  <c r="W23" i="1"/>
  <c r="AK27" i="1"/>
  <c r="AD29" i="1"/>
  <c r="P29" i="1"/>
  <c r="EN23" i="1" l="1"/>
  <c r="ER23" i="1" s="1"/>
  <c r="EP27" i="1"/>
  <c r="ER27" i="1" s="1"/>
  <c r="C7" i="3"/>
  <c r="C3" i="3"/>
  <c r="AJ3" i="1" l="1"/>
  <c r="AI3" i="1"/>
  <c r="AK3" i="1" l="1"/>
  <c r="C8" i="3"/>
  <c r="C9" i="3" s="1"/>
  <c r="C2" i="3"/>
  <c r="C4" i="3" s="1"/>
  <c r="AC3" i="1" l="1"/>
  <c r="AB3" i="1"/>
  <c r="V3" i="1"/>
  <c r="U3" i="1"/>
  <c r="N3" i="1"/>
  <c r="EM3" i="1" l="1"/>
  <c r="EO3" i="1"/>
  <c r="EP3" i="1" s="1"/>
  <c r="H5" i="3"/>
  <c r="J5" i="3"/>
  <c r="P3" i="1"/>
  <c r="W3" i="1"/>
  <c r="AD3" i="1"/>
  <c r="EN3" i="1" l="1"/>
  <c r="ER3" i="1" s="1"/>
  <c r="EQ3" i="1"/>
</calcChain>
</file>

<file path=xl/sharedStrings.xml><?xml version="1.0" encoding="utf-8"?>
<sst xmlns="http://schemas.openxmlformats.org/spreadsheetml/2006/main" count="1249" uniqueCount="314">
  <si>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</si>
  <si>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</si>
  <si>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</si>
  <si>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</si>
  <si>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</si>
  <si>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</si>
  <si>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</si>
  <si>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</si>
  <si>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</si>
  <si>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</si>
  <si>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</si>
  <si>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</si>
  <si>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</si>
  <si>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</si>
  <si>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</si>
  <si>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</si>
  <si>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</si>
  <si>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</si>
  <si>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</si>
  <si>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</si>
  <si>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</si>
  <si>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</si>
  <si>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</si>
  <si>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</si>
  <si>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</si>
  <si>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</si>
  <si>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</si>
  <si>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</si>
  <si>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</si>
  <si>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</si>
  <si>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</si>
  <si>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</si>
  <si>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</si>
  <si>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</si>
  <si>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</si>
  <si>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</si>
  <si>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</si>
  <si>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</si>
  <si>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</si>
  <si>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</si>
  <si>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</si>
  <si>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</si>
  <si>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</si>
  <si>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</si>
  <si>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</si>
  <si>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</si>
  <si>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</si>
  <si>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</si>
  <si>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</si>
  <si>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</si>
  <si>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</si>
  <si>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</si>
  <si>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</si>
  <si>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</si>
  <si>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</si>
  <si>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</si>
  <si>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</si>
  <si>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</si>
  <si>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</si>
  <si>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</si>
  <si>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</si>
  <si>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</si>
  <si>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</si>
  <si>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</si>
  <si>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</si>
  <si>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</si>
  <si>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</si>
  <si>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</si>
  <si>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</si>
  <si>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</si>
  <si>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</si>
  <si>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</si>
  <si>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</si>
  <si>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</si>
  <si>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</si>
  <si>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</si>
  <si>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</si>
  <si>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</si>
  <si>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</si>
  <si>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</si>
  <si>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</si>
  <si>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</si>
  <si>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</si>
  <si>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</si>
  <si>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</si>
  <si>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</si>
  <si>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</si>
  <si>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</si>
  <si>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</si>
  <si>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</si>
  <si>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</si>
  <si>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</si>
  <si>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</si>
  <si>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</si>
  <si>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</si>
  <si>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</si>
  <si>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</si>
  <si>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</si>
  <si>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</si>
  <si>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</si>
  <si>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</si>
  <si>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</si>
  <si>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</si>
  <si>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</si>
  <si>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</si>
  <si>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</si>
  <si>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</si>
  <si>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</si>
  <si>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</si>
  <si>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</si>
  <si>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</si>
  <si>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</si>
  <si>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</si>
  <si>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</si>
  <si>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</si>
  <si>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</si>
  <si>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</si>
  <si>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</si>
  <si>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</si>
  <si>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</si>
  <si>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</si>
  <si>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</si>
  <si>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</si>
  <si>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</si>
  <si>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</si>
  <si>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</si>
  <si>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</si>
  <si>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</si>
  <si>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</si>
  <si>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</si>
  <si>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</si>
  <si>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</si>
  <si>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</si>
  <si>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</si>
  <si>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</si>
  <si>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</si>
  <si>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</si>
  <si>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</si>
  <si>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</si>
  <si>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</si>
  <si>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</si>
  <si>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</si>
  <si>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</si>
  <si>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</si>
  <si>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</si>
  <si>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</si>
  <si>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</si>
  <si>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</si>
  <si>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</si>
  <si>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</si>
  <si>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</si>
  <si>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</si>
  <si>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</si>
  <si>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</si>
  <si>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</si>
  <si>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</si>
  <si>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</si>
  <si>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</si>
  <si>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</si>
  <si>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</si>
  <si>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</si>
  <si>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</si>
  <si>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</si>
  <si>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</si>
  <si>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</si>
  <si>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</si>
  <si>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</si>
  <si>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</si>
  <si>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</si>
  <si>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</si>
  <si>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</si>
  <si>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</si>
  <si>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</si>
  <si>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</si>
  <si>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</si>
  <si>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</si>
  <si>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</si>
  <si>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</si>
  <si>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</si>
  <si>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</si>
  <si>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</si>
  <si>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</si>
  <si>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</si>
  <si>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</si>
  <si>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</si>
  <si>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</si>
  <si>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</si>
  <si>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</si>
  <si>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</si>
  <si>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</si>
  <si>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</si>
  <si>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</si>
  <si>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</si>
  <si>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</si>
  <si>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</si>
  <si>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</si>
  <si>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</si>
  <si>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</si>
  <si>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</si>
  <si>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</si>
  <si>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</si>
  <si>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</si>
  <si>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</si>
  <si>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</si>
  <si>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</si>
  <si>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</si>
  <si>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</si>
  <si>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</si>
  <si>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</si>
  <si>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</si>
  <si>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</si>
  <si>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</si>
  <si>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</si>
  <si>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</si>
  <si>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</si>
  <si>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</si>
  <si>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</si>
  <si>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</si>
  <si>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</si>
  <si>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</si>
  <si>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</si>
  <si>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</si>
  <si>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</si>
  <si>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</si>
  <si>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</si>
  <si>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</si>
  <si>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</si>
  <si>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</si>
  <si>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</si>
  <si>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</si>
  <si>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</si>
  <si>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</si>
  <si>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</si>
  <si>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</si>
  <si>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</si>
  <si>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</si>
  <si>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</si>
  <si>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</si>
  <si>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</si>
  <si>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</si>
  <si>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</si>
  <si>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</si>
  <si>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</si>
  <si>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</si>
  <si>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</si>
  <si>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</si>
  <si>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</si>
  <si>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</si>
  <si>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</si>
  <si>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</si>
  <si>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</si>
  <si>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</si>
  <si>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</si>
  <si>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</si>
  <si>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</si>
  <si>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</si>
  <si>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</si>
  <si>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</si>
  <si>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</si>
  <si>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</si>
  <si>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</si>
  <si>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</si>
  <si>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</si>
  <si>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</si>
  <si>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</si>
  <si>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</si>
  <si>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</si>
  <si>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</si>
  <si>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</si>
  <si>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</si>
  <si>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</si>
  <si>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</si>
  <si>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</si>
  <si>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</si>
  <si>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</si>
  <si>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</si>
  <si>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</si>
  <si>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</si>
  <si>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</si>
  <si>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</si>
  <si>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</si>
  <si>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</si>
  <si>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</si>
  <si>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</si>
  <si>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</si>
  <si>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</si>
  <si>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</si>
  <si>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</si>
  <si>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</si>
  <si>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</si>
  <si>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</si>
  <si>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</si>
  <si>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</si>
  <si>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</si>
  <si>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</si>
  <si>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</si>
  <si>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</si>
  <si>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</si>
  <si>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</si>
  <si>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</si>
  <si>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</si>
  <si>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</si>
  <si>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</si>
  <si>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</si>
  <si>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</si>
  <si>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</si>
  <si>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</si>
  <si>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</si>
  <si>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</si>
  <si>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</si>
  <si>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</si>
  <si>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התש 99</t>
  </si>
  <si>
    <t>ינואר דצמבר</t>
  </si>
  <si>
    <t>שיר קוניה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</si>
</sst>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1" fillId="0" borderId="12" xfId="0" applyFont="1" applyBorder="1"/>
    <xf numFmtId="0" fontId="6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40"/>
  <sheetViews>
    <sheetView rightToLeft="1" topLeftCell="A10" zoomScale="115" zoomScaleNormal="115" workbookViewId="0">
      <selection activeCell="F30" sqref="F30:H30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9">
        <v>3</v>
      </c>
      <c r="C2" s="240">
        <v>3</v>
      </c>
      <c r="D2" s="239">
        <v>3</v>
      </c>
      <c r="E2" s="240">
        <v>3</v>
      </c>
      <c r="F2" s="251">
        <v>2</v>
      </c>
      <c r="G2" s="251"/>
      <c r="H2" s="252"/>
    </row>
    <row r="3" spans="1:8" x14ac:dyDescent="0.25">
      <c r="A3" s="7" t="s">
        <v>19</v>
      </c>
      <c r="B3" s="239"/>
      <c r="C3" s="240"/>
      <c r="D3" s="240"/>
      <c r="E3" s="240"/>
      <c r="F3" s="260" t="s">
        <v>58</v>
      </c>
      <c r="G3" s="261"/>
      <c r="H3" s="262"/>
    </row>
    <row r="4" spans="1:8" x14ac:dyDescent="0.25">
      <c r="A4" s="7" t="s">
        <v>20</v>
      </c>
      <c r="B4" s="240"/>
      <c r="C4" s="239"/>
      <c r="D4" s="239"/>
      <c r="E4" s="239"/>
      <c r="F4" s="260" t="s">
        <v>61</v>
      </c>
      <c r="G4" s="261"/>
      <c r="H4" s="262"/>
    </row>
    <row r="5" spans="1:8" x14ac:dyDescent="0.25">
      <c r="A5" s="7" t="s">
        <v>21</v>
      </c>
      <c r="B5" s="239"/>
      <c r="C5" s="239"/>
      <c r="D5" s="240"/>
      <c r="E5" s="240"/>
      <c r="F5" s="251" t="s">
        <v>191</v>
      </c>
      <c r="G5" s="251"/>
      <c r="H5" s="252"/>
    </row>
    <row r="6" spans="1:8" x14ac:dyDescent="0.25">
      <c r="A6" s="7" t="s">
        <v>79</v>
      </c>
      <c r="B6" s="239"/>
      <c r="C6" s="239"/>
      <c r="D6" s="239"/>
      <c r="E6" s="239"/>
      <c r="F6" s="251" t="s">
        <v>71</v>
      </c>
      <c r="G6" s="251"/>
      <c r="H6" s="252"/>
    </row>
    <row r="7" spans="1:8" x14ac:dyDescent="0.25">
      <c r="A7" s="223" t="s">
        <v>309</v>
      </c>
      <c r="B7" s="80"/>
      <c r="C7" s="80"/>
      <c r="D7" s="80"/>
      <c r="E7" s="80"/>
      <c r="F7" s="253"/>
      <c r="G7" s="253"/>
      <c r="H7" s="254"/>
    </row>
    <row r="8" spans="1:8" ht="15.75" thickBot="1" x14ac:dyDescent="0.3">
      <c r="A8" s="224" t="s">
        <v>310</v>
      </c>
      <c r="B8" s="241"/>
      <c r="C8" s="241"/>
      <c r="D8" s="241"/>
      <c r="E8" s="241"/>
      <c r="F8" s="255" t="s">
        <v>227</v>
      </c>
      <c r="G8" s="255"/>
      <c r="H8" s="256"/>
    </row>
    <row r="9" spans="1:8" x14ac:dyDescent="0.25">
      <c r="A9" s="4"/>
      <c r="B9" s="43">
        <f>H1+1</f>
        <v>6</v>
      </c>
      <c r="C9" s="43">
        <f>B9+1</f>
        <v>7</v>
      </c>
      <c r="D9" s="43">
        <f t="shared" ref="D9:H9" si="0">C9+1</f>
        <v>8</v>
      </c>
      <c r="E9" s="43">
        <f t="shared" si="0"/>
        <v>9</v>
      </c>
      <c r="F9" s="43">
        <f t="shared" si="0"/>
        <v>10</v>
      </c>
      <c r="G9" s="43">
        <f t="shared" si="0"/>
        <v>11</v>
      </c>
      <c r="H9" s="44">
        <f t="shared" si="0"/>
        <v>12</v>
      </c>
    </row>
    <row r="10" spans="1:8" x14ac:dyDescent="0.25">
      <c r="A10" s="7" t="s">
        <v>22</v>
      </c>
      <c r="B10" s="239">
        <v>3</v>
      </c>
      <c r="C10" s="240">
        <v>3</v>
      </c>
      <c r="D10" s="239">
        <v>3</v>
      </c>
      <c r="E10" s="240">
        <v>3</v>
      </c>
      <c r="F10" s="251">
        <v>3</v>
      </c>
      <c r="G10" s="251"/>
      <c r="H10" s="252"/>
    </row>
    <row r="11" spans="1:8" x14ac:dyDescent="0.25">
      <c r="A11" s="7" t="s">
        <v>19</v>
      </c>
      <c r="B11" s="239"/>
      <c r="C11" s="240"/>
      <c r="D11" s="240"/>
      <c r="E11" s="240"/>
      <c r="F11" s="257" t="s">
        <v>227</v>
      </c>
      <c r="G11" s="258"/>
      <c r="H11" s="259"/>
    </row>
    <row r="12" spans="1:8" x14ac:dyDescent="0.25">
      <c r="A12" s="7" t="s">
        <v>20</v>
      </c>
      <c r="B12" s="240"/>
      <c r="C12" s="239"/>
      <c r="D12" s="239"/>
      <c r="E12" s="239"/>
      <c r="F12" s="260" t="s">
        <v>59</v>
      </c>
      <c r="G12" s="261"/>
      <c r="H12" s="262"/>
    </row>
    <row r="13" spans="1:8" x14ac:dyDescent="0.25">
      <c r="A13" s="7" t="s">
        <v>21</v>
      </c>
      <c r="B13" s="239"/>
      <c r="C13" s="239"/>
      <c r="D13" s="240"/>
      <c r="E13" s="240"/>
      <c r="F13" s="251" t="s">
        <v>221</v>
      </c>
      <c r="G13" s="251"/>
      <c r="H13" s="252"/>
    </row>
    <row r="14" spans="1:8" x14ac:dyDescent="0.25">
      <c r="A14" s="7" t="s">
        <v>79</v>
      </c>
      <c r="B14" s="239"/>
      <c r="C14" s="239"/>
      <c r="D14" s="239"/>
      <c r="E14" s="239"/>
      <c r="F14" s="251" t="s">
        <v>305</v>
      </c>
      <c r="G14" s="251"/>
      <c r="H14" s="252"/>
    </row>
    <row r="15" spans="1:8" x14ac:dyDescent="0.25">
      <c r="A15" s="223" t="s">
        <v>309</v>
      </c>
      <c r="B15" s="80"/>
      <c r="C15" s="80"/>
      <c r="D15" s="80"/>
      <c r="E15" s="80"/>
      <c r="F15" s="253"/>
      <c r="G15" s="253"/>
      <c r="H15" s="254"/>
    </row>
    <row r="16" spans="1:8" ht="15.75" thickBot="1" x14ac:dyDescent="0.3">
      <c r="A16" s="224" t="s">
        <v>310</v>
      </c>
      <c r="B16" s="241"/>
      <c r="C16" s="241"/>
      <c r="D16" s="241"/>
      <c r="E16" s="241"/>
      <c r="F16" s="255"/>
      <c r="G16" s="255"/>
      <c r="H16" s="256"/>
    </row>
    <row r="17" spans="1:8" x14ac:dyDescent="0.25">
      <c r="A17" s="4"/>
      <c r="B17" s="43">
        <f>H9+1</f>
        <v>13</v>
      </c>
      <c r="C17" s="43">
        <f>B17+1</f>
        <v>14</v>
      </c>
      <c r="D17" s="43">
        <f t="shared" ref="D17:H17" si="1">C17+1</f>
        <v>15</v>
      </c>
      <c r="E17" s="43">
        <f t="shared" si="1"/>
        <v>16</v>
      </c>
      <c r="F17" s="43">
        <f t="shared" si="1"/>
        <v>17</v>
      </c>
      <c r="G17" s="43">
        <f t="shared" si="1"/>
        <v>18</v>
      </c>
      <c r="H17" s="44">
        <f t="shared" si="1"/>
        <v>19</v>
      </c>
    </row>
    <row r="18" spans="1:8" x14ac:dyDescent="0.25">
      <c r="A18" s="7" t="s">
        <v>22</v>
      </c>
      <c r="B18" s="239">
        <v>3</v>
      </c>
      <c r="C18" s="240">
        <v>3</v>
      </c>
      <c r="D18" s="239">
        <v>3</v>
      </c>
      <c r="E18" s="240">
        <v>3</v>
      </c>
      <c r="F18" s="251">
        <v>3</v>
      </c>
      <c r="G18" s="251"/>
      <c r="H18" s="252"/>
    </row>
    <row r="19" spans="1:8" x14ac:dyDescent="0.25">
      <c r="A19" s="7" t="s">
        <v>19</v>
      </c>
      <c r="B19" s="239"/>
      <c r="C19" s="240"/>
      <c r="D19" s="240"/>
      <c r="E19" s="240"/>
      <c r="F19" s="257" t="s">
        <v>162</v>
      </c>
      <c r="G19" s="258"/>
      <c r="H19" s="259"/>
    </row>
    <row r="20" spans="1:8" x14ac:dyDescent="0.25">
      <c r="A20" s="7" t="s">
        <v>20</v>
      </c>
      <c r="B20" s="240"/>
      <c r="C20" s="239"/>
      <c r="D20" s="239"/>
      <c r="E20" s="239"/>
      <c r="F20" s="260" t="s">
        <v>127</v>
      </c>
      <c r="G20" s="261"/>
      <c r="H20" s="262"/>
    </row>
    <row r="21" spans="1:8" x14ac:dyDescent="0.25">
      <c r="A21" s="7" t="s">
        <v>21</v>
      </c>
      <c r="B21" s="239"/>
      <c r="C21" s="239"/>
      <c r="D21" s="240"/>
      <c r="E21" s="240"/>
      <c r="F21" s="251" t="s">
        <v>126</v>
      </c>
      <c r="G21" s="251"/>
      <c r="H21" s="252"/>
    </row>
    <row r="22" spans="1:8" x14ac:dyDescent="0.25">
      <c r="A22" s="7" t="s">
        <v>79</v>
      </c>
      <c r="B22" s="239"/>
      <c r="C22" s="239"/>
      <c r="D22" s="239"/>
      <c r="E22" s="239"/>
      <c r="F22" s="251" t="s">
        <v>261</v>
      </c>
      <c r="G22" s="251"/>
      <c r="H22" s="252"/>
    </row>
    <row r="23" spans="1:8" x14ac:dyDescent="0.25">
      <c r="A23" s="223" t="s">
        <v>309</v>
      </c>
      <c r="B23" s="80"/>
      <c r="C23" s="80"/>
      <c r="D23" s="80"/>
      <c r="E23" s="80"/>
      <c r="F23" s="253"/>
      <c r="G23" s="253"/>
      <c r="H23" s="254"/>
    </row>
    <row r="24" spans="1:8" ht="15.75" thickBot="1" x14ac:dyDescent="0.3">
      <c r="A24" s="224" t="s">
        <v>310</v>
      </c>
      <c r="B24" s="241"/>
      <c r="C24" s="241"/>
      <c r="D24" s="241"/>
      <c r="E24" s="241"/>
      <c r="F24" s="255"/>
      <c r="G24" s="255"/>
      <c r="H24" s="256"/>
    </row>
    <row r="25" spans="1:8" x14ac:dyDescent="0.25">
      <c r="A25" s="4"/>
      <c r="B25" s="43">
        <f>H17+1</f>
        <v>20</v>
      </c>
      <c r="C25" s="43">
        <f>B25+1</f>
        <v>21</v>
      </c>
      <c r="D25" s="43">
        <f t="shared" ref="D25:H25" si="2">C25+1</f>
        <v>22</v>
      </c>
      <c r="E25" s="43">
        <f t="shared" si="2"/>
        <v>23</v>
      </c>
      <c r="F25" s="43">
        <f t="shared" si="2"/>
        <v>24</v>
      </c>
      <c r="G25" s="43">
        <f t="shared" si="2"/>
        <v>25</v>
      </c>
      <c r="H25" s="44">
        <f t="shared" si="2"/>
        <v>26</v>
      </c>
    </row>
    <row r="26" spans="1:8" x14ac:dyDescent="0.25">
      <c r="A26" s="7" t="s">
        <v>22</v>
      </c>
      <c r="B26" s="239">
        <v>3</v>
      </c>
      <c r="C26" s="240">
        <v>3</v>
      </c>
      <c r="D26" s="239">
        <v>3</v>
      </c>
      <c r="E26" s="240">
        <v>3</v>
      </c>
      <c r="F26" s="251">
        <v>3</v>
      </c>
      <c r="G26" s="251"/>
      <c r="H26" s="252"/>
    </row>
    <row r="27" spans="1:8" x14ac:dyDescent="0.25">
      <c r="A27" s="7" t="s">
        <v>19</v>
      </c>
      <c r="B27" s="239"/>
      <c r="C27" s="240"/>
      <c r="D27" s="240"/>
      <c r="E27" s="240"/>
      <c r="F27" s="257" t="s">
        <v>112</v>
      </c>
      <c r="G27" s="258"/>
      <c r="H27" s="259"/>
    </row>
    <row r="28" spans="1:8" x14ac:dyDescent="0.25">
      <c r="A28" s="7" t="s">
        <v>20</v>
      </c>
      <c r="B28" s="240"/>
      <c r="C28" s="239"/>
      <c r="D28" s="239"/>
      <c r="E28" s="239"/>
      <c r="F28" s="257" t="s">
        <v>313</v>
      </c>
      <c r="G28" s="258"/>
      <c r="H28" s="259"/>
    </row>
    <row r="29" spans="1:8" x14ac:dyDescent="0.25">
      <c r="A29" s="7" t="s">
        <v>21</v>
      </c>
      <c r="B29" s="239"/>
      <c r="C29" s="239"/>
      <c r="D29" s="240"/>
      <c r="E29" s="240"/>
      <c r="F29" s="251" t="s">
        <v>64</v>
      </c>
      <c r="G29" s="251"/>
      <c r="H29" s="252"/>
    </row>
    <row r="30" spans="1:8" x14ac:dyDescent="0.25">
      <c r="A30" s="7" t="s">
        <v>79</v>
      </c>
      <c r="B30" s="239"/>
      <c r="C30" s="239"/>
      <c r="D30" s="239"/>
      <c r="E30" s="239"/>
      <c r="F30" s="251"/>
      <c r="G30" s="251"/>
      <c r="H30" s="252"/>
    </row>
    <row r="31" spans="1:8" x14ac:dyDescent="0.25">
      <c r="A31" s="223" t="s">
        <v>309</v>
      </c>
      <c r="B31" s="80"/>
      <c r="C31" s="80"/>
      <c r="D31" s="80"/>
      <c r="E31" s="80"/>
      <c r="F31" s="253"/>
      <c r="G31" s="253"/>
      <c r="H31" s="254"/>
    </row>
    <row r="32" spans="1:8" ht="15.75" thickBot="1" x14ac:dyDescent="0.3">
      <c r="A32" s="224" t="s">
        <v>310</v>
      </c>
      <c r="B32" s="241"/>
      <c r="C32" s="241"/>
      <c r="D32" s="241"/>
      <c r="E32" s="241"/>
      <c r="F32" s="255"/>
      <c r="G32" s="255"/>
      <c r="H32" s="256"/>
    </row>
    <row r="33" spans="1:8" x14ac:dyDescent="0.25">
      <c r="A33" s="4"/>
      <c r="B33" s="43">
        <f>H25+1</f>
        <v>27</v>
      </c>
      <c r="C33" s="43">
        <f>B33+1</f>
        <v>28</v>
      </c>
      <c r="D33" s="43">
        <f t="shared" ref="D33:H33" si="3">C33+1</f>
        <v>29</v>
      </c>
      <c r="E33" s="43">
        <f t="shared" si="3"/>
        <v>30</v>
      </c>
      <c r="F33" s="43">
        <f t="shared" si="3"/>
        <v>31</v>
      </c>
      <c r="G33" s="43">
        <v>1</v>
      </c>
      <c r="H33" s="44">
        <f t="shared" si="3"/>
        <v>2</v>
      </c>
    </row>
    <row r="34" spans="1:8" x14ac:dyDescent="0.25">
      <c r="A34" s="7" t="s">
        <v>22</v>
      </c>
      <c r="B34" s="239">
        <v>3</v>
      </c>
      <c r="C34" s="240">
        <v>3</v>
      </c>
      <c r="D34" s="239">
        <v>3</v>
      </c>
      <c r="E34" s="240">
        <v>3</v>
      </c>
      <c r="F34" s="251">
        <v>3</v>
      </c>
      <c r="G34" s="251"/>
      <c r="H34" s="252"/>
    </row>
    <row r="35" spans="1:8" x14ac:dyDescent="0.25">
      <c r="A35" s="7" t="s">
        <v>19</v>
      </c>
      <c r="B35" s="239"/>
      <c r="C35" s="240"/>
      <c r="D35" s="240"/>
      <c r="E35" s="240"/>
      <c r="F35" s="257" t="s">
        <v>69</v>
      </c>
      <c r="G35" s="258"/>
      <c r="H35" s="259"/>
    </row>
    <row r="36" spans="1:8" x14ac:dyDescent="0.25">
      <c r="A36" s="7" t="s">
        <v>20</v>
      </c>
      <c r="B36" s="240"/>
      <c r="C36" s="239"/>
      <c r="D36" s="239"/>
      <c r="E36" s="239"/>
      <c r="F36" s="257" t="s">
        <v>115</v>
      </c>
      <c r="G36" s="258"/>
      <c r="H36" s="259"/>
    </row>
    <row r="37" spans="1:8" x14ac:dyDescent="0.25">
      <c r="A37" s="7" t="s">
        <v>21</v>
      </c>
      <c r="B37" s="239"/>
      <c r="C37" s="239"/>
      <c r="D37" s="240"/>
      <c r="E37" s="240"/>
      <c r="F37" s="251" t="s">
        <v>114</v>
      </c>
      <c r="G37" s="251"/>
      <c r="H37" s="252"/>
    </row>
    <row r="38" spans="1:8" x14ac:dyDescent="0.25">
      <c r="A38" s="7" t="s">
        <v>79</v>
      </c>
      <c r="B38" s="239"/>
      <c r="C38" s="239"/>
      <c r="D38" s="239"/>
      <c r="E38" s="239"/>
      <c r="F38" s="251" t="s">
        <v>268</v>
      </c>
      <c r="G38" s="251"/>
      <c r="H38" s="252"/>
    </row>
    <row r="39" spans="1:8" x14ac:dyDescent="0.25">
      <c r="A39" s="223" t="s">
        <v>309</v>
      </c>
      <c r="B39" s="80"/>
      <c r="C39" s="80"/>
      <c r="D39" s="80"/>
      <c r="E39" s="80"/>
      <c r="F39" s="253"/>
      <c r="G39" s="253"/>
      <c r="H39" s="254"/>
    </row>
    <row r="40" spans="1:8" ht="15.75" thickBot="1" x14ac:dyDescent="0.3">
      <c r="A40" s="224" t="s">
        <v>310</v>
      </c>
      <c r="B40" s="241"/>
      <c r="C40" s="241"/>
      <c r="D40" s="241"/>
      <c r="E40" s="241"/>
      <c r="F40" s="255"/>
      <c r="G40" s="255"/>
      <c r="H40" s="256"/>
    </row>
  </sheetData>
  <mergeCells count="35">
    <mergeCell ref="F20:H20"/>
    <mergeCell ref="F21:H21"/>
    <mergeCell ref="F10:H10"/>
    <mergeCell ref="F11:H11"/>
    <mergeCell ref="F12:H12"/>
    <mergeCell ref="F13:H13"/>
    <mergeCell ref="F14:H14"/>
    <mergeCell ref="F39:H39"/>
    <mergeCell ref="F40:H40"/>
    <mergeCell ref="F29:H29"/>
    <mergeCell ref="F30:H30"/>
    <mergeCell ref="F32:H32"/>
    <mergeCell ref="F34:H34"/>
    <mergeCell ref="F35:H35"/>
    <mergeCell ref="F23:H23"/>
    <mergeCell ref="F36:H36"/>
    <mergeCell ref="F37:H37"/>
    <mergeCell ref="F38:H38"/>
    <mergeCell ref="F2:H2"/>
    <mergeCell ref="F3:H3"/>
    <mergeCell ref="F4:H4"/>
    <mergeCell ref="F31:H31"/>
    <mergeCell ref="F22:H22"/>
    <mergeCell ref="F24:H24"/>
    <mergeCell ref="F26:H26"/>
    <mergeCell ref="F27:H27"/>
    <mergeCell ref="F28:H28"/>
    <mergeCell ref="F16:H16"/>
    <mergeCell ref="F18:H18"/>
    <mergeCell ref="F19:H19"/>
    <mergeCell ref="F5:H5"/>
    <mergeCell ref="F6:H6"/>
    <mergeCell ref="F7:H7"/>
    <mergeCell ref="F8:H8"/>
    <mergeCell ref="F15:H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21" zoomScale="136" zoomScaleNormal="136" workbookViewId="0">
      <selection activeCell="C34" sqref="C34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51">
        <v>3</v>
      </c>
      <c r="G2" s="251"/>
      <c r="H2" s="252"/>
    </row>
    <row r="3" spans="1:8" x14ac:dyDescent="0.25">
      <c r="A3" s="7" t="s">
        <v>19</v>
      </c>
      <c r="B3" s="237"/>
      <c r="C3" s="237"/>
      <c r="D3" s="238"/>
      <c r="E3" s="238"/>
      <c r="F3" s="257" t="s">
        <v>281</v>
      </c>
      <c r="G3" s="258"/>
      <c r="H3" s="259"/>
    </row>
    <row r="4" spans="1:8" x14ac:dyDescent="0.25">
      <c r="A4" s="7" t="s">
        <v>20</v>
      </c>
      <c r="B4" s="229"/>
      <c r="C4" s="230"/>
      <c r="D4" s="230"/>
      <c r="E4" s="229"/>
      <c r="F4" s="257" t="s">
        <v>129</v>
      </c>
      <c r="G4" s="258"/>
      <c r="H4" s="259"/>
    </row>
    <row r="5" spans="1:8" x14ac:dyDescent="0.25">
      <c r="A5" s="7" t="s">
        <v>21</v>
      </c>
      <c r="B5" s="230"/>
      <c r="C5" s="229"/>
      <c r="D5" s="229"/>
      <c r="E5" s="230"/>
      <c r="F5" s="260" t="s">
        <v>270</v>
      </c>
      <c r="G5" s="261"/>
      <c r="H5" s="262"/>
    </row>
    <row r="6" spans="1:8" ht="15.75" thickBot="1" x14ac:dyDescent="0.3">
      <c r="A6" s="7" t="s">
        <v>79</v>
      </c>
      <c r="B6" s="233"/>
      <c r="C6" s="233"/>
      <c r="D6" s="233"/>
      <c r="E6" s="234"/>
      <c r="F6" s="267" t="s">
        <v>221</v>
      </c>
      <c r="G6" s="267"/>
      <c r="H6" s="268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9">
        <v>3</v>
      </c>
      <c r="C8" s="230">
        <v>3</v>
      </c>
      <c r="D8" s="229">
        <v>3</v>
      </c>
      <c r="E8" s="230">
        <v>3</v>
      </c>
      <c r="F8" s="251">
        <v>3</v>
      </c>
      <c r="G8" s="251"/>
      <c r="H8" s="252"/>
    </row>
    <row r="9" spans="1:8" x14ac:dyDescent="0.25">
      <c r="A9" s="7" t="s">
        <v>19</v>
      </c>
      <c r="B9" s="229" t="s">
        <v>141</v>
      </c>
      <c r="C9" s="232" t="s">
        <v>112</v>
      </c>
      <c r="D9" s="231" t="s">
        <v>127</v>
      </c>
      <c r="E9" s="230" t="s">
        <v>222</v>
      </c>
      <c r="F9" s="251" t="s">
        <v>60</v>
      </c>
      <c r="G9" s="251"/>
      <c r="H9" s="252"/>
    </row>
    <row r="10" spans="1:8" x14ac:dyDescent="0.25">
      <c r="A10" s="7" t="s">
        <v>20</v>
      </c>
      <c r="B10" s="229" t="s">
        <v>268</v>
      </c>
      <c r="C10" s="229" t="s">
        <v>114</v>
      </c>
      <c r="D10" s="229" t="s">
        <v>61</v>
      </c>
      <c r="E10" s="232" t="s">
        <v>268</v>
      </c>
      <c r="F10" s="263" t="s">
        <v>59</v>
      </c>
      <c r="G10" s="263"/>
      <c r="H10" s="264"/>
    </row>
    <row r="11" spans="1:8" x14ac:dyDescent="0.25">
      <c r="A11" s="7" t="s">
        <v>21</v>
      </c>
      <c r="B11" s="232" t="s">
        <v>71</v>
      </c>
      <c r="C11" s="229" t="s">
        <v>162</v>
      </c>
      <c r="D11" s="229" t="s">
        <v>58</v>
      </c>
      <c r="E11" s="230" t="s">
        <v>69</v>
      </c>
      <c r="F11" s="251" t="s">
        <v>130</v>
      </c>
      <c r="G11" s="251"/>
      <c r="H11" s="252"/>
    </row>
    <row r="12" spans="1:8" x14ac:dyDescent="0.25">
      <c r="A12" s="7" t="s">
        <v>79</v>
      </c>
      <c r="B12" s="229" t="s">
        <v>261</v>
      </c>
      <c r="C12" s="229" t="s">
        <v>225</v>
      </c>
      <c r="D12" s="229" t="s">
        <v>283</v>
      </c>
      <c r="E12" s="229" t="s">
        <v>71</v>
      </c>
      <c r="F12" s="251" t="s">
        <v>267</v>
      </c>
      <c r="G12" s="251"/>
      <c r="H12" s="252"/>
    </row>
    <row r="13" spans="1:8" x14ac:dyDescent="0.25">
      <c r="A13" s="223" t="s">
        <v>309</v>
      </c>
      <c r="B13" s="227"/>
      <c r="C13" s="227"/>
      <c r="D13" s="227"/>
      <c r="E13" s="227"/>
      <c r="F13" s="251"/>
      <c r="G13" s="251"/>
      <c r="H13" s="252"/>
    </row>
    <row r="14" spans="1:8" ht="15.75" thickBot="1" x14ac:dyDescent="0.3">
      <c r="A14" s="223" t="s">
        <v>310</v>
      </c>
      <c r="B14" s="80" t="s">
        <v>58</v>
      </c>
      <c r="C14" s="80" t="s">
        <v>92</v>
      </c>
      <c r="D14" s="80" t="s">
        <v>191</v>
      </c>
      <c r="E14" s="80" t="s">
        <v>282</v>
      </c>
      <c r="F14" s="263" t="s">
        <v>225</v>
      </c>
      <c r="G14" s="263"/>
      <c r="H14" s="264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9">
        <v>3</v>
      </c>
      <c r="C16" s="230">
        <v>3</v>
      </c>
      <c r="D16" s="229">
        <v>3</v>
      </c>
      <c r="E16" s="230">
        <v>3</v>
      </c>
      <c r="F16" s="251">
        <v>2</v>
      </c>
      <c r="G16" s="251"/>
      <c r="H16" s="252"/>
    </row>
    <row r="17" spans="1:8" x14ac:dyDescent="0.25">
      <c r="A17" s="7" t="s">
        <v>19</v>
      </c>
      <c r="B17" s="230" t="s">
        <v>278</v>
      </c>
      <c r="C17" s="229" t="s">
        <v>282</v>
      </c>
      <c r="D17" s="230" t="s">
        <v>112</v>
      </c>
      <c r="E17" s="230" t="s">
        <v>195</v>
      </c>
      <c r="F17" s="251" t="s">
        <v>92</v>
      </c>
      <c r="G17" s="251"/>
      <c r="H17" s="252"/>
    </row>
    <row r="18" spans="1:8" x14ac:dyDescent="0.25">
      <c r="A18" s="7" t="s">
        <v>20</v>
      </c>
      <c r="B18" s="231" t="s">
        <v>58</v>
      </c>
      <c r="C18" s="236" t="s">
        <v>281</v>
      </c>
      <c r="D18" s="235" t="s">
        <v>176</v>
      </c>
      <c r="E18" s="230" t="s">
        <v>270</v>
      </c>
      <c r="F18" s="263" t="s">
        <v>126</v>
      </c>
      <c r="G18" s="263"/>
      <c r="H18" s="264"/>
    </row>
    <row r="19" spans="1:8" x14ac:dyDescent="0.25">
      <c r="A19" s="7" t="s">
        <v>21</v>
      </c>
      <c r="B19" s="230" t="s">
        <v>64</v>
      </c>
      <c r="C19" s="229" t="s">
        <v>162</v>
      </c>
      <c r="D19" s="231" t="s">
        <v>141</v>
      </c>
      <c r="E19" s="232" t="s">
        <v>59</v>
      </c>
      <c r="F19" s="263" t="s">
        <v>127</v>
      </c>
      <c r="G19" s="263"/>
      <c r="H19" s="264"/>
    </row>
    <row r="20" spans="1:8" x14ac:dyDescent="0.25">
      <c r="A20" s="7" t="s">
        <v>79</v>
      </c>
      <c r="B20" s="229" t="s">
        <v>227</v>
      </c>
      <c r="C20" s="229" t="s">
        <v>307</v>
      </c>
      <c r="D20" s="229" t="s">
        <v>283</v>
      </c>
      <c r="E20" s="230" t="s">
        <v>142</v>
      </c>
      <c r="F20" s="251" t="s">
        <v>284</v>
      </c>
      <c r="G20" s="251"/>
      <c r="H20" s="252"/>
    </row>
    <row r="21" spans="1:8" x14ac:dyDescent="0.25">
      <c r="A21" s="223" t="s">
        <v>309</v>
      </c>
      <c r="B21" s="227"/>
      <c r="C21" s="227"/>
      <c r="D21" s="227"/>
      <c r="E21" s="80"/>
      <c r="F21" s="251"/>
      <c r="G21" s="251"/>
      <c r="H21" s="252"/>
    </row>
    <row r="22" spans="1:8" ht="15.75" thickBot="1" x14ac:dyDescent="0.3">
      <c r="A22" s="223" t="s">
        <v>310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63" t="s">
        <v>115</v>
      </c>
      <c r="G22" s="263"/>
      <c r="H22" s="264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9">
        <v>3</v>
      </c>
      <c r="C24" s="230">
        <v>3</v>
      </c>
      <c r="D24" s="229">
        <v>3</v>
      </c>
      <c r="E24" s="230">
        <v>3</v>
      </c>
      <c r="F24" s="251">
        <v>3</v>
      </c>
      <c r="G24" s="251"/>
      <c r="H24" s="252"/>
    </row>
    <row r="25" spans="1:8" x14ac:dyDescent="0.25">
      <c r="A25" s="7" t="s">
        <v>19</v>
      </c>
      <c r="B25" s="232" t="s">
        <v>113</v>
      </c>
      <c r="C25" s="230" t="s">
        <v>60</v>
      </c>
      <c r="D25" s="230" t="s">
        <v>191</v>
      </c>
      <c r="E25" s="232" t="s">
        <v>174</v>
      </c>
      <c r="F25" s="257" t="s">
        <v>282</v>
      </c>
      <c r="G25" s="258"/>
      <c r="H25" s="259"/>
    </row>
    <row r="26" spans="1:8" x14ac:dyDescent="0.25">
      <c r="A26" s="7" t="s">
        <v>20</v>
      </c>
      <c r="B26" s="235" t="s">
        <v>278</v>
      </c>
      <c r="C26" s="232" t="s">
        <v>269</v>
      </c>
      <c r="D26" s="235" t="s">
        <v>281</v>
      </c>
      <c r="E26" s="230" t="s">
        <v>64</v>
      </c>
      <c r="F26" s="260" t="s">
        <v>114</v>
      </c>
      <c r="G26" s="261"/>
      <c r="H26" s="262"/>
    </row>
    <row r="27" spans="1:8" x14ac:dyDescent="0.25">
      <c r="A27" s="7" t="s">
        <v>21</v>
      </c>
      <c r="B27" s="229" t="s">
        <v>112</v>
      </c>
      <c r="C27" s="229" t="s">
        <v>115</v>
      </c>
      <c r="D27" s="231" t="s">
        <v>130</v>
      </c>
      <c r="E27" s="230" t="s">
        <v>129</v>
      </c>
      <c r="F27" s="251" t="s">
        <v>141</v>
      </c>
      <c r="G27" s="251"/>
      <c r="H27" s="252"/>
    </row>
    <row r="28" spans="1:8" x14ac:dyDescent="0.25">
      <c r="A28" s="7" t="s">
        <v>79</v>
      </c>
      <c r="B28" s="229" t="s">
        <v>307</v>
      </c>
      <c r="C28" s="229" t="s">
        <v>162</v>
      </c>
      <c r="D28" s="229" t="s">
        <v>305</v>
      </c>
      <c r="E28" s="229" t="s">
        <v>283</v>
      </c>
      <c r="F28" s="251" t="s">
        <v>306</v>
      </c>
      <c r="G28" s="251"/>
      <c r="H28" s="252"/>
    </row>
    <row r="29" spans="1:8" x14ac:dyDescent="0.25">
      <c r="A29" s="223" t="s">
        <v>309</v>
      </c>
      <c r="B29" s="227"/>
      <c r="C29" s="227"/>
      <c r="D29" s="227"/>
      <c r="E29" s="80" t="s">
        <v>267</v>
      </c>
      <c r="F29" s="265"/>
      <c r="G29" s="265"/>
      <c r="H29" s="266"/>
    </row>
    <row r="30" spans="1:8" ht="15.75" thickBot="1" x14ac:dyDescent="0.3">
      <c r="A30" s="223" t="s">
        <v>310</v>
      </c>
      <c r="B30" s="80" t="s">
        <v>174</v>
      </c>
      <c r="C30" s="80" t="s">
        <v>176</v>
      </c>
      <c r="D30" s="80" t="s">
        <v>71</v>
      </c>
      <c r="E30" s="80" t="s">
        <v>284</v>
      </c>
      <c r="F30" s="263" t="s">
        <v>69</v>
      </c>
      <c r="G30" s="263"/>
      <c r="H30" s="264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9">
        <v>3</v>
      </c>
      <c r="C32" s="230">
        <v>3</v>
      </c>
      <c r="D32" s="229">
        <v>3</v>
      </c>
      <c r="E32" s="230">
        <v>3</v>
      </c>
      <c r="F32" s="251">
        <v>3</v>
      </c>
      <c r="G32" s="251"/>
      <c r="H32" s="252"/>
    </row>
    <row r="33" spans="1:8" x14ac:dyDescent="0.25">
      <c r="A33" s="7" t="s">
        <v>19</v>
      </c>
      <c r="B33" s="229" t="s">
        <v>61</v>
      </c>
      <c r="C33" s="230" t="s">
        <v>281</v>
      </c>
      <c r="D33" s="230" t="s">
        <v>112</v>
      </c>
      <c r="E33" s="230" t="s">
        <v>69</v>
      </c>
      <c r="F33" s="257" t="s">
        <v>174</v>
      </c>
      <c r="G33" s="258"/>
      <c r="H33" s="259"/>
    </row>
    <row r="34" spans="1:8" x14ac:dyDescent="0.25">
      <c r="A34" s="7" t="s">
        <v>20</v>
      </c>
      <c r="B34" s="230" t="s">
        <v>142</v>
      </c>
      <c r="C34" s="232" t="s">
        <v>115</v>
      </c>
      <c r="D34" s="232" t="s">
        <v>269</v>
      </c>
      <c r="E34" s="230" t="s">
        <v>64</v>
      </c>
      <c r="F34" s="257" t="s">
        <v>113</v>
      </c>
      <c r="G34" s="258"/>
      <c r="H34" s="259"/>
    </row>
    <row r="35" spans="1:8" x14ac:dyDescent="0.25">
      <c r="A35" s="7" t="s">
        <v>21</v>
      </c>
      <c r="B35" s="231" t="s">
        <v>127</v>
      </c>
      <c r="C35" s="229" t="s">
        <v>126</v>
      </c>
      <c r="D35" s="229" t="s">
        <v>92</v>
      </c>
      <c r="E35" s="232" t="s">
        <v>129</v>
      </c>
      <c r="F35" s="263" t="s">
        <v>175</v>
      </c>
      <c r="G35" s="263"/>
      <c r="H35" s="264"/>
    </row>
    <row r="36" spans="1:8" x14ac:dyDescent="0.25">
      <c r="A36" s="7" t="s">
        <v>79</v>
      </c>
      <c r="B36" s="229" t="s">
        <v>307</v>
      </c>
      <c r="C36" s="229" t="s">
        <v>305</v>
      </c>
      <c r="D36" s="229" t="s">
        <v>225</v>
      </c>
      <c r="E36" s="229" t="s">
        <v>114</v>
      </c>
      <c r="F36" s="257" t="s">
        <v>176</v>
      </c>
      <c r="G36" s="258"/>
      <c r="H36" s="259"/>
    </row>
    <row r="37" spans="1:8" x14ac:dyDescent="0.25">
      <c r="A37" s="223" t="s">
        <v>309</v>
      </c>
      <c r="B37" s="227"/>
      <c r="C37" s="80" t="s">
        <v>283</v>
      </c>
      <c r="D37" s="80"/>
      <c r="E37" s="80" t="s">
        <v>306</v>
      </c>
      <c r="F37" s="265"/>
      <c r="G37" s="265"/>
      <c r="H37" s="266"/>
    </row>
    <row r="38" spans="1:8" ht="15.75" thickBot="1" x14ac:dyDescent="0.3">
      <c r="A38" s="223" t="s">
        <v>310</v>
      </c>
      <c r="B38" s="80" t="s">
        <v>270</v>
      </c>
      <c r="C38" s="80" t="s">
        <v>162</v>
      </c>
      <c r="D38" s="80" t="s">
        <v>278</v>
      </c>
      <c r="E38" s="80" t="s">
        <v>130</v>
      </c>
      <c r="F38" s="263" t="s">
        <v>195</v>
      </c>
      <c r="G38" s="263"/>
      <c r="H38" s="264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9">
        <v>3</v>
      </c>
      <c r="C40" s="230">
        <v>3</v>
      </c>
      <c r="D40" s="229">
        <v>3</v>
      </c>
      <c r="E40" s="230">
        <v>3</v>
      </c>
      <c r="F40" s="251">
        <v>2</v>
      </c>
      <c r="G40" s="251"/>
      <c r="H40" s="252"/>
    </row>
    <row r="41" spans="1:8" x14ac:dyDescent="0.25">
      <c r="A41" s="7" t="s">
        <v>19</v>
      </c>
      <c r="B41" s="229" t="s">
        <v>225</v>
      </c>
      <c r="C41" s="230" t="s">
        <v>195</v>
      </c>
      <c r="D41" s="230" t="s">
        <v>278</v>
      </c>
      <c r="E41" s="230" t="s">
        <v>142</v>
      </c>
      <c r="F41" s="260" t="s">
        <v>58</v>
      </c>
      <c r="G41" s="261"/>
      <c r="H41" s="262"/>
    </row>
    <row r="42" spans="1:8" x14ac:dyDescent="0.25">
      <c r="A42" s="7" t="s">
        <v>20</v>
      </c>
      <c r="B42" s="230" t="s">
        <v>268</v>
      </c>
      <c r="C42" s="232" t="s">
        <v>59</v>
      </c>
      <c r="D42" s="232" t="s">
        <v>64</v>
      </c>
      <c r="E42" s="229" t="s">
        <v>270</v>
      </c>
      <c r="F42" s="260" t="s">
        <v>61</v>
      </c>
      <c r="G42" s="261"/>
      <c r="H42" s="262"/>
    </row>
    <row r="43" spans="1:8" x14ac:dyDescent="0.25">
      <c r="A43" s="7" t="s">
        <v>21</v>
      </c>
      <c r="B43" s="232" t="s">
        <v>142</v>
      </c>
      <c r="C43" s="229" t="s">
        <v>284</v>
      </c>
      <c r="D43" s="230" t="s">
        <v>129</v>
      </c>
      <c r="E43" s="231" t="s">
        <v>115</v>
      </c>
      <c r="F43" s="251" t="s">
        <v>191</v>
      </c>
      <c r="G43" s="251"/>
      <c r="H43" s="252"/>
    </row>
    <row r="44" spans="1:8" x14ac:dyDescent="0.25">
      <c r="A44" s="7" t="s">
        <v>79</v>
      </c>
      <c r="B44" s="229" t="s">
        <v>305</v>
      </c>
      <c r="C44" s="222" t="s">
        <v>222</v>
      </c>
      <c r="D44" s="229" t="s">
        <v>306</v>
      </c>
      <c r="E44" s="222" t="s">
        <v>283</v>
      </c>
      <c r="F44" s="251" t="s">
        <v>71</v>
      </c>
      <c r="G44" s="251"/>
      <c r="H44" s="252"/>
    </row>
    <row r="45" spans="1:8" x14ac:dyDescent="0.25">
      <c r="A45" s="223" t="s">
        <v>309</v>
      </c>
      <c r="B45" s="178"/>
      <c r="C45" s="178"/>
      <c r="D45" s="178"/>
      <c r="E45" s="80" t="s">
        <v>307</v>
      </c>
      <c r="F45" s="265"/>
      <c r="G45" s="265"/>
      <c r="H45" s="266"/>
    </row>
    <row r="46" spans="1:8" ht="15.75" thickBot="1" x14ac:dyDescent="0.3">
      <c r="A46" s="224" t="s">
        <v>310</v>
      </c>
      <c r="B46" s="228" t="s">
        <v>112</v>
      </c>
      <c r="C46" s="228" t="s">
        <v>126</v>
      </c>
      <c r="D46" s="228" t="s">
        <v>113</v>
      </c>
      <c r="E46" s="228" t="s">
        <v>141</v>
      </c>
      <c r="F46" s="255" t="s">
        <v>227</v>
      </c>
      <c r="G46" s="255"/>
      <c r="H46" s="256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U80"/>
  <sheetViews>
    <sheetView rightToLeft="1" tabSelected="1" zoomScale="85" zoomScaleNormal="85" zoomScaleSheetLayoutView="100" workbookViewId="0">
      <pane xSplit="5" ySplit="1" topLeftCell="DN11" activePane="bottomRight" state="frozen"/>
      <selection pane="topRight" activeCell="F1" sqref="F1"/>
      <selection pane="bottomLeft" activeCell="A2" sqref="A2"/>
      <selection pane="bottomRight" activeCell="EB24" sqref="EB24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51" width="7.7109375" style="9" customWidth="1"/>
    <col min="152" max="16384" width="9.140625" style="9"/>
  </cols>
  <sheetData>
    <row r="1" spans="1:151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2" t="s">
        <v>99</v>
      </c>
      <c r="EG1" s="168" t="s">
        <v>100</v>
      </c>
      <c r="EH1" s="168" t="s">
        <v>101</v>
      </c>
      <c r="EI1" s="168" t="s">
        <v>102</v>
      </c>
      <c r="EJ1" s="164" t="s">
        <v>103</v>
      </c>
      <c r="EK1" s="164" t="s">
        <v>104</v>
      </c>
      <c r="EL1" s="165" t="s">
        <v>312</v>
      </c>
      <c r="EM1" s="175" t="s">
        <v>108</v>
      </c>
      <c r="EN1" s="173" t="s">
        <v>110</v>
      </c>
      <c r="EO1" s="173" t="s">
        <v>109</v>
      </c>
      <c r="EP1" s="173" t="s">
        <v>111</v>
      </c>
      <c r="EQ1" s="174" t="s">
        <v>82</v>
      </c>
      <c r="ER1" s="173" t="s">
        <v>107</v>
      </c>
      <c r="ES1" s="174" t="s">
        <v>93</v>
      </c>
      <c r="ET1" s="174" t="s">
        <v>94</v>
      </c>
      <c r="EU1" s="173" t="s">
        <v>95</v>
      </c>
    </row>
    <row r="2" spans="1:151" ht="15.75" thickBot="1" x14ac:dyDescent="0.3">
      <c r="A2" s="32">
        <v>9</v>
      </c>
      <c r="B2" s="33" t="s">
        <v>10</v>
      </c>
      <c r="C2" s="85" t="str">
        <f t="shared" ref="C2:C45" si="0">B2&amp;" "&amp;A2</f>
        <v>שקד 9</v>
      </c>
      <c r="D2" s="12" t="s">
        <v>6</v>
      </c>
      <c r="E2" s="23" t="s">
        <v>7</v>
      </c>
      <c r="F2" s="31" t="s">
        <v>145</v>
      </c>
      <c r="G2" s="30">
        <v>43009</v>
      </c>
      <c r="H2" s="114"/>
      <c r="I2" s="35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/>
      <c r="R2" s="12"/>
      <c r="S2" s="12"/>
      <c r="T2" s="12"/>
      <c r="U2" s="14">
        <f>Q2*3+S2</f>
        <v>0</v>
      </c>
      <c r="V2" s="14">
        <f>R2*3+T2</f>
        <v>0</v>
      </c>
      <c r="W2" s="16">
        <f>V2+U2</f>
        <v>0</v>
      </c>
      <c r="X2" s="10"/>
      <c r="Y2" s="12"/>
      <c r="Z2" s="12"/>
      <c r="AA2" s="12"/>
      <c r="AB2" s="17">
        <f>X2*3+Z2</f>
        <v>0</v>
      </c>
      <c r="AC2" s="17">
        <f>Y2*3+AA2</f>
        <v>0</v>
      </c>
      <c r="AD2" s="18">
        <f>AC2+AB2</f>
        <v>0</v>
      </c>
      <c r="AE2" s="10"/>
      <c r="AF2" s="12"/>
      <c r="AG2" s="12">
        <v>1</v>
      </c>
      <c r="AH2" s="12"/>
      <c r="AI2" s="14">
        <f>AE2*3+AG2</f>
        <v>1</v>
      </c>
      <c r="AJ2" s="14">
        <f>AF2*3+AH2</f>
        <v>0</v>
      </c>
      <c r="AK2" s="16">
        <f>AJ2+AI2</f>
        <v>1</v>
      </c>
      <c r="AL2" s="10">
        <v>1</v>
      </c>
      <c r="AM2" s="12"/>
      <c r="AN2" s="12">
        <v>2</v>
      </c>
      <c r="AO2" s="12"/>
      <c r="AP2" s="14">
        <f>AL2*3+AN2</f>
        <v>5</v>
      </c>
      <c r="AQ2" s="14">
        <f>AM2*3+AO2</f>
        <v>0</v>
      </c>
      <c r="AR2" s="16">
        <f>AQ2+AP2</f>
        <v>5</v>
      </c>
      <c r="AS2" s="10"/>
      <c r="AT2" s="12"/>
      <c r="AU2" s="12">
        <v>4</v>
      </c>
      <c r="AV2" s="12"/>
      <c r="AW2" s="14">
        <f>AS2*3+AU2</f>
        <v>4</v>
      </c>
      <c r="AX2" s="14">
        <f>AT2*3+AV2</f>
        <v>0</v>
      </c>
      <c r="AY2" s="16">
        <f>AX2+AW2</f>
        <v>4</v>
      </c>
      <c r="AZ2" s="10"/>
      <c r="BA2" s="12"/>
      <c r="BB2" s="12">
        <v>2</v>
      </c>
      <c r="BC2" s="12">
        <v>1</v>
      </c>
      <c r="BD2" s="14">
        <f>AZ2*3+BB2</f>
        <v>2</v>
      </c>
      <c r="BE2" s="14">
        <f>BA2*3+BC2</f>
        <v>1</v>
      </c>
      <c r="BF2" s="16">
        <f>BE2+BD2</f>
        <v>3</v>
      </c>
      <c r="BG2" s="32">
        <v>1</v>
      </c>
      <c r="BH2" s="40"/>
      <c r="BI2" s="40">
        <v>1</v>
      </c>
      <c r="BJ2" s="12"/>
      <c r="BK2" s="14">
        <f>BG2*3+BI2</f>
        <v>4</v>
      </c>
      <c r="BL2" s="14">
        <f>BH2*3+BJ2</f>
        <v>0</v>
      </c>
      <c r="BM2" s="39">
        <f>BL2+BK2</f>
        <v>4</v>
      </c>
      <c r="BN2" s="32">
        <v>1</v>
      </c>
      <c r="BO2" s="40"/>
      <c r="BP2" s="40">
        <v>1</v>
      </c>
      <c r="BQ2" s="40"/>
      <c r="BR2" s="14">
        <f>BN2*3+BP2</f>
        <v>4</v>
      </c>
      <c r="BS2" s="14">
        <f>BO2*3+BQ2</f>
        <v>0</v>
      </c>
      <c r="BT2" s="39">
        <f>BS2+BR2</f>
        <v>4</v>
      </c>
      <c r="BU2" s="32"/>
      <c r="BV2" s="40"/>
      <c r="BW2" s="40">
        <v>1</v>
      </c>
      <c r="BX2" s="40"/>
      <c r="BY2" s="14">
        <f>BU2*3+BW2</f>
        <v>1</v>
      </c>
      <c r="BZ2" s="14">
        <f>BV2*3+BX2</f>
        <v>0</v>
      </c>
      <c r="CA2" s="39">
        <f>BZ2+BY2</f>
        <v>1</v>
      </c>
      <c r="CB2" s="32"/>
      <c r="CC2" s="40"/>
      <c r="CD2" s="40">
        <v>1</v>
      </c>
      <c r="CE2" s="79"/>
      <c r="CF2" s="14">
        <f>CB2*3+CD2</f>
        <v>1</v>
      </c>
      <c r="CG2" s="14">
        <f>CC2*3+CE2</f>
        <v>0</v>
      </c>
      <c r="CH2" s="39">
        <f>CG2+CF2</f>
        <v>1</v>
      </c>
      <c r="CI2" s="40"/>
      <c r="CJ2" s="40">
        <v>1</v>
      </c>
      <c r="CK2" s="40">
        <v>1</v>
      </c>
      <c r="CL2" s="83"/>
      <c r="CM2" s="14">
        <f>CI2*3+CK2</f>
        <v>1</v>
      </c>
      <c r="CN2" s="14">
        <f>CJ2*3+CL2</f>
        <v>3</v>
      </c>
      <c r="CO2" s="39">
        <f>CN2+CM2</f>
        <v>4</v>
      </c>
      <c r="CP2" s="108"/>
      <c r="CQ2" s="40"/>
      <c r="CR2" s="40">
        <v>2</v>
      </c>
      <c r="CS2" s="40"/>
      <c r="CT2" s="14">
        <f t="shared" ref="CT2:CU4" si="1">CP2*3+CR2</f>
        <v>2</v>
      </c>
      <c r="CU2" s="14">
        <f t="shared" si="1"/>
        <v>0</v>
      </c>
      <c r="CV2" s="39">
        <f>CU2+CT2</f>
        <v>2</v>
      </c>
      <c r="CW2" s="32">
        <v>1</v>
      </c>
      <c r="CX2" s="40"/>
      <c r="CY2" s="40"/>
      <c r="CZ2" s="40"/>
      <c r="DA2" s="17">
        <f t="shared" ref="DA2:DB4" si="2">CW2*3+CY2</f>
        <v>3</v>
      </c>
      <c r="DB2" s="17">
        <f t="shared" si="2"/>
        <v>0</v>
      </c>
      <c r="DC2" s="18">
        <f>DB2+DA2</f>
        <v>3</v>
      </c>
      <c r="DD2" s="108"/>
      <c r="DE2" s="40"/>
      <c r="DF2" s="40">
        <v>3</v>
      </c>
      <c r="DG2" s="40"/>
      <c r="DH2" s="156">
        <f t="shared" ref="DH2:DI9" si="3">DD2*3+DF2</f>
        <v>3</v>
      </c>
      <c r="DI2" s="156">
        <f t="shared" si="3"/>
        <v>0</v>
      </c>
      <c r="DJ2" s="18">
        <f t="shared" ref="DJ2:DJ9" si="4">DI2+DH2</f>
        <v>3</v>
      </c>
      <c r="DK2" s="108"/>
      <c r="DL2" s="40">
        <v>1</v>
      </c>
      <c r="DM2" s="40">
        <v>1</v>
      </c>
      <c r="DN2" s="40"/>
      <c r="DO2" s="156">
        <f t="shared" ref="DO2:DO45" si="5">DK2*3+DM2</f>
        <v>1</v>
      </c>
      <c r="DP2" s="156">
        <f t="shared" ref="DP2:DP45" si="6">DL2*3+DN2</f>
        <v>3</v>
      </c>
      <c r="DQ2" s="18">
        <f t="shared" ref="DQ2:DQ45" si="7">DP2+DO2</f>
        <v>4</v>
      </c>
      <c r="DR2" s="108"/>
      <c r="DS2" s="40"/>
      <c r="DT2" s="40">
        <v>2</v>
      </c>
      <c r="DU2" s="40"/>
      <c r="DV2" s="156">
        <f t="shared" ref="DV2:DV45" si="8">DR2*3+DT2</f>
        <v>2</v>
      </c>
      <c r="DW2" s="156">
        <f t="shared" ref="DW2:DW45" si="9">DS2*3+DU2</f>
        <v>0</v>
      </c>
      <c r="DX2" s="18">
        <f t="shared" ref="DX2:DX45" si="10">DW2+DV2</f>
        <v>2</v>
      </c>
      <c r="DY2" s="108">
        <v>1</v>
      </c>
      <c r="DZ2" s="40"/>
      <c r="EA2" s="40">
        <v>1</v>
      </c>
      <c r="EB2" s="40">
        <v>1</v>
      </c>
      <c r="EC2" s="156">
        <f t="shared" ref="EC2:EC45" si="11">DY2*3+EA2</f>
        <v>4</v>
      </c>
      <c r="ED2" s="156">
        <f t="shared" ref="ED2:ED45" si="12">DZ2*3+EB2</f>
        <v>1</v>
      </c>
      <c r="EE2" s="18">
        <f t="shared" ref="EE2:EE45" si="13">ED2+EC2</f>
        <v>5</v>
      </c>
      <c r="EF2" s="108"/>
      <c r="EG2" s="40"/>
      <c r="EH2" s="40"/>
      <c r="EI2" s="40"/>
      <c r="EJ2" s="156">
        <f t="shared" ref="EJ2:EJ45" si="14">EF2*3+EH2</f>
        <v>0</v>
      </c>
      <c r="EK2" s="156">
        <f t="shared" ref="EK2:EK45" si="15">EG2*3+EI2</f>
        <v>0</v>
      </c>
      <c r="EL2" s="18">
        <f t="shared" ref="EL2:EL45" si="16">EK2+EJ2</f>
        <v>0</v>
      </c>
      <c r="EM2" s="74">
        <f t="shared" ref="EM2:EM45" si="17">SUM(AP2,AI2,AB2,U2,N2,AW2,BD2,BK2,BR2,BY2,CF2,CM2,CT2,DA2,DH2,DO2,DV2,EC2,EJ2)</f>
        <v>38</v>
      </c>
      <c r="EN2" s="75">
        <f t="shared" ref="EN2:EN45" ca="1" si="18">EM2/(10+TODAY()-G2)</f>
        <v>8.3700440528634359E-2</v>
      </c>
      <c r="EO2" s="76">
        <f t="shared" ref="EO2:EO45" si="19">SUM(AQ2,AJ2,AC2,V2,O2,AX2,BE2,BL2,BS2,BZ2,CG2,CN2,CU2,DB2,DI2,DP2,DW2,ED2,EK2)</f>
        <v>8</v>
      </c>
      <c r="EP2" s="75">
        <f t="shared" ref="EP2:EP45" ca="1" si="20">EO2/(10+TODAY()-G2)</f>
        <v>1.7621145374449341E-2</v>
      </c>
      <c r="EQ2" s="76">
        <f t="shared" ref="EQ2:EQ45" si="21">EM2+EO2</f>
        <v>46</v>
      </c>
      <c r="ER2" s="75">
        <f t="shared" ref="ER2:ER45" ca="1" si="22">EP2+EN2</f>
        <v>0.1013215859030837</v>
      </c>
      <c r="ES2" s="76">
        <f t="shared" ref="ES2:ES45" si="23">SUM(AS2,AL2,AE2,X2,Q2,Q2,J2,AZ2,BG2,BN2,BU2,CB2,CI2,CP2,CW2,DD2,DK2,DR2,DY2,EF2)</f>
        <v>5</v>
      </c>
      <c r="ET2" s="76">
        <f t="shared" ref="ET2:ET45" si="24">SUM(AT2,AM2,AF2,Y2,R2,R2,K2,BA2,BH2,BO2,BV2,CC2,CJ2,CQ2,CX2,DE2,DL2,DS2,DZ2,EG2)</f>
        <v>2</v>
      </c>
      <c r="EU2" s="76">
        <f t="shared" ref="EU2:EU45" si="25">ET2+ES2</f>
        <v>7</v>
      </c>
    </row>
    <row r="3" spans="1:151" ht="15.75" thickBot="1" x14ac:dyDescent="0.3">
      <c r="A3" s="10">
        <v>9</v>
      </c>
      <c r="B3" s="11" t="s">
        <v>9</v>
      </c>
      <c r="C3" s="26" t="str">
        <f t="shared" si="0"/>
        <v>בר 9</v>
      </c>
      <c r="D3" s="12" t="s">
        <v>6</v>
      </c>
      <c r="E3" s="12" t="s">
        <v>7</v>
      </c>
      <c r="F3" s="31" t="s">
        <v>143</v>
      </c>
      <c r="G3" s="30">
        <v>42917</v>
      </c>
      <c r="H3" s="19">
        <v>43560</v>
      </c>
      <c r="I3" s="35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>
        <v>1</v>
      </c>
      <c r="R3" s="12"/>
      <c r="S3" s="12">
        <v>2</v>
      </c>
      <c r="T3" s="12"/>
      <c r="U3" s="14">
        <f>Q3*3+S3</f>
        <v>5</v>
      </c>
      <c r="V3" s="14">
        <f>R3*3+T3</f>
        <v>0</v>
      </c>
      <c r="W3" s="16">
        <f>V3+U3</f>
        <v>5</v>
      </c>
      <c r="X3" s="10"/>
      <c r="Y3" s="12"/>
      <c r="Z3" s="12">
        <v>2</v>
      </c>
      <c r="AA3" s="12"/>
      <c r="AB3" s="17">
        <f>X3*3+Z3</f>
        <v>2</v>
      </c>
      <c r="AC3" s="17">
        <f>Y3*3+AA3</f>
        <v>0</v>
      </c>
      <c r="AD3" s="18">
        <f>AC3+AB3</f>
        <v>2</v>
      </c>
      <c r="AE3" s="10"/>
      <c r="AF3" s="12">
        <v>1</v>
      </c>
      <c r="AG3" s="12">
        <v>2</v>
      </c>
      <c r="AH3" s="12">
        <v>1</v>
      </c>
      <c r="AI3" s="14">
        <f>AE3*3+AG3</f>
        <v>2</v>
      </c>
      <c r="AJ3" s="14">
        <f>AF3*3+AH3</f>
        <v>4</v>
      </c>
      <c r="AK3" s="16">
        <f>AJ3+AI3</f>
        <v>6</v>
      </c>
      <c r="AL3" s="10">
        <v>1</v>
      </c>
      <c r="AM3" s="12"/>
      <c r="AN3" s="12"/>
      <c r="AO3" s="12"/>
      <c r="AP3" s="14">
        <f>AL3*3+AN3</f>
        <v>3</v>
      </c>
      <c r="AQ3" s="14">
        <f>AM3*3+AO3</f>
        <v>0</v>
      </c>
      <c r="AR3" s="16">
        <f>AQ3+AP3</f>
        <v>3</v>
      </c>
      <c r="AS3" s="10"/>
      <c r="AT3" s="12"/>
      <c r="AU3" s="12">
        <v>2</v>
      </c>
      <c r="AV3" s="12"/>
      <c r="AW3" s="14">
        <f>AS3*3+AU3</f>
        <v>2</v>
      </c>
      <c r="AX3" s="14">
        <f>AT3*3+AV3</f>
        <v>0</v>
      </c>
      <c r="AY3" s="16">
        <f>AX3+AW3</f>
        <v>2</v>
      </c>
      <c r="AZ3" s="10"/>
      <c r="BA3" s="12"/>
      <c r="BB3" s="12">
        <v>1</v>
      </c>
      <c r="BC3" s="12"/>
      <c r="BD3" s="14">
        <f>AZ3*3+BB3</f>
        <v>1</v>
      </c>
      <c r="BE3" s="14">
        <f>BA3*3+BC3</f>
        <v>0</v>
      </c>
      <c r="BF3" s="16">
        <f>BE3+BD3</f>
        <v>1</v>
      </c>
      <c r="BG3" s="32">
        <v>1</v>
      </c>
      <c r="BH3" s="40"/>
      <c r="BI3" s="12">
        <v>3</v>
      </c>
      <c r="BJ3" s="12"/>
      <c r="BK3" s="14">
        <f>BG3*3+BI3</f>
        <v>6</v>
      </c>
      <c r="BL3" s="14">
        <f>BH3*3+BJ3</f>
        <v>0</v>
      </c>
      <c r="BM3" s="39">
        <f>BL3+BK3</f>
        <v>6</v>
      </c>
      <c r="BN3" s="32"/>
      <c r="BO3" s="40"/>
      <c r="BP3" s="40">
        <v>3</v>
      </c>
      <c r="BQ3" s="40"/>
      <c r="BR3" s="14">
        <f>BN3*3+BP3</f>
        <v>3</v>
      </c>
      <c r="BS3" s="14">
        <f>BO3*3+BQ3</f>
        <v>0</v>
      </c>
      <c r="BT3" s="39">
        <f>BS3+BR3</f>
        <v>3</v>
      </c>
      <c r="BU3" s="32">
        <v>1</v>
      </c>
      <c r="BV3" s="40"/>
      <c r="BW3" s="40"/>
      <c r="BX3" s="40"/>
      <c r="BY3" s="14">
        <f>BU3*3+BW3</f>
        <v>3</v>
      </c>
      <c r="BZ3" s="14">
        <f>BV3*3+BX3</f>
        <v>0</v>
      </c>
      <c r="CA3" s="39">
        <f>BZ3+BY3</f>
        <v>3</v>
      </c>
      <c r="CB3" s="32"/>
      <c r="CC3" s="40"/>
      <c r="CD3" s="40">
        <v>1</v>
      </c>
      <c r="CE3" s="79">
        <v>1</v>
      </c>
      <c r="CF3" s="14">
        <f>CB3*3+CD3</f>
        <v>1</v>
      </c>
      <c r="CG3" s="14">
        <f>CC3*3+CE3</f>
        <v>1</v>
      </c>
      <c r="CH3" s="39">
        <f>CG3+CF3</f>
        <v>2</v>
      </c>
      <c r="CI3" s="40"/>
      <c r="CJ3" s="40"/>
      <c r="CK3" s="40">
        <v>2</v>
      </c>
      <c r="CL3" s="83"/>
      <c r="CM3" s="14">
        <f>CI3*3+CK3</f>
        <v>2</v>
      </c>
      <c r="CN3" s="14">
        <f>CJ3*3+CL3</f>
        <v>0</v>
      </c>
      <c r="CO3" s="39">
        <f>CN3+CM3</f>
        <v>2</v>
      </c>
      <c r="CP3" s="108">
        <v>1</v>
      </c>
      <c r="CQ3" s="40"/>
      <c r="CR3" s="40">
        <v>1</v>
      </c>
      <c r="CS3" s="40"/>
      <c r="CT3" s="14">
        <f t="shared" si="1"/>
        <v>4</v>
      </c>
      <c r="CU3" s="14">
        <f t="shared" si="1"/>
        <v>0</v>
      </c>
      <c r="CV3" s="39">
        <f>CU3+CT3</f>
        <v>4</v>
      </c>
      <c r="CW3" s="32"/>
      <c r="CX3" s="40">
        <v>1</v>
      </c>
      <c r="CY3" s="40">
        <v>2</v>
      </c>
      <c r="CZ3" s="40"/>
      <c r="DA3" s="17">
        <f t="shared" si="2"/>
        <v>2</v>
      </c>
      <c r="DB3" s="17">
        <f t="shared" si="2"/>
        <v>3</v>
      </c>
      <c r="DC3" s="18">
        <f>DB3+DA3</f>
        <v>5</v>
      </c>
      <c r="DD3" s="108"/>
      <c r="DE3" s="40"/>
      <c r="DF3" s="40">
        <v>2</v>
      </c>
      <c r="DG3" s="40"/>
      <c r="DH3" s="156">
        <f t="shared" si="3"/>
        <v>2</v>
      </c>
      <c r="DI3" s="156">
        <f t="shared" si="3"/>
        <v>0</v>
      </c>
      <c r="DJ3" s="18">
        <f t="shared" si="4"/>
        <v>2</v>
      </c>
      <c r="DK3" s="108">
        <v>1</v>
      </c>
      <c r="DL3" s="40"/>
      <c r="DM3" s="40"/>
      <c r="DN3" s="40"/>
      <c r="DO3" s="156">
        <f t="shared" si="5"/>
        <v>3</v>
      </c>
      <c r="DP3" s="156">
        <f t="shared" si="6"/>
        <v>0</v>
      </c>
      <c r="DQ3" s="18">
        <f t="shared" si="7"/>
        <v>3</v>
      </c>
      <c r="DR3" s="108"/>
      <c r="DS3" s="40"/>
      <c r="DT3" s="40">
        <v>1</v>
      </c>
      <c r="DU3" s="40">
        <v>1</v>
      </c>
      <c r="DV3" s="156">
        <f t="shared" si="8"/>
        <v>1</v>
      </c>
      <c r="DW3" s="156">
        <f t="shared" si="9"/>
        <v>1</v>
      </c>
      <c r="DX3" s="18">
        <f t="shared" si="10"/>
        <v>2</v>
      </c>
      <c r="DY3" s="108"/>
      <c r="DZ3" s="40">
        <v>1</v>
      </c>
      <c r="EA3" s="40">
        <v>1</v>
      </c>
      <c r="EB3" s="40">
        <v>1</v>
      </c>
      <c r="EC3" s="156">
        <f t="shared" si="11"/>
        <v>1</v>
      </c>
      <c r="ED3" s="156">
        <f t="shared" si="12"/>
        <v>4</v>
      </c>
      <c r="EE3" s="18">
        <f t="shared" si="13"/>
        <v>5</v>
      </c>
      <c r="EF3" s="108"/>
      <c r="EG3" s="40"/>
      <c r="EH3" s="40"/>
      <c r="EI3" s="40"/>
      <c r="EJ3" s="156">
        <f t="shared" si="14"/>
        <v>0</v>
      </c>
      <c r="EK3" s="156">
        <f t="shared" si="15"/>
        <v>0</v>
      </c>
      <c r="EL3" s="18">
        <f t="shared" si="16"/>
        <v>0</v>
      </c>
      <c r="EM3" s="74">
        <f t="shared" si="17"/>
        <v>43</v>
      </c>
      <c r="EN3" s="75">
        <f t="shared" ca="1" si="18"/>
        <v>7.8754578754578752E-2</v>
      </c>
      <c r="EO3" s="76">
        <f t="shared" si="19"/>
        <v>13</v>
      </c>
      <c r="EP3" s="75">
        <f t="shared" ca="1" si="20"/>
        <v>2.3809523809523808E-2</v>
      </c>
      <c r="EQ3" s="76">
        <f t="shared" si="21"/>
        <v>56</v>
      </c>
      <c r="ER3" s="75">
        <f t="shared" ca="1" si="22"/>
        <v>0.10256410256410256</v>
      </c>
      <c r="ES3" s="76">
        <f t="shared" si="23"/>
        <v>7</v>
      </c>
      <c r="ET3" s="76">
        <f t="shared" si="24"/>
        <v>3</v>
      </c>
      <c r="EU3" s="76">
        <f t="shared" si="25"/>
        <v>10</v>
      </c>
    </row>
    <row r="4" spans="1:151" ht="15.75" thickBot="1" x14ac:dyDescent="0.3">
      <c r="A4" s="32">
        <v>9</v>
      </c>
      <c r="B4" s="247" t="s">
        <v>226</v>
      </c>
      <c r="C4" s="85" t="str">
        <f t="shared" si="0"/>
        <v>דריה 9</v>
      </c>
      <c r="D4" s="23" t="s">
        <v>6</v>
      </c>
      <c r="E4" s="23" t="s">
        <v>6</v>
      </c>
      <c r="F4" s="31" t="s">
        <v>224</v>
      </c>
      <c r="G4" s="30">
        <v>43313</v>
      </c>
      <c r="H4" s="31"/>
      <c r="I4" s="13"/>
      <c r="J4" s="48"/>
      <c r="K4" s="49"/>
      <c r="L4" s="49"/>
      <c r="M4" s="49"/>
      <c r="N4" s="50"/>
      <c r="O4" s="50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9"/>
      <c r="CF4" s="14"/>
      <c r="CG4" s="14"/>
      <c r="CH4" s="39"/>
      <c r="CI4" s="40"/>
      <c r="CJ4" s="40"/>
      <c r="CK4" s="40"/>
      <c r="CL4" s="83"/>
      <c r="CM4" s="14"/>
      <c r="CN4" s="14"/>
      <c r="CO4" s="39"/>
      <c r="CP4" s="108"/>
      <c r="CQ4" s="40"/>
      <c r="CR4" s="40"/>
      <c r="CS4" s="40"/>
      <c r="CT4" s="14">
        <f t="shared" si="1"/>
        <v>0</v>
      </c>
      <c r="CU4" s="14">
        <f t="shared" si="1"/>
        <v>0</v>
      </c>
      <c r="CV4" s="39">
        <f>CU4+CT4</f>
        <v>0</v>
      </c>
      <c r="CW4" s="32"/>
      <c r="CX4" s="40"/>
      <c r="CY4" s="40"/>
      <c r="CZ4" s="40"/>
      <c r="DA4" s="17">
        <f t="shared" si="2"/>
        <v>0</v>
      </c>
      <c r="DB4" s="17">
        <f t="shared" si="2"/>
        <v>0</v>
      </c>
      <c r="DC4" s="18">
        <f>DB4+DA4</f>
        <v>0</v>
      </c>
      <c r="DD4" s="108">
        <v>1</v>
      </c>
      <c r="DE4" s="40"/>
      <c r="DF4" s="40">
        <v>1</v>
      </c>
      <c r="DG4" s="40"/>
      <c r="DH4" s="156">
        <f t="shared" si="3"/>
        <v>4</v>
      </c>
      <c r="DI4" s="156">
        <f t="shared" si="3"/>
        <v>0</v>
      </c>
      <c r="DJ4" s="18">
        <f t="shared" si="4"/>
        <v>4</v>
      </c>
      <c r="DK4" s="108"/>
      <c r="DL4" s="40"/>
      <c r="DM4" s="40">
        <v>2</v>
      </c>
      <c r="DN4" s="40">
        <v>1</v>
      </c>
      <c r="DO4" s="156">
        <f t="shared" si="5"/>
        <v>2</v>
      </c>
      <c r="DP4" s="156">
        <f t="shared" si="6"/>
        <v>1</v>
      </c>
      <c r="DQ4" s="18">
        <f t="shared" si="7"/>
        <v>3</v>
      </c>
      <c r="DR4" s="108">
        <v>1</v>
      </c>
      <c r="DS4" s="40"/>
      <c r="DT4" s="40">
        <v>1</v>
      </c>
      <c r="DU4" s="40">
        <v>2</v>
      </c>
      <c r="DV4" s="156">
        <f t="shared" si="8"/>
        <v>4</v>
      </c>
      <c r="DW4" s="156">
        <f t="shared" si="9"/>
        <v>2</v>
      </c>
      <c r="DX4" s="18">
        <f t="shared" si="10"/>
        <v>6</v>
      </c>
      <c r="DY4" s="108"/>
      <c r="DZ4" s="40"/>
      <c r="EA4" s="40">
        <v>1</v>
      </c>
      <c r="EB4" s="40"/>
      <c r="EC4" s="156">
        <f t="shared" si="11"/>
        <v>1</v>
      </c>
      <c r="ED4" s="156">
        <f t="shared" si="12"/>
        <v>0</v>
      </c>
      <c r="EE4" s="18">
        <f t="shared" si="13"/>
        <v>1</v>
      </c>
      <c r="EF4" s="108">
        <v>1</v>
      </c>
      <c r="EG4" s="40"/>
      <c r="EH4" s="40"/>
      <c r="EI4" s="40"/>
      <c r="EJ4" s="156">
        <f t="shared" si="14"/>
        <v>3</v>
      </c>
      <c r="EK4" s="156">
        <f t="shared" si="15"/>
        <v>0</v>
      </c>
      <c r="EL4" s="18">
        <f t="shared" si="16"/>
        <v>3</v>
      </c>
      <c r="EM4" s="74">
        <f t="shared" si="17"/>
        <v>14</v>
      </c>
      <c r="EN4" s="75">
        <f t="shared" ca="1" si="18"/>
        <v>9.3333333333333338E-2</v>
      </c>
      <c r="EO4" s="76">
        <f t="shared" si="19"/>
        <v>3</v>
      </c>
      <c r="EP4" s="75">
        <f t="shared" ca="1" si="20"/>
        <v>0.02</v>
      </c>
      <c r="EQ4" s="76">
        <f t="shared" si="21"/>
        <v>17</v>
      </c>
      <c r="ER4" s="75">
        <f t="shared" ca="1" si="22"/>
        <v>0.11333333333333334</v>
      </c>
      <c r="ES4" s="76">
        <f t="shared" si="23"/>
        <v>3</v>
      </c>
      <c r="ET4" s="76">
        <f t="shared" si="24"/>
        <v>0</v>
      </c>
      <c r="EU4" s="76">
        <f t="shared" si="25"/>
        <v>3</v>
      </c>
    </row>
    <row r="5" spans="1:151" ht="15.75" thickBot="1" x14ac:dyDescent="0.3">
      <c r="A5" s="32">
        <v>9</v>
      </c>
      <c r="B5" s="247" t="s">
        <v>258</v>
      </c>
      <c r="C5" s="85" t="str">
        <f t="shared" si="0"/>
        <v>טליה 9</v>
      </c>
      <c r="D5" s="23" t="s">
        <v>6</v>
      </c>
      <c r="E5" s="23" t="s">
        <v>6</v>
      </c>
      <c r="F5" s="31" t="s">
        <v>260</v>
      </c>
      <c r="G5" s="30">
        <v>43344</v>
      </c>
      <c r="H5" s="31"/>
      <c r="I5" s="35"/>
      <c r="J5" s="48"/>
      <c r="K5" s="49"/>
      <c r="L5" s="49"/>
      <c r="M5" s="49"/>
      <c r="N5" s="50"/>
      <c r="O5" s="50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40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9"/>
      <c r="CF5" s="14"/>
      <c r="CG5" s="14"/>
      <c r="CH5" s="39"/>
      <c r="CI5" s="40"/>
      <c r="CJ5" s="40"/>
      <c r="CK5" s="40"/>
      <c r="CL5" s="83"/>
      <c r="CM5" s="14"/>
      <c r="CN5" s="14"/>
      <c r="CO5" s="39"/>
      <c r="CP5" s="108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8"/>
      <c r="DE5" s="40"/>
      <c r="DF5" s="40"/>
      <c r="DG5" s="40"/>
      <c r="DH5" s="156">
        <f t="shared" si="3"/>
        <v>0</v>
      </c>
      <c r="DI5" s="156">
        <f t="shared" si="3"/>
        <v>0</v>
      </c>
      <c r="DJ5" s="18">
        <f t="shared" si="4"/>
        <v>0</v>
      </c>
      <c r="DK5" s="108">
        <v>1</v>
      </c>
      <c r="DL5" s="40"/>
      <c r="DM5" s="40">
        <v>2</v>
      </c>
      <c r="DN5" s="40"/>
      <c r="DO5" s="156">
        <f t="shared" si="5"/>
        <v>5</v>
      </c>
      <c r="DP5" s="156">
        <f t="shared" si="6"/>
        <v>0</v>
      </c>
      <c r="DQ5" s="18">
        <f t="shared" si="7"/>
        <v>5</v>
      </c>
      <c r="DR5" s="108">
        <v>1</v>
      </c>
      <c r="DS5" s="40"/>
      <c r="DT5" s="40">
        <v>1</v>
      </c>
      <c r="DU5" s="40"/>
      <c r="DV5" s="156">
        <f t="shared" si="8"/>
        <v>4</v>
      </c>
      <c r="DW5" s="156">
        <f t="shared" si="9"/>
        <v>0</v>
      </c>
      <c r="DX5" s="18">
        <f t="shared" si="10"/>
        <v>4</v>
      </c>
      <c r="DY5" s="108"/>
      <c r="DZ5" s="40"/>
      <c r="EA5" s="40">
        <v>1</v>
      </c>
      <c r="EB5" s="40"/>
      <c r="EC5" s="156">
        <f t="shared" si="11"/>
        <v>1</v>
      </c>
      <c r="ED5" s="156">
        <f t="shared" si="12"/>
        <v>0</v>
      </c>
      <c r="EE5" s="18">
        <f t="shared" si="13"/>
        <v>1</v>
      </c>
      <c r="EF5" s="108">
        <v>1</v>
      </c>
      <c r="EG5" s="40"/>
      <c r="EH5" s="40"/>
      <c r="EI5" s="40"/>
      <c r="EJ5" s="156">
        <f t="shared" si="14"/>
        <v>3</v>
      </c>
      <c r="EK5" s="156">
        <f t="shared" si="15"/>
        <v>0</v>
      </c>
      <c r="EL5" s="18">
        <f t="shared" si="16"/>
        <v>3</v>
      </c>
      <c r="EM5" s="74">
        <f t="shared" si="17"/>
        <v>13</v>
      </c>
      <c r="EN5" s="75">
        <f t="shared" ca="1" si="18"/>
        <v>0.1092436974789916</v>
      </c>
      <c r="EO5" s="76">
        <f t="shared" si="19"/>
        <v>0</v>
      </c>
      <c r="EP5" s="75">
        <f t="shared" ca="1" si="20"/>
        <v>0</v>
      </c>
      <c r="EQ5" s="76">
        <f t="shared" si="21"/>
        <v>13</v>
      </c>
      <c r="ER5" s="75">
        <f t="shared" ca="1" si="22"/>
        <v>0.1092436974789916</v>
      </c>
      <c r="ES5" s="76">
        <f t="shared" si="23"/>
        <v>3</v>
      </c>
      <c r="ET5" s="76">
        <f t="shared" si="24"/>
        <v>0</v>
      </c>
      <c r="EU5" s="76">
        <f t="shared" si="25"/>
        <v>3</v>
      </c>
    </row>
    <row r="6" spans="1:151" ht="15.75" thickBot="1" x14ac:dyDescent="0.3">
      <c r="A6" s="10">
        <v>9</v>
      </c>
      <c r="B6" s="24" t="s">
        <v>96</v>
      </c>
      <c r="C6" s="26" t="str">
        <f t="shared" si="0"/>
        <v>ירדן 9</v>
      </c>
      <c r="D6" s="23" t="s">
        <v>6</v>
      </c>
      <c r="E6" s="23" t="s">
        <v>7</v>
      </c>
      <c r="F6" s="31" t="s">
        <v>146</v>
      </c>
      <c r="G6" s="30">
        <v>43040</v>
      </c>
      <c r="H6" s="31"/>
      <c r="I6" s="13"/>
      <c r="J6" s="48"/>
      <c r="K6" s="49"/>
      <c r="L6" s="49"/>
      <c r="M6" s="49"/>
      <c r="N6" s="50">
        <f t="shared" ref="N6:O8" si="26">J6*3+L6</f>
        <v>0</v>
      </c>
      <c r="O6" s="50">
        <f t="shared" si="26"/>
        <v>0</v>
      </c>
      <c r="P6" s="15">
        <f>O6+N6</f>
        <v>0</v>
      </c>
      <c r="Q6" s="10"/>
      <c r="R6" s="12"/>
      <c r="S6" s="12"/>
      <c r="T6" s="12"/>
      <c r="U6" s="14">
        <f t="shared" ref="U6:V8" si="27">Q6*3+S6</f>
        <v>0</v>
      </c>
      <c r="V6" s="14">
        <f t="shared" si="27"/>
        <v>0</v>
      </c>
      <c r="W6" s="16">
        <f>V6+U6</f>
        <v>0</v>
      </c>
      <c r="X6" s="10"/>
      <c r="Y6" s="12"/>
      <c r="Z6" s="12"/>
      <c r="AA6" s="12"/>
      <c r="AB6" s="17">
        <f t="shared" ref="AB6:AC8" si="28">X6*3+Z6</f>
        <v>0</v>
      </c>
      <c r="AC6" s="17">
        <f t="shared" si="28"/>
        <v>0</v>
      </c>
      <c r="AD6" s="18">
        <f>AC6+AB6</f>
        <v>0</v>
      </c>
      <c r="AE6" s="10"/>
      <c r="AF6" s="12"/>
      <c r="AG6" s="12"/>
      <c r="AH6" s="12"/>
      <c r="AI6" s="14">
        <f t="shared" ref="AI6:AJ8" si="29">AE6*3+AG6</f>
        <v>0</v>
      </c>
      <c r="AJ6" s="14">
        <f t="shared" si="29"/>
        <v>0</v>
      </c>
      <c r="AK6" s="16">
        <f>AJ6+AI6</f>
        <v>0</v>
      </c>
      <c r="AL6" s="10"/>
      <c r="AM6" s="12"/>
      <c r="AN6" s="12"/>
      <c r="AO6" s="12"/>
      <c r="AP6" s="14">
        <f t="shared" ref="AP6:AQ8" si="30">AL6*3+AN6</f>
        <v>0</v>
      </c>
      <c r="AQ6" s="14">
        <f t="shared" si="30"/>
        <v>0</v>
      </c>
      <c r="AR6" s="16">
        <f>AQ6+AP6</f>
        <v>0</v>
      </c>
      <c r="AS6" s="10">
        <v>1</v>
      </c>
      <c r="AT6" s="12"/>
      <c r="AU6" s="12"/>
      <c r="AV6" s="12"/>
      <c r="AW6" s="14">
        <f t="shared" ref="AW6:AX8" si="31">AS6*3+AU6</f>
        <v>3</v>
      </c>
      <c r="AX6" s="14">
        <f t="shared" si="31"/>
        <v>0</v>
      </c>
      <c r="AY6" s="16">
        <f>AX6+AW6</f>
        <v>3</v>
      </c>
      <c r="AZ6" s="10"/>
      <c r="BA6" s="12"/>
      <c r="BB6" s="12">
        <v>3</v>
      </c>
      <c r="BC6" s="12"/>
      <c r="BD6" s="14">
        <f t="shared" ref="BD6:BE8" si="32">AZ6*3+BB6</f>
        <v>3</v>
      </c>
      <c r="BE6" s="14">
        <f t="shared" si="32"/>
        <v>0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 t="shared" ref="BK6:BL8" si="33">BG6*3+BI6</f>
        <v>4</v>
      </c>
      <c r="BL6" s="14">
        <f t="shared" si="33"/>
        <v>0</v>
      </c>
      <c r="BM6" s="39">
        <f>BL6+BK6</f>
        <v>4</v>
      </c>
      <c r="BN6" s="32"/>
      <c r="BO6" s="40"/>
      <c r="BP6" s="40">
        <v>4</v>
      </c>
      <c r="BQ6" s="40"/>
      <c r="BR6" s="14">
        <f t="shared" ref="BR6:BS8" si="34">BN6*3+BP6</f>
        <v>4</v>
      </c>
      <c r="BS6" s="14">
        <f t="shared" si="34"/>
        <v>0</v>
      </c>
      <c r="BT6" s="39">
        <f>BS6+BR6</f>
        <v>4</v>
      </c>
      <c r="BU6" s="32">
        <v>1</v>
      </c>
      <c r="BV6" s="40"/>
      <c r="BW6" s="40"/>
      <c r="BX6" s="40"/>
      <c r="BY6" s="14">
        <f t="shared" ref="BY6:BZ8" si="35">BU6*3+BW6</f>
        <v>3</v>
      </c>
      <c r="BZ6" s="14">
        <f t="shared" si="35"/>
        <v>0</v>
      </c>
      <c r="CA6" s="39">
        <f>BZ6+BY6</f>
        <v>3</v>
      </c>
      <c r="CB6" s="32"/>
      <c r="CC6" s="40"/>
      <c r="CD6" s="40">
        <v>2</v>
      </c>
      <c r="CE6" s="79"/>
      <c r="CF6" s="14">
        <f t="shared" ref="CF6:CG8" si="36">CB6*3+CD6</f>
        <v>2</v>
      </c>
      <c r="CG6" s="14">
        <f t="shared" si="36"/>
        <v>0</v>
      </c>
      <c r="CH6" s="39">
        <f>CG6+CF6</f>
        <v>2</v>
      </c>
      <c r="CI6" s="40"/>
      <c r="CJ6" s="40"/>
      <c r="CK6" s="40">
        <v>1</v>
      </c>
      <c r="CL6" s="83"/>
      <c r="CM6" s="14">
        <f t="shared" ref="CM6:CN8" si="37">CI6*3+CK6</f>
        <v>1</v>
      </c>
      <c r="CN6" s="14">
        <f t="shared" si="37"/>
        <v>0</v>
      </c>
      <c r="CO6" s="39">
        <f>CN6+CM6</f>
        <v>1</v>
      </c>
      <c r="CP6" s="108"/>
      <c r="CQ6" s="40">
        <v>1</v>
      </c>
      <c r="CR6" s="40">
        <v>2</v>
      </c>
      <c r="CS6" s="40"/>
      <c r="CT6" s="14">
        <f t="shared" ref="CT6:CU8" si="38">CP6*3+CR6</f>
        <v>2</v>
      </c>
      <c r="CU6" s="14">
        <f t="shared" si="38"/>
        <v>3</v>
      </c>
      <c r="CV6" s="39">
        <f>CU6+CT6</f>
        <v>5</v>
      </c>
      <c r="CW6" s="32">
        <v>1</v>
      </c>
      <c r="CX6" s="40"/>
      <c r="CY6" s="40"/>
      <c r="CZ6" s="40">
        <v>1</v>
      </c>
      <c r="DA6" s="17">
        <f t="shared" ref="DA6:DB8" si="39">CW6*3+CY6</f>
        <v>3</v>
      </c>
      <c r="DB6" s="17">
        <f t="shared" si="39"/>
        <v>1</v>
      </c>
      <c r="DC6" s="18">
        <f>DB6+DA6</f>
        <v>4</v>
      </c>
      <c r="DD6" s="108">
        <v>1</v>
      </c>
      <c r="DE6" s="40"/>
      <c r="DF6" s="40"/>
      <c r="DG6" s="40"/>
      <c r="DH6" s="156">
        <f t="shared" si="3"/>
        <v>3</v>
      </c>
      <c r="DI6" s="156">
        <f t="shared" si="3"/>
        <v>0</v>
      </c>
      <c r="DJ6" s="18">
        <f t="shared" si="4"/>
        <v>3</v>
      </c>
      <c r="DK6" s="108">
        <v>1</v>
      </c>
      <c r="DL6" s="40"/>
      <c r="DM6" s="40">
        <v>1</v>
      </c>
      <c r="DN6" s="40"/>
      <c r="DO6" s="156">
        <f t="shared" si="5"/>
        <v>4</v>
      </c>
      <c r="DP6" s="156">
        <f t="shared" si="6"/>
        <v>0</v>
      </c>
      <c r="DQ6" s="18">
        <f t="shared" si="7"/>
        <v>4</v>
      </c>
      <c r="DR6" s="108"/>
      <c r="DS6" s="40"/>
      <c r="DT6" s="40"/>
      <c r="DU6" s="40"/>
      <c r="DV6" s="156">
        <f t="shared" si="8"/>
        <v>0</v>
      </c>
      <c r="DW6" s="156">
        <f t="shared" si="9"/>
        <v>0</v>
      </c>
      <c r="DX6" s="18">
        <f t="shared" si="10"/>
        <v>0</v>
      </c>
      <c r="DY6" s="108"/>
      <c r="DZ6" s="40">
        <v>1</v>
      </c>
      <c r="EA6" s="40">
        <v>2</v>
      </c>
      <c r="EB6" s="40"/>
      <c r="EC6" s="156">
        <f t="shared" si="11"/>
        <v>2</v>
      </c>
      <c r="ED6" s="156">
        <f t="shared" si="12"/>
        <v>3</v>
      </c>
      <c r="EE6" s="18">
        <f t="shared" si="13"/>
        <v>5</v>
      </c>
      <c r="EF6" s="108">
        <v>1</v>
      </c>
      <c r="EG6" s="40"/>
      <c r="EH6" s="40"/>
      <c r="EI6" s="40"/>
      <c r="EJ6" s="156">
        <f t="shared" si="14"/>
        <v>3</v>
      </c>
      <c r="EK6" s="156">
        <f t="shared" si="15"/>
        <v>0</v>
      </c>
      <c r="EL6" s="18">
        <f t="shared" si="16"/>
        <v>3</v>
      </c>
      <c r="EM6" s="74">
        <f t="shared" si="17"/>
        <v>37</v>
      </c>
      <c r="EN6" s="75">
        <f t="shared" ca="1" si="18"/>
        <v>8.7470449172576833E-2</v>
      </c>
      <c r="EO6" s="76">
        <f t="shared" si="19"/>
        <v>7</v>
      </c>
      <c r="EP6" s="75">
        <f t="shared" ca="1" si="20"/>
        <v>1.6548463356973995E-2</v>
      </c>
      <c r="EQ6" s="76">
        <f t="shared" si="21"/>
        <v>44</v>
      </c>
      <c r="ER6" s="75">
        <f t="shared" ca="1" si="22"/>
        <v>0.10401891252955082</v>
      </c>
      <c r="ES6" s="76">
        <f t="shared" si="23"/>
        <v>7</v>
      </c>
      <c r="ET6" s="76">
        <f t="shared" si="24"/>
        <v>2</v>
      </c>
      <c r="EU6" s="76">
        <f t="shared" si="25"/>
        <v>9</v>
      </c>
    </row>
    <row r="7" spans="1:151" ht="15.75" thickBot="1" x14ac:dyDescent="0.3">
      <c r="A7" s="32">
        <v>9</v>
      </c>
      <c r="B7" s="33" t="s">
        <v>48</v>
      </c>
      <c r="C7" s="85" t="str">
        <f t="shared" si="0"/>
        <v>כלנית 9</v>
      </c>
      <c r="D7" s="23" t="s">
        <v>6</v>
      </c>
      <c r="E7" s="23" t="s">
        <v>7</v>
      </c>
      <c r="F7" s="31" t="s">
        <v>144</v>
      </c>
      <c r="G7" s="30">
        <v>42979</v>
      </c>
      <c r="H7" s="19"/>
      <c r="I7" s="35"/>
      <c r="J7" s="48"/>
      <c r="K7" s="49"/>
      <c r="L7" s="49"/>
      <c r="M7" s="49"/>
      <c r="N7" s="50">
        <f t="shared" si="26"/>
        <v>0</v>
      </c>
      <c r="O7" s="50">
        <f t="shared" si="26"/>
        <v>0</v>
      </c>
      <c r="P7" s="15">
        <f>O7+N7</f>
        <v>0</v>
      </c>
      <c r="Q7" s="10"/>
      <c r="R7" s="12"/>
      <c r="S7" s="12"/>
      <c r="T7" s="12"/>
      <c r="U7" s="14">
        <f t="shared" si="27"/>
        <v>0</v>
      </c>
      <c r="V7" s="14">
        <f t="shared" si="27"/>
        <v>0</v>
      </c>
      <c r="W7" s="16">
        <f>V7+U7</f>
        <v>0</v>
      </c>
      <c r="X7" s="10"/>
      <c r="Y7" s="12"/>
      <c r="Z7" s="12"/>
      <c r="AA7" s="12"/>
      <c r="AB7" s="17">
        <f t="shared" si="28"/>
        <v>0</v>
      </c>
      <c r="AC7" s="17">
        <f t="shared" si="28"/>
        <v>0</v>
      </c>
      <c r="AD7" s="18">
        <f>AC7+AB7</f>
        <v>0</v>
      </c>
      <c r="AE7" s="10">
        <v>1</v>
      </c>
      <c r="AF7" s="12"/>
      <c r="AG7" s="12">
        <v>2</v>
      </c>
      <c r="AH7" s="12"/>
      <c r="AI7" s="14">
        <f t="shared" si="29"/>
        <v>5</v>
      </c>
      <c r="AJ7" s="14">
        <f t="shared" si="29"/>
        <v>0</v>
      </c>
      <c r="AK7" s="16">
        <f>AJ7+AI7</f>
        <v>5</v>
      </c>
      <c r="AL7" s="10">
        <v>1</v>
      </c>
      <c r="AM7" s="12"/>
      <c r="AN7" s="12"/>
      <c r="AO7" s="12"/>
      <c r="AP7" s="14">
        <f t="shared" si="30"/>
        <v>3</v>
      </c>
      <c r="AQ7" s="14">
        <f t="shared" si="30"/>
        <v>0</v>
      </c>
      <c r="AR7" s="16">
        <f>AQ7+AP7</f>
        <v>3</v>
      </c>
      <c r="AS7" s="10"/>
      <c r="AT7" s="12"/>
      <c r="AU7" s="12">
        <v>4</v>
      </c>
      <c r="AV7" s="12"/>
      <c r="AW7" s="14">
        <f t="shared" si="31"/>
        <v>4</v>
      </c>
      <c r="AX7" s="14">
        <f t="shared" si="31"/>
        <v>0</v>
      </c>
      <c r="AY7" s="16">
        <f>AX7+AW7</f>
        <v>4</v>
      </c>
      <c r="AZ7" s="10"/>
      <c r="BA7" s="12"/>
      <c r="BB7" s="12">
        <v>2</v>
      </c>
      <c r="BC7" s="12">
        <v>1</v>
      </c>
      <c r="BD7" s="14">
        <f t="shared" si="32"/>
        <v>2</v>
      </c>
      <c r="BE7" s="14">
        <f t="shared" si="32"/>
        <v>1</v>
      </c>
      <c r="BF7" s="16">
        <f>BE7+BD7</f>
        <v>3</v>
      </c>
      <c r="BG7" s="32">
        <v>1</v>
      </c>
      <c r="BH7" s="40"/>
      <c r="BI7" s="40">
        <v>1</v>
      </c>
      <c r="BJ7" s="12"/>
      <c r="BK7" s="14">
        <f t="shared" si="33"/>
        <v>4</v>
      </c>
      <c r="BL7" s="14">
        <f t="shared" si="33"/>
        <v>0</v>
      </c>
      <c r="BM7" s="39">
        <f>BL7+BK7</f>
        <v>4</v>
      </c>
      <c r="BN7" s="32"/>
      <c r="BO7" s="40"/>
      <c r="BP7" s="40">
        <v>3</v>
      </c>
      <c r="BQ7" s="40">
        <v>1</v>
      </c>
      <c r="BR7" s="14">
        <f t="shared" si="34"/>
        <v>3</v>
      </c>
      <c r="BS7" s="14">
        <f t="shared" si="34"/>
        <v>1</v>
      </c>
      <c r="BT7" s="39">
        <f>BS7+BR7</f>
        <v>4</v>
      </c>
      <c r="BU7" s="32"/>
      <c r="BV7" s="40">
        <v>1</v>
      </c>
      <c r="BW7" s="40"/>
      <c r="BX7" s="40">
        <v>1</v>
      </c>
      <c r="BY7" s="14">
        <f t="shared" si="35"/>
        <v>0</v>
      </c>
      <c r="BZ7" s="14">
        <f t="shared" si="35"/>
        <v>4</v>
      </c>
      <c r="CA7" s="39">
        <f>BZ7+BY7</f>
        <v>4</v>
      </c>
      <c r="CB7" s="32"/>
      <c r="CC7" s="40"/>
      <c r="CD7" s="40"/>
      <c r="CE7" s="79"/>
      <c r="CF7" s="14">
        <f t="shared" si="36"/>
        <v>0</v>
      </c>
      <c r="CG7" s="14">
        <f t="shared" si="36"/>
        <v>0</v>
      </c>
      <c r="CH7" s="39">
        <f>CG7+CF7</f>
        <v>0</v>
      </c>
      <c r="CI7" s="40">
        <v>1</v>
      </c>
      <c r="CJ7" s="40"/>
      <c r="CK7" s="40">
        <v>1</v>
      </c>
      <c r="CL7" s="83"/>
      <c r="CM7" s="14">
        <f t="shared" si="37"/>
        <v>4</v>
      </c>
      <c r="CN7" s="14">
        <f t="shared" si="37"/>
        <v>0</v>
      </c>
      <c r="CO7" s="39">
        <f>CN7+CM7</f>
        <v>4</v>
      </c>
      <c r="CP7" s="108"/>
      <c r="CQ7" s="40"/>
      <c r="CR7" s="40">
        <v>2</v>
      </c>
      <c r="CS7" s="40"/>
      <c r="CT7" s="14">
        <f t="shared" si="38"/>
        <v>2</v>
      </c>
      <c r="CU7" s="14">
        <f t="shared" si="38"/>
        <v>0</v>
      </c>
      <c r="CV7" s="39">
        <f>CU7+CT7</f>
        <v>2</v>
      </c>
      <c r="CW7" s="32"/>
      <c r="CX7" s="40"/>
      <c r="CY7" s="40">
        <v>1</v>
      </c>
      <c r="CZ7" s="40"/>
      <c r="DA7" s="17">
        <f t="shared" si="39"/>
        <v>1</v>
      </c>
      <c r="DB7" s="17">
        <f t="shared" si="39"/>
        <v>0</v>
      </c>
      <c r="DC7" s="18">
        <f>DB7+DA7</f>
        <v>1</v>
      </c>
      <c r="DD7" s="108">
        <v>1</v>
      </c>
      <c r="DE7" s="40"/>
      <c r="DF7" s="40">
        <v>1</v>
      </c>
      <c r="DG7" s="40"/>
      <c r="DH7" s="156">
        <f t="shared" si="3"/>
        <v>4</v>
      </c>
      <c r="DI7" s="156">
        <f t="shared" si="3"/>
        <v>0</v>
      </c>
      <c r="DJ7" s="18">
        <f t="shared" si="4"/>
        <v>4</v>
      </c>
      <c r="DK7" s="108">
        <v>1</v>
      </c>
      <c r="DL7" s="40"/>
      <c r="DM7" s="40"/>
      <c r="DN7" s="40">
        <v>1</v>
      </c>
      <c r="DO7" s="156">
        <f t="shared" si="5"/>
        <v>3</v>
      </c>
      <c r="DP7" s="156">
        <f t="shared" si="6"/>
        <v>1</v>
      </c>
      <c r="DQ7" s="18">
        <f t="shared" si="7"/>
        <v>4</v>
      </c>
      <c r="DR7" s="108"/>
      <c r="DS7" s="40"/>
      <c r="DT7" s="40">
        <v>2</v>
      </c>
      <c r="DU7" s="40"/>
      <c r="DV7" s="156">
        <f t="shared" si="8"/>
        <v>2</v>
      </c>
      <c r="DW7" s="156">
        <f t="shared" si="9"/>
        <v>0</v>
      </c>
      <c r="DX7" s="18">
        <f t="shared" si="10"/>
        <v>2</v>
      </c>
      <c r="DY7" s="108"/>
      <c r="DZ7" s="40">
        <v>1</v>
      </c>
      <c r="EA7" s="40">
        <v>2</v>
      </c>
      <c r="EB7" s="40"/>
      <c r="EC7" s="156">
        <f t="shared" si="11"/>
        <v>2</v>
      </c>
      <c r="ED7" s="156">
        <f t="shared" si="12"/>
        <v>3</v>
      </c>
      <c r="EE7" s="18">
        <f t="shared" si="13"/>
        <v>5</v>
      </c>
      <c r="EF7" s="108"/>
      <c r="EG7" s="40"/>
      <c r="EH7" s="40"/>
      <c r="EI7" s="40"/>
      <c r="EJ7" s="156">
        <f t="shared" si="14"/>
        <v>0</v>
      </c>
      <c r="EK7" s="156">
        <f t="shared" si="15"/>
        <v>0</v>
      </c>
      <c r="EL7" s="18">
        <f t="shared" si="16"/>
        <v>0</v>
      </c>
      <c r="EM7" s="74">
        <f t="shared" si="17"/>
        <v>39</v>
      </c>
      <c r="EN7" s="75">
        <f t="shared" ca="1" si="18"/>
        <v>8.057851239669421E-2</v>
      </c>
      <c r="EO7" s="76">
        <f t="shared" si="19"/>
        <v>10</v>
      </c>
      <c r="EP7" s="75">
        <f t="shared" ca="1" si="20"/>
        <v>2.0661157024793389E-2</v>
      </c>
      <c r="EQ7" s="76">
        <f t="shared" si="21"/>
        <v>49</v>
      </c>
      <c r="ER7" s="75">
        <f t="shared" ca="1" si="22"/>
        <v>0.1012396694214876</v>
      </c>
      <c r="ES7" s="76">
        <f t="shared" si="23"/>
        <v>6</v>
      </c>
      <c r="ET7" s="76">
        <f t="shared" si="24"/>
        <v>2</v>
      </c>
      <c r="EU7" s="76">
        <f t="shared" si="25"/>
        <v>8</v>
      </c>
    </row>
    <row r="8" spans="1:151" ht="15.75" thickBot="1" x14ac:dyDescent="0.3">
      <c r="A8" s="32">
        <v>9</v>
      </c>
      <c r="B8" s="247" t="s">
        <v>5</v>
      </c>
      <c r="C8" s="85" t="str">
        <f t="shared" si="0"/>
        <v>מאי 9</v>
      </c>
      <c r="D8" s="23" t="s">
        <v>6</v>
      </c>
      <c r="E8" s="23" t="s">
        <v>7</v>
      </c>
      <c r="F8" s="31" t="s">
        <v>158</v>
      </c>
      <c r="G8" s="30">
        <v>43160</v>
      </c>
      <c r="H8" s="42"/>
      <c r="I8" s="35"/>
      <c r="J8" s="48"/>
      <c r="K8" s="49"/>
      <c r="L8" s="49"/>
      <c r="M8" s="49"/>
      <c r="N8" s="50">
        <f t="shared" si="26"/>
        <v>0</v>
      </c>
      <c r="O8" s="50">
        <f t="shared" si="26"/>
        <v>0</v>
      </c>
      <c r="P8" s="15">
        <f>O8+N8</f>
        <v>0</v>
      </c>
      <c r="Q8" s="10"/>
      <c r="R8" s="12"/>
      <c r="S8" s="12"/>
      <c r="T8" s="12"/>
      <c r="U8" s="14">
        <f t="shared" si="27"/>
        <v>0</v>
      </c>
      <c r="V8" s="14">
        <f t="shared" si="27"/>
        <v>0</v>
      </c>
      <c r="W8" s="16">
        <f>V8+U8</f>
        <v>0</v>
      </c>
      <c r="X8" s="10"/>
      <c r="Y8" s="12"/>
      <c r="Z8" s="12"/>
      <c r="AA8" s="12"/>
      <c r="AB8" s="17">
        <f t="shared" si="28"/>
        <v>0</v>
      </c>
      <c r="AC8" s="17">
        <f t="shared" si="28"/>
        <v>0</v>
      </c>
      <c r="AD8" s="18">
        <f>AC8+AB8</f>
        <v>0</v>
      </c>
      <c r="AE8" s="10"/>
      <c r="AF8" s="12"/>
      <c r="AG8" s="12"/>
      <c r="AH8" s="12"/>
      <c r="AI8" s="14">
        <f t="shared" si="29"/>
        <v>0</v>
      </c>
      <c r="AJ8" s="14">
        <f t="shared" si="29"/>
        <v>0</v>
      </c>
      <c r="AK8" s="16">
        <f>AJ8+AI8</f>
        <v>0</v>
      </c>
      <c r="AL8" s="10"/>
      <c r="AM8" s="12"/>
      <c r="AN8" s="12"/>
      <c r="AO8" s="12"/>
      <c r="AP8" s="14">
        <f t="shared" si="30"/>
        <v>0</v>
      </c>
      <c r="AQ8" s="14">
        <f t="shared" si="30"/>
        <v>0</v>
      </c>
      <c r="AR8" s="16">
        <f>AQ8+AP8</f>
        <v>0</v>
      </c>
      <c r="AS8" s="10"/>
      <c r="AT8" s="12"/>
      <c r="AU8" s="12"/>
      <c r="AV8" s="12"/>
      <c r="AW8" s="14">
        <f t="shared" si="31"/>
        <v>0</v>
      </c>
      <c r="AX8" s="14">
        <f t="shared" si="31"/>
        <v>0</v>
      </c>
      <c r="AY8" s="16">
        <f>AX8+AW8</f>
        <v>0</v>
      </c>
      <c r="AZ8" s="10"/>
      <c r="BA8" s="12"/>
      <c r="BB8" s="12"/>
      <c r="BC8" s="12"/>
      <c r="BD8" s="14">
        <f t="shared" si="32"/>
        <v>0</v>
      </c>
      <c r="BE8" s="14">
        <f t="shared" si="32"/>
        <v>0</v>
      </c>
      <c r="BF8" s="16">
        <f>BE8+BD8</f>
        <v>0</v>
      </c>
      <c r="BG8" s="32"/>
      <c r="BH8" s="40"/>
      <c r="BI8" s="12"/>
      <c r="BJ8" s="12"/>
      <c r="BK8" s="14">
        <f t="shared" si="33"/>
        <v>0</v>
      </c>
      <c r="BL8" s="14">
        <f t="shared" si="33"/>
        <v>0</v>
      </c>
      <c r="BM8" s="39">
        <f>BL8+BK8</f>
        <v>0</v>
      </c>
      <c r="BN8" s="32"/>
      <c r="BO8" s="40"/>
      <c r="BP8" s="40"/>
      <c r="BQ8" s="40"/>
      <c r="BR8" s="14">
        <f t="shared" si="34"/>
        <v>0</v>
      </c>
      <c r="BS8" s="14">
        <f t="shared" si="34"/>
        <v>0</v>
      </c>
      <c r="BT8" s="39">
        <f>BS8+BR8</f>
        <v>0</v>
      </c>
      <c r="BU8" s="32"/>
      <c r="BV8" s="40"/>
      <c r="BW8" s="40">
        <v>1</v>
      </c>
      <c r="BX8" s="40"/>
      <c r="BY8" s="14">
        <f t="shared" si="35"/>
        <v>1</v>
      </c>
      <c r="BZ8" s="14">
        <f t="shared" si="35"/>
        <v>0</v>
      </c>
      <c r="CA8" s="39">
        <f>BZ8+BY8</f>
        <v>1</v>
      </c>
      <c r="CB8" s="78"/>
      <c r="CC8" s="40"/>
      <c r="CD8" s="40"/>
      <c r="CE8" s="79"/>
      <c r="CF8" s="14">
        <f t="shared" si="36"/>
        <v>0</v>
      </c>
      <c r="CG8" s="14">
        <f t="shared" si="36"/>
        <v>0</v>
      </c>
      <c r="CH8" s="39">
        <f>CG8+CF8</f>
        <v>0</v>
      </c>
      <c r="CI8" s="40"/>
      <c r="CJ8" s="40"/>
      <c r="CK8" s="40"/>
      <c r="CL8" s="83"/>
      <c r="CM8" s="14">
        <f t="shared" si="37"/>
        <v>0</v>
      </c>
      <c r="CN8" s="14">
        <f t="shared" si="37"/>
        <v>0</v>
      </c>
      <c r="CO8" s="39">
        <f>CN8+CM8</f>
        <v>0</v>
      </c>
      <c r="CP8" s="108"/>
      <c r="CQ8" s="40"/>
      <c r="CR8" s="40"/>
      <c r="CS8" s="40"/>
      <c r="CT8" s="14">
        <f t="shared" si="38"/>
        <v>0</v>
      </c>
      <c r="CU8" s="14">
        <f t="shared" si="38"/>
        <v>0</v>
      </c>
      <c r="CV8" s="39">
        <f>CU8+CT8</f>
        <v>0</v>
      </c>
      <c r="CW8" s="32"/>
      <c r="CX8" s="40"/>
      <c r="CY8" s="40"/>
      <c r="CZ8" s="40"/>
      <c r="DA8" s="17">
        <f t="shared" si="39"/>
        <v>0</v>
      </c>
      <c r="DB8" s="17">
        <f t="shared" si="39"/>
        <v>0</v>
      </c>
      <c r="DC8" s="18">
        <f>DB8+DA8</f>
        <v>0</v>
      </c>
      <c r="DD8" s="108"/>
      <c r="DE8" s="40"/>
      <c r="DF8" s="40"/>
      <c r="DG8" s="40"/>
      <c r="DH8" s="156">
        <f t="shared" si="3"/>
        <v>0</v>
      </c>
      <c r="DI8" s="156">
        <f t="shared" si="3"/>
        <v>0</v>
      </c>
      <c r="DJ8" s="18">
        <f t="shared" si="4"/>
        <v>0</v>
      </c>
      <c r="DK8" s="108"/>
      <c r="DL8" s="40"/>
      <c r="DM8" s="40"/>
      <c r="DN8" s="40"/>
      <c r="DO8" s="156">
        <f t="shared" si="5"/>
        <v>0</v>
      </c>
      <c r="DP8" s="156">
        <f t="shared" si="6"/>
        <v>0</v>
      </c>
      <c r="DQ8" s="18">
        <f t="shared" si="7"/>
        <v>0</v>
      </c>
      <c r="DR8" s="108"/>
      <c r="DS8" s="40"/>
      <c r="DT8" s="40"/>
      <c r="DU8" s="40"/>
      <c r="DV8" s="156">
        <f t="shared" si="8"/>
        <v>0</v>
      </c>
      <c r="DW8" s="156">
        <f t="shared" si="9"/>
        <v>0</v>
      </c>
      <c r="DX8" s="18">
        <f t="shared" si="10"/>
        <v>0</v>
      </c>
      <c r="DY8" s="108"/>
      <c r="DZ8" s="40"/>
      <c r="EA8" s="40"/>
      <c r="EB8" s="40">
        <v>2</v>
      </c>
      <c r="EC8" s="156">
        <f t="shared" si="11"/>
        <v>0</v>
      </c>
      <c r="ED8" s="156">
        <f t="shared" si="12"/>
        <v>2</v>
      </c>
      <c r="EE8" s="18">
        <f t="shared" si="13"/>
        <v>2</v>
      </c>
      <c r="EF8" s="108"/>
      <c r="EG8" s="40"/>
      <c r="EH8" s="40"/>
      <c r="EI8" s="40"/>
      <c r="EJ8" s="156">
        <f t="shared" si="14"/>
        <v>0</v>
      </c>
      <c r="EK8" s="156">
        <f t="shared" si="15"/>
        <v>0</v>
      </c>
      <c r="EL8" s="18">
        <f t="shared" si="16"/>
        <v>0</v>
      </c>
      <c r="EM8" s="74">
        <f t="shared" si="17"/>
        <v>1</v>
      </c>
      <c r="EN8" s="75">
        <f t="shared" ca="1" si="18"/>
        <v>3.3003300330033004E-3</v>
      </c>
      <c r="EO8" s="76">
        <f t="shared" si="19"/>
        <v>2</v>
      </c>
      <c r="EP8" s="75">
        <f t="shared" ca="1" si="20"/>
        <v>6.6006600660066007E-3</v>
      </c>
      <c r="EQ8" s="76">
        <f t="shared" si="21"/>
        <v>3</v>
      </c>
      <c r="ER8" s="75">
        <f t="shared" ca="1" si="22"/>
        <v>9.9009900990099011E-3</v>
      </c>
      <c r="ES8" s="76">
        <f t="shared" si="23"/>
        <v>0</v>
      </c>
      <c r="ET8" s="76">
        <f t="shared" si="24"/>
        <v>0</v>
      </c>
      <c r="EU8" s="76">
        <f t="shared" si="25"/>
        <v>0</v>
      </c>
    </row>
    <row r="9" spans="1:151" ht="15.75" thickBot="1" x14ac:dyDescent="0.3">
      <c r="A9" s="32">
        <v>9</v>
      </c>
      <c r="B9" s="247" t="s">
        <v>263</v>
      </c>
      <c r="C9" s="85" t="str">
        <f t="shared" si="0"/>
        <v>מתן 9</v>
      </c>
      <c r="D9" s="23" t="s">
        <v>6</v>
      </c>
      <c r="E9" s="23" t="s">
        <v>6</v>
      </c>
      <c r="F9" s="31" t="s">
        <v>260</v>
      </c>
      <c r="G9" s="30">
        <v>43344</v>
      </c>
      <c r="H9" s="31"/>
      <c r="I9" s="35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40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8"/>
      <c r="DE9" s="40"/>
      <c r="DF9" s="40"/>
      <c r="DG9" s="40"/>
      <c r="DH9" s="156">
        <f t="shared" si="3"/>
        <v>0</v>
      </c>
      <c r="DI9" s="156">
        <f t="shared" si="3"/>
        <v>0</v>
      </c>
      <c r="DJ9" s="18">
        <f t="shared" si="4"/>
        <v>0</v>
      </c>
      <c r="DK9" s="108"/>
      <c r="DL9" s="40"/>
      <c r="DM9" s="40">
        <v>2</v>
      </c>
      <c r="DN9" s="40"/>
      <c r="DO9" s="156">
        <f t="shared" si="5"/>
        <v>2</v>
      </c>
      <c r="DP9" s="156">
        <f t="shared" si="6"/>
        <v>0</v>
      </c>
      <c r="DQ9" s="18">
        <f t="shared" si="7"/>
        <v>2</v>
      </c>
      <c r="DR9" s="108">
        <v>1</v>
      </c>
      <c r="DS9" s="40"/>
      <c r="DT9" s="40">
        <v>1</v>
      </c>
      <c r="DU9" s="40"/>
      <c r="DV9" s="156">
        <f t="shared" si="8"/>
        <v>4</v>
      </c>
      <c r="DW9" s="156">
        <f t="shared" si="9"/>
        <v>0</v>
      </c>
      <c r="DX9" s="18">
        <f t="shared" si="10"/>
        <v>4</v>
      </c>
      <c r="DY9" s="108"/>
      <c r="DZ9" s="40"/>
      <c r="EA9" s="40">
        <v>2</v>
      </c>
      <c r="EB9" s="40">
        <v>1</v>
      </c>
      <c r="EC9" s="156">
        <f t="shared" si="11"/>
        <v>2</v>
      </c>
      <c r="ED9" s="156">
        <f t="shared" si="12"/>
        <v>1</v>
      </c>
      <c r="EE9" s="18">
        <f t="shared" si="13"/>
        <v>3</v>
      </c>
      <c r="EF9" s="108">
        <v>1</v>
      </c>
      <c r="EG9" s="40"/>
      <c r="EH9" s="40"/>
      <c r="EI9" s="40"/>
      <c r="EJ9" s="156">
        <f t="shared" si="14"/>
        <v>3</v>
      </c>
      <c r="EK9" s="156">
        <f t="shared" si="15"/>
        <v>0</v>
      </c>
      <c r="EL9" s="18">
        <f t="shared" si="16"/>
        <v>3</v>
      </c>
      <c r="EM9" s="74">
        <f t="shared" si="17"/>
        <v>11</v>
      </c>
      <c r="EN9" s="75">
        <f t="shared" ca="1" si="18"/>
        <v>9.2436974789915971E-2</v>
      </c>
      <c r="EO9" s="76">
        <f t="shared" si="19"/>
        <v>1</v>
      </c>
      <c r="EP9" s="75">
        <f t="shared" ca="1" si="20"/>
        <v>8.4033613445378148E-3</v>
      </c>
      <c r="EQ9" s="76">
        <f t="shared" si="21"/>
        <v>12</v>
      </c>
      <c r="ER9" s="75">
        <f t="shared" ca="1" si="22"/>
        <v>0.10084033613445378</v>
      </c>
      <c r="ES9" s="76">
        <f t="shared" si="23"/>
        <v>2</v>
      </c>
      <c r="ET9" s="76">
        <f t="shared" si="24"/>
        <v>0</v>
      </c>
      <c r="EU9" s="76">
        <f t="shared" si="25"/>
        <v>2</v>
      </c>
    </row>
    <row r="10" spans="1:151" ht="15.75" thickBot="1" x14ac:dyDescent="0.3">
      <c r="A10" s="32">
        <v>9</v>
      </c>
      <c r="B10" s="247" t="s">
        <v>304</v>
      </c>
      <c r="C10" s="85" t="str">
        <f t="shared" si="0"/>
        <v>עדי 9</v>
      </c>
      <c r="D10" s="23" t="s">
        <v>6</v>
      </c>
      <c r="E10" s="23" t="s">
        <v>6</v>
      </c>
      <c r="F10" s="31" t="s">
        <v>303</v>
      </c>
      <c r="G10" s="30">
        <v>43414</v>
      </c>
      <c r="H10" s="31"/>
      <c r="I10" s="35" t="s">
        <v>308</v>
      </c>
      <c r="J10" s="48"/>
      <c r="K10" s="49"/>
      <c r="L10" s="49"/>
      <c r="M10" s="49"/>
      <c r="N10" s="50"/>
      <c r="O10" s="50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40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32"/>
      <c r="CC10" s="40"/>
      <c r="CD10" s="40"/>
      <c r="CE10" s="79"/>
      <c r="CF10" s="14"/>
      <c r="CG10" s="14"/>
      <c r="CH10" s="39"/>
      <c r="CI10" s="40"/>
      <c r="CJ10" s="40"/>
      <c r="CK10" s="40"/>
      <c r="CL10" s="83"/>
      <c r="CM10" s="14"/>
      <c r="CN10" s="14"/>
      <c r="CO10" s="39"/>
      <c r="CP10" s="108"/>
      <c r="CQ10" s="40"/>
      <c r="CR10" s="40"/>
      <c r="CS10" s="40"/>
      <c r="CT10" s="14"/>
      <c r="CU10" s="14"/>
      <c r="CV10" s="39"/>
      <c r="CW10" s="32"/>
      <c r="CX10" s="40"/>
      <c r="CY10" s="40"/>
      <c r="CZ10" s="40"/>
      <c r="DA10" s="17"/>
      <c r="DB10" s="17"/>
      <c r="DC10" s="18"/>
      <c r="DD10" s="108"/>
      <c r="DE10" s="40"/>
      <c r="DF10" s="40"/>
      <c r="DG10" s="40"/>
      <c r="DH10" s="156"/>
      <c r="DI10" s="156"/>
      <c r="DJ10" s="18"/>
      <c r="DK10" s="108"/>
      <c r="DL10" s="40"/>
      <c r="DM10" s="40"/>
      <c r="DN10" s="40"/>
      <c r="DO10" s="156">
        <f t="shared" si="5"/>
        <v>0</v>
      </c>
      <c r="DP10" s="156">
        <f t="shared" si="6"/>
        <v>0</v>
      </c>
      <c r="DQ10" s="18">
        <f t="shared" si="7"/>
        <v>0</v>
      </c>
      <c r="DR10" s="108"/>
      <c r="DS10" s="40"/>
      <c r="DT10" s="40"/>
      <c r="DU10" s="40"/>
      <c r="DV10" s="156">
        <f t="shared" si="8"/>
        <v>0</v>
      </c>
      <c r="DW10" s="156">
        <f t="shared" si="9"/>
        <v>0</v>
      </c>
      <c r="DX10" s="18">
        <f t="shared" si="10"/>
        <v>0</v>
      </c>
      <c r="DY10" s="108"/>
      <c r="DZ10" s="40"/>
      <c r="EA10" s="40">
        <v>3</v>
      </c>
      <c r="EB10" s="40"/>
      <c r="EC10" s="156">
        <f t="shared" si="11"/>
        <v>3</v>
      </c>
      <c r="ED10" s="156">
        <f t="shared" si="12"/>
        <v>0</v>
      </c>
      <c r="EE10" s="18">
        <f t="shared" si="13"/>
        <v>3</v>
      </c>
      <c r="EF10" s="108">
        <v>1</v>
      </c>
      <c r="EG10" s="40"/>
      <c r="EH10" s="40"/>
      <c r="EI10" s="40"/>
      <c r="EJ10" s="156">
        <f t="shared" si="14"/>
        <v>3</v>
      </c>
      <c r="EK10" s="156">
        <f t="shared" si="15"/>
        <v>0</v>
      </c>
      <c r="EL10" s="18">
        <f t="shared" si="16"/>
        <v>3</v>
      </c>
      <c r="EM10" s="74">
        <f t="shared" si="17"/>
        <v>6</v>
      </c>
      <c r="EN10" s="75">
        <f t="shared" ca="1" si="18"/>
        <v>0.12244897959183673</v>
      </c>
      <c r="EO10" s="76">
        <f t="shared" si="19"/>
        <v>0</v>
      </c>
      <c r="EP10" s="75">
        <f t="shared" ca="1" si="20"/>
        <v>0</v>
      </c>
      <c r="EQ10" s="76">
        <f t="shared" si="21"/>
        <v>6</v>
      </c>
      <c r="ER10" s="75">
        <f t="shared" ca="1" si="22"/>
        <v>0.12244897959183673</v>
      </c>
      <c r="ES10" s="76">
        <f t="shared" si="23"/>
        <v>1</v>
      </c>
      <c r="ET10" s="76">
        <f t="shared" si="24"/>
        <v>0</v>
      </c>
      <c r="EU10" s="76">
        <f t="shared" si="25"/>
        <v>1</v>
      </c>
    </row>
    <row r="11" spans="1:151" ht="15.75" thickBot="1" x14ac:dyDescent="0.3">
      <c r="A11" s="10">
        <v>11</v>
      </c>
      <c r="B11" s="24" t="s">
        <v>164</v>
      </c>
      <c r="C11" s="26" t="str">
        <f t="shared" si="0"/>
        <v>גל 11</v>
      </c>
      <c r="D11" s="23" t="s">
        <v>6</v>
      </c>
      <c r="E11" s="23" t="s">
        <v>7</v>
      </c>
      <c r="F11" s="31" t="s">
        <v>167</v>
      </c>
      <c r="G11" s="30">
        <v>43191</v>
      </c>
      <c r="H11" s="42"/>
      <c r="I11" s="13"/>
      <c r="J11" s="48"/>
      <c r="K11" s="49"/>
      <c r="L11" s="49"/>
      <c r="M11" s="49"/>
      <c r="N11" s="50">
        <f t="shared" ref="N11:O13" si="40">J11*3+L11</f>
        <v>0</v>
      </c>
      <c r="O11" s="50">
        <f t="shared" si="40"/>
        <v>0</v>
      </c>
      <c r="P11" s="15">
        <f>O11+N11</f>
        <v>0</v>
      </c>
      <c r="Q11" s="10"/>
      <c r="R11" s="12"/>
      <c r="S11" s="12"/>
      <c r="T11" s="12"/>
      <c r="U11" s="14">
        <f t="shared" ref="U11:V13" si="41">Q11*3+S11</f>
        <v>0</v>
      </c>
      <c r="V11" s="14">
        <f t="shared" si="41"/>
        <v>0</v>
      </c>
      <c r="W11" s="16">
        <f>V11+U11</f>
        <v>0</v>
      </c>
      <c r="X11" s="10"/>
      <c r="Y11" s="12"/>
      <c r="Z11" s="12"/>
      <c r="AA11" s="12"/>
      <c r="AB11" s="17">
        <f t="shared" ref="AB11:AC13" si="42">X11*3+Z11</f>
        <v>0</v>
      </c>
      <c r="AC11" s="17">
        <f t="shared" si="42"/>
        <v>0</v>
      </c>
      <c r="AD11" s="18">
        <f>AC11+AB11</f>
        <v>0</v>
      </c>
      <c r="AE11" s="10"/>
      <c r="AF11" s="12"/>
      <c r="AG11" s="12"/>
      <c r="AH11" s="12"/>
      <c r="AI11" s="14">
        <f t="shared" ref="AI11:AJ13" si="43">AE11*3+AG11</f>
        <v>0</v>
      </c>
      <c r="AJ11" s="14">
        <f t="shared" si="43"/>
        <v>0</v>
      </c>
      <c r="AK11" s="16">
        <f>AJ11+AI11</f>
        <v>0</v>
      </c>
      <c r="AL11" s="10"/>
      <c r="AM11" s="12"/>
      <c r="AN11" s="12"/>
      <c r="AO11" s="12"/>
      <c r="AP11" s="14">
        <f t="shared" ref="AP11:AQ13" si="44">AL11*3+AN11</f>
        <v>0</v>
      </c>
      <c r="AQ11" s="14">
        <f t="shared" si="44"/>
        <v>0</v>
      </c>
      <c r="AR11" s="16">
        <f>AQ11+AP11</f>
        <v>0</v>
      </c>
      <c r="AS11" s="10"/>
      <c r="AT11" s="12"/>
      <c r="AU11" s="12"/>
      <c r="AV11" s="12"/>
      <c r="AW11" s="14">
        <f t="shared" ref="AW11:AX13" si="45">AS11*3+AU11</f>
        <v>0</v>
      </c>
      <c r="AX11" s="14">
        <f t="shared" si="45"/>
        <v>0</v>
      </c>
      <c r="AY11" s="16">
        <f>AX11+AW11</f>
        <v>0</v>
      </c>
      <c r="AZ11" s="10"/>
      <c r="BA11" s="12"/>
      <c r="BB11" s="12"/>
      <c r="BC11" s="12"/>
      <c r="BD11" s="14">
        <f t="shared" ref="BD11:BE13" si="46">AZ11*3+BB11</f>
        <v>0</v>
      </c>
      <c r="BE11" s="14">
        <f t="shared" si="46"/>
        <v>0</v>
      </c>
      <c r="BF11" s="16">
        <f>BE11+BD11</f>
        <v>0</v>
      </c>
      <c r="BG11" s="32"/>
      <c r="BH11" s="40"/>
      <c r="BI11" s="12"/>
      <c r="BJ11" s="12"/>
      <c r="BK11" s="14">
        <f t="shared" ref="BK11:BL13" si="47">BG11*3+BI11</f>
        <v>0</v>
      </c>
      <c r="BL11" s="14">
        <f t="shared" si="47"/>
        <v>0</v>
      </c>
      <c r="BM11" s="39">
        <f>BL11+BK11</f>
        <v>0</v>
      </c>
      <c r="BN11" s="32"/>
      <c r="BO11" s="40"/>
      <c r="BP11" s="40"/>
      <c r="BQ11" s="40"/>
      <c r="BR11" s="14">
        <f t="shared" ref="BR11:BS13" si="48">BN11*3+BP11</f>
        <v>0</v>
      </c>
      <c r="BS11" s="14">
        <f t="shared" si="48"/>
        <v>0</v>
      </c>
      <c r="BT11" s="39">
        <f>BS11+BR11</f>
        <v>0</v>
      </c>
      <c r="BU11" s="32"/>
      <c r="BV11" s="40"/>
      <c r="BW11" s="40">
        <v>1</v>
      </c>
      <c r="BX11" s="40"/>
      <c r="BY11" s="14">
        <f t="shared" ref="BY11:BZ13" si="49">BU11*3+BW11</f>
        <v>1</v>
      </c>
      <c r="BZ11" s="14">
        <f t="shared" si="49"/>
        <v>0</v>
      </c>
      <c r="CA11" s="39">
        <f>BZ11+BY11</f>
        <v>1</v>
      </c>
      <c r="CB11" s="32"/>
      <c r="CC11" s="40"/>
      <c r="CD11" s="40">
        <v>2</v>
      </c>
      <c r="CE11" s="79"/>
      <c r="CF11" s="14">
        <f t="shared" ref="CF11:CG13" si="50">CB11*3+CD11</f>
        <v>2</v>
      </c>
      <c r="CG11" s="14">
        <f t="shared" si="50"/>
        <v>0</v>
      </c>
      <c r="CH11" s="39">
        <f>CG11+CF11</f>
        <v>2</v>
      </c>
      <c r="CI11" s="40">
        <v>1</v>
      </c>
      <c r="CJ11" s="40"/>
      <c r="CK11" s="40">
        <v>1</v>
      </c>
      <c r="CL11" s="83"/>
      <c r="CM11" s="14">
        <f t="shared" ref="CM11:CN13" si="51">CI11*3+CK11</f>
        <v>4</v>
      </c>
      <c r="CN11" s="14">
        <f t="shared" si="51"/>
        <v>0</v>
      </c>
      <c r="CO11" s="39">
        <f>CN11+CM11</f>
        <v>4</v>
      </c>
      <c r="CP11" s="108"/>
      <c r="CQ11" s="40"/>
      <c r="CR11" s="40">
        <v>1</v>
      </c>
      <c r="CS11" s="40">
        <v>1</v>
      </c>
      <c r="CT11" s="14">
        <f t="shared" ref="CT11:CU13" si="52">CP11*3+CR11</f>
        <v>1</v>
      </c>
      <c r="CU11" s="14">
        <f t="shared" si="52"/>
        <v>1</v>
      </c>
      <c r="CV11" s="39">
        <f>CU11+CT11</f>
        <v>2</v>
      </c>
      <c r="CW11" s="32">
        <v>1</v>
      </c>
      <c r="CX11" s="40"/>
      <c r="CY11" s="40">
        <v>2</v>
      </c>
      <c r="CZ11" s="40"/>
      <c r="DA11" s="17">
        <f t="shared" ref="DA11:DB13" si="53">CW11*3+CY11</f>
        <v>5</v>
      </c>
      <c r="DB11" s="17">
        <f t="shared" si="53"/>
        <v>0</v>
      </c>
      <c r="DC11" s="18">
        <f>DB11+DA11</f>
        <v>5</v>
      </c>
      <c r="DD11" s="108"/>
      <c r="DE11" s="40"/>
      <c r="DF11" s="40">
        <v>2</v>
      </c>
      <c r="DG11" s="40"/>
      <c r="DH11" s="156">
        <f t="shared" ref="DH11:DI13" si="54">DD11*3+DF11</f>
        <v>2</v>
      </c>
      <c r="DI11" s="156">
        <f t="shared" si="54"/>
        <v>0</v>
      </c>
      <c r="DJ11" s="18">
        <f>DI11+DH11</f>
        <v>2</v>
      </c>
      <c r="DK11" s="108"/>
      <c r="DL11" s="40"/>
      <c r="DM11" s="40">
        <v>3</v>
      </c>
      <c r="DN11" s="40"/>
      <c r="DO11" s="156">
        <f t="shared" si="5"/>
        <v>3</v>
      </c>
      <c r="DP11" s="156">
        <f t="shared" si="6"/>
        <v>0</v>
      </c>
      <c r="DQ11" s="18">
        <f t="shared" si="7"/>
        <v>3</v>
      </c>
      <c r="DR11" s="108"/>
      <c r="DS11" s="40">
        <v>1</v>
      </c>
      <c r="DT11" s="40"/>
      <c r="DU11" s="40"/>
      <c r="DV11" s="156">
        <f t="shared" si="8"/>
        <v>0</v>
      </c>
      <c r="DW11" s="156">
        <f t="shared" si="9"/>
        <v>3</v>
      </c>
      <c r="DX11" s="18">
        <f t="shared" si="10"/>
        <v>3</v>
      </c>
      <c r="DY11" s="108">
        <v>1</v>
      </c>
      <c r="DZ11" s="40"/>
      <c r="EA11" s="40"/>
      <c r="EB11" s="40">
        <v>1</v>
      </c>
      <c r="EC11" s="156">
        <f t="shared" si="11"/>
        <v>3</v>
      </c>
      <c r="ED11" s="156">
        <f t="shared" si="12"/>
        <v>1</v>
      </c>
      <c r="EE11" s="18">
        <f t="shared" si="13"/>
        <v>4</v>
      </c>
      <c r="EF11" s="108"/>
      <c r="EG11" s="40"/>
      <c r="EH11" s="40"/>
      <c r="EI11" s="40"/>
      <c r="EJ11" s="156">
        <f t="shared" si="14"/>
        <v>0</v>
      </c>
      <c r="EK11" s="156">
        <f t="shared" si="15"/>
        <v>0</v>
      </c>
      <c r="EL11" s="18">
        <f t="shared" si="16"/>
        <v>0</v>
      </c>
      <c r="EM11" s="74">
        <f t="shared" si="17"/>
        <v>21</v>
      </c>
      <c r="EN11" s="75">
        <f t="shared" ca="1" si="18"/>
        <v>7.720588235294118E-2</v>
      </c>
      <c r="EO11" s="76">
        <f t="shared" si="19"/>
        <v>5</v>
      </c>
      <c r="EP11" s="75">
        <f t="shared" ca="1" si="20"/>
        <v>1.8382352941176471E-2</v>
      </c>
      <c r="EQ11" s="76">
        <f t="shared" si="21"/>
        <v>26</v>
      </c>
      <c r="ER11" s="75">
        <f t="shared" ca="1" si="22"/>
        <v>9.5588235294117654E-2</v>
      </c>
      <c r="ES11" s="76">
        <f t="shared" si="23"/>
        <v>3</v>
      </c>
      <c r="ET11" s="76">
        <f t="shared" si="24"/>
        <v>1</v>
      </c>
      <c r="EU11" s="76">
        <f t="shared" si="25"/>
        <v>4</v>
      </c>
    </row>
    <row r="12" spans="1:151" ht="15.75" thickBot="1" x14ac:dyDescent="0.3">
      <c r="A12" s="32">
        <v>11</v>
      </c>
      <c r="B12" s="239" t="s">
        <v>133</v>
      </c>
      <c r="C12" s="85" t="str">
        <f t="shared" si="0"/>
        <v>ניקול 11</v>
      </c>
      <c r="D12" s="23" t="s">
        <v>6</v>
      </c>
      <c r="E12" s="23" t="s">
        <v>7</v>
      </c>
      <c r="F12" s="31" t="s">
        <v>148</v>
      </c>
      <c r="G12" s="30">
        <v>43151</v>
      </c>
      <c r="H12" s="42"/>
      <c r="I12" s="13"/>
      <c r="J12" s="48"/>
      <c r="K12" s="49"/>
      <c r="L12" s="49"/>
      <c r="M12" s="49"/>
      <c r="N12" s="50">
        <f t="shared" si="40"/>
        <v>0</v>
      </c>
      <c r="O12" s="50">
        <f t="shared" si="40"/>
        <v>0</v>
      </c>
      <c r="P12" s="15">
        <f>O12+N12</f>
        <v>0</v>
      </c>
      <c r="Q12" s="10"/>
      <c r="R12" s="12"/>
      <c r="S12" s="12"/>
      <c r="T12" s="12"/>
      <c r="U12" s="14">
        <f t="shared" si="41"/>
        <v>0</v>
      </c>
      <c r="V12" s="14">
        <f t="shared" si="41"/>
        <v>0</v>
      </c>
      <c r="W12" s="16">
        <v>0</v>
      </c>
      <c r="X12" s="10"/>
      <c r="Y12" s="12"/>
      <c r="Z12" s="12"/>
      <c r="AA12" s="12"/>
      <c r="AB12" s="17">
        <f t="shared" si="42"/>
        <v>0</v>
      </c>
      <c r="AC12" s="17">
        <f t="shared" si="42"/>
        <v>0</v>
      </c>
      <c r="AD12" s="18">
        <f>AC12+AB12</f>
        <v>0</v>
      </c>
      <c r="AE12" s="10"/>
      <c r="AF12" s="12"/>
      <c r="AG12" s="12"/>
      <c r="AH12" s="12"/>
      <c r="AI12" s="14">
        <f t="shared" si="43"/>
        <v>0</v>
      </c>
      <c r="AJ12" s="14">
        <f t="shared" si="43"/>
        <v>0</v>
      </c>
      <c r="AK12" s="16">
        <f>AJ12+AI12</f>
        <v>0</v>
      </c>
      <c r="AL12" s="10"/>
      <c r="AM12" s="12"/>
      <c r="AN12" s="12"/>
      <c r="AO12" s="12"/>
      <c r="AP12" s="14">
        <f t="shared" si="44"/>
        <v>0</v>
      </c>
      <c r="AQ12" s="14">
        <f t="shared" si="44"/>
        <v>0</v>
      </c>
      <c r="AR12" s="16">
        <f>AQ12+AP12</f>
        <v>0</v>
      </c>
      <c r="AS12" s="10"/>
      <c r="AT12" s="12"/>
      <c r="AU12" s="12"/>
      <c r="AV12" s="12"/>
      <c r="AW12" s="14">
        <f t="shared" si="45"/>
        <v>0</v>
      </c>
      <c r="AX12" s="14">
        <f t="shared" si="45"/>
        <v>0</v>
      </c>
      <c r="AY12" s="16">
        <f>AX12+AW12</f>
        <v>0</v>
      </c>
      <c r="AZ12" s="10"/>
      <c r="BA12" s="12"/>
      <c r="BB12" s="12"/>
      <c r="BC12" s="12"/>
      <c r="BD12" s="14">
        <f t="shared" si="46"/>
        <v>0</v>
      </c>
      <c r="BE12" s="14">
        <f t="shared" si="46"/>
        <v>0</v>
      </c>
      <c r="BF12" s="16">
        <f>BE12+BD12</f>
        <v>0</v>
      </c>
      <c r="BG12" s="32"/>
      <c r="BH12" s="40"/>
      <c r="BI12" s="12"/>
      <c r="BJ12" s="12"/>
      <c r="BK12" s="14">
        <f t="shared" si="47"/>
        <v>0</v>
      </c>
      <c r="BL12" s="14">
        <f t="shared" si="47"/>
        <v>0</v>
      </c>
      <c r="BM12" s="39">
        <f>BL12+BK12</f>
        <v>0</v>
      </c>
      <c r="BN12" s="32">
        <v>1</v>
      </c>
      <c r="BO12" s="40"/>
      <c r="BP12" s="40">
        <v>2</v>
      </c>
      <c r="BQ12" s="40"/>
      <c r="BR12" s="14">
        <f t="shared" si="48"/>
        <v>5</v>
      </c>
      <c r="BS12" s="14">
        <f t="shared" si="48"/>
        <v>0</v>
      </c>
      <c r="BT12" s="39">
        <f>BS12+BR12</f>
        <v>5</v>
      </c>
      <c r="BU12" s="32">
        <v>1</v>
      </c>
      <c r="BV12" s="40"/>
      <c r="BW12" s="40">
        <v>1</v>
      </c>
      <c r="BX12" s="40"/>
      <c r="BY12" s="14">
        <f t="shared" si="49"/>
        <v>4</v>
      </c>
      <c r="BZ12" s="14">
        <f t="shared" si="49"/>
        <v>0</v>
      </c>
      <c r="CA12" s="39">
        <f>BZ12+BY12</f>
        <v>4</v>
      </c>
      <c r="CB12" s="32"/>
      <c r="CC12" s="40"/>
      <c r="CD12" s="40">
        <v>2</v>
      </c>
      <c r="CE12" s="79"/>
      <c r="CF12" s="14">
        <f t="shared" si="50"/>
        <v>2</v>
      </c>
      <c r="CG12" s="14">
        <f t="shared" si="50"/>
        <v>0</v>
      </c>
      <c r="CH12" s="39">
        <f>CG12+CF12</f>
        <v>2</v>
      </c>
      <c r="CI12" s="40"/>
      <c r="CJ12" s="40"/>
      <c r="CK12" s="40"/>
      <c r="CL12" s="83"/>
      <c r="CM12" s="14">
        <f t="shared" si="51"/>
        <v>0</v>
      </c>
      <c r="CN12" s="14">
        <f t="shared" si="51"/>
        <v>0</v>
      </c>
      <c r="CO12" s="39">
        <f>CN12+CM12</f>
        <v>0</v>
      </c>
      <c r="CP12" s="108"/>
      <c r="CQ12" s="40"/>
      <c r="CR12" s="40"/>
      <c r="CS12" s="40">
        <v>1</v>
      </c>
      <c r="CT12" s="14">
        <f t="shared" si="52"/>
        <v>0</v>
      </c>
      <c r="CU12" s="14">
        <f t="shared" si="52"/>
        <v>1</v>
      </c>
      <c r="CV12" s="39">
        <f>CU12+CT12</f>
        <v>1</v>
      </c>
      <c r="CW12" s="32"/>
      <c r="CX12" s="40"/>
      <c r="CY12" s="40">
        <v>2</v>
      </c>
      <c r="CZ12" s="40"/>
      <c r="DA12" s="17">
        <f t="shared" si="53"/>
        <v>2</v>
      </c>
      <c r="DB12" s="17">
        <f t="shared" si="53"/>
        <v>0</v>
      </c>
      <c r="DC12" s="18">
        <f>DB12+DA12</f>
        <v>2</v>
      </c>
      <c r="DD12" s="108">
        <v>1</v>
      </c>
      <c r="DE12" s="40"/>
      <c r="DF12" s="40"/>
      <c r="DG12" s="40"/>
      <c r="DH12" s="156">
        <f t="shared" si="54"/>
        <v>3</v>
      </c>
      <c r="DI12" s="156">
        <f t="shared" si="54"/>
        <v>0</v>
      </c>
      <c r="DJ12" s="18">
        <f>DI12+DH12</f>
        <v>3</v>
      </c>
      <c r="DK12" s="108"/>
      <c r="DL12" s="40">
        <v>1</v>
      </c>
      <c r="DM12" s="40">
        <v>1</v>
      </c>
      <c r="DN12" s="40"/>
      <c r="DO12" s="156">
        <f t="shared" si="5"/>
        <v>1</v>
      </c>
      <c r="DP12" s="156">
        <f t="shared" si="6"/>
        <v>3</v>
      </c>
      <c r="DQ12" s="18">
        <f t="shared" si="7"/>
        <v>4</v>
      </c>
      <c r="DR12" s="108"/>
      <c r="DS12" s="40"/>
      <c r="DT12" s="40">
        <v>3</v>
      </c>
      <c r="DU12" s="40"/>
      <c r="DV12" s="156">
        <f t="shared" si="8"/>
        <v>3</v>
      </c>
      <c r="DW12" s="156">
        <f t="shared" si="9"/>
        <v>0</v>
      </c>
      <c r="DX12" s="18">
        <f t="shared" si="10"/>
        <v>3</v>
      </c>
      <c r="DY12" s="108">
        <v>1</v>
      </c>
      <c r="DZ12" s="40"/>
      <c r="EA12" s="40">
        <v>1</v>
      </c>
      <c r="EB12" s="40">
        <v>1</v>
      </c>
      <c r="EC12" s="156">
        <f t="shared" si="11"/>
        <v>4</v>
      </c>
      <c r="ED12" s="156">
        <f t="shared" si="12"/>
        <v>1</v>
      </c>
      <c r="EE12" s="18">
        <f t="shared" si="13"/>
        <v>5</v>
      </c>
      <c r="EF12" s="108"/>
      <c r="EG12" s="40"/>
      <c r="EH12" s="40"/>
      <c r="EI12" s="40"/>
      <c r="EJ12" s="156">
        <f t="shared" si="14"/>
        <v>0</v>
      </c>
      <c r="EK12" s="156">
        <f t="shared" si="15"/>
        <v>0</v>
      </c>
      <c r="EL12" s="18">
        <f t="shared" si="16"/>
        <v>0</v>
      </c>
      <c r="EM12" s="74">
        <f t="shared" si="17"/>
        <v>24</v>
      </c>
      <c r="EN12" s="75">
        <f t="shared" ca="1" si="18"/>
        <v>7.6923076923076927E-2</v>
      </c>
      <c r="EO12" s="76">
        <f t="shared" si="19"/>
        <v>5</v>
      </c>
      <c r="EP12" s="75">
        <f t="shared" ca="1" si="20"/>
        <v>1.6025641025641024E-2</v>
      </c>
      <c r="EQ12" s="76">
        <f t="shared" si="21"/>
        <v>29</v>
      </c>
      <c r="ER12" s="75">
        <f t="shared" ca="1" si="22"/>
        <v>9.2948717948717952E-2</v>
      </c>
      <c r="ES12" s="76">
        <f t="shared" si="23"/>
        <v>4</v>
      </c>
      <c r="ET12" s="76">
        <f t="shared" si="24"/>
        <v>1</v>
      </c>
      <c r="EU12" s="76">
        <f t="shared" si="25"/>
        <v>5</v>
      </c>
    </row>
    <row r="13" spans="1:151" ht="15.75" thickBot="1" x14ac:dyDescent="0.3">
      <c r="A13" s="10">
        <v>11</v>
      </c>
      <c r="B13" s="24" t="s">
        <v>123</v>
      </c>
      <c r="C13" s="26" t="str">
        <f t="shared" si="0"/>
        <v>אתי 11</v>
      </c>
      <c r="D13" s="23" t="s">
        <v>6</v>
      </c>
      <c r="E13" s="23" t="s">
        <v>7</v>
      </c>
      <c r="F13" s="31" t="s">
        <v>193</v>
      </c>
      <c r="G13" s="30">
        <v>43252</v>
      </c>
      <c r="H13" s="42"/>
      <c r="I13" s="13"/>
      <c r="J13" s="48"/>
      <c r="K13" s="49"/>
      <c r="L13" s="49"/>
      <c r="M13" s="49"/>
      <c r="N13" s="50">
        <f t="shared" si="40"/>
        <v>0</v>
      </c>
      <c r="O13" s="50">
        <f t="shared" si="40"/>
        <v>0</v>
      </c>
      <c r="P13" s="15">
        <f>O13+N13</f>
        <v>0</v>
      </c>
      <c r="Q13" s="10"/>
      <c r="R13" s="12"/>
      <c r="S13" s="12"/>
      <c r="T13" s="12"/>
      <c r="U13" s="14">
        <f t="shared" si="41"/>
        <v>0</v>
      </c>
      <c r="V13" s="14">
        <f t="shared" si="41"/>
        <v>0</v>
      </c>
      <c r="W13" s="16">
        <f>V13+U13</f>
        <v>0</v>
      </c>
      <c r="X13" s="10"/>
      <c r="Y13" s="12"/>
      <c r="Z13" s="12"/>
      <c r="AA13" s="12"/>
      <c r="AB13" s="17">
        <f t="shared" si="42"/>
        <v>0</v>
      </c>
      <c r="AC13" s="17">
        <f t="shared" si="42"/>
        <v>0</v>
      </c>
      <c r="AD13" s="18">
        <f>AC13+AB13</f>
        <v>0</v>
      </c>
      <c r="AE13" s="10"/>
      <c r="AF13" s="12"/>
      <c r="AG13" s="12"/>
      <c r="AH13" s="12"/>
      <c r="AI13" s="14">
        <f t="shared" si="43"/>
        <v>0</v>
      </c>
      <c r="AJ13" s="14">
        <f t="shared" si="43"/>
        <v>0</v>
      </c>
      <c r="AK13" s="16">
        <f>AJ13+AI13</f>
        <v>0</v>
      </c>
      <c r="AL13" s="10"/>
      <c r="AM13" s="12"/>
      <c r="AN13" s="12"/>
      <c r="AO13" s="12"/>
      <c r="AP13" s="14">
        <f t="shared" si="44"/>
        <v>0</v>
      </c>
      <c r="AQ13" s="14">
        <f t="shared" si="44"/>
        <v>0</v>
      </c>
      <c r="AR13" s="16">
        <f>AQ13+AP13</f>
        <v>0</v>
      </c>
      <c r="AS13" s="10"/>
      <c r="AT13" s="12"/>
      <c r="AU13" s="12"/>
      <c r="AV13" s="12"/>
      <c r="AW13" s="14">
        <f t="shared" si="45"/>
        <v>0</v>
      </c>
      <c r="AX13" s="14">
        <f t="shared" si="45"/>
        <v>0</v>
      </c>
      <c r="AY13" s="16">
        <f>AX13+AW13</f>
        <v>0</v>
      </c>
      <c r="AZ13" s="10"/>
      <c r="BA13" s="12"/>
      <c r="BB13" s="12"/>
      <c r="BC13" s="12"/>
      <c r="BD13" s="14">
        <f t="shared" si="46"/>
        <v>0</v>
      </c>
      <c r="BE13" s="14">
        <f t="shared" si="46"/>
        <v>0</v>
      </c>
      <c r="BF13" s="16">
        <f>BE13+BD13</f>
        <v>0</v>
      </c>
      <c r="BG13" s="32"/>
      <c r="BH13" s="40"/>
      <c r="BI13" s="12"/>
      <c r="BJ13" s="12"/>
      <c r="BK13" s="14">
        <f t="shared" si="47"/>
        <v>0</v>
      </c>
      <c r="BL13" s="14">
        <f t="shared" si="47"/>
        <v>0</v>
      </c>
      <c r="BM13" s="39">
        <f>BL13+BK13</f>
        <v>0</v>
      </c>
      <c r="BN13" s="32"/>
      <c r="BO13" s="40"/>
      <c r="BP13" s="40"/>
      <c r="BQ13" s="40"/>
      <c r="BR13" s="14">
        <f t="shared" si="48"/>
        <v>0</v>
      </c>
      <c r="BS13" s="14">
        <f t="shared" si="48"/>
        <v>0</v>
      </c>
      <c r="BT13" s="39">
        <f>BS13+BR13</f>
        <v>0</v>
      </c>
      <c r="BU13" s="32"/>
      <c r="BV13" s="40"/>
      <c r="BW13" s="40"/>
      <c r="BX13" s="40"/>
      <c r="BY13" s="14">
        <f t="shared" si="49"/>
        <v>0</v>
      </c>
      <c r="BZ13" s="14">
        <f t="shared" si="49"/>
        <v>0</v>
      </c>
      <c r="CA13" s="39">
        <f>BZ13+BY13</f>
        <v>0</v>
      </c>
      <c r="CB13" s="32"/>
      <c r="CC13" s="40"/>
      <c r="CD13" s="40"/>
      <c r="CE13" s="79"/>
      <c r="CF13" s="14">
        <f t="shared" si="50"/>
        <v>0</v>
      </c>
      <c r="CG13" s="14">
        <f t="shared" si="50"/>
        <v>0</v>
      </c>
      <c r="CH13" s="39">
        <f>CG13+CF13</f>
        <v>0</v>
      </c>
      <c r="CI13" s="40"/>
      <c r="CJ13" s="40"/>
      <c r="CK13" s="40"/>
      <c r="CL13" s="83"/>
      <c r="CM13" s="14">
        <f t="shared" si="51"/>
        <v>0</v>
      </c>
      <c r="CN13" s="14">
        <f t="shared" si="51"/>
        <v>0</v>
      </c>
      <c r="CO13" s="39">
        <f>CN13+CM13</f>
        <v>0</v>
      </c>
      <c r="CP13" s="108"/>
      <c r="CQ13" s="40"/>
      <c r="CR13" s="40">
        <v>3</v>
      </c>
      <c r="CS13" s="40"/>
      <c r="CT13" s="14">
        <f t="shared" si="52"/>
        <v>3</v>
      </c>
      <c r="CU13" s="14">
        <f t="shared" si="52"/>
        <v>0</v>
      </c>
      <c r="CV13" s="39">
        <f>CU13+CT13</f>
        <v>3</v>
      </c>
      <c r="CW13" s="32">
        <v>1</v>
      </c>
      <c r="CX13" s="40"/>
      <c r="CY13" s="40">
        <v>1</v>
      </c>
      <c r="CZ13" s="40"/>
      <c r="DA13" s="17">
        <f t="shared" si="53"/>
        <v>4</v>
      </c>
      <c r="DB13" s="17">
        <f t="shared" si="53"/>
        <v>0</v>
      </c>
      <c r="DC13" s="18">
        <f>DB13+DA13</f>
        <v>4</v>
      </c>
      <c r="DD13" s="108"/>
      <c r="DE13" s="40"/>
      <c r="DF13" s="40">
        <v>3</v>
      </c>
      <c r="DG13" s="40">
        <v>2</v>
      </c>
      <c r="DH13" s="156">
        <f t="shared" si="54"/>
        <v>3</v>
      </c>
      <c r="DI13" s="156">
        <f t="shared" si="54"/>
        <v>2</v>
      </c>
      <c r="DJ13" s="18">
        <f>DI13+DH13</f>
        <v>5</v>
      </c>
      <c r="DK13" s="108"/>
      <c r="DL13" s="40"/>
      <c r="DM13" s="40">
        <v>3</v>
      </c>
      <c r="DN13" s="40"/>
      <c r="DO13" s="156">
        <f t="shared" si="5"/>
        <v>3</v>
      </c>
      <c r="DP13" s="156">
        <f t="shared" si="6"/>
        <v>0</v>
      </c>
      <c r="DQ13" s="18">
        <f t="shared" si="7"/>
        <v>3</v>
      </c>
      <c r="DR13" s="108">
        <v>1</v>
      </c>
      <c r="DS13" s="40"/>
      <c r="DT13" s="40"/>
      <c r="DU13" s="40"/>
      <c r="DV13" s="156">
        <f t="shared" si="8"/>
        <v>3</v>
      </c>
      <c r="DW13" s="156">
        <f t="shared" si="9"/>
        <v>0</v>
      </c>
      <c r="DX13" s="18">
        <f t="shared" si="10"/>
        <v>3</v>
      </c>
      <c r="DY13" s="108"/>
      <c r="DZ13" s="40"/>
      <c r="EA13" s="40">
        <v>2</v>
      </c>
      <c r="EB13" s="40"/>
      <c r="EC13" s="156">
        <f t="shared" si="11"/>
        <v>2</v>
      </c>
      <c r="ED13" s="156">
        <f t="shared" si="12"/>
        <v>0</v>
      </c>
      <c r="EE13" s="18">
        <f t="shared" si="13"/>
        <v>2</v>
      </c>
      <c r="EF13" s="108"/>
      <c r="EG13" s="40"/>
      <c r="EH13" s="40"/>
      <c r="EI13" s="40"/>
      <c r="EJ13" s="156">
        <f t="shared" si="14"/>
        <v>0</v>
      </c>
      <c r="EK13" s="156">
        <f t="shared" si="15"/>
        <v>0</v>
      </c>
      <c r="EL13" s="18">
        <f t="shared" si="16"/>
        <v>0</v>
      </c>
      <c r="EM13" s="74">
        <f t="shared" si="17"/>
        <v>18</v>
      </c>
      <c r="EN13" s="75">
        <f t="shared" ca="1" si="18"/>
        <v>8.5308056872037921E-2</v>
      </c>
      <c r="EO13" s="76">
        <f t="shared" si="19"/>
        <v>2</v>
      </c>
      <c r="EP13" s="75">
        <f t="shared" ca="1" si="20"/>
        <v>9.4786729857819912E-3</v>
      </c>
      <c r="EQ13" s="76">
        <f t="shared" si="21"/>
        <v>20</v>
      </c>
      <c r="ER13" s="75">
        <f t="shared" ca="1" si="22"/>
        <v>9.4786729857819912E-2</v>
      </c>
      <c r="ES13" s="76">
        <f t="shared" si="23"/>
        <v>2</v>
      </c>
      <c r="ET13" s="76">
        <f t="shared" si="24"/>
        <v>0</v>
      </c>
      <c r="EU13" s="76">
        <f t="shared" si="25"/>
        <v>2</v>
      </c>
    </row>
    <row r="14" spans="1:151" ht="15.75" thickBot="1" x14ac:dyDescent="0.3">
      <c r="A14" s="10">
        <v>11</v>
      </c>
      <c r="B14" s="24" t="s">
        <v>301</v>
      </c>
      <c r="C14" s="26" t="str">
        <f t="shared" si="0"/>
        <v>לירון 11</v>
      </c>
      <c r="D14" s="23" t="s">
        <v>6</v>
      </c>
      <c r="E14" s="23" t="s">
        <v>7</v>
      </c>
      <c r="F14" s="31" t="s">
        <v>303</v>
      </c>
      <c r="G14" s="30">
        <v>43405</v>
      </c>
      <c r="H14" s="42"/>
      <c r="I14" s="13"/>
      <c r="J14" s="48"/>
      <c r="K14" s="49"/>
      <c r="L14" s="49"/>
      <c r="M14" s="49"/>
      <c r="N14" s="50"/>
      <c r="O14" s="50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9"/>
      <c r="CF14" s="14"/>
      <c r="CG14" s="14"/>
      <c r="CH14" s="39"/>
      <c r="CI14" s="40"/>
      <c r="CJ14" s="40"/>
      <c r="CK14" s="40"/>
      <c r="CL14" s="83"/>
      <c r="CM14" s="14"/>
      <c r="CN14" s="14"/>
      <c r="CO14" s="39"/>
      <c r="CP14" s="108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8"/>
      <c r="DE14" s="40"/>
      <c r="DF14" s="40"/>
      <c r="DG14" s="40"/>
      <c r="DH14" s="156"/>
      <c r="DI14" s="156"/>
      <c r="DJ14" s="18"/>
      <c r="DK14" s="108"/>
      <c r="DL14" s="40"/>
      <c r="DM14" s="40"/>
      <c r="DN14" s="40"/>
      <c r="DO14" s="156">
        <f t="shared" si="5"/>
        <v>0</v>
      </c>
      <c r="DP14" s="156">
        <f t="shared" si="6"/>
        <v>0</v>
      </c>
      <c r="DQ14" s="18">
        <f t="shared" si="7"/>
        <v>0</v>
      </c>
      <c r="DR14" s="108">
        <v>1</v>
      </c>
      <c r="DS14" s="40"/>
      <c r="DT14" s="40">
        <v>1</v>
      </c>
      <c r="DU14" s="40">
        <v>1</v>
      </c>
      <c r="DV14" s="156">
        <f t="shared" si="8"/>
        <v>4</v>
      </c>
      <c r="DW14" s="156">
        <f t="shared" si="9"/>
        <v>1</v>
      </c>
      <c r="DX14" s="18">
        <f t="shared" si="10"/>
        <v>5</v>
      </c>
      <c r="DY14" s="108"/>
      <c r="DZ14" s="40"/>
      <c r="EA14" s="40"/>
      <c r="EB14" s="40"/>
      <c r="EC14" s="156">
        <f t="shared" si="11"/>
        <v>0</v>
      </c>
      <c r="ED14" s="156">
        <f t="shared" si="12"/>
        <v>0</v>
      </c>
      <c r="EE14" s="18">
        <f t="shared" si="13"/>
        <v>0</v>
      </c>
      <c r="EF14" s="108">
        <v>1</v>
      </c>
      <c r="EG14" s="40"/>
      <c r="EH14" s="40"/>
      <c r="EI14" s="40"/>
      <c r="EJ14" s="156">
        <f t="shared" si="14"/>
        <v>3</v>
      </c>
      <c r="EK14" s="156">
        <f t="shared" si="15"/>
        <v>0</v>
      </c>
      <c r="EL14" s="18">
        <f t="shared" si="16"/>
        <v>3</v>
      </c>
      <c r="EM14" s="74">
        <f t="shared" si="17"/>
        <v>7</v>
      </c>
      <c r="EN14" s="75">
        <f t="shared" ca="1" si="18"/>
        <v>0.1206896551724138</v>
      </c>
      <c r="EO14" s="76">
        <f t="shared" si="19"/>
        <v>1</v>
      </c>
      <c r="EP14" s="75">
        <f t="shared" ca="1" si="20"/>
        <v>1.7241379310344827E-2</v>
      </c>
      <c r="EQ14" s="76">
        <f t="shared" si="21"/>
        <v>8</v>
      </c>
      <c r="ER14" s="75">
        <f t="shared" ca="1" si="22"/>
        <v>0.13793103448275862</v>
      </c>
      <c r="ES14" s="76">
        <f t="shared" si="23"/>
        <v>2</v>
      </c>
      <c r="ET14" s="76">
        <f t="shared" si="24"/>
        <v>0</v>
      </c>
      <c r="EU14" s="76">
        <f t="shared" si="25"/>
        <v>2</v>
      </c>
    </row>
    <row r="15" spans="1:151" ht="15.75" thickBot="1" x14ac:dyDescent="0.3">
      <c r="A15" s="219">
        <v>11</v>
      </c>
      <c r="B15" s="220" t="s">
        <v>259</v>
      </c>
      <c r="C15" s="77" t="str">
        <f t="shared" si="0"/>
        <v>נעם 11</v>
      </c>
      <c r="D15" s="23" t="s">
        <v>6</v>
      </c>
      <c r="E15" s="23" t="s">
        <v>6</v>
      </c>
      <c r="F15" s="31" t="s">
        <v>260</v>
      </c>
      <c r="G15" s="30">
        <v>43344</v>
      </c>
      <c r="H15" s="31"/>
      <c r="I15" s="35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8"/>
      <c r="DE15" s="40"/>
      <c r="DF15" s="40"/>
      <c r="DG15" s="40"/>
      <c r="DH15" s="156">
        <f t="shared" ref="DH15:DI17" si="55">DD15*3+DF15</f>
        <v>0</v>
      </c>
      <c r="DI15" s="156">
        <f t="shared" si="55"/>
        <v>0</v>
      </c>
      <c r="DJ15" s="18">
        <f>DI15+DH15</f>
        <v>0</v>
      </c>
      <c r="DK15" s="108"/>
      <c r="DL15" s="40"/>
      <c r="DM15" s="40">
        <v>1</v>
      </c>
      <c r="DN15" s="40"/>
      <c r="DO15" s="156">
        <f t="shared" si="5"/>
        <v>1</v>
      </c>
      <c r="DP15" s="156">
        <f t="shared" si="6"/>
        <v>0</v>
      </c>
      <c r="DQ15" s="18">
        <f t="shared" si="7"/>
        <v>1</v>
      </c>
      <c r="DR15" s="108"/>
      <c r="DS15" s="40"/>
      <c r="DT15" s="40"/>
      <c r="DU15" s="40"/>
      <c r="DV15" s="156">
        <f t="shared" si="8"/>
        <v>0</v>
      </c>
      <c r="DW15" s="156">
        <f t="shared" si="9"/>
        <v>0</v>
      </c>
      <c r="DX15" s="18">
        <f t="shared" si="10"/>
        <v>0</v>
      </c>
      <c r="DY15" s="108"/>
      <c r="DZ15" s="40"/>
      <c r="EA15" s="40"/>
      <c r="EB15" s="40"/>
      <c r="EC15" s="156">
        <f t="shared" si="11"/>
        <v>0</v>
      </c>
      <c r="ED15" s="156">
        <f t="shared" si="12"/>
        <v>0</v>
      </c>
      <c r="EE15" s="18">
        <f t="shared" si="13"/>
        <v>0</v>
      </c>
      <c r="EF15" s="108"/>
      <c r="EG15" s="40"/>
      <c r="EH15" s="40"/>
      <c r="EI15" s="40"/>
      <c r="EJ15" s="156">
        <f t="shared" si="14"/>
        <v>0</v>
      </c>
      <c r="EK15" s="156">
        <f t="shared" si="15"/>
        <v>0</v>
      </c>
      <c r="EL15" s="18">
        <f t="shared" si="16"/>
        <v>0</v>
      </c>
      <c r="EM15" s="74">
        <f t="shared" si="17"/>
        <v>1</v>
      </c>
      <c r="EN15" s="75">
        <f t="shared" ca="1" si="18"/>
        <v>8.4033613445378148E-3</v>
      </c>
      <c r="EO15" s="76">
        <f t="shared" si="19"/>
        <v>0</v>
      </c>
      <c r="EP15" s="75">
        <f t="shared" ca="1" si="20"/>
        <v>0</v>
      </c>
      <c r="EQ15" s="76">
        <f t="shared" si="21"/>
        <v>1</v>
      </c>
      <c r="ER15" s="75">
        <f t="shared" ca="1" si="22"/>
        <v>8.4033613445378148E-3</v>
      </c>
      <c r="ES15" s="76">
        <f t="shared" si="23"/>
        <v>0</v>
      </c>
      <c r="ET15" s="76">
        <f t="shared" si="24"/>
        <v>0</v>
      </c>
      <c r="EU15" s="76">
        <f t="shared" si="25"/>
        <v>0</v>
      </c>
    </row>
    <row r="16" spans="1:151" ht="15.75" thickBot="1" x14ac:dyDescent="0.3">
      <c r="A16" s="219">
        <v>209</v>
      </c>
      <c r="B16" s="220" t="s">
        <v>116</v>
      </c>
      <c r="C16" s="77" t="str">
        <f t="shared" si="0"/>
        <v>אלינה 209</v>
      </c>
      <c r="D16" s="23" t="s">
        <v>6</v>
      </c>
      <c r="E16" s="23" t="s">
        <v>7</v>
      </c>
      <c r="F16" s="31" t="s">
        <v>147</v>
      </c>
      <c r="G16" s="30">
        <v>43101</v>
      </c>
      <c r="H16" s="19">
        <v>43490</v>
      </c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>
        <v>1</v>
      </c>
      <c r="BA16" s="12"/>
      <c r="BB16" s="12"/>
      <c r="BC16" s="12"/>
      <c r="BD16" s="14">
        <f>AZ16*3+BB16</f>
        <v>3</v>
      </c>
      <c r="BE16" s="14">
        <f>BA16*3+BC16</f>
        <v>0</v>
      </c>
      <c r="BF16" s="16">
        <f>BE16+BD16</f>
        <v>3</v>
      </c>
      <c r="BG16" s="32"/>
      <c r="BH16" s="40">
        <v>1</v>
      </c>
      <c r="BI16" s="40">
        <v>1</v>
      </c>
      <c r="BJ16" s="12"/>
      <c r="BK16" s="14">
        <f>BG16*3+BI16</f>
        <v>1</v>
      </c>
      <c r="BL16" s="14">
        <f>BH16*3+BJ16</f>
        <v>3</v>
      </c>
      <c r="BM16" s="39">
        <f>BL16+BK16</f>
        <v>4</v>
      </c>
      <c r="BN16" s="32"/>
      <c r="BO16" s="40"/>
      <c r="BP16" s="40">
        <v>1</v>
      </c>
      <c r="BQ16" s="40"/>
      <c r="BR16" s="14">
        <f>BN16*3+BP16</f>
        <v>1</v>
      </c>
      <c r="BS16" s="14">
        <f>BO16*3+BQ16</f>
        <v>0</v>
      </c>
      <c r="BT16" s="39">
        <f>BS16+BR16</f>
        <v>1</v>
      </c>
      <c r="BU16" s="32">
        <v>1</v>
      </c>
      <c r="BV16" s="40"/>
      <c r="BW16" s="40"/>
      <c r="BX16" s="40"/>
      <c r="BY16" s="14">
        <f>BU16*3+BW16</f>
        <v>3</v>
      </c>
      <c r="BZ16" s="14">
        <f>BV16*3+BX16</f>
        <v>0</v>
      </c>
      <c r="CA16" s="39">
        <f>BZ16+BY16</f>
        <v>3</v>
      </c>
      <c r="CB16" s="32"/>
      <c r="CC16" s="40"/>
      <c r="CD16" s="40">
        <v>2</v>
      </c>
      <c r="CE16" s="79"/>
      <c r="CF16" s="14">
        <f>CB16*3+CD16</f>
        <v>2</v>
      </c>
      <c r="CG16" s="14">
        <f>CC16*3+CE16</f>
        <v>0</v>
      </c>
      <c r="CH16" s="39">
        <f>CG16+CF16</f>
        <v>2</v>
      </c>
      <c r="CI16" s="40"/>
      <c r="CJ16" s="40">
        <v>1</v>
      </c>
      <c r="CK16" s="40">
        <v>2</v>
      </c>
      <c r="CL16" s="83"/>
      <c r="CM16" s="14">
        <f>CI16*3+CK16</f>
        <v>2</v>
      </c>
      <c r="CN16" s="14">
        <f>CJ16*3+CL16</f>
        <v>3</v>
      </c>
      <c r="CO16" s="39">
        <f>CN16+CM16</f>
        <v>5</v>
      </c>
      <c r="CP16" s="108"/>
      <c r="CQ16" s="40"/>
      <c r="CR16" s="40"/>
      <c r="CS16" s="40"/>
      <c r="CT16" s="14">
        <f>CP16*3+CR16</f>
        <v>0</v>
      </c>
      <c r="CU16" s="14">
        <f>CQ16*3+CS16</f>
        <v>0</v>
      </c>
      <c r="CV16" s="39">
        <f>CU16+CT16</f>
        <v>0</v>
      </c>
      <c r="CW16" s="32">
        <v>1</v>
      </c>
      <c r="CX16" s="40"/>
      <c r="CY16" s="40">
        <v>1</v>
      </c>
      <c r="CZ16" s="40"/>
      <c r="DA16" s="17">
        <f>CW16*3+CY16</f>
        <v>4</v>
      </c>
      <c r="DB16" s="17">
        <f>CX16*3+CZ16</f>
        <v>0</v>
      </c>
      <c r="DC16" s="18">
        <f>DB16+DA16</f>
        <v>4</v>
      </c>
      <c r="DD16" s="108">
        <v>1</v>
      </c>
      <c r="DE16" s="40">
        <v>1</v>
      </c>
      <c r="DF16" s="40"/>
      <c r="DG16" s="40"/>
      <c r="DH16" s="156">
        <f t="shared" si="55"/>
        <v>3</v>
      </c>
      <c r="DI16" s="156">
        <f t="shared" si="55"/>
        <v>3</v>
      </c>
      <c r="DJ16" s="18">
        <f>DI16+DH16</f>
        <v>6</v>
      </c>
      <c r="DK16" s="108"/>
      <c r="DL16" s="40"/>
      <c r="DM16" s="40"/>
      <c r="DN16" s="40">
        <v>1</v>
      </c>
      <c r="DO16" s="156">
        <f t="shared" si="5"/>
        <v>0</v>
      </c>
      <c r="DP16" s="156">
        <f t="shared" si="6"/>
        <v>1</v>
      </c>
      <c r="DQ16" s="18">
        <f t="shared" si="7"/>
        <v>1</v>
      </c>
      <c r="DR16" s="108"/>
      <c r="DS16" s="40"/>
      <c r="DT16" s="40"/>
      <c r="DU16" s="40"/>
      <c r="DV16" s="156">
        <f t="shared" si="8"/>
        <v>0</v>
      </c>
      <c r="DW16" s="156">
        <f t="shared" si="9"/>
        <v>0</v>
      </c>
      <c r="DX16" s="18">
        <f t="shared" si="10"/>
        <v>0</v>
      </c>
      <c r="DY16" s="108">
        <v>1</v>
      </c>
      <c r="DZ16" s="40"/>
      <c r="EA16" s="40"/>
      <c r="EB16" s="40">
        <v>1</v>
      </c>
      <c r="EC16" s="156">
        <f t="shared" si="11"/>
        <v>3</v>
      </c>
      <c r="ED16" s="156">
        <f t="shared" si="12"/>
        <v>1</v>
      </c>
      <c r="EE16" s="18">
        <f t="shared" si="13"/>
        <v>4</v>
      </c>
      <c r="EF16" s="108"/>
      <c r="EG16" s="40"/>
      <c r="EH16" s="40"/>
      <c r="EI16" s="40"/>
      <c r="EJ16" s="156">
        <f t="shared" si="14"/>
        <v>0</v>
      </c>
      <c r="EK16" s="156">
        <f t="shared" si="15"/>
        <v>0</v>
      </c>
      <c r="EL16" s="18">
        <f t="shared" si="16"/>
        <v>0</v>
      </c>
      <c r="EM16" s="74">
        <f t="shared" si="17"/>
        <v>22</v>
      </c>
      <c r="EN16" s="75">
        <f t="shared" ca="1" si="18"/>
        <v>6.0773480662983423E-2</v>
      </c>
      <c r="EO16" s="76">
        <f t="shared" si="19"/>
        <v>11</v>
      </c>
      <c r="EP16" s="75">
        <f t="shared" ca="1" si="20"/>
        <v>3.0386740331491711E-2</v>
      </c>
      <c r="EQ16" s="76">
        <f t="shared" si="21"/>
        <v>33</v>
      </c>
      <c r="ER16" s="75">
        <f t="shared" ca="1" si="22"/>
        <v>9.1160220994475127E-2</v>
      </c>
      <c r="ES16" s="76">
        <f t="shared" si="23"/>
        <v>5</v>
      </c>
      <c r="ET16" s="76">
        <f t="shared" si="24"/>
        <v>3</v>
      </c>
      <c r="EU16" s="76">
        <f t="shared" si="25"/>
        <v>8</v>
      </c>
    </row>
    <row r="17" spans="1:151" ht="15.75" thickBot="1" x14ac:dyDescent="0.3">
      <c r="A17" s="10">
        <v>209</v>
      </c>
      <c r="B17" s="24" t="s">
        <v>97</v>
      </c>
      <c r="C17" s="26" t="str">
        <f t="shared" si="0"/>
        <v>ולריה 209</v>
      </c>
      <c r="D17" s="23" t="s">
        <v>6</v>
      </c>
      <c r="E17" s="23" t="s">
        <v>7</v>
      </c>
      <c r="F17" s="31" t="s">
        <v>146</v>
      </c>
      <c r="G17" s="30">
        <v>43040</v>
      </c>
      <c r="H17" s="31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>
        <v>1</v>
      </c>
      <c r="AV17" s="12"/>
      <c r="AW17" s="14">
        <f>AS17*3+AU17</f>
        <v>1</v>
      </c>
      <c r="AX17" s="14">
        <f>AT17*3+AV17</f>
        <v>0</v>
      </c>
      <c r="AY17" s="16">
        <f>AX17+AW17</f>
        <v>1</v>
      </c>
      <c r="AZ17" s="10">
        <v>1</v>
      </c>
      <c r="BA17" s="12"/>
      <c r="BB17" s="12">
        <v>2</v>
      </c>
      <c r="BC17" s="12"/>
      <c r="BD17" s="14">
        <f>AZ17*3+BB17</f>
        <v>5</v>
      </c>
      <c r="BE17" s="14">
        <f>BA17*3+BC17</f>
        <v>0</v>
      </c>
      <c r="BF17" s="16">
        <f>BE17+BD17</f>
        <v>5</v>
      </c>
      <c r="BG17" s="32"/>
      <c r="BH17" s="40"/>
      <c r="BI17" s="12">
        <v>3</v>
      </c>
      <c r="BJ17" s="12"/>
      <c r="BK17" s="14">
        <f>BG17*3+BI17</f>
        <v>3</v>
      </c>
      <c r="BL17" s="14">
        <f>BH17*3+BJ17</f>
        <v>0</v>
      </c>
      <c r="BM17" s="39">
        <f>BL17+BK17</f>
        <v>3</v>
      </c>
      <c r="BN17" s="32"/>
      <c r="BO17" s="40">
        <v>1</v>
      </c>
      <c r="BP17" s="40">
        <v>3</v>
      </c>
      <c r="BQ17" s="40"/>
      <c r="BR17" s="14">
        <f>BN17*3+BP17</f>
        <v>3</v>
      </c>
      <c r="BS17" s="14">
        <f>BO17*3+BQ17</f>
        <v>3</v>
      </c>
      <c r="BT17" s="39">
        <f>BS17+BR17</f>
        <v>6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1</v>
      </c>
      <c r="CE17" s="79"/>
      <c r="CF17" s="14">
        <f>CB17*3+CD17</f>
        <v>1</v>
      </c>
      <c r="CG17" s="14">
        <f>CC17*3+CE17</f>
        <v>0</v>
      </c>
      <c r="CH17" s="39">
        <f>CG17+CF17</f>
        <v>1</v>
      </c>
      <c r="CI17" s="40"/>
      <c r="CJ17" s="40"/>
      <c r="CK17" s="40">
        <v>2</v>
      </c>
      <c r="CL17" s="83"/>
      <c r="CM17" s="14">
        <f>CI17*3+CK17</f>
        <v>2</v>
      </c>
      <c r="CN17" s="14">
        <f>CJ17*3+CL17</f>
        <v>0</v>
      </c>
      <c r="CO17" s="39">
        <f>CN17+CM17</f>
        <v>2</v>
      </c>
      <c r="CP17" s="108">
        <v>1</v>
      </c>
      <c r="CQ17" s="40"/>
      <c r="CR17" s="40">
        <v>1</v>
      </c>
      <c r="CS17" s="40"/>
      <c r="CT17" s="14">
        <f>CP17*3+CR17</f>
        <v>4</v>
      </c>
      <c r="CU17" s="14">
        <f>CQ17*3+CS17</f>
        <v>0</v>
      </c>
      <c r="CV17" s="39">
        <f>CU17+CT17</f>
        <v>4</v>
      </c>
      <c r="CW17" s="32"/>
      <c r="CX17" s="40"/>
      <c r="CY17" s="40">
        <v>2</v>
      </c>
      <c r="CZ17" s="40"/>
      <c r="DA17" s="17">
        <f>CW17*3+CY17</f>
        <v>2</v>
      </c>
      <c r="DB17" s="17">
        <f>CX17*3+CZ17</f>
        <v>0</v>
      </c>
      <c r="DC17" s="18">
        <f>DB17+DA17</f>
        <v>2</v>
      </c>
      <c r="DD17" s="108">
        <v>1</v>
      </c>
      <c r="DE17" s="40"/>
      <c r="DF17" s="40"/>
      <c r="DG17" s="40"/>
      <c r="DH17" s="156">
        <f t="shared" si="55"/>
        <v>3</v>
      </c>
      <c r="DI17" s="156">
        <f t="shared" si="55"/>
        <v>0</v>
      </c>
      <c r="DJ17" s="18">
        <f>DI17+DH17</f>
        <v>3</v>
      </c>
      <c r="DK17" s="108"/>
      <c r="DL17" s="40"/>
      <c r="DM17" s="40">
        <v>4</v>
      </c>
      <c r="DN17" s="40">
        <v>2</v>
      </c>
      <c r="DO17" s="156">
        <f t="shared" si="5"/>
        <v>4</v>
      </c>
      <c r="DP17" s="156">
        <f t="shared" si="6"/>
        <v>2</v>
      </c>
      <c r="DQ17" s="18">
        <f t="shared" si="7"/>
        <v>6</v>
      </c>
      <c r="DR17" s="108"/>
      <c r="DS17" s="40"/>
      <c r="DT17" s="40">
        <v>1</v>
      </c>
      <c r="DU17" s="40"/>
      <c r="DV17" s="156">
        <f t="shared" si="8"/>
        <v>1</v>
      </c>
      <c r="DW17" s="156">
        <f t="shared" si="9"/>
        <v>0</v>
      </c>
      <c r="DX17" s="18">
        <f t="shared" si="10"/>
        <v>1</v>
      </c>
      <c r="DY17" s="108">
        <v>1</v>
      </c>
      <c r="DZ17" s="40"/>
      <c r="EA17" s="40"/>
      <c r="EB17" s="40">
        <v>1</v>
      </c>
      <c r="EC17" s="156">
        <f t="shared" si="11"/>
        <v>3</v>
      </c>
      <c r="ED17" s="156">
        <f t="shared" si="12"/>
        <v>1</v>
      </c>
      <c r="EE17" s="18">
        <f t="shared" si="13"/>
        <v>4</v>
      </c>
      <c r="EF17" s="108"/>
      <c r="EG17" s="40"/>
      <c r="EH17" s="40"/>
      <c r="EI17" s="40"/>
      <c r="EJ17" s="156">
        <f t="shared" si="14"/>
        <v>0</v>
      </c>
      <c r="EK17" s="156">
        <f t="shared" si="15"/>
        <v>0</v>
      </c>
      <c r="EL17" s="18">
        <f t="shared" si="16"/>
        <v>0</v>
      </c>
      <c r="EM17" s="74">
        <f t="shared" si="17"/>
        <v>36</v>
      </c>
      <c r="EN17" s="75">
        <f t="shared" ca="1" si="18"/>
        <v>8.5106382978723402E-2</v>
      </c>
      <c r="EO17" s="76">
        <f t="shared" si="19"/>
        <v>6</v>
      </c>
      <c r="EP17" s="75">
        <f t="shared" ca="1" si="20"/>
        <v>1.4184397163120567E-2</v>
      </c>
      <c r="EQ17" s="76">
        <f t="shared" si="21"/>
        <v>42</v>
      </c>
      <c r="ER17" s="75">
        <f t="shared" ca="1" si="22"/>
        <v>9.9290780141843976E-2</v>
      </c>
      <c r="ES17" s="76">
        <f t="shared" si="23"/>
        <v>5</v>
      </c>
      <c r="ET17" s="76">
        <f t="shared" si="24"/>
        <v>1</v>
      </c>
      <c r="EU17" s="76">
        <f t="shared" si="25"/>
        <v>6</v>
      </c>
    </row>
    <row r="18" spans="1:151" ht="15.75" thickBot="1" x14ac:dyDescent="0.3">
      <c r="A18" s="221">
        <v>209</v>
      </c>
      <c r="B18" s="24" t="s">
        <v>302</v>
      </c>
      <c r="C18" s="26" t="str">
        <f t="shared" si="0"/>
        <v>טל 209</v>
      </c>
      <c r="D18" s="23" t="s">
        <v>6</v>
      </c>
      <c r="E18" s="23" t="s">
        <v>6</v>
      </c>
      <c r="F18" s="31" t="s">
        <v>303</v>
      </c>
      <c r="G18" s="30">
        <v>43405</v>
      </c>
      <c r="H18" s="42"/>
      <c r="I18" s="13"/>
      <c r="J18" s="48"/>
      <c r="K18" s="49"/>
      <c r="L18" s="49"/>
      <c r="M18" s="49"/>
      <c r="N18" s="50"/>
      <c r="O18" s="50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12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79"/>
      <c r="CF18" s="14"/>
      <c r="CG18" s="14"/>
      <c r="CH18" s="39"/>
      <c r="CI18" s="40"/>
      <c r="CJ18" s="40"/>
      <c r="CK18" s="40"/>
      <c r="CL18" s="83"/>
      <c r="CM18" s="14"/>
      <c r="CN18" s="14"/>
      <c r="CO18" s="39"/>
      <c r="CP18" s="108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8"/>
      <c r="DE18" s="40"/>
      <c r="DF18" s="40"/>
      <c r="DG18" s="40"/>
      <c r="DH18" s="156"/>
      <c r="DI18" s="156"/>
      <c r="DJ18" s="18"/>
      <c r="DK18" s="108"/>
      <c r="DL18" s="40"/>
      <c r="DM18" s="40"/>
      <c r="DN18" s="40"/>
      <c r="DO18" s="156">
        <f t="shared" si="5"/>
        <v>0</v>
      </c>
      <c r="DP18" s="156">
        <f t="shared" si="6"/>
        <v>0</v>
      </c>
      <c r="DQ18" s="18">
        <f t="shared" si="7"/>
        <v>0</v>
      </c>
      <c r="DR18" s="108"/>
      <c r="DS18" s="40"/>
      <c r="DT18" s="40"/>
      <c r="DU18" s="40"/>
      <c r="DV18" s="156">
        <f t="shared" si="8"/>
        <v>0</v>
      </c>
      <c r="DW18" s="156">
        <f t="shared" si="9"/>
        <v>0</v>
      </c>
      <c r="DX18" s="18">
        <f t="shared" si="10"/>
        <v>0</v>
      </c>
      <c r="DY18" s="108">
        <v>1</v>
      </c>
      <c r="DZ18" s="40"/>
      <c r="EA18" s="40">
        <v>1</v>
      </c>
      <c r="EB18" s="40"/>
      <c r="EC18" s="156">
        <f t="shared" si="11"/>
        <v>4</v>
      </c>
      <c r="ED18" s="156">
        <f t="shared" si="12"/>
        <v>0</v>
      </c>
      <c r="EE18" s="18">
        <f t="shared" si="13"/>
        <v>4</v>
      </c>
      <c r="EF18" s="108"/>
      <c r="EG18" s="40"/>
      <c r="EH18" s="40"/>
      <c r="EI18" s="40"/>
      <c r="EJ18" s="156">
        <f t="shared" si="14"/>
        <v>0</v>
      </c>
      <c r="EK18" s="156">
        <f t="shared" si="15"/>
        <v>0</v>
      </c>
      <c r="EL18" s="18">
        <f t="shared" si="16"/>
        <v>0</v>
      </c>
      <c r="EM18" s="74">
        <f t="shared" si="17"/>
        <v>4</v>
      </c>
      <c r="EN18" s="75">
        <f t="shared" ca="1" si="18"/>
        <v>6.8965517241379309E-2</v>
      </c>
      <c r="EO18" s="76">
        <f t="shared" si="19"/>
        <v>0</v>
      </c>
      <c r="EP18" s="75">
        <f t="shared" ca="1" si="20"/>
        <v>0</v>
      </c>
      <c r="EQ18" s="76">
        <f t="shared" si="21"/>
        <v>4</v>
      </c>
      <c r="ER18" s="75">
        <f t="shared" ca="1" si="22"/>
        <v>6.8965517241379309E-2</v>
      </c>
      <c r="ES18" s="76">
        <f t="shared" si="23"/>
        <v>1</v>
      </c>
      <c r="ET18" s="76">
        <f t="shared" si="24"/>
        <v>0</v>
      </c>
      <c r="EU18" s="76">
        <f t="shared" si="25"/>
        <v>1</v>
      </c>
    </row>
    <row r="19" spans="1:151" ht="15.75" thickBot="1" x14ac:dyDescent="0.3">
      <c r="A19" s="32">
        <v>209</v>
      </c>
      <c r="B19" s="24" t="s">
        <v>275</v>
      </c>
      <c r="C19" s="26" t="str">
        <f t="shared" si="0"/>
        <v>שי 209</v>
      </c>
      <c r="D19" s="23" t="s">
        <v>6</v>
      </c>
      <c r="E19" s="23" t="s">
        <v>7</v>
      </c>
      <c r="F19" s="31" t="s">
        <v>276</v>
      </c>
      <c r="G19" s="30">
        <v>43383</v>
      </c>
      <c r="H19" s="31"/>
      <c r="I19" s="35"/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12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6">
        <f t="shared" ref="DH19:DH42" si="56">DD19*3+DF19</f>
        <v>0</v>
      </c>
      <c r="DI19" s="156">
        <f t="shared" ref="DI19:DI42" si="57">DE19*3+DG19</f>
        <v>0</v>
      </c>
      <c r="DJ19" s="18">
        <f t="shared" ref="DJ19:DJ42" si="58">DI19+DH19</f>
        <v>0</v>
      </c>
      <c r="DK19" s="108"/>
      <c r="DL19" s="40"/>
      <c r="DM19" s="40"/>
      <c r="DN19" s="40"/>
      <c r="DO19" s="156">
        <f t="shared" si="5"/>
        <v>0</v>
      </c>
      <c r="DP19" s="156">
        <f t="shared" si="6"/>
        <v>0</v>
      </c>
      <c r="DQ19" s="18">
        <f t="shared" si="7"/>
        <v>0</v>
      </c>
      <c r="DR19" s="108"/>
      <c r="DS19" s="40"/>
      <c r="DT19" s="40">
        <v>4</v>
      </c>
      <c r="DU19" s="40"/>
      <c r="DV19" s="156">
        <f t="shared" si="8"/>
        <v>4</v>
      </c>
      <c r="DW19" s="156">
        <f t="shared" si="9"/>
        <v>0</v>
      </c>
      <c r="DX19" s="18">
        <f t="shared" si="10"/>
        <v>4</v>
      </c>
      <c r="DY19" s="108">
        <v>1</v>
      </c>
      <c r="DZ19" s="40"/>
      <c r="EA19" s="40">
        <v>1</v>
      </c>
      <c r="EB19" s="40"/>
      <c r="EC19" s="156">
        <f t="shared" si="11"/>
        <v>4</v>
      </c>
      <c r="ED19" s="156">
        <f t="shared" si="12"/>
        <v>0</v>
      </c>
      <c r="EE19" s="18">
        <f t="shared" si="13"/>
        <v>4</v>
      </c>
      <c r="EF19" s="108"/>
      <c r="EG19" s="40"/>
      <c r="EH19" s="40"/>
      <c r="EI19" s="40"/>
      <c r="EJ19" s="156">
        <f t="shared" si="14"/>
        <v>0</v>
      </c>
      <c r="EK19" s="156">
        <f t="shared" si="15"/>
        <v>0</v>
      </c>
      <c r="EL19" s="18">
        <f t="shared" si="16"/>
        <v>0</v>
      </c>
      <c r="EM19" s="74">
        <f t="shared" si="17"/>
        <v>8</v>
      </c>
      <c r="EN19" s="75">
        <f t="shared" ca="1" si="18"/>
        <v>0.1</v>
      </c>
      <c r="EO19" s="76">
        <f t="shared" si="19"/>
        <v>0</v>
      </c>
      <c r="EP19" s="75">
        <f t="shared" ca="1" si="20"/>
        <v>0</v>
      </c>
      <c r="EQ19" s="76">
        <f t="shared" si="21"/>
        <v>8</v>
      </c>
      <c r="ER19" s="75">
        <f t="shared" ca="1" si="22"/>
        <v>0.1</v>
      </c>
      <c r="ES19" s="76">
        <f t="shared" si="23"/>
        <v>1</v>
      </c>
      <c r="ET19" s="76">
        <f t="shared" si="24"/>
        <v>0</v>
      </c>
      <c r="EU19" s="76">
        <f t="shared" si="25"/>
        <v>1</v>
      </c>
    </row>
    <row r="20" spans="1:151" ht="15.75" thickBot="1" x14ac:dyDescent="0.3">
      <c r="A20" s="177">
        <v>209</v>
      </c>
      <c r="B20" s="24" t="s">
        <v>274</v>
      </c>
      <c r="C20" s="26" t="str">
        <f t="shared" si="0"/>
        <v>קרין 209</v>
      </c>
      <c r="D20" s="23" t="s">
        <v>6</v>
      </c>
      <c r="E20" s="23" t="s">
        <v>6</v>
      </c>
      <c r="F20" s="31" t="s">
        <v>276</v>
      </c>
      <c r="G20" s="30">
        <v>43383</v>
      </c>
      <c r="H20" s="31"/>
      <c r="I20" s="35" t="s">
        <v>311</v>
      </c>
      <c r="J20" s="48"/>
      <c r="K20" s="49"/>
      <c r="L20" s="49"/>
      <c r="M20" s="49"/>
      <c r="N20" s="50"/>
      <c r="O20" s="50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12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9"/>
      <c r="CF20" s="14"/>
      <c r="CG20" s="14"/>
      <c r="CH20" s="39"/>
      <c r="CI20" s="40"/>
      <c r="CJ20" s="40"/>
      <c r="CK20" s="40"/>
      <c r="CL20" s="83"/>
      <c r="CM20" s="14"/>
      <c r="CN20" s="14"/>
      <c r="CO20" s="39"/>
      <c r="CP20" s="108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8"/>
      <c r="DE20" s="40"/>
      <c r="DF20" s="40"/>
      <c r="DG20" s="40"/>
      <c r="DH20" s="156">
        <f t="shared" si="56"/>
        <v>0</v>
      </c>
      <c r="DI20" s="156">
        <f t="shared" si="57"/>
        <v>0</v>
      </c>
      <c r="DJ20" s="18">
        <f t="shared" si="58"/>
        <v>0</v>
      </c>
      <c r="DK20" s="108"/>
      <c r="DL20" s="40"/>
      <c r="DM20" s="40"/>
      <c r="DN20" s="40"/>
      <c r="DO20" s="156">
        <f t="shared" si="5"/>
        <v>0</v>
      </c>
      <c r="DP20" s="156">
        <f t="shared" si="6"/>
        <v>0</v>
      </c>
      <c r="DQ20" s="18">
        <f t="shared" si="7"/>
        <v>0</v>
      </c>
      <c r="DR20" s="108"/>
      <c r="DS20" s="40"/>
      <c r="DT20" s="40">
        <v>3</v>
      </c>
      <c r="DU20" s="40"/>
      <c r="DV20" s="156">
        <f t="shared" si="8"/>
        <v>3</v>
      </c>
      <c r="DW20" s="156">
        <f t="shared" si="9"/>
        <v>0</v>
      </c>
      <c r="DX20" s="18">
        <f t="shared" si="10"/>
        <v>3</v>
      </c>
      <c r="DY20" s="108"/>
      <c r="DZ20" s="40"/>
      <c r="EA20" s="40">
        <v>4</v>
      </c>
      <c r="EB20" s="40"/>
      <c r="EC20" s="156">
        <f t="shared" si="11"/>
        <v>4</v>
      </c>
      <c r="ED20" s="156">
        <f t="shared" si="12"/>
        <v>0</v>
      </c>
      <c r="EE20" s="18">
        <f t="shared" si="13"/>
        <v>4</v>
      </c>
      <c r="EF20" s="108"/>
      <c r="EG20" s="40"/>
      <c r="EH20" s="40"/>
      <c r="EI20" s="40"/>
      <c r="EJ20" s="156">
        <f t="shared" si="14"/>
        <v>0</v>
      </c>
      <c r="EK20" s="156">
        <f t="shared" si="15"/>
        <v>0</v>
      </c>
      <c r="EL20" s="18">
        <f t="shared" si="16"/>
        <v>0</v>
      </c>
      <c r="EM20" s="74">
        <f t="shared" si="17"/>
        <v>7</v>
      </c>
      <c r="EN20" s="75">
        <f t="shared" ca="1" si="18"/>
        <v>8.7499999999999994E-2</v>
      </c>
      <c r="EO20" s="76">
        <f t="shared" si="19"/>
        <v>0</v>
      </c>
      <c r="EP20" s="75">
        <f t="shared" ca="1" si="20"/>
        <v>0</v>
      </c>
      <c r="EQ20" s="76">
        <f t="shared" si="21"/>
        <v>7</v>
      </c>
      <c r="ER20" s="75">
        <f t="shared" ca="1" si="22"/>
        <v>8.7499999999999994E-2</v>
      </c>
      <c r="ES20" s="76">
        <f t="shared" si="23"/>
        <v>0</v>
      </c>
      <c r="ET20" s="76">
        <f t="shared" si="24"/>
        <v>0</v>
      </c>
      <c r="EU20" s="76">
        <f t="shared" si="25"/>
        <v>0</v>
      </c>
    </row>
    <row r="21" spans="1:151" ht="15.75" thickBot="1" x14ac:dyDescent="0.3">
      <c r="A21" s="10">
        <v>474</v>
      </c>
      <c r="B21" s="24" t="s">
        <v>166</v>
      </c>
      <c r="C21" s="26" t="str">
        <f t="shared" si="0"/>
        <v>לירוז 474</v>
      </c>
      <c r="D21" s="23" t="s">
        <v>6</v>
      </c>
      <c r="E21" s="23" t="s">
        <v>7</v>
      </c>
      <c r="F21" s="31" t="s">
        <v>167</v>
      </c>
      <c r="G21" s="30">
        <v>43191</v>
      </c>
      <c r="H21" s="42"/>
      <c r="I21" s="13"/>
      <c r="J21" s="48"/>
      <c r="K21" s="49"/>
      <c r="L21" s="49"/>
      <c r="M21" s="49"/>
      <c r="N21" s="50">
        <f t="shared" ref="N21:O27" si="59">J21*3+L21</f>
        <v>0</v>
      </c>
      <c r="O21" s="50">
        <f t="shared" si="59"/>
        <v>0</v>
      </c>
      <c r="P21" s="15">
        <f t="shared" ref="P21:P27" si="60">O21+N21</f>
        <v>0</v>
      </c>
      <c r="Q21" s="10"/>
      <c r="R21" s="12"/>
      <c r="S21" s="12"/>
      <c r="T21" s="12"/>
      <c r="U21" s="14">
        <f t="shared" ref="U21:V27" si="61">Q21*3+S21</f>
        <v>0</v>
      </c>
      <c r="V21" s="14">
        <f t="shared" si="61"/>
        <v>0</v>
      </c>
      <c r="W21" s="16">
        <f t="shared" ref="W21:W27" si="62">V21+U21</f>
        <v>0</v>
      </c>
      <c r="X21" s="10"/>
      <c r="Y21" s="12"/>
      <c r="Z21" s="12"/>
      <c r="AA21" s="12"/>
      <c r="AB21" s="17">
        <f t="shared" ref="AB21:AC27" si="63">X21*3+Z21</f>
        <v>0</v>
      </c>
      <c r="AC21" s="17">
        <f t="shared" si="63"/>
        <v>0</v>
      </c>
      <c r="AD21" s="18">
        <f t="shared" ref="AD21:AD27" si="64">AC21+AB21</f>
        <v>0</v>
      </c>
      <c r="AE21" s="10"/>
      <c r="AF21" s="12"/>
      <c r="AG21" s="12"/>
      <c r="AH21" s="12"/>
      <c r="AI21" s="14">
        <f t="shared" ref="AI21:AJ27" si="65">AE21*3+AG21</f>
        <v>0</v>
      </c>
      <c r="AJ21" s="14">
        <f t="shared" si="65"/>
        <v>0</v>
      </c>
      <c r="AK21" s="16">
        <f t="shared" ref="AK21:AK27" si="66">AJ21+AI21</f>
        <v>0</v>
      </c>
      <c r="AL21" s="10"/>
      <c r="AM21" s="12"/>
      <c r="AN21" s="12"/>
      <c r="AO21" s="12"/>
      <c r="AP21" s="14">
        <f t="shared" ref="AP21:AQ27" si="67">AL21*3+AN21</f>
        <v>0</v>
      </c>
      <c r="AQ21" s="14">
        <f t="shared" si="67"/>
        <v>0</v>
      </c>
      <c r="AR21" s="16">
        <f t="shared" ref="AR21:AR27" si="68">AQ21+AP21</f>
        <v>0</v>
      </c>
      <c r="AS21" s="10"/>
      <c r="AT21" s="12"/>
      <c r="AU21" s="12"/>
      <c r="AV21" s="12"/>
      <c r="AW21" s="14">
        <f t="shared" ref="AW21:AX27" si="69">AS21*3+AU21</f>
        <v>0</v>
      </c>
      <c r="AX21" s="14">
        <f t="shared" si="69"/>
        <v>0</v>
      </c>
      <c r="AY21" s="16">
        <f t="shared" ref="AY21:AY27" si="70">AX21+AW21</f>
        <v>0</v>
      </c>
      <c r="AZ21" s="10"/>
      <c r="BA21" s="12"/>
      <c r="BB21" s="12"/>
      <c r="BC21" s="12"/>
      <c r="BD21" s="14">
        <f t="shared" ref="BD21:BE27" si="71">AZ21*3+BB21</f>
        <v>0</v>
      </c>
      <c r="BE21" s="14">
        <f t="shared" si="71"/>
        <v>0</v>
      </c>
      <c r="BF21" s="16">
        <f t="shared" ref="BF21:BF27" si="72">BE21+BD21</f>
        <v>0</v>
      </c>
      <c r="BG21" s="32"/>
      <c r="BH21" s="40"/>
      <c r="BI21" s="12"/>
      <c r="BJ21" s="12"/>
      <c r="BK21" s="14">
        <f t="shared" ref="BK21:BL27" si="73">BG21*3+BI21</f>
        <v>0</v>
      </c>
      <c r="BL21" s="14">
        <f t="shared" si="73"/>
        <v>0</v>
      </c>
      <c r="BM21" s="39">
        <f t="shared" ref="BM21:BM27" si="74">BL21+BK21</f>
        <v>0</v>
      </c>
      <c r="BN21" s="32"/>
      <c r="BO21" s="40"/>
      <c r="BP21" s="40"/>
      <c r="BQ21" s="40"/>
      <c r="BR21" s="14">
        <f t="shared" ref="BR21:BS27" si="75">BN21*3+BP21</f>
        <v>0</v>
      </c>
      <c r="BS21" s="14">
        <f t="shared" si="75"/>
        <v>0</v>
      </c>
      <c r="BT21" s="39">
        <f t="shared" ref="BT21:BT27" si="76">BS21+BR21</f>
        <v>0</v>
      </c>
      <c r="BU21" s="32"/>
      <c r="BV21" s="40"/>
      <c r="BW21" s="40"/>
      <c r="BX21" s="40"/>
      <c r="BY21" s="14">
        <f t="shared" ref="BY21:BZ27" si="77">BU21*3+BW21</f>
        <v>0</v>
      </c>
      <c r="BZ21" s="14">
        <f t="shared" si="77"/>
        <v>0</v>
      </c>
      <c r="CA21" s="39">
        <f t="shared" ref="CA21:CA27" si="78">BZ21+BY21</f>
        <v>0</v>
      </c>
      <c r="CB21" s="32">
        <v>1</v>
      </c>
      <c r="CC21" s="40"/>
      <c r="CD21" s="40">
        <v>1</v>
      </c>
      <c r="CE21" s="79"/>
      <c r="CF21" s="14">
        <f t="shared" ref="CF21:CG27" si="79">CB21*3+CD21</f>
        <v>4</v>
      </c>
      <c r="CG21" s="14">
        <f t="shared" si="79"/>
        <v>0</v>
      </c>
      <c r="CH21" s="39">
        <f t="shared" ref="CH21:CH27" si="80">CG21+CF21</f>
        <v>4</v>
      </c>
      <c r="CI21" s="40"/>
      <c r="CJ21" s="40"/>
      <c r="CK21" s="40">
        <v>2</v>
      </c>
      <c r="CL21" s="83"/>
      <c r="CM21" s="14">
        <f t="shared" ref="CM21:CN27" si="81">CI21*3+CK21</f>
        <v>2</v>
      </c>
      <c r="CN21" s="14">
        <f t="shared" si="81"/>
        <v>0</v>
      </c>
      <c r="CO21" s="39">
        <f t="shared" ref="CO21:CO27" si="82">CN21+CM21</f>
        <v>2</v>
      </c>
      <c r="CP21" s="108"/>
      <c r="CQ21" s="40"/>
      <c r="CR21" s="40">
        <v>3</v>
      </c>
      <c r="CS21" s="40">
        <v>1</v>
      </c>
      <c r="CT21" s="14">
        <f t="shared" ref="CT21:CU27" si="83">CP21*3+CR21</f>
        <v>3</v>
      </c>
      <c r="CU21" s="14">
        <f t="shared" si="83"/>
        <v>1</v>
      </c>
      <c r="CV21" s="39">
        <f t="shared" ref="CV21:CV27" si="84">CU21+CT21</f>
        <v>4</v>
      </c>
      <c r="CW21" s="32">
        <v>1</v>
      </c>
      <c r="CX21" s="40"/>
      <c r="CY21" s="40"/>
      <c r="CZ21" s="40"/>
      <c r="DA21" s="17">
        <f t="shared" ref="DA21:DB27" si="85">CW21*3+CY21</f>
        <v>3</v>
      </c>
      <c r="DB21" s="17">
        <f t="shared" si="85"/>
        <v>0</v>
      </c>
      <c r="DC21" s="18">
        <f t="shared" ref="DC21:DC27" si="86">DB21+DA21</f>
        <v>3</v>
      </c>
      <c r="DD21" s="108"/>
      <c r="DE21" s="40"/>
      <c r="DF21" s="40">
        <v>3</v>
      </c>
      <c r="DG21" s="40"/>
      <c r="DH21" s="156">
        <f t="shared" si="56"/>
        <v>3</v>
      </c>
      <c r="DI21" s="156">
        <f t="shared" si="57"/>
        <v>0</v>
      </c>
      <c r="DJ21" s="18">
        <f t="shared" si="58"/>
        <v>3</v>
      </c>
      <c r="DK21" s="108"/>
      <c r="DL21" s="40"/>
      <c r="DM21" s="40">
        <v>1</v>
      </c>
      <c r="DN21" s="40">
        <v>2</v>
      </c>
      <c r="DO21" s="156">
        <f t="shared" si="5"/>
        <v>1</v>
      </c>
      <c r="DP21" s="156">
        <f t="shared" si="6"/>
        <v>2</v>
      </c>
      <c r="DQ21" s="18">
        <f t="shared" si="7"/>
        <v>3</v>
      </c>
      <c r="DR21" s="108"/>
      <c r="DS21" s="40"/>
      <c r="DT21" s="40">
        <v>3</v>
      </c>
      <c r="DU21" s="40"/>
      <c r="DV21" s="156">
        <f t="shared" si="8"/>
        <v>3</v>
      </c>
      <c r="DW21" s="156">
        <f t="shared" si="9"/>
        <v>0</v>
      </c>
      <c r="DX21" s="18">
        <f t="shared" si="10"/>
        <v>3</v>
      </c>
      <c r="DY21" s="108">
        <v>1</v>
      </c>
      <c r="DZ21" s="40"/>
      <c r="EA21" s="40">
        <v>1</v>
      </c>
      <c r="EB21" s="40"/>
      <c r="EC21" s="156">
        <f t="shared" si="11"/>
        <v>4</v>
      </c>
      <c r="ED21" s="156">
        <f t="shared" si="12"/>
        <v>0</v>
      </c>
      <c r="EE21" s="18">
        <f t="shared" si="13"/>
        <v>4</v>
      </c>
      <c r="EF21" s="108"/>
      <c r="EG21" s="40"/>
      <c r="EH21" s="40"/>
      <c r="EI21" s="40"/>
      <c r="EJ21" s="156">
        <f t="shared" si="14"/>
        <v>0</v>
      </c>
      <c r="EK21" s="156">
        <f t="shared" si="15"/>
        <v>0</v>
      </c>
      <c r="EL21" s="18">
        <f t="shared" si="16"/>
        <v>0</v>
      </c>
      <c r="EM21" s="74">
        <f t="shared" si="17"/>
        <v>23</v>
      </c>
      <c r="EN21" s="75">
        <f t="shared" ca="1" si="18"/>
        <v>8.455882352941177E-2</v>
      </c>
      <c r="EO21" s="76">
        <f t="shared" si="19"/>
        <v>3</v>
      </c>
      <c r="EP21" s="75">
        <f t="shared" ca="1" si="20"/>
        <v>1.1029411764705883E-2</v>
      </c>
      <c r="EQ21" s="76">
        <f t="shared" si="21"/>
        <v>26</v>
      </c>
      <c r="ER21" s="75">
        <f t="shared" ca="1" si="22"/>
        <v>9.5588235294117654E-2</v>
      </c>
      <c r="ES21" s="76">
        <f t="shared" si="23"/>
        <v>3</v>
      </c>
      <c r="ET21" s="76">
        <f t="shared" si="24"/>
        <v>0</v>
      </c>
      <c r="EU21" s="76">
        <f t="shared" si="25"/>
        <v>3</v>
      </c>
    </row>
    <row r="22" spans="1:151" ht="15.75" thickBot="1" x14ac:dyDescent="0.3">
      <c r="A22" s="10">
        <v>474</v>
      </c>
      <c r="B22" s="24" t="s">
        <v>123</v>
      </c>
      <c r="C22" s="11" t="str">
        <f t="shared" si="0"/>
        <v>אתי 474</v>
      </c>
      <c r="D22" s="23" t="s">
        <v>7</v>
      </c>
      <c r="E22" s="23" t="s">
        <v>7</v>
      </c>
      <c r="F22" s="31" t="s">
        <v>147</v>
      </c>
      <c r="G22" s="30">
        <v>43101</v>
      </c>
      <c r="H22" s="31"/>
      <c r="I22" s="13"/>
      <c r="J22" s="48"/>
      <c r="K22" s="49"/>
      <c r="L22" s="49"/>
      <c r="M22" s="49"/>
      <c r="N22" s="50">
        <f t="shared" si="59"/>
        <v>0</v>
      </c>
      <c r="O22" s="50">
        <f t="shared" si="59"/>
        <v>0</v>
      </c>
      <c r="P22" s="15">
        <f t="shared" si="60"/>
        <v>0</v>
      </c>
      <c r="Q22" s="10"/>
      <c r="R22" s="12"/>
      <c r="S22" s="12"/>
      <c r="T22" s="12"/>
      <c r="U22" s="14">
        <f t="shared" si="61"/>
        <v>0</v>
      </c>
      <c r="V22" s="14">
        <f t="shared" si="61"/>
        <v>0</v>
      </c>
      <c r="W22" s="16">
        <f t="shared" si="62"/>
        <v>0</v>
      </c>
      <c r="X22" s="10"/>
      <c r="Y22" s="12"/>
      <c r="Z22" s="12"/>
      <c r="AA22" s="12"/>
      <c r="AB22" s="17">
        <f t="shared" si="63"/>
        <v>0</v>
      </c>
      <c r="AC22" s="17">
        <f t="shared" si="63"/>
        <v>0</v>
      </c>
      <c r="AD22" s="18">
        <f t="shared" si="64"/>
        <v>0</v>
      </c>
      <c r="AE22" s="10"/>
      <c r="AF22" s="12"/>
      <c r="AG22" s="12"/>
      <c r="AH22" s="12"/>
      <c r="AI22" s="14">
        <f t="shared" si="65"/>
        <v>0</v>
      </c>
      <c r="AJ22" s="14">
        <f t="shared" si="65"/>
        <v>0</v>
      </c>
      <c r="AK22" s="16">
        <f t="shared" si="66"/>
        <v>0</v>
      </c>
      <c r="AL22" s="10"/>
      <c r="AM22" s="12"/>
      <c r="AN22" s="12"/>
      <c r="AO22" s="12"/>
      <c r="AP22" s="14">
        <f t="shared" si="67"/>
        <v>0</v>
      </c>
      <c r="AQ22" s="14">
        <f t="shared" si="67"/>
        <v>0</v>
      </c>
      <c r="AR22" s="16">
        <f t="shared" si="68"/>
        <v>0</v>
      </c>
      <c r="AS22" s="10"/>
      <c r="AT22" s="12"/>
      <c r="AU22" s="12"/>
      <c r="AV22" s="12"/>
      <c r="AW22" s="14">
        <f t="shared" si="69"/>
        <v>0</v>
      </c>
      <c r="AX22" s="14">
        <f t="shared" si="69"/>
        <v>0</v>
      </c>
      <c r="AY22" s="16">
        <f t="shared" si="70"/>
        <v>0</v>
      </c>
      <c r="AZ22" s="10"/>
      <c r="BA22" s="12"/>
      <c r="BB22" s="12"/>
      <c r="BC22" s="12"/>
      <c r="BD22" s="14">
        <f t="shared" si="71"/>
        <v>0</v>
      </c>
      <c r="BE22" s="14">
        <f t="shared" si="71"/>
        <v>0</v>
      </c>
      <c r="BF22" s="16">
        <f t="shared" si="72"/>
        <v>0</v>
      </c>
      <c r="BG22" s="32">
        <v>1</v>
      </c>
      <c r="BH22" s="40"/>
      <c r="BI22" s="12"/>
      <c r="BJ22" s="12"/>
      <c r="BK22" s="14">
        <f t="shared" si="73"/>
        <v>3</v>
      </c>
      <c r="BL22" s="14">
        <f t="shared" si="73"/>
        <v>0</v>
      </c>
      <c r="BM22" s="39">
        <f t="shared" si="74"/>
        <v>3</v>
      </c>
      <c r="BN22" s="32"/>
      <c r="BO22" s="40"/>
      <c r="BP22" s="40">
        <v>4</v>
      </c>
      <c r="BQ22" s="40"/>
      <c r="BR22" s="14">
        <f t="shared" si="75"/>
        <v>4</v>
      </c>
      <c r="BS22" s="14">
        <f t="shared" si="75"/>
        <v>0</v>
      </c>
      <c r="BT22" s="39">
        <f t="shared" si="76"/>
        <v>4</v>
      </c>
      <c r="BU22" s="32"/>
      <c r="BV22" s="40"/>
      <c r="BW22" s="40">
        <v>3</v>
      </c>
      <c r="BX22" s="40"/>
      <c r="BY22" s="14">
        <f t="shared" si="77"/>
        <v>3</v>
      </c>
      <c r="BZ22" s="14">
        <f t="shared" si="77"/>
        <v>0</v>
      </c>
      <c r="CA22" s="39">
        <f t="shared" si="78"/>
        <v>3</v>
      </c>
      <c r="CB22" s="32">
        <v>1</v>
      </c>
      <c r="CC22" s="40"/>
      <c r="CD22" s="40">
        <v>1</v>
      </c>
      <c r="CE22" s="79"/>
      <c r="CF22" s="14">
        <f t="shared" si="79"/>
        <v>4</v>
      </c>
      <c r="CG22" s="14">
        <f t="shared" si="79"/>
        <v>0</v>
      </c>
      <c r="CH22" s="39">
        <f t="shared" si="80"/>
        <v>4</v>
      </c>
      <c r="CI22" s="40"/>
      <c r="CJ22" s="40"/>
      <c r="CK22" s="40">
        <v>1</v>
      </c>
      <c r="CL22" s="83">
        <v>1</v>
      </c>
      <c r="CM22" s="14">
        <f t="shared" si="81"/>
        <v>1</v>
      </c>
      <c r="CN22" s="14">
        <f t="shared" si="81"/>
        <v>1</v>
      </c>
      <c r="CO22" s="39">
        <f t="shared" si="82"/>
        <v>2</v>
      </c>
      <c r="CP22" s="108">
        <v>1</v>
      </c>
      <c r="CQ22" s="40"/>
      <c r="CR22" s="40">
        <v>1</v>
      </c>
      <c r="CS22" s="40"/>
      <c r="CT22" s="14">
        <f t="shared" si="83"/>
        <v>4</v>
      </c>
      <c r="CU22" s="14">
        <f t="shared" si="83"/>
        <v>0</v>
      </c>
      <c r="CV22" s="39">
        <f t="shared" si="84"/>
        <v>4</v>
      </c>
      <c r="CW22" s="32"/>
      <c r="CX22" s="40"/>
      <c r="CY22" s="40">
        <v>2</v>
      </c>
      <c r="CZ22" s="40"/>
      <c r="DA22" s="17">
        <f t="shared" si="85"/>
        <v>2</v>
      </c>
      <c r="DB22" s="17">
        <f t="shared" si="85"/>
        <v>0</v>
      </c>
      <c r="DC22" s="18">
        <f t="shared" si="86"/>
        <v>2</v>
      </c>
      <c r="DD22" s="108">
        <v>1</v>
      </c>
      <c r="DE22" s="40"/>
      <c r="DF22" s="40"/>
      <c r="DG22" s="40">
        <v>2</v>
      </c>
      <c r="DH22" s="156">
        <f t="shared" si="56"/>
        <v>3</v>
      </c>
      <c r="DI22" s="156">
        <f t="shared" si="57"/>
        <v>2</v>
      </c>
      <c r="DJ22" s="18">
        <f t="shared" si="58"/>
        <v>5</v>
      </c>
      <c r="DK22" s="108">
        <v>1</v>
      </c>
      <c r="DL22" s="40"/>
      <c r="DM22" s="40"/>
      <c r="DN22" s="40"/>
      <c r="DO22" s="156">
        <f t="shared" si="5"/>
        <v>3</v>
      </c>
      <c r="DP22" s="156">
        <f t="shared" si="6"/>
        <v>0</v>
      </c>
      <c r="DQ22" s="18">
        <f t="shared" si="7"/>
        <v>3</v>
      </c>
      <c r="DR22" s="108"/>
      <c r="DS22" s="40"/>
      <c r="DT22" s="40">
        <v>1</v>
      </c>
      <c r="DU22" s="40">
        <v>1</v>
      </c>
      <c r="DV22" s="156">
        <f t="shared" si="8"/>
        <v>1</v>
      </c>
      <c r="DW22" s="156">
        <f t="shared" si="9"/>
        <v>1</v>
      </c>
      <c r="DX22" s="18">
        <f t="shared" si="10"/>
        <v>2</v>
      </c>
      <c r="DY22" s="108"/>
      <c r="DZ22" s="40">
        <v>1</v>
      </c>
      <c r="EA22" s="40">
        <v>1</v>
      </c>
      <c r="EB22" s="40"/>
      <c r="EC22" s="156">
        <f t="shared" si="11"/>
        <v>1</v>
      </c>
      <c r="ED22" s="156">
        <f t="shared" si="12"/>
        <v>3</v>
      </c>
      <c r="EE22" s="18">
        <f t="shared" si="13"/>
        <v>4</v>
      </c>
      <c r="EF22" s="108">
        <v>1</v>
      </c>
      <c r="EG22" s="40"/>
      <c r="EH22" s="40"/>
      <c r="EI22" s="40"/>
      <c r="EJ22" s="156">
        <f t="shared" si="14"/>
        <v>3</v>
      </c>
      <c r="EK22" s="156">
        <f t="shared" si="15"/>
        <v>0</v>
      </c>
      <c r="EL22" s="18">
        <f t="shared" si="16"/>
        <v>3</v>
      </c>
      <c r="EM22" s="74">
        <f t="shared" si="17"/>
        <v>32</v>
      </c>
      <c r="EN22" s="75">
        <f t="shared" ca="1" si="18"/>
        <v>8.8397790055248615E-2</v>
      </c>
      <c r="EO22" s="76">
        <f t="shared" si="19"/>
        <v>7</v>
      </c>
      <c r="EP22" s="75">
        <f t="shared" ca="1" si="20"/>
        <v>1.9337016574585635E-2</v>
      </c>
      <c r="EQ22" s="76">
        <f t="shared" si="21"/>
        <v>39</v>
      </c>
      <c r="ER22" s="75">
        <f t="shared" ca="1" si="22"/>
        <v>0.10773480662983426</v>
      </c>
      <c r="ES22" s="76">
        <f t="shared" si="23"/>
        <v>6</v>
      </c>
      <c r="ET22" s="76">
        <f t="shared" si="24"/>
        <v>1</v>
      </c>
      <c r="EU22" s="76">
        <f t="shared" si="25"/>
        <v>7</v>
      </c>
    </row>
    <row r="23" spans="1:151" ht="15.75" thickBot="1" x14ac:dyDescent="0.3">
      <c r="A23" s="10">
        <v>474</v>
      </c>
      <c r="B23" s="24" t="s">
        <v>68</v>
      </c>
      <c r="C23" s="26" t="str">
        <f t="shared" si="0"/>
        <v>יהל אור 474</v>
      </c>
      <c r="D23" s="12" t="s">
        <v>6</v>
      </c>
      <c r="E23" s="12" t="s">
        <v>7</v>
      </c>
      <c r="F23" s="31" t="s">
        <v>143</v>
      </c>
      <c r="G23" s="30">
        <v>42917</v>
      </c>
      <c r="H23" s="19"/>
      <c r="I23" s="13"/>
      <c r="J23" s="48"/>
      <c r="K23" s="49"/>
      <c r="L23" s="49"/>
      <c r="M23" s="49"/>
      <c r="N23" s="50">
        <f t="shared" si="59"/>
        <v>0</v>
      </c>
      <c r="O23" s="50">
        <f t="shared" si="59"/>
        <v>0</v>
      </c>
      <c r="P23" s="15">
        <f t="shared" si="60"/>
        <v>0</v>
      </c>
      <c r="Q23" s="10"/>
      <c r="R23" s="12"/>
      <c r="S23" s="12">
        <v>4</v>
      </c>
      <c r="T23" s="12"/>
      <c r="U23" s="14">
        <f t="shared" si="61"/>
        <v>4</v>
      </c>
      <c r="V23" s="14">
        <f t="shared" si="61"/>
        <v>0</v>
      </c>
      <c r="W23" s="16">
        <f t="shared" si="62"/>
        <v>4</v>
      </c>
      <c r="X23" s="10">
        <v>1</v>
      </c>
      <c r="Y23" s="12"/>
      <c r="Z23" s="12">
        <v>1</v>
      </c>
      <c r="AA23" s="12"/>
      <c r="AB23" s="17">
        <f t="shared" si="63"/>
        <v>4</v>
      </c>
      <c r="AC23" s="17">
        <f t="shared" si="63"/>
        <v>0</v>
      </c>
      <c r="AD23" s="18">
        <f t="shared" si="64"/>
        <v>4</v>
      </c>
      <c r="AE23" s="10"/>
      <c r="AF23" s="12"/>
      <c r="AG23" s="12">
        <v>2</v>
      </c>
      <c r="AH23" s="12">
        <v>2</v>
      </c>
      <c r="AI23" s="14">
        <f t="shared" si="65"/>
        <v>2</v>
      </c>
      <c r="AJ23" s="14">
        <f t="shared" si="65"/>
        <v>2</v>
      </c>
      <c r="AK23" s="16">
        <f t="shared" si="66"/>
        <v>4</v>
      </c>
      <c r="AL23" s="10"/>
      <c r="AM23" s="12"/>
      <c r="AN23" s="12">
        <v>2</v>
      </c>
      <c r="AO23" s="12">
        <v>1</v>
      </c>
      <c r="AP23" s="14">
        <f t="shared" si="67"/>
        <v>2</v>
      </c>
      <c r="AQ23" s="14">
        <f t="shared" si="67"/>
        <v>1</v>
      </c>
      <c r="AR23" s="16">
        <f t="shared" si="68"/>
        <v>3</v>
      </c>
      <c r="AS23" s="10">
        <v>1</v>
      </c>
      <c r="AT23" s="12"/>
      <c r="AU23" s="12"/>
      <c r="AV23" s="12"/>
      <c r="AW23" s="14">
        <f t="shared" si="69"/>
        <v>3</v>
      </c>
      <c r="AX23" s="14">
        <f t="shared" si="69"/>
        <v>0</v>
      </c>
      <c r="AY23" s="16">
        <f t="shared" si="70"/>
        <v>3</v>
      </c>
      <c r="AZ23" s="10"/>
      <c r="BA23" s="12"/>
      <c r="BB23" s="12">
        <v>3</v>
      </c>
      <c r="BC23" s="12"/>
      <c r="BD23" s="14">
        <f t="shared" si="71"/>
        <v>3</v>
      </c>
      <c r="BE23" s="14">
        <f t="shared" si="71"/>
        <v>0</v>
      </c>
      <c r="BF23" s="16">
        <f t="shared" si="72"/>
        <v>3</v>
      </c>
      <c r="BG23" s="32">
        <v>1</v>
      </c>
      <c r="BH23" s="40"/>
      <c r="BI23" s="12"/>
      <c r="BJ23" s="12">
        <v>1</v>
      </c>
      <c r="BK23" s="14">
        <f t="shared" si="73"/>
        <v>3</v>
      </c>
      <c r="BL23" s="14">
        <f t="shared" si="73"/>
        <v>1</v>
      </c>
      <c r="BM23" s="39">
        <f t="shared" si="74"/>
        <v>4</v>
      </c>
      <c r="BN23" s="32">
        <v>1</v>
      </c>
      <c r="BO23" s="40"/>
      <c r="BP23" s="40">
        <v>3</v>
      </c>
      <c r="BQ23" s="40"/>
      <c r="BR23" s="14">
        <f t="shared" si="75"/>
        <v>6</v>
      </c>
      <c r="BS23" s="14">
        <f t="shared" si="75"/>
        <v>0</v>
      </c>
      <c r="BT23" s="39">
        <f t="shared" si="76"/>
        <v>6</v>
      </c>
      <c r="BU23" s="32"/>
      <c r="BV23" s="40"/>
      <c r="BW23" s="40">
        <v>1</v>
      </c>
      <c r="BX23" s="40">
        <v>1</v>
      </c>
      <c r="BY23" s="14">
        <f t="shared" si="77"/>
        <v>1</v>
      </c>
      <c r="BZ23" s="14">
        <f t="shared" si="77"/>
        <v>1</v>
      </c>
      <c r="CA23" s="39">
        <f t="shared" si="78"/>
        <v>2</v>
      </c>
      <c r="CB23" s="32"/>
      <c r="CC23" s="40"/>
      <c r="CD23" s="40">
        <v>2</v>
      </c>
      <c r="CE23" s="79"/>
      <c r="CF23" s="14">
        <f t="shared" si="79"/>
        <v>2</v>
      </c>
      <c r="CG23" s="14">
        <f t="shared" si="79"/>
        <v>0</v>
      </c>
      <c r="CH23" s="39">
        <f t="shared" si="80"/>
        <v>2</v>
      </c>
      <c r="CI23" s="40">
        <v>1</v>
      </c>
      <c r="CJ23" s="40"/>
      <c r="CK23" s="40"/>
      <c r="CL23" s="83"/>
      <c r="CM23" s="14">
        <f t="shared" si="81"/>
        <v>3</v>
      </c>
      <c r="CN23" s="14">
        <f t="shared" si="81"/>
        <v>0</v>
      </c>
      <c r="CO23" s="39">
        <f t="shared" si="82"/>
        <v>3</v>
      </c>
      <c r="CP23" s="108"/>
      <c r="CQ23" s="40"/>
      <c r="CR23" s="40">
        <v>1</v>
      </c>
      <c r="CS23" s="40"/>
      <c r="CT23" s="14">
        <f t="shared" si="83"/>
        <v>1</v>
      </c>
      <c r="CU23" s="14">
        <f t="shared" si="83"/>
        <v>0</v>
      </c>
      <c r="CV23" s="39">
        <f t="shared" si="84"/>
        <v>1</v>
      </c>
      <c r="CW23" s="32"/>
      <c r="CX23" s="40"/>
      <c r="CY23" s="40">
        <v>2</v>
      </c>
      <c r="CZ23" s="40"/>
      <c r="DA23" s="17">
        <f t="shared" si="85"/>
        <v>2</v>
      </c>
      <c r="DB23" s="17">
        <f t="shared" si="85"/>
        <v>0</v>
      </c>
      <c r="DC23" s="18">
        <f t="shared" si="86"/>
        <v>2</v>
      </c>
      <c r="DD23" s="108">
        <v>1</v>
      </c>
      <c r="DE23" s="40"/>
      <c r="DF23" s="40">
        <v>1</v>
      </c>
      <c r="DG23" s="40"/>
      <c r="DH23" s="156">
        <f t="shared" si="56"/>
        <v>4</v>
      </c>
      <c r="DI23" s="156">
        <f t="shared" si="57"/>
        <v>0</v>
      </c>
      <c r="DJ23" s="18">
        <f t="shared" si="58"/>
        <v>4</v>
      </c>
      <c r="DK23" s="108">
        <v>1</v>
      </c>
      <c r="DL23" s="40"/>
      <c r="DM23" s="40">
        <v>1</v>
      </c>
      <c r="DN23" s="40"/>
      <c r="DO23" s="156">
        <f t="shared" si="5"/>
        <v>4</v>
      </c>
      <c r="DP23" s="156">
        <f t="shared" si="6"/>
        <v>0</v>
      </c>
      <c r="DQ23" s="18">
        <f t="shared" si="7"/>
        <v>4</v>
      </c>
      <c r="DR23" s="108"/>
      <c r="DS23" s="40"/>
      <c r="DT23" s="40">
        <v>1</v>
      </c>
      <c r="DU23" s="40">
        <v>1</v>
      </c>
      <c r="DV23" s="156">
        <f t="shared" si="8"/>
        <v>1</v>
      </c>
      <c r="DW23" s="156">
        <f t="shared" si="9"/>
        <v>1</v>
      </c>
      <c r="DX23" s="18">
        <f t="shared" si="10"/>
        <v>2</v>
      </c>
      <c r="DY23" s="108"/>
      <c r="DZ23" s="40"/>
      <c r="EA23" s="40">
        <v>1</v>
      </c>
      <c r="EB23" s="40">
        <v>2</v>
      </c>
      <c r="EC23" s="156">
        <f t="shared" si="11"/>
        <v>1</v>
      </c>
      <c r="ED23" s="156">
        <f t="shared" si="12"/>
        <v>2</v>
      </c>
      <c r="EE23" s="18">
        <f t="shared" si="13"/>
        <v>3</v>
      </c>
      <c r="EF23" s="108">
        <v>1</v>
      </c>
      <c r="EG23" s="40"/>
      <c r="EH23" s="40"/>
      <c r="EI23" s="40"/>
      <c r="EJ23" s="156">
        <f t="shared" si="14"/>
        <v>3</v>
      </c>
      <c r="EK23" s="156">
        <f t="shared" si="15"/>
        <v>0</v>
      </c>
      <c r="EL23" s="18">
        <f t="shared" si="16"/>
        <v>3</v>
      </c>
      <c r="EM23" s="74">
        <f t="shared" si="17"/>
        <v>49</v>
      </c>
      <c r="EN23" s="75">
        <f t="shared" ca="1" si="18"/>
        <v>8.9743589743589744E-2</v>
      </c>
      <c r="EO23" s="76">
        <f t="shared" si="19"/>
        <v>8</v>
      </c>
      <c r="EP23" s="75">
        <f t="shared" ca="1" si="20"/>
        <v>1.4652014652014652E-2</v>
      </c>
      <c r="EQ23" s="76">
        <f t="shared" si="21"/>
        <v>57</v>
      </c>
      <c r="ER23" s="75">
        <f t="shared" ca="1" si="22"/>
        <v>0.1043956043956044</v>
      </c>
      <c r="ES23" s="76">
        <f t="shared" si="23"/>
        <v>8</v>
      </c>
      <c r="ET23" s="76">
        <f t="shared" si="24"/>
        <v>0</v>
      </c>
      <c r="EU23" s="76">
        <f t="shared" si="25"/>
        <v>8</v>
      </c>
    </row>
    <row r="24" spans="1:151" ht="15.75" thickBot="1" x14ac:dyDescent="0.3">
      <c r="A24" s="10">
        <v>474</v>
      </c>
      <c r="B24" s="11" t="s">
        <v>5</v>
      </c>
      <c r="C24" s="26" t="str">
        <f t="shared" si="0"/>
        <v>מאי 474</v>
      </c>
      <c r="D24" s="23" t="s">
        <v>7</v>
      </c>
      <c r="E24" s="23" t="s">
        <v>7</v>
      </c>
      <c r="F24" s="31" t="s">
        <v>144</v>
      </c>
      <c r="G24" s="30">
        <v>42979</v>
      </c>
      <c r="H24" s="19"/>
      <c r="I24" s="13"/>
      <c r="J24" s="48"/>
      <c r="K24" s="49"/>
      <c r="L24" s="49"/>
      <c r="M24" s="49"/>
      <c r="N24" s="50">
        <f t="shared" si="59"/>
        <v>0</v>
      </c>
      <c r="O24" s="50">
        <f t="shared" si="59"/>
        <v>0</v>
      </c>
      <c r="P24" s="15">
        <f t="shared" si="60"/>
        <v>0</v>
      </c>
      <c r="Q24" s="10"/>
      <c r="R24" s="12"/>
      <c r="S24" s="12"/>
      <c r="T24" s="12"/>
      <c r="U24" s="14">
        <f t="shared" si="61"/>
        <v>0</v>
      </c>
      <c r="V24" s="14">
        <f t="shared" si="61"/>
        <v>0</v>
      </c>
      <c r="W24" s="16">
        <f t="shared" si="62"/>
        <v>0</v>
      </c>
      <c r="X24" s="10"/>
      <c r="Y24" s="12"/>
      <c r="Z24" s="12"/>
      <c r="AA24" s="12"/>
      <c r="AB24" s="17">
        <f t="shared" si="63"/>
        <v>0</v>
      </c>
      <c r="AC24" s="17">
        <f t="shared" si="63"/>
        <v>0</v>
      </c>
      <c r="AD24" s="18">
        <f t="shared" si="64"/>
        <v>0</v>
      </c>
      <c r="AE24" s="10">
        <v>1</v>
      </c>
      <c r="AF24" s="12"/>
      <c r="AG24" s="12">
        <v>2</v>
      </c>
      <c r="AH24" s="12"/>
      <c r="AI24" s="14">
        <f t="shared" si="65"/>
        <v>5</v>
      </c>
      <c r="AJ24" s="14">
        <f t="shared" si="65"/>
        <v>0</v>
      </c>
      <c r="AK24" s="16">
        <f t="shared" si="66"/>
        <v>5</v>
      </c>
      <c r="AL24" s="10">
        <v>1</v>
      </c>
      <c r="AM24" s="12"/>
      <c r="AN24" s="12"/>
      <c r="AO24" s="12"/>
      <c r="AP24" s="14">
        <f t="shared" si="67"/>
        <v>3</v>
      </c>
      <c r="AQ24" s="14">
        <f t="shared" si="67"/>
        <v>0</v>
      </c>
      <c r="AR24" s="16">
        <f t="shared" si="68"/>
        <v>3</v>
      </c>
      <c r="AS24" s="10"/>
      <c r="AT24" s="12"/>
      <c r="AU24" s="12"/>
      <c r="AV24" s="12">
        <v>2</v>
      </c>
      <c r="AW24" s="14">
        <f t="shared" si="69"/>
        <v>0</v>
      </c>
      <c r="AX24" s="14">
        <f t="shared" si="69"/>
        <v>2</v>
      </c>
      <c r="AY24" s="16">
        <f t="shared" si="70"/>
        <v>2</v>
      </c>
      <c r="AZ24" s="10"/>
      <c r="BA24" s="12">
        <v>1</v>
      </c>
      <c r="BB24" s="12"/>
      <c r="BC24" s="12">
        <v>2</v>
      </c>
      <c r="BD24" s="14">
        <f t="shared" si="71"/>
        <v>0</v>
      </c>
      <c r="BE24" s="14">
        <f t="shared" si="71"/>
        <v>5</v>
      </c>
      <c r="BF24" s="16">
        <f t="shared" si="72"/>
        <v>5</v>
      </c>
      <c r="BG24" s="32"/>
      <c r="BH24" s="40">
        <v>1</v>
      </c>
      <c r="BI24" s="40"/>
      <c r="BJ24" s="12">
        <v>1</v>
      </c>
      <c r="BK24" s="14">
        <f t="shared" si="73"/>
        <v>0</v>
      </c>
      <c r="BL24" s="14">
        <f t="shared" si="73"/>
        <v>4</v>
      </c>
      <c r="BM24" s="39">
        <f t="shared" si="74"/>
        <v>4</v>
      </c>
      <c r="BN24" s="32"/>
      <c r="BO24" s="40">
        <v>1</v>
      </c>
      <c r="BP24" s="40"/>
      <c r="BQ24" s="40">
        <v>1</v>
      </c>
      <c r="BR24" s="14">
        <f t="shared" si="75"/>
        <v>0</v>
      </c>
      <c r="BS24" s="14">
        <f t="shared" si="75"/>
        <v>4</v>
      </c>
      <c r="BT24" s="39">
        <f t="shared" si="76"/>
        <v>4</v>
      </c>
      <c r="BU24" s="32"/>
      <c r="BV24" s="40"/>
      <c r="BW24" s="40"/>
      <c r="BX24" s="40">
        <v>2</v>
      </c>
      <c r="BY24" s="14">
        <f t="shared" si="77"/>
        <v>0</v>
      </c>
      <c r="BZ24" s="14">
        <f t="shared" si="77"/>
        <v>2</v>
      </c>
      <c r="CA24" s="39">
        <f t="shared" si="78"/>
        <v>2</v>
      </c>
      <c r="CB24" s="32"/>
      <c r="CC24" s="40"/>
      <c r="CD24" s="40"/>
      <c r="CE24" s="79">
        <v>3</v>
      </c>
      <c r="CF24" s="14">
        <f t="shared" si="79"/>
        <v>0</v>
      </c>
      <c r="CG24" s="14">
        <f t="shared" si="79"/>
        <v>3</v>
      </c>
      <c r="CH24" s="39">
        <f t="shared" si="80"/>
        <v>3</v>
      </c>
      <c r="CI24" s="40"/>
      <c r="CJ24" s="40">
        <v>1</v>
      </c>
      <c r="CK24" s="40"/>
      <c r="CL24" s="83">
        <v>1</v>
      </c>
      <c r="CM24" s="14">
        <f t="shared" si="81"/>
        <v>0</v>
      </c>
      <c r="CN24" s="14">
        <f t="shared" si="81"/>
        <v>4</v>
      </c>
      <c r="CO24" s="39">
        <f t="shared" si="82"/>
        <v>4</v>
      </c>
      <c r="CP24" s="108"/>
      <c r="CQ24" s="40"/>
      <c r="CR24" s="40"/>
      <c r="CS24" s="40">
        <v>2</v>
      </c>
      <c r="CT24" s="14">
        <f t="shared" si="83"/>
        <v>0</v>
      </c>
      <c r="CU24" s="14">
        <f t="shared" si="83"/>
        <v>2</v>
      </c>
      <c r="CV24" s="39">
        <f t="shared" si="84"/>
        <v>2</v>
      </c>
      <c r="CW24" s="32"/>
      <c r="CX24" s="40">
        <v>1</v>
      </c>
      <c r="CY24" s="40"/>
      <c r="CZ24" s="40"/>
      <c r="DA24" s="17">
        <f t="shared" si="85"/>
        <v>0</v>
      </c>
      <c r="DB24" s="17">
        <f t="shared" si="85"/>
        <v>3</v>
      </c>
      <c r="DC24" s="18">
        <f t="shared" si="86"/>
        <v>3</v>
      </c>
      <c r="DD24" s="108"/>
      <c r="DE24" s="40"/>
      <c r="DF24" s="40"/>
      <c r="DG24" s="40">
        <v>2</v>
      </c>
      <c r="DH24" s="156">
        <f t="shared" si="56"/>
        <v>0</v>
      </c>
      <c r="DI24" s="156">
        <f t="shared" si="57"/>
        <v>2</v>
      </c>
      <c r="DJ24" s="18">
        <f t="shared" si="58"/>
        <v>2</v>
      </c>
      <c r="DK24" s="108"/>
      <c r="DL24" s="40">
        <v>1</v>
      </c>
      <c r="DM24" s="40"/>
      <c r="DN24" s="40">
        <v>1</v>
      </c>
      <c r="DO24" s="156">
        <f t="shared" si="5"/>
        <v>0</v>
      </c>
      <c r="DP24" s="156">
        <f t="shared" si="6"/>
        <v>4</v>
      </c>
      <c r="DQ24" s="18">
        <f t="shared" si="7"/>
        <v>4</v>
      </c>
      <c r="DR24" s="108"/>
      <c r="DS24" s="40"/>
      <c r="DT24" s="40"/>
      <c r="DU24" s="40">
        <v>4</v>
      </c>
      <c r="DV24" s="156">
        <f t="shared" si="8"/>
        <v>0</v>
      </c>
      <c r="DW24" s="156">
        <f t="shared" si="9"/>
        <v>4</v>
      </c>
      <c r="DX24" s="18">
        <f t="shared" si="10"/>
        <v>4</v>
      </c>
      <c r="DY24" s="108"/>
      <c r="DZ24" s="40">
        <v>1</v>
      </c>
      <c r="EA24" s="40"/>
      <c r="EB24" s="40">
        <v>2</v>
      </c>
      <c r="EC24" s="156">
        <f t="shared" si="11"/>
        <v>0</v>
      </c>
      <c r="ED24" s="156">
        <f t="shared" si="12"/>
        <v>5</v>
      </c>
      <c r="EE24" s="18">
        <f t="shared" si="13"/>
        <v>5</v>
      </c>
      <c r="EF24" s="108"/>
      <c r="EG24" s="40">
        <v>1</v>
      </c>
      <c r="EH24" s="40"/>
      <c r="EI24" s="40"/>
      <c r="EJ24" s="156">
        <f t="shared" si="14"/>
        <v>0</v>
      </c>
      <c r="EK24" s="156">
        <f t="shared" si="15"/>
        <v>3</v>
      </c>
      <c r="EL24" s="18">
        <f t="shared" si="16"/>
        <v>3</v>
      </c>
      <c r="EM24" s="74">
        <f t="shared" si="17"/>
        <v>8</v>
      </c>
      <c r="EN24" s="75">
        <f t="shared" ca="1" si="18"/>
        <v>1.6528925619834711E-2</v>
      </c>
      <c r="EO24" s="76">
        <f t="shared" si="19"/>
        <v>47</v>
      </c>
      <c r="EP24" s="75">
        <f t="shared" ca="1" si="20"/>
        <v>9.7107438016528921E-2</v>
      </c>
      <c r="EQ24" s="76">
        <f t="shared" si="21"/>
        <v>55</v>
      </c>
      <c r="ER24" s="75">
        <f t="shared" ca="1" si="22"/>
        <v>0.11363636363636363</v>
      </c>
      <c r="ES24" s="76">
        <f t="shared" si="23"/>
        <v>2</v>
      </c>
      <c r="ET24" s="76">
        <f t="shared" si="24"/>
        <v>8</v>
      </c>
      <c r="EU24" s="76">
        <f t="shared" si="25"/>
        <v>10</v>
      </c>
    </row>
    <row r="25" spans="1:151" ht="15.75" thickBot="1" x14ac:dyDescent="0.3">
      <c r="A25" s="10">
        <v>474</v>
      </c>
      <c r="B25" s="24" t="s">
        <v>165</v>
      </c>
      <c r="C25" s="26" t="str">
        <f t="shared" si="0"/>
        <v>רוני 474</v>
      </c>
      <c r="D25" s="23" t="s">
        <v>6</v>
      </c>
      <c r="E25" s="23" t="s">
        <v>7</v>
      </c>
      <c r="F25" s="31" t="s">
        <v>167</v>
      </c>
      <c r="G25" s="30">
        <v>43191</v>
      </c>
      <c r="H25" s="42"/>
      <c r="I25" s="13"/>
      <c r="J25" s="48"/>
      <c r="K25" s="49"/>
      <c r="L25" s="49"/>
      <c r="M25" s="49"/>
      <c r="N25" s="50">
        <f t="shared" si="59"/>
        <v>0</v>
      </c>
      <c r="O25" s="50">
        <f t="shared" si="59"/>
        <v>0</v>
      </c>
      <c r="P25" s="15">
        <f t="shared" si="60"/>
        <v>0</v>
      </c>
      <c r="Q25" s="10"/>
      <c r="R25" s="12"/>
      <c r="S25" s="12"/>
      <c r="T25" s="12"/>
      <c r="U25" s="14">
        <f t="shared" si="61"/>
        <v>0</v>
      </c>
      <c r="V25" s="14">
        <f t="shared" si="61"/>
        <v>0</v>
      </c>
      <c r="W25" s="16">
        <f t="shared" si="62"/>
        <v>0</v>
      </c>
      <c r="X25" s="10"/>
      <c r="Y25" s="12"/>
      <c r="Z25" s="12"/>
      <c r="AA25" s="12"/>
      <c r="AB25" s="17">
        <f t="shared" si="63"/>
        <v>0</v>
      </c>
      <c r="AC25" s="17">
        <f t="shared" si="63"/>
        <v>0</v>
      </c>
      <c r="AD25" s="18">
        <f t="shared" si="64"/>
        <v>0</v>
      </c>
      <c r="AE25" s="10"/>
      <c r="AF25" s="12"/>
      <c r="AG25" s="12"/>
      <c r="AH25" s="12"/>
      <c r="AI25" s="14">
        <f t="shared" si="65"/>
        <v>0</v>
      </c>
      <c r="AJ25" s="14">
        <f t="shared" si="65"/>
        <v>0</v>
      </c>
      <c r="AK25" s="16">
        <f t="shared" si="66"/>
        <v>0</v>
      </c>
      <c r="AL25" s="10"/>
      <c r="AM25" s="12"/>
      <c r="AN25" s="12"/>
      <c r="AO25" s="12"/>
      <c r="AP25" s="14">
        <f t="shared" si="67"/>
        <v>0</v>
      </c>
      <c r="AQ25" s="14">
        <f t="shared" si="67"/>
        <v>0</v>
      </c>
      <c r="AR25" s="16">
        <f t="shared" si="68"/>
        <v>0</v>
      </c>
      <c r="AS25" s="10"/>
      <c r="AT25" s="12"/>
      <c r="AU25" s="12"/>
      <c r="AV25" s="12"/>
      <c r="AW25" s="14">
        <f t="shared" si="69"/>
        <v>0</v>
      </c>
      <c r="AX25" s="14">
        <f t="shared" si="69"/>
        <v>0</v>
      </c>
      <c r="AY25" s="16">
        <f t="shared" si="70"/>
        <v>0</v>
      </c>
      <c r="AZ25" s="10"/>
      <c r="BA25" s="12"/>
      <c r="BB25" s="12"/>
      <c r="BC25" s="12"/>
      <c r="BD25" s="14">
        <f t="shared" si="71"/>
        <v>0</v>
      </c>
      <c r="BE25" s="14">
        <f t="shared" si="71"/>
        <v>0</v>
      </c>
      <c r="BF25" s="16">
        <f t="shared" si="72"/>
        <v>0</v>
      </c>
      <c r="BG25" s="32"/>
      <c r="BH25" s="40"/>
      <c r="BI25" s="12"/>
      <c r="BJ25" s="12"/>
      <c r="BK25" s="14">
        <f t="shared" si="73"/>
        <v>0</v>
      </c>
      <c r="BL25" s="14">
        <f t="shared" si="73"/>
        <v>0</v>
      </c>
      <c r="BM25" s="39">
        <f t="shared" si="74"/>
        <v>0</v>
      </c>
      <c r="BN25" s="32"/>
      <c r="BO25" s="40"/>
      <c r="BP25" s="40"/>
      <c r="BQ25" s="40"/>
      <c r="BR25" s="14">
        <f t="shared" si="75"/>
        <v>0</v>
      </c>
      <c r="BS25" s="14">
        <f t="shared" si="75"/>
        <v>0</v>
      </c>
      <c r="BT25" s="39">
        <f t="shared" si="76"/>
        <v>0</v>
      </c>
      <c r="BU25" s="32"/>
      <c r="BV25" s="40"/>
      <c r="BW25" s="40">
        <v>1</v>
      </c>
      <c r="BX25" s="40"/>
      <c r="BY25" s="14">
        <f t="shared" si="77"/>
        <v>1</v>
      </c>
      <c r="BZ25" s="14">
        <f t="shared" si="77"/>
        <v>0</v>
      </c>
      <c r="CA25" s="39">
        <f t="shared" si="78"/>
        <v>1</v>
      </c>
      <c r="CB25" s="32"/>
      <c r="CC25" s="40"/>
      <c r="CD25" s="40">
        <v>2</v>
      </c>
      <c r="CE25" s="79"/>
      <c r="CF25" s="14">
        <f t="shared" si="79"/>
        <v>2</v>
      </c>
      <c r="CG25" s="14">
        <f t="shared" si="79"/>
        <v>0</v>
      </c>
      <c r="CH25" s="39">
        <f t="shared" si="80"/>
        <v>2</v>
      </c>
      <c r="CI25" s="40">
        <v>1</v>
      </c>
      <c r="CJ25" s="40"/>
      <c r="CK25" s="40"/>
      <c r="CL25" s="83"/>
      <c r="CM25" s="14">
        <f t="shared" si="81"/>
        <v>3</v>
      </c>
      <c r="CN25" s="14">
        <f t="shared" si="81"/>
        <v>0</v>
      </c>
      <c r="CO25" s="39">
        <f t="shared" si="82"/>
        <v>3</v>
      </c>
      <c r="CP25" s="108"/>
      <c r="CQ25" s="40"/>
      <c r="CR25" s="40">
        <v>3</v>
      </c>
      <c r="CS25" s="40">
        <v>1</v>
      </c>
      <c r="CT25" s="14">
        <f t="shared" si="83"/>
        <v>3</v>
      </c>
      <c r="CU25" s="14">
        <f t="shared" si="83"/>
        <v>1</v>
      </c>
      <c r="CV25" s="39">
        <f t="shared" si="84"/>
        <v>4</v>
      </c>
      <c r="CW25" s="32">
        <v>1</v>
      </c>
      <c r="CX25" s="40"/>
      <c r="CY25" s="40"/>
      <c r="CZ25" s="40"/>
      <c r="DA25" s="17">
        <f t="shared" si="85"/>
        <v>3</v>
      </c>
      <c r="DB25" s="17">
        <f t="shared" si="85"/>
        <v>0</v>
      </c>
      <c r="DC25" s="18">
        <f t="shared" si="86"/>
        <v>3</v>
      </c>
      <c r="DD25" s="108"/>
      <c r="DE25" s="40"/>
      <c r="DF25" s="40">
        <v>3</v>
      </c>
      <c r="DG25" s="40"/>
      <c r="DH25" s="156">
        <f t="shared" si="56"/>
        <v>3</v>
      </c>
      <c r="DI25" s="156">
        <f t="shared" si="57"/>
        <v>0</v>
      </c>
      <c r="DJ25" s="18">
        <f t="shared" si="58"/>
        <v>3</v>
      </c>
      <c r="DK25" s="108"/>
      <c r="DL25" s="40"/>
      <c r="DM25" s="40">
        <v>2</v>
      </c>
      <c r="DN25" s="40">
        <v>1</v>
      </c>
      <c r="DO25" s="156">
        <f t="shared" si="5"/>
        <v>2</v>
      </c>
      <c r="DP25" s="156">
        <f t="shared" si="6"/>
        <v>1</v>
      </c>
      <c r="DQ25" s="18">
        <f t="shared" si="7"/>
        <v>3</v>
      </c>
      <c r="DR25" s="108">
        <v>1</v>
      </c>
      <c r="DS25" s="40"/>
      <c r="DT25" s="40">
        <v>1</v>
      </c>
      <c r="DU25" s="40"/>
      <c r="DV25" s="156">
        <f t="shared" si="8"/>
        <v>4</v>
      </c>
      <c r="DW25" s="156">
        <f t="shared" si="9"/>
        <v>0</v>
      </c>
      <c r="DX25" s="18">
        <f t="shared" si="10"/>
        <v>4</v>
      </c>
      <c r="DY25" s="108"/>
      <c r="DZ25" s="40">
        <v>1</v>
      </c>
      <c r="EA25" s="40"/>
      <c r="EB25" s="40"/>
      <c r="EC25" s="156">
        <f t="shared" si="11"/>
        <v>0</v>
      </c>
      <c r="ED25" s="156">
        <f t="shared" si="12"/>
        <v>3</v>
      </c>
      <c r="EE25" s="18">
        <f t="shared" si="13"/>
        <v>3</v>
      </c>
      <c r="EF25" s="108"/>
      <c r="EG25" s="40"/>
      <c r="EH25" s="40"/>
      <c r="EI25" s="40"/>
      <c r="EJ25" s="156">
        <f t="shared" si="14"/>
        <v>0</v>
      </c>
      <c r="EK25" s="156">
        <f t="shared" si="15"/>
        <v>0</v>
      </c>
      <c r="EL25" s="18">
        <f t="shared" si="16"/>
        <v>0</v>
      </c>
      <c r="EM25" s="74">
        <f t="shared" si="17"/>
        <v>21</v>
      </c>
      <c r="EN25" s="75">
        <f t="shared" ca="1" si="18"/>
        <v>7.720588235294118E-2</v>
      </c>
      <c r="EO25" s="76">
        <f t="shared" si="19"/>
        <v>5</v>
      </c>
      <c r="EP25" s="75">
        <f t="shared" ca="1" si="20"/>
        <v>1.8382352941176471E-2</v>
      </c>
      <c r="EQ25" s="76">
        <f t="shared" si="21"/>
        <v>26</v>
      </c>
      <c r="ER25" s="75">
        <f t="shared" ca="1" si="22"/>
        <v>9.5588235294117654E-2</v>
      </c>
      <c r="ES25" s="76">
        <f t="shared" si="23"/>
        <v>3</v>
      </c>
      <c r="ET25" s="76">
        <f t="shared" si="24"/>
        <v>1</v>
      </c>
      <c r="EU25" s="76">
        <f t="shared" si="25"/>
        <v>4</v>
      </c>
    </row>
    <row r="26" spans="1:151" ht="15.75" thickBot="1" x14ac:dyDescent="0.3">
      <c r="A26" s="10">
        <v>474</v>
      </c>
      <c r="B26" s="24" t="s">
        <v>124</v>
      </c>
      <c r="C26" s="26" t="str">
        <f t="shared" si="0"/>
        <v>שובל 474</v>
      </c>
      <c r="D26" s="23" t="s">
        <v>7</v>
      </c>
      <c r="E26" s="23" t="s">
        <v>7</v>
      </c>
      <c r="F26" s="31" t="s">
        <v>147</v>
      </c>
      <c r="G26" s="30">
        <v>43101</v>
      </c>
      <c r="H26" s="31"/>
      <c r="I26" s="13"/>
      <c r="J26" s="48"/>
      <c r="K26" s="49"/>
      <c r="L26" s="49"/>
      <c r="M26" s="49"/>
      <c r="N26" s="50">
        <f t="shared" si="59"/>
        <v>0</v>
      </c>
      <c r="O26" s="50">
        <f t="shared" si="59"/>
        <v>0</v>
      </c>
      <c r="P26" s="15">
        <f t="shared" si="60"/>
        <v>0</v>
      </c>
      <c r="Q26" s="10"/>
      <c r="R26" s="12"/>
      <c r="S26" s="12"/>
      <c r="T26" s="12"/>
      <c r="U26" s="14">
        <f t="shared" si="61"/>
        <v>0</v>
      </c>
      <c r="V26" s="14">
        <f t="shared" si="61"/>
        <v>0</v>
      </c>
      <c r="W26" s="16">
        <f t="shared" si="62"/>
        <v>0</v>
      </c>
      <c r="X26" s="10"/>
      <c r="Y26" s="12"/>
      <c r="Z26" s="12"/>
      <c r="AA26" s="12"/>
      <c r="AB26" s="17">
        <f t="shared" si="63"/>
        <v>0</v>
      </c>
      <c r="AC26" s="17">
        <f t="shared" si="63"/>
        <v>0</v>
      </c>
      <c r="AD26" s="18">
        <f t="shared" si="64"/>
        <v>0</v>
      </c>
      <c r="AE26" s="10"/>
      <c r="AF26" s="12"/>
      <c r="AG26" s="12"/>
      <c r="AH26" s="12"/>
      <c r="AI26" s="14">
        <f t="shared" si="65"/>
        <v>0</v>
      </c>
      <c r="AJ26" s="14">
        <f t="shared" si="65"/>
        <v>0</v>
      </c>
      <c r="AK26" s="16">
        <f t="shared" si="66"/>
        <v>0</v>
      </c>
      <c r="AL26" s="10"/>
      <c r="AM26" s="12"/>
      <c r="AN26" s="12"/>
      <c r="AO26" s="12"/>
      <c r="AP26" s="14">
        <f t="shared" si="67"/>
        <v>0</v>
      </c>
      <c r="AQ26" s="14">
        <f t="shared" si="67"/>
        <v>0</v>
      </c>
      <c r="AR26" s="16">
        <f t="shared" si="68"/>
        <v>0</v>
      </c>
      <c r="AS26" s="10"/>
      <c r="AT26" s="12"/>
      <c r="AU26" s="12"/>
      <c r="AV26" s="12"/>
      <c r="AW26" s="14">
        <f t="shared" si="69"/>
        <v>0</v>
      </c>
      <c r="AX26" s="14">
        <f t="shared" si="69"/>
        <v>0</v>
      </c>
      <c r="AY26" s="16">
        <f t="shared" si="70"/>
        <v>0</v>
      </c>
      <c r="AZ26" s="10"/>
      <c r="BA26" s="12"/>
      <c r="BB26" s="12"/>
      <c r="BC26" s="12"/>
      <c r="BD26" s="14">
        <f t="shared" si="71"/>
        <v>0</v>
      </c>
      <c r="BE26" s="14">
        <f t="shared" si="71"/>
        <v>0</v>
      </c>
      <c r="BF26" s="16">
        <f t="shared" si="72"/>
        <v>0</v>
      </c>
      <c r="BG26" s="32">
        <v>1</v>
      </c>
      <c r="BH26" s="40"/>
      <c r="BI26" s="12"/>
      <c r="BJ26" s="12"/>
      <c r="BK26" s="14">
        <f t="shared" si="73"/>
        <v>3</v>
      </c>
      <c r="BL26" s="14">
        <f t="shared" si="73"/>
        <v>0</v>
      </c>
      <c r="BM26" s="39">
        <f t="shared" si="74"/>
        <v>3</v>
      </c>
      <c r="BN26" s="32"/>
      <c r="BO26" s="40"/>
      <c r="BP26" s="40">
        <v>3</v>
      </c>
      <c r="BQ26" s="40">
        <v>1</v>
      </c>
      <c r="BR26" s="14">
        <f t="shared" si="75"/>
        <v>3</v>
      </c>
      <c r="BS26" s="14">
        <f t="shared" si="75"/>
        <v>1</v>
      </c>
      <c r="BT26" s="39">
        <f t="shared" si="76"/>
        <v>4</v>
      </c>
      <c r="BU26" s="32">
        <v>1</v>
      </c>
      <c r="BV26" s="40"/>
      <c r="BW26" s="40">
        <v>1</v>
      </c>
      <c r="BX26" s="40"/>
      <c r="BY26" s="14">
        <f t="shared" si="77"/>
        <v>4</v>
      </c>
      <c r="BZ26" s="14">
        <f t="shared" si="77"/>
        <v>0</v>
      </c>
      <c r="CA26" s="39">
        <f t="shared" si="78"/>
        <v>4</v>
      </c>
      <c r="CB26" s="32"/>
      <c r="CC26" s="40"/>
      <c r="CD26" s="40">
        <v>2</v>
      </c>
      <c r="CE26" s="79"/>
      <c r="CF26" s="14">
        <f t="shared" si="79"/>
        <v>2</v>
      </c>
      <c r="CG26" s="14">
        <f t="shared" si="79"/>
        <v>0</v>
      </c>
      <c r="CH26" s="39">
        <f t="shared" si="80"/>
        <v>2</v>
      </c>
      <c r="CI26" s="40"/>
      <c r="CJ26" s="40">
        <v>1</v>
      </c>
      <c r="CK26" s="40"/>
      <c r="CL26" s="83">
        <v>1</v>
      </c>
      <c r="CM26" s="14">
        <f t="shared" si="81"/>
        <v>0</v>
      </c>
      <c r="CN26" s="14">
        <f t="shared" si="81"/>
        <v>4</v>
      </c>
      <c r="CO26" s="39">
        <f t="shared" si="82"/>
        <v>4</v>
      </c>
      <c r="CP26" s="108"/>
      <c r="CQ26" s="40"/>
      <c r="CR26" s="40"/>
      <c r="CS26" s="40">
        <v>2</v>
      </c>
      <c r="CT26" s="14">
        <f t="shared" si="83"/>
        <v>0</v>
      </c>
      <c r="CU26" s="14">
        <f t="shared" si="83"/>
        <v>2</v>
      </c>
      <c r="CV26" s="39">
        <f t="shared" si="84"/>
        <v>2</v>
      </c>
      <c r="CW26" s="32"/>
      <c r="CX26" s="40">
        <v>1</v>
      </c>
      <c r="CY26" s="40"/>
      <c r="CZ26" s="40">
        <v>1</v>
      </c>
      <c r="DA26" s="17">
        <f t="shared" si="85"/>
        <v>0</v>
      </c>
      <c r="DB26" s="17">
        <f t="shared" si="85"/>
        <v>4</v>
      </c>
      <c r="DC26" s="18">
        <f t="shared" si="86"/>
        <v>4</v>
      </c>
      <c r="DD26" s="108"/>
      <c r="DE26" s="40"/>
      <c r="DF26" s="40"/>
      <c r="DG26" s="40">
        <v>3</v>
      </c>
      <c r="DH26" s="156">
        <f t="shared" si="56"/>
        <v>0</v>
      </c>
      <c r="DI26" s="156">
        <f t="shared" si="57"/>
        <v>3</v>
      </c>
      <c r="DJ26" s="18">
        <f t="shared" si="58"/>
        <v>3</v>
      </c>
      <c r="DK26" s="108"/>
      <c r="DL26" s="40">
        <v>1</v>
      </c>
      <c r="DM26" s="40"/>
      <c r="DN26" s="40"/>
      <c r="DO26" s="156">
        <f t="shared" si="5"/>
        <v>0</v>
      </c>
      <c r="DP26" s="156">
        <f t="shared" si="6"/>
        <v>3</v>
      </c>
      <c r="DQ26" s="18">
        <f t="shared" si="7"/>
        <v>3</v>
      </c>
      <c r="DR26" s="108"/>
      <c r="DS26" s="40"/>
      <c r="DT26" s="40"/>
      <c r="DU26" s="40">
        <v>3</v>
      </c>
      <c r="DV26" s="156">
        <f t="shared" si="8"/>
        <v>0</v>
      </c>
      <c r="DW26" s="156">
        <f t="shared" si="9"/>
        <v>3</v>
      </c>
      <c r="DX26" s="18">
        <f t="shared" si="10"/>
        <v>3</v>
      </c>
      <c r="DY26" s="108"/>
      <c r="DZ26" s="40">
        <v>1</v>
      </c>
      <c r="EA26" s="40"/>
      <c r="EB26" s="40">
        <v>2</v>
      </c>
      <c r="EC26" s="156">
        <f t="shared" si="11"/>
        <v>0</v>
      </c>
      <c r="ED26" s="156">
        <f t="shared" si="12"/>
        <v>5</v>
      </c>
      <c r="EE26" s="18">
        <f t="shared" si="13"/>
        <v>5</v>
      </c>
      <c r="EF26" s="108"/>
      <c r="EG26" s="40">
        <v>1</v>
      </c>
      <c r="EH26" s="40"/>
      <c r="EI26" s="40"/>
      <c r="EJ26" s="156">
        <f t="shared" si="14"/>
        <v>0</v>
      </c>
      <c r="EK26" s="156">
        <f t="shared" si="15"/>
        <v>3</v>
      </c>
      <c r="EL26" s="18">
        <f t="shared" si="16"/>
        <v>3</v>
      </c>
      <c r="EM26" s="74">
        <f t="shared" si="17"/>
        <v>12</v>
      </c>
      <c r="EN26" s="75">
        <f t="shared" ca="1" si="18"/>
        <v>3.3149171270718231E-2</v>
      </c>
      <c r="EO26" s="76">
        <f t="shared" si="19"/>
        <v>28</v>
      </c>
      <c r="EP26" s="75">
        <f t="shared" ca="1" si="20"/>
        <v>7.7348066298342538E-2</v>
      </c>
      <c r="EQ26" s="76">
        <f t="shared" si="21"/>
        <v>40</v>
      </c>
      <c r="ER26" s="75">
        <f t="shared" ca="1" si="22"/>
        <v>0.11049723756906077</v>
      </c>
      <c r="ES26" s="76">
        <f t="shared" si="23"/>
        <v>2</v>
      </c>
      <c r="ET26" s="76">
        <f t="shared" si="24"/>
        <v>5</v>
      </c>
      <c r="EU26" s="76">
        <f t="shared" si="25"/>
        <v>7</v>
      </c>
    </row>
    <row r="27" spans="1:151" ht="15.75" thickBot="1" x14ac:dyDescent="0.3">
      <c r="A27" s="32">
        <v>679</v>
      </c>
      <c r="B27" s="247" t="s">
        <v>49</v>
      </c>
      <c r="C27" s="11" t="str">
        <f t="shared" si="0"/>
        <v>אלכס 679</v>
      </c>
      <c r="D27" s="12" t="s">
        <v>6</v>
      </c>
      <c r="E27" s="23" t="s">
        <v>7</v>
      </c>
      <c r="F27" s="31" t="s">
        <v>144</v>
      </c>
      <c r="G27" s="30">
        <v>42979</v>
      </c>
      <c r="H27" s="19">
        <v>43573</v>
      </c>
      <c r="I27" s="13"/>
      <c r="J27" s="48"/>
      <c r="K27" s="49"/>
      <c r="L27" s="49"/>
      <c r="M27" s="49"/>
      <c r="N27" s="50">
        <f t="shared" si="59"/>
        <v>0</v>
      </c>
      <c r="O27" s="50">
        <f t="shared" si="59"/>
        <v>0</v>
      </c>
      <c r="P27" s="15">
        <f t="shared" si="60"/>
        <v>0</v>
      </c>
      <c r="Q27" s="10"/>
      <c r="R27" s="12"/>
      <c r="S27" s="12"/>
      <c r="T27" s="12"/>
      <c r="U27" s="14">
        <f t="shared" si="61"/>
        <v>0</v>
      </c>
      <c r="V27" s="14">
        <f t="shared" si="61"/>
        <v>0</v>
      </c>
      <c r="W27" s="16">
        <f t="shared" si="62"/>
        <v>0</v>
      </c>
      <c r="X27" s="10"/>
      <c r="Y27" s="12"/>
      <c r="Z27" s="12"/>
      <c r="AA27" s="12"/>
      <c r="AB27" s="17">
        <f t="shared" si="63"/>
        <v>0</v>
      </c>
      <c r="AC27" s="17">
        <f t="shared" si="63"/>
        <v>0</v>
      </c>
      <c r="AD27" s="18">
        <f t="shared" si="64"/>
        <v>0</v>
      </c>
      <c r="AE27" s="10">
        <v>1</v>
      </c>
      <c r="AF27" s="12"/>
      <c r="AG27" s="12"/>
      <c r="AH27" s="12"/>
      <c r="AI27" s="14">
        <f t="shared" si="65"/>
        <v>3</v>
      </c>
      <c r="AJ27" s="14">
        <f t="shared" si="65"/>
        <v>0</v>
      </c>
      <c r="AK27" s="16">
        <f t="shared" si="66"/>
        <v>3</v>
      </c>
      <c r="AL27" s="10"/>
      <c r="AM27" s="12"/>
      <c r="AN27" s="12">
        <v>4</v>
      </c>
      <c r="AO27" s="12"/>
      <c r="AP27" s="14">
        <f t="shared" si="67"/>
        <v>4</v>
      </c>
      <c r="AQ27" s="14">
        <f t="shared" si="67"/>
        <v>0</v>
      </c>
      <c r="AR27" s="16">
        <f t="shared" si="68"/>
        <v>4</v>
      </c>
      <c r="AS27" s="10"/>
      <c r="AT27" s="12"/>
      <c r="AU27" s="12">
        <v>4</v>
      </c>
      <c r="AV27" s="12"/>
      <c r="AW27" s="14">
        <f t="shared" si="69"/>
        <v>4</v>
      </c>
      <c r="AX27" s="14">
        <f t="shared" si="69"/>
        <v>0</v>
      </c>
      <c r="AY27" s="16">
        <f t="shared" si="70"/>
        <v>4</v>
      </c>
      <c r="AZ27" s="10">
        <v>1</v>
      </c>
      <c r="BA27" s="12"/>
      <c r="BB27" s="12"/>
      <c r="BC27" s="12"/>
      <c r="BD27" s="14">
        <f t="shared" si="71"/>
        <v>3</v>
      </c>
      <c r="BE27" s="14">
        <f t="shared" si="71"/>
        <v>0</v>
      </c>
      <c r="BF27" s="16">
        <f t="shared" si="72"/>
        <v>3</v>
      </c>
      <c r="BG27" s="32"/>
      <c r="BH27" s="40"/>
      <c r="BI27" s="12">
        <v>2</v>
      </c>
      <c r="BJ27" s="12">
        <v>1</v>
      </c>
      <c r="BK27" s="14">
        <f t="shared" si="73"/>
        <v>2</v>
      </c>
      <c r="BL27" s="14">
        <f t="shared" si="73"/>
        <v>1</v>
      </c>
      <c r="BM27" s="39">
        <f t="shared" si="74"/>
        <v>3</v>
      </c>
      <c r="BN27" s="32">
        <v>1</v>
      </c>
      <c r="BO27" s="40"/>
      <c r="BP27" s="40">
        <v>2</v>
      </c>
      <c r="BQ27" s="40">
        <v>1</v>
      </c>
      <c r="BR27" s="14">
        <f t="shared" si="75"/>
        <v>5</v>
      </c>
      <c r="BS27" s="14">
        <f t="shared" si="75"/>
        <v>1</v>
      </c>
      <c r="BT27" s="39">
        <f t="shared" si="76"/>
        <v>6</v>
      </c>
      <c r="BU27" s="32"/>
      <c r="BV27" s="40"/>
      <c r="BW27" s="40">
        <v>1</v>
      </c>
      <c r="BX27" s="40"/>
      <c r="BY27" s="14">
        <f t="shared" si="77"/>
        <v>1</v>
      </c>
      <c r="BZ27" s="14">
        <f t="shared" si="77"/>
        <v>0</v>
      </c>
      <c r="CA27" s="39">
        <f t="shared" si="78"/>
        <v>1</v>
      </c>
      <c r="CB27" s="32"/>
      <c r="CC27" s="40"/>
      <c r="CD27" s="249">
        <v>2</v>
      </c>
      <c r="CE27" s="248"/>
      <c r="CF27" s="14">
        <f t="shared" si="79"/>
        <v>2</v>
      </c>
      <c r="CG27" s="14">
        <f t="shared" si="79"/>
        <v>0</v>
      </c>
      <c r="CH27" s="39">
        <f t="shared" si="80"/>
        <v>2</v>
      </c>
      <c r="CI27" s="40">
        <v>1</v>
      </c>
      <c r="CJ27" s="40"/>
      <c r="CK27" s="40">
        <v>1</v>
      </c>
      <c r="CL27" s="83">
        <v>1</v>
      </c>
      <c r="CM27" s="14">
        <f t="shared" si="81"/>
        <v>4</v>
      </c>
      <c r="CN27" s="14">
        <f t="shared" si="81"/>
        <v>1</v>
      </c>
      <c r="CO27" s="39">
        <f t="shared" si="82"/>
        <v>5</v>
      </c>
      <c r="CP27" s="108"/>
      <c r="CQ27" s="40"/>
      <c r="CR27" s="40">
        <v>2</v>
      </c>
      <c r="CS27" s="40"/>
      <c r="CT27" s="14">
        <f t="shared" si="83"/>
        <v>2</v>
      </c>
      <c r="CU27" s="14">
        <f t="shared" si="83"/>
        <v>0</v>
      </c>
      <c r="CV27" s="39">
        <f t="shared" si="84"/>
        <v>2</v>
      </c>
      <c r="CW27" s="32">
        <v>1</v>
      </c>
      <c r="CX27" s="40"/>
      <c r="CY27" s="40"/>
      <c r="CZ27" s="40"/>
      <c r="DA27" s="17">
        <f t="shared" si="85"/>
        <v>3</v>
      </c>
      <c r="DB27" s="17">
        <f t="shared" si="85"/>
        <v>0</v>
      </c>
      <c r="DC27" s="18">
        <f t="shared" si="86"/>
        <v>3</v>
      </c>
      <c r="DD27" s="108"/>
      <c r="DE27" s="40">
        <v>1</v>
      </c>
      <c r="DF27" s="40">
        <v>1</v>
      </c>
      <c r="DG27" s="40"/>
      <c r="DH27" s="156">
        <f t="shared" si="56"/>
        <v>1</v>
      </c>
      <c r="DI27" s="156">
        <f t="shared" si="57"/>
        <v>3</v>
      </c>
      <c r="DJ27" s="18">
        <f t="shared" si="58"/>
        <v>4</v>
      </c>
      <c r="DK27" s="108"/>
      <c r="DL27" s="40"/>
      <c r="DM27" s="40">
        <v>1</v>
      </c>
      <c r="DN27" s="40">
        <v>1</v>
      </c>
      <c r="DO27" s="156">
        <f t="shared" si="5"/>
        <v>1</v>
      </c>
      <c r="DP27" s="156">
        <f t="shared" si="6"/>
        <v>1</v>
      </c>
      <c r="DQ27" s="18">
        <f t="shared" si="7"/>
        <v>2</v>
      </c>
      <c r="DR27" s="108"/>
      <c r="DS27" s="40"/>
      <c r="DT27" s="40">
        <v>3</v>
      </c>
      <c r="DU27" s="40"/>
      <c r="DV27" s="156">
        <f t="shared" si="8"/>
        <v>3</v>
      </c>
      <c r="DW27" s="156">
        <f t="shared" si="9"/>
        <v>0</v>
      </c>
      <c r="DX27" s="18">
        <f t="shared" si="10"/>
        <v>3</v>
      </c>
      <c r="DY27" s="108">
        <v>1</v>
      </c>
      <c r="DZ27" s="40"/>
      <c r="EA27" s="40">
        <v>1</v>
      </c>
      <c r="EB27" s="40"/>
      <c r="EC27" s="156">
        <f t="shared" si="11"/>
        <v>4</v>
      </c>
      <c r="ED27" s="156">
        <f t="shared" si="12"/>
        <v>0</v>
      </c>
      <c r="EE27" s="18">
        <f t="shared" si="13"/>
        <v>4</v>
      </c>
      <c r="EF27" s="108"/>
      <c r="EG27" s="40"/>
      <c r="EH27" s="40"/>
      <c r="EI27" s="40"/>
      <c r="EJ27" s="156">
        <f t="shared" si="14"/>
        <v>0</v>
      </c>
      <c r="EK27" s="156">
        <f t="shared" si="15"/>
        <v>0</v>
      </c>
      <c r="EL27" s="18">
        <f t="shared" si="16"/>
        <v>0</v>
      </c>
      <c r="EM27" s="74">
        <f t="shared" si="17"/>
        <v>42</v>
      </c>
      <c r="EN27" s="75">
        <f t="shared" ca="1" si="18"/>
        <v>8.6776859504132234E-2</v>
      </c>
      <c r="EO27" s="76">
        <f t="shared" si="19"/>
        <v>7</v>
      </c>
      <c r="EP27" s="75">
        <f t="shared" ca="1" si="20"/>
        <v>1.4462809917355372E-2</v>
      </c>
      <c r="EQ27" s="76">
        <f t="shared" si="21"/>
        <v>49</v>
      </c>
      <c r="ER27" s="75">
        <f t="shared" ca="1" si="22"/>
        <v>0.1012396694214876</v>
      </c>
      <c r="ES27" s="76">
        <f t="shared" si="23"/>
        <v>6</v>
      </c>
      <c r="ET27" s="76">
        <f t="shared" si="24"/>
        <v>1</v>
      </c>
      <c r="EU27" s="76">
        <f t="shared" si="25"/>
        <v>7</v>
      </c>
    </row>
    <row r="28" spans="1:151" ht="15.75" thickBot="1" x14ac:dyDescent="0.3">
      <c r="A28" s="32">
        <v>679</v>
      </c>
      <c r="B28" s="247" t="s">
        <v>277</v>
      </c>
      <c r="C28" s="26" t="str">
        <f t="shared" si="0"/>
        <v>יובל 679</v>
      </c>
      <c r="D28" s="23" t="s">
        <v>6</v>
      </c>
      <c r="E28" s="23" t="s">
        <v>7</v>
      </c>
      <c r="F28" s="31" t="s">
        <v>276</v>
      </c>
      <c r="G28" s="30">
        <v>43383</v>
      </c>
      <c r="H28" s="209"/>
      <c r="I28" s="13"/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249"/>
      <c r="CE28" s="248"/>
      <c r="CF28" s="14"/>
      <c r="CG28" s="14"/>
      <c r="CH28" s="39"/>
      <c r="CI28" s="40"/>
      <c r="CJ28" s="40"/>
      <c r="CK28" s="40"/>
      <c r="CL28" s="83"/>
      <c r="CM28" s="14"/>
      <c r="CN28" s="14"/>
      <c r="CO28" s="39"/>
      <c r="CP28" s="108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8"/>
      <c r="DE28" s="40"/>
      <c r="DF28" s="40"/>
      <c r="DG28" s="40"/>
      <c r="DH28" s="156">
        <f t="shared" si="56"/>
        <v>0</v>
      </c>
      <c r="DI28" s="156">
        <f t="shared" si="57"/>
        <v>0</v>
      </c>
      <c r="DJ28" s="18">
        <f t="shared" si="58"/>
        <v>0</v>
      </c>
      <c r="DK28" s="108"/>
      <c r="DL28" s="40"/>
      <c r="DM28" s="40"/>
      <c r="DN28" s="40"/>
      <c r="DO28" s="156">
        <f t="shared" si="5"/>
        <v>0</v>
      </c>
      <c r="DP28" s="156">
        <f t="shared" si="6"/>
        <v>0</v>
      </c>
      <c r="DQ28" s="18">
        <f t="shared" si="7"/>
        <v>0</v>
      </c>
      <c r="DR28" s="108"/>
      <c r="DS28" s="40"/>
      <c r="DT28" s="40">
        <v>3</v>
      </c>
      <c r="DU28" s="40"/>
      <c r="DV28" s="156">
        <f t="shared" si="8"/>
        <v>3</v>
      </c>
      <c r="DW28" s="156">
        <f t="shared" si="9"/>
        <v>0</v>
      </c>
      <c r="DX28" s="18">
        <f t="shared" si="10"/>
        <v>3</v>
      </c>
      <c r="DY28" s="108">
        <v>1</v>
      </c>
      <c r="DZ28" s="40"/>
      <c r="EA28" s="40">
        <v>1</v>
      </c>
      <c r="EB28" s="40"/>
      <c r="EC28" s="156">
        <f t="shared" si="11"/>
        <v>4</v>
      </c>
      <c r="ED28" s="156">
        <f t="shared" si="12"/>
        <v>0</v>
      </c>
      <c r="EE28" s="18">
        <f t="shared" si="13"/>
        <v>4</v>
      </c>
      <c r="EF28" s="108"/>
      <c r="EG28" s="40"/>
      <c r="EH28" s="40"/>
      <c r="EI28" s="40"/>
      <c r="EJ28" s="156">
        <f t="shared" si="14"/>
        <v>0</v>
      </c>
      <c r="EK28" s="156">
        <f t="shared" si="15"/>
        <v>0</v>
      </c>
      <c r="EL28" s="18">
        <f t="shared" si="16"/>
        <v>0</v>
      </c>
      <c r="EM28" s="74">
        <f t="shared" si="17"/>
        <v>7</v>
      </c>
      <c r="EN28" s="75">
        <f t="shared" ca="1" si="18"/>
        <v>8.7499999999999994E-2</v>
      </c>
      <c r="EO28" s="76">
        <f t="shared" si="19"/>
        <v>0</v>
      </c>
      <c r="EP28" s="75">
        <f t="shared" ca="1" si="20"/>
        <v>0</v>
      </c>
      <c r="EQ28" s="76">
        <f t="shared" si="21"/>
        <v>7</v>
      </c>
      <c r="ER28" s="75">
        <f t="shared" ca="1" si="22"/>
        <v>8.7499999999999994E-2</v>
      </c>
      <c r="ES28" s="76">
        <f t="shared" si="23"/>
        <v>1</v>
      </c>
      <c r="ET28" s="76">
        <f t="shared" si="24"/>
        <v>0</v>
      </c>
      <c r="EU28" s="76">
        <f t="shared" si="25"/>
        <v>1</v>
      </c>
    </row>
    <row r="29" spans="1:151" ht="15.75" thickBot="1" x14ac:dyDescent="0.3">
      <c r="A29" s="32">
        <v>679</v>
      </c>
      <c r="B29" s="33" t="s">
        <v>11</v>
      </c>
      <c r="C29" s="85" t="str">
        <f t="shared" si="0"/>
        <v>שיר 679</v>
      </c>
      <c r="D29" s="23" t="s">
        <v>6</v>
      </c>
      <c r="E29" s="12" t="s">
        <v>7</v>
      </c>
      <c r="F29" s="31" t="s">
        <v>143</v>
      </c>
      <c r="G29" s="30">
        <v>42917</v>
      </c>
      <c r="H29" s="209">
        <v>43558</v>
      </c>
      <c r="I29" s="13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>
        <v>1</v>
      </c>
      <c r="R29" s="12"/>
      <c r="S29" s="12"/>
      <c r="T29" s="12"/>
      <c r="U29" s="14">
        <f>Q29*3+S29</f>
        <v>3</v>
      </c>
      <c r="V29" s="14">
        <f>R29*3+T29</f>
        <v>0</v>
      </c>
      <c r="W29" s="16">
        <f>V29+U29</f>
        <v>3</v>
      </c>
      <c r="X29" s="10">
        <v>1</v>
      </c>
      <c r="Y29" s="12"/>
      <c r="Z29" s="12">
        <v>1</v>
      </c>
      <c r="AA29" s="12"/>
      <c r="AB29" s="17">
        <f>X29*3+Z29</f>
        <v>4</v>
      </c>
      <c r="AC29" s="17">
        <f>Y29*3+AA29</f>
        <v>0</v>
      </c>
      <c r="AD29" s="18">
        <f>AC29+AB29</f>
        <v>4</v>
      </c>
      <c r="AE29" s="10"/>
      <c r="AF29" s="12"/>
      <c r="AG29" s="12">
        <v>1</v>
      </c>
      <c r="AH29" s="12">
        <v>2</v>
      </c>
      <c r="AI29" s="14">
        <f>AE29*3+AG29</f>
        <v>1</v>
      </c>
      <c r="AJ29" s="14">
        <f>AF29*3+AH29</f>
        <v>2</v>
      </c>
      <c r="AK29" s="16">
        <f>AJ29+AI29</f>
        <v>3</v>
      </c>
      <c r="AL29" s="10"/>
      <c r="AM29" s="12"/>
      <c r="AN29" s="12">
        <v>2</v>
      </c>
      <c r="AO29" s="12"/>
      <c r="AP29" s="14">
        <f>AL29*3+AN29</f>
        <v>2</v>
      </c>
      <c r="AQ29" s="14">
        <f>AM29*3+AO29</f>
        <v>0</v>
      </c>
      <c r="AR29" s="16">
        <f>AQ29+AP29</f>
        <v>2</v>
      </c>
      <c r="AS29" s="10"/>
      <c r="AT29" s="12"/>
      <c r="AU29" s="12">
        <v>3</v>
      </c>
      <c r="AV29" s="12"/>
      <c r="AW29" s="14">
        <f>AS29*3+AU29</f>
        <v>3</v>
      </c>
      <c r="AX29" s="14">
        <f>AT29*3+AV29</f>
        <v>0</v>
      </c>
      <c r="AY29" s="16">
        <f>AX29+AW29</f>
        <v>3</v>
      </c>
      <c r="AZ29" s="10">
        <v>1</v>
      </c>
      <c r="BA29" s="12"/>
      <c r="BB29" s="12">
        <v>1</v>
      </c>
      <c r="BC29" s="12">
        <v>1</v>
      </c>
      <c r="BD29" s="14">
        <f>AZ29*3+BB29</f>
        <v>4</v>
      </c>
      <c r="BE29" s="14">
        <f>BA29*3+BC29</f>
        <v>1</v>
      </c>
      <c r="BF29" s="16">
        <f>BE29+BD29</f>
        <v>5</v>
      </c>
      <c r="BG29" s="32">
        <v>1</v>
      </c>
      <c r="BH29" s="40"/>
      <c r="BI29" s="40">
        <v>1</v>
      </c>
      <c r="BJ29" s="12">
        <v>1</v>
      </c>
      <c r="BK29" s="14">
        <f>BG29*3+BI29</f>
        <v>4</v>
      </c>
      <c r="BL29" s="14">
        <f>BH29*3+BJ29</f>
        <v>1</v>
      </c>
      <c r="BM29" s="39">
        <f>BL29+BK29</f>
        <v>5</v>
      </c>
      <c r="BN29" s="32"/>
      <c r="BO29" s="40"/>
      <c r="BP29" s="40"/>
      <c r="BQ29" s="40">
        <v>2</v>
      </c>
      <c r="BR29" s="14">
        <f>BN29*3+BP29</f>
        <v>0</v>
      </c>
      <c r="BS29" s="14">
        <f>BO29*3+BQ29</f>
        <v>2</v>
      </c>
      <c r="BT29" s="39">
        <f>BS29+BR29</f>
        <v>2</v>
      </c>
      <c r="BU29" s="32"/>
      <c r="BV29" s="40">
        <v>1</v>
      </c>
      <c r="BW29" s="40"/>
      <c r="BX29" s="40">
        <v>2</v>
      </c>
      <c r="BY29" s="14">
        <f>BU29*3+BW29</f>
        <v>0</v>
      </c>
      <c r="BZ29" s="14">
        <f>BV29*3+BX29</f>
        <v>5</v>
      </c>
      <c r="CA29" s="39">
        <f>BZ29+BY29</f>
        <v>5</v>
      </c>
      <c r="CB29" s="32"/>
      <c r="CC29" s="40">
        <v>1</v>
      </c>
      <c r="CD29" s="40"/>
      <c r="CE29" s="79"/>
      <c r="CF29" s="14">
        <f>CB29*3+CD29</f>
        <v>0</v>
      </c>
      <c r="CG29" s="14">
        <f>CC29*3+CE29</f>
        <v>3</v>
      </c>
      <c r="CH29" s="39">
        <f>CG29+CF29</f>
        <v>3</v>
      </c>
      <c r="CI29" s="40"/>
      <c r="CJ29" s="40"/>
      <c r="CK29" s="40">
        <v>1</v>
      </c>
      <c r="CL29" s="83"/>
      <c r="CM29" s="14">
        <f>CI29*3+CK29</f>
        <v>1</v>
      </c>
      <c r="CN29" s="14">
        <f>CJ29*3+CL29</f>
        <v>0</v>
      </c>
      <c r="CO29" s="39">
        <f>CN29+CM29</f>
        <v>1</v>
      </c>
      <c r="CP29" s="108"/>
      <c r="CQ29" s="40">
        <v>1</v>
      </c>
      <c r="CR29" s="40"/>
      <c r="CS29" s="40">
        <v>1</v>
      </c>
      <c r="CT29" s="14">
        <f>CP29*3+CR29</f>
        <v>0</v>
      </c>
      <c r="CU29" s="14">
        <f>CQ29*3+CS29</f>
        <v>4</v>
      </c>
      <c r="CV29" s="39">
        <f>CU29+CT29</f>
        <v>4</v>
      </c>
      <c r="CW29" s="32"/>
      <c r="CX29" s="40"/>
      <c r="CY29" s="40"/>
      <c r="CZ29" s="40">
        <v>1</v>
      </c>
      <c r="DA29" s="17">
        <f>CW29*3+CY29</f>
        <v>0</v>
      </c>
      <c r="DB29" s="17">
        <f>CX29*3+CZ29</f>
        <v>1</v>
      </c>
      <c r="DC29" s="18">
        <f>DB29+DA29</f>
        <v>1</v>
      </c>
      <c r="DD29" s="108"/>
      <c r="DE29" s="40"/>
      <c r="DF29" s="40">
        <v>1</v>
      </c>
      <c r="DG29" s="40">
        <v>3</v>
      </c>
      <c r="DH29" s="156">
        <f t="shared" si="56"/>
        <v>1</v>
      </c>
      <c r="DI29" s="156">
        <f t="shared" si="57"/>
        <v>3</v>
      </c>
      <c r="DJ29" s="18">
        <f t="shared" si="58"/>
        <v>4</v>
      </c>
      <c r="DK29" s="108"/>
      <c r="DL29" s="40"/>
      <c r="DM29" s="40">
        <v>2</v>
      </c>
      <c r="DN29" s="40">
        <v>1</v>
      </c>
      <c r="DO29" s="156">
        <f t="shared" si="5"/>
        <v>2</v>
      </c>
      <c r="DP29" s="156">
        <f t="shared" si="6"/>
        <v>1</v>
      </c>
      <c r="DQ29" s="18">
        <f t="shared" si="7"/>
        <v>3</v>
      </c>
      <c r="DR29" s="108">
        <v>1</v>
      </c>
      <c r="DS29" s="40"/>
      <c r="DT29" s="40"/>
      <c r="DU29" s="40"/>
      <c r="DV29" s="156">
        <f t="shared" si="8"/>
        <v>3</v>
      </c>
      <c r="DW29" s="156">
        <f t="shared" si="9"/>
        <v>0</v>
      </c>
      <c r="DX29" s="18">
        <f t="shared" si="10"/>
        <v>3</v>
      </c>
      <c r="DY29" s="108"/>
      <c r="DZ29" s="40"/>
      <c r="EA29" s="40">
        <v>3</v>
      </c>
      <c r="EB29" s="40">
        <v>1</v>
      </c>
      <c r="EC29" s="156">
        <f t="shared" si="11"/>
        <v>3</v>
      </c>
      <c r="ED29" s="156">
        <f t="shared" si="12"/>
        <v>1</v>
      </c>
      <c r="EE29" s="18">
        <f t="shared" si="13"/>
        <v>4</v>
      </c>
      <c r="EF29" s="108">
        <v>1</v>
      </c>
      <c r="EG29" s="40"/>
      <c r="EH29" s="40"/>
      <c r="EI29" s="40"/>
      <c r="EJ29" s="156">
        <f t="shared" si="14"/>
        <v>3</v>
      </c>
      <c r="EK29" s="156">
        <f t="shared" si="15"/>
        <v>0</v>
      </c>
      <c r="EL29" s="18">
        <f t="shared" si="16"/>
        <v>3</v>
      </c>
      <c r="EM29" s="74">
        <f t="shared" si="17"/>
        <v>34</v>
      </c>
      <c r="EN29" s="75">
        <f t="shared" ca="1" si="18"/>
        <v>6.2271062271062272E-2</v>
      </c>
      <c r="EO29" s="76">
        <f t="shared" si="19"/>
        <v>24</v>
      </c>
      <c r="EP29" s="75">
        <f t="shared" ca="1" si="20"/>
        <v>4.3956043956043959E-2</v>
      </c>
      <c r="EQ29" s="76">
        <f t="shared" si="21"/>
        <v>58</v>
      </c>
      <c r="ER29" s="75">
        <f t="shared" ca="1" si="22"/>
        <v>0.10622710622710624</v>
      </c>
      <c r="ES29" s="76">
        <f t="shared" si="23"/>
        <v>7</v>
      </c>
      <c r="ET29" s="76">
        <f t="shared" si="24"/>
        <v>3</v>
      </c>
      <c r="EU29" s="76">
        <f t="shared" si="25"/>
        <v>10</v>
      </c>
    </row>
    <row r="30" spans="1:151" ht="15.75" thickBot="1" x14ac:dyDescent="0.3">
      <c r="A30" s="32">
        <v>679</v>
      </c>
      <c r="B30" s="33" t="s">
        <v>13</v>
      </c>
      <c r="C30" s="26" t="str">
        <f t="shared" si="0"/>
        <v>אופיר 679</v>
      </c>
      <c r="D30" s="12" t="s">
        <v>6</v>
      </c>
      <c r="E30" s="23" t="s">
        <v>7</v>
      </c>
      <c r="F30" s="31" t="s">
        <v>144</v>
      </c>
      <c r="G30" s="30">
        <v>42979</v>
      </c>
      <c r="H30" s="209"/>
      <c r="I30" s="13"/>
      <c r="J30" s="48"/>
      <c r="K30" s="49"/>
      <c r="L30" s="49"/>
      <c r="M30" s="49"/>
      <c r="N30" s="50">
        <f>J30*3+L30</f>
        <v>0</v>
      </c>
      <c r="O30" s="50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>
        <v>2</v>
      </c>
      <c r="AH30" s="12"/>
      <c r="AI30" s="14">
        <f>AE30*3+AG30</f>
        <v>2</v>
      </c>
      <c r="AJ30" s="14">
        <f>AF30*3+AH30</f>
        <v>0</v>
      </c>
      <c r="AK30" s="16">
        <f>AJ30+AI30</f>
        <v>2</v>
      </c>
      <c r="AL30" s="10"/>
      <c r="AM30" s="12"/>
      <c r="AN30" s="12">
        <v>5</v>
      </c>
      <c r="AO30" s="12"/>
      <c r="AP30" s="14">
        <f>AL30*3+AN30</f>
        <v>5</v>
      </c>
      <c r="AQ30" s="14">
        <f>AM30*3+AO30</f>
        <v>0</v>
      </c>
      <c r="AR30" s="16">
        <f>AQ30+AP30</f>
        <v>5</v>
      </c>
      <c r="AS30" s="10">
        <v>1</v>
      </c>
      <c r="AT30" s="12"/>
      <c r="AU30" s="12">
        <v>3</v>
      </c>
      <c r="AV30" s="12"/>
      <c r="AW30" s="14">
        <f>AS30*3+AU30</f>
        <v>6</v>
      </c>
      <c r="AX30" s="14">
        <f>AT30*3+AV30</f>
        <v>0</v>
      </c>
      <c r="AY30" s="16">
        <f>AX30+AW30</f>
        <v>6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/>
      <c r="BH30" s="40"/>
      <c r="BI30" s="12">
        <v>5</v>
      </c>
      <c r="BJ30" s="12">
        <v>2</v>
      </c>
      <c r="BK30" s="14">
        <f>BG30*3+BI30</f>
        <v>5</v>
      </c>
      <c r="BL30" s="14">
        <f>BH30*3+BJ30</f>
        <v>2</v>
      </c>
      <c r="BM30" s="39">
        <f>BL30+BK30</f>
        <v>7</v>
      </c>
      <c r="BN30" s="32">
        <v>1</v>
      </c>
      <c r="BO30" s="40"/>
      <c r="BP30" s="40">
        <v>-1</v>
      </c>
      <c r="BQ30" s="40"/>
      <c r="BR30" s="14">
        <f>BN30*3+BP30</f>
        <v>2</v>
      </c>
      <c r="BS30" s="14">
        <f>BO30*3+BQ30</f>
        <v>0</v>
      </c>
      <c r="BT30" s="39">
        <f>BS30+BR30</f>
        <v>2</v>
      </c>
      <c r="BU30" s="32"/>
      <c r="BV30" s="40"/>
      <c r="BW30" s="40">
        <v>2</v>
      </c>
      <c r="BX30" s="40"/>
      <c r="BY30" s="14">
        <f>BU30*3+BW30</f>
        <v>2</v>
      </c>
      <c r="BZ30" s="14">
        <f>BV30*3+BX30</f>
        <v>0</v>
      </c>
      <c r="CA30" s="39">
        <f>BZ30+BY30</f>
        <v>2</v>
      </c>
      <c r="CB30" s="32"/>
      <c r="CC30" s="40"/>
      <c r="CD30" s="249"/>
      <c r="CE30" s="248"/>
      <c r="CF30" s="14">
        <f>CB30*3+CD30</f>
        <v>0</v>
      </c>
      <c r="CG30" s="14">
        <f>CC30*3+CE30</f>
        <v>0</v>
      </c>
      <c r="CH30" s="39">
        <f>CG30+CF30</f>
        <v>0</v>
      </c>
      <c r="CI30" s="40"/>
      <c r="CJ30" s="40"/>
      <c r="CK30" s="40">
        <v>1</v>
      </c>
      <c r="CL30" s="83"/>
      <c r="CM30" s="14">
        <f>CI30*3+CK30</f>
        <v>1</v>
      </c>
      <c r="CN30" s="14">
        <f>CJ30*3+CL30</f>
        <v>0</v>
      </c>
      <c r="CO30" s="39">
        <f>CN30+CM30</f>
        <v>1</v>
      </c>
      <c r="CP30" s="108">
        <v>2</v>
      </c>
      <c r="CQ30" s="40"/>
      <c r="CR30" s="40">
        <v>1</v>
      </c>
      <c r="CS30" s="40"/>
      <c r="CT30" s="14">
        <f>CP30*3+CR30</f>
        <v>7</v>
      </c>
      <c r="CU30" s="14">
        <f>CQ30*3+CS30</f>
        <v>0</v>
      </c>
      <c r="CV30" s="39">
        <f>CU30+CT30</f>
        <v>7</v>
      </c>
      <c r="CW30" s="32"/>
      <c r="CX30" s="40"/>
      <c r="CY30" s="40">
        <v>4</v>
      </c>
      <c r="CZ30" s="40"/>
      <c r="DA30" s="17">
        <f>CW30*3+CY30</f>
        <v>4</v>
      </c>
      <c r="DB30" s="17">
        <f>CX30*3+CZ30</f>
        <v>0</v>
      </c>
      <c r="DC30" s="18">
        <f>DB30+DA30</f>
        <v>4</v>
      </c>
      <c r="DD30" s="108"/>
      <c r="DE30" s="40"/>
      <c r="DF30" s="40">
        <v>3</v>
      </c>
      <c r="DG30" s="40"/>
      <c r="DH30" s="156">
        <f t="shared" si="56"/>
        <v>3</v>
      </c>
      <c r="DI30" s="156">
        <f t="shared" si="57"/>
        <v>0</v>
      </c>
      <c r="DJ30" s="18">
        <f t="shared" si="58"/>
        <v>3</v>
      </c>
      <c r="DK30" s="108">
        <v>1</v>
      </c>
      <c r="DL30" s="40"/>
      <c r="DM30" s="40"/>
      <c r="DN30" s="40"/>
      <c r="DO30" s="156">
        <f t="shared" si="5"/>
        <v>3</v>
      </c>
      <c r="DP30" s="156">
        <f t="shared" si="6"/>
        <v>0</v>
      </c>
      <c r="DQ30" s="18">
        <f t="shared" si="7"/>
        <v>3</v>
      </c>
      <c r="DR30" s="108"/>
      <c r="DS30" s="40">
        <v>1</v>
      </c>
      <c r="DT30" s="40">
        <v>1</v>
      </c>
      <c r="DU30" s="40"/>
      <c r="DV30" s="156">
        <f t="shared" si="8"/>
        <v>1</v>
      </c>
      <c r="DW30" s="156">
        <f t="shared" si="9"/>
        <v>3</v>
      </c>
      <c r="DX30" s="18">
        <f t="shared" si="10"/>
        <v>4</v>
      </c>
      <c r="DY30" s="108"/>
      <c r="DZ30" s="40"/>
      <c r="EA30" s="40">
        <v>2</v>
      </c>
      <c r="EB30" s="40"/>
      <c r="EC30" s="156">
        <f t="shared" si="11"/>
        <v>2</v>
      </c>
      <c r="ED30" s="156">
        <f t="shared" si="12"/>
        <v>0</v>
      </c>
      <c r="EE30" s="18">
        <f t="shared" si="13"/>
        <v>2</v>
      </c>
      <c r="EF30" s="108">
        <v>1</v>
      </c>
      <c r="EG30" s="40"/>
      <c r="EH30" s="40"/>
      <c r="EI30" s="40"/>
      <c r="EJ30" s="156">
        <f t="shared" si="14"/>
        <v>3</v>
      </c>
      <c r="EK30" s="156">
        <f t="shared" si="15"/>
        <v>0</v>
      </c>
      <c r="EL30" s="18">
        <f t="shared" si="16"/>
        <v>3</v>
      </c>
      <c r="EM30" s="74">
        <f t="shared" si="17"/>
        <v>46</v>
      </c>
      <c r="EN30" s="75">
        <f t="shared" ca="1" si="18"/>
        <v>9.5041322314049589E-2</v>
      </c>
      <c r="EO30" s="76">
        <f t="shared" si="19"/>
        <v>5</v>
      </c>
      <c r="EP30" s="75">
        <f t="shared" ca="1" si="20"/>
        <v>1.0330578512396695E-2</v>
      </c>
      <c r="EQ30" s="76">
        <f t="shared" si="21"/>
        <v>51</v>
      </c>
      <c r="ER30" s="75">
        <f t="shared" ca="1" si="22"/>
        <v>0.10537190082644629</v>
      </c>
      <c r="ES30" s="76">
        <f t="shared" si="23"/>
        <v>6</v>
      </c>
      <c r="ET30" s="76">
        <f t="shared" si="24"/>
        <v>1</v>
      </c>
      <c r="EU30" s="76">
        <f t="shared" si="25"/>
        <v>7</v>
      </c>
    </row>
    <row r="31" spans="1:151" ht="15.75" thickBot="1" x14ac:dyDescent="0.3">
      <c r="A31" s="177" t="s">
        <v>63</v>
      </c>
      <c r="B31" s="247" t="s">
        <v>280</v>
      </c>
      <c r="C31" s="85" t="str">
        <f t="shared" si="0"/>
        <v>דקל אחודה</v>
      </c>
      <c r="D31" s="23" t="s">
        <v>7</v>
      </c>
      <c r="E31" s="23" t="s">
        <v>7</v>
      </c>
      <c r="F31" s="31" t="s">
        <v>276</v>
      </c>
      <c r="G31" s="30">
        <v>43393</v>
      </c>
      <c r="H31" s="114"/>
      <c r="I31" s="13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8"/>
      <c r="DE31" s="40"/>
      <c r="DF31" s="40"/>
      <c r="DG31" s="40"/>
      <c r="DH31" s="156">
        <f t="shared" si="56"/>
        <v>0</v>
      </c>
      <c r="DI31" s="156">
        <f t="shared" si="57"/>
        <v>0</v>
      </c>
      <c r="DJ31" s="18">
        <f t="shared" si="58"/>
        <v>0</v>
      </c>
      <c r="DK31" s="108"/>
      <c r="DL31" s="40"/>
      <c r="DM31" s="40"/>
      <c r="DN31" s="40"/>
      <c r="DO31" s="156">
        <f t="shared" si="5"/>
        <v>0</v>
      </c>
      <c r="DP31" s="156">
        <f t="shared" si="6"/>
        <v>0</v>
      </c>
      <c r="DQ31" s="18">
        <f t="shared" si="7"/>
        <v>0</v>
      </c>
      <c r="DR31" s="108"/>
      <c r="DS31" s="40"/>
      <c r="DT31" s="40">
        <v>1</v>
      </c>
      <c r="DU31" s="40">
        <v>2</v>
      </c>
      <c r="DV31" s="156">
        <f t="shared" si="8"/>
        <v>1</v>
      </c>
      <c r="DW31" s="156">
        <f t="shared" si="9"/>
        <v>2</v>
      </c>
      <c r="DX31" s="18">
        <f t="shared" si="10"/>
        <v>3</v>
      </c>
      <c r="DY31" s="108">
        <v>1</v>
      </c>
      <c r="DZ31" s="40"/>
      <c r="EA31" s="40">
        <v>1</v>
      </c>
      <c r="EB31" s="40"/>
      <c r="EC31" s="156">
        <f t="shared" si="11"/>
        <v>4</v>
      </c>
      <c r="ED31" s="156">
        <f t="shared" si="12"/>
        <v>0</v>
      </c>
      <c r="EE31" s="18">
        <f t="shared" si="13"/>
        <v>4</v>
      </c>
      <c r="EF31" s="108"/>
      <c r="EG31" s="40"/>
      <c r="EH31" s="40"/>
      <c r="EI31" s="40"/>
      <c r="EJ31" s="156">
        <f t="shared" si="14"/>
        <v>0</v>
      </c>
      <c r="EK31" s="156">
        <f t="shared" si="15"/>
        <v>0</v>
      </c>
      <c r="EL31" s="18">
        <f t="shared" si="16"/>
        <v>0</v>
      </c>
      <c r="EM31" s="74">
        <f t="shared" si="17"/>
        <v>5</v>
      </c>
      <c r="EN31" s="75">
        <f t="shared" ca="1" si="18"/>
        <v>7.1428571428571425E-2</v>
      </c>
      <c r="EO31" s="76">
        <f t="shared" si="19"/>
        <v>2</v>
      </c>
      <c r="EP31" s="75">
        <f t="shared" ca="1" si="20"/>
        <v>2.8571428571428571E-2</v>
      </c>
      <c r="EQ31" s="76">
        <f t="shared" si="21"/>
        <v>7</v>
      </c>
      <c r="ER31" s="75">
        <f t="shared" ca="1" si="22"/>
        <v>9.9999999999999992E-2</v>
      </c>
      <c r="ES31" s="76">
        <f t="shared" si="23"/>
        <v>1</v>
      </c>
      <c r="ET31" s="76">
        <f t="shared" si="24"/>
        <v>0</v>
      </c>
      <c r="EU31" s="76">
        <f t="shared" si="25"/>
        <v>1</v>
      </c>
    </row>
    <row r="32" spans="1:151" ht="15.75" thickBot="1" x14ac:dyDescent="0.3">
      <c r="A32" s="217" t="s">
        <v>63</v>
      </c>
      <c r="B32" s="220" t="s">
        <v>273</v>
      </c>
      <c r="C32" s="77" t="str">
        <f t="shared" si="0"/>
        <v>אסי אחודה</v>
      </c>
      <c r="D32" s="23" t="s">
        <v>7</v>
      </c>
      <c r="E32" s="23" t="s">
        <v>6</v>
      </c>
      <c r="F32" s="31" t="s">
        <v>276</v>
      </c>
      <c r="G32" s="30">
        <v>43374</v>
      </c>
      <c r="H32" s="114"/>
      <c r="I32" s="35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>
        <f t="shared" si="56"/>
        <v>0</v>
      </c>
      <c r="DI32" s="156">
        <f t="shared" si="57"/>
        <v>0</v>
      </c>
      <c r="DJ32" s="18">
        <f t="shared" si="58"/>
        <v>0</v>
      </c>
      <c r="DK32" s="108"/>
      <c r="DL32" s="40"/>
      <c r="DM32" s="40"/>
      <c r="DN32" s="40"/>
      <c r="DO32" s="156">
        <f t="shared" si="5"/>
        <v>0</v>
      </c>
      <c r="DP32" s="156">
        <f t="shared" si="6"/>
        <v>0</v>
      </c>
      <c r="DQ32" s="18">
        <f t="shared" si="7"/>
        <v>0</v>
      </c>
      <c r="DR32" s="108"/>
      <c r="DS32" s="40"/>
      <c r="DT32" s="40"/>
      <c r="DU32" s="40"/>
      <c r="DV32" s="156">
        <f t="shared" si="8"/>
        <v>0</v>
      </c>
      <c r="DW32" s="156">
        <f t="shared" si="9"/>
        <v>0</v>
      </c>
      <c r="DX32" s="18">
        <f t="shared" si="10"/>
        <v>0</v>
      </c>
      <c r="DY32" s="108"/>
      <c r="DZ32" s="40"/>
      <c r="EA32" s="40"/>
      <c r="EB32" s="40"/>
      <c r="EC32" s="156">
        <f t="shared" si="11"/>
        <v>0</v>
      </c>
      <c r="ED32" s="156">
        <f t="shared" si="12"/>
        <v>0</v>
      </c>
      <c r="EE32" s="18">
        <f t="shared" si="13"/>
        <v>0</v>
      </c>
      <c r="EF32" s="108"/>
      <c r="EG32" s="40"/>
      <c r="EH32" s="40"/>
      <c r="EI32" s="40"/>
      <c r="EJ32" s="156">
        <f t="shared" si="14"/>
        <v>0</v>
      </c>
      <c r="EK32" s="156">
        <f t="shared" si="15"/>
        <v>0</v>
      </c>
      <c r="EL32" s="18">
        <f t="shared" si="16"/>
        <v>0</v>
      </c>
      <c r="EM32" s="74">
        <f t="shared" si="17"/>
        <v>0</v>
      </c>
      <c r="EN32" s="75">
        <f t="shared" ca="1" si="18"/>
        <v>0</v>
      </c>
      <c r="EO32" s="76">
        <f t="shared" si="19"/>
        <v>0</v>
      </c>
      <c r="EP32" s="75">
        <f t="shared" ca="1" si="20"/>
        <v>0</v>
      </c>
      <c r="EQ32" s="76">
        <f t="shared" si="21"/>
        <v>0</v>
      </c>
      <c r="ER32" s="75">
        <f t="shared" ca="1" si="22"/>
        <v>0</v>
      </c>
      <c r="ES32" s="76">
        <f t="shared" si="23"/>
        <v>0</v>
      </c>
      <c r="ET32" s="76">
        <f t="shared" si="24"/>
        <v>0</v>
      </c>
      <c r="EU32" s="76">
        <f t="shared" si="25"/>
        <v>0</v>
      </c>
    </row>
    <row r="33" spans="1:151" ht="15.75" thickBot="1" x14ac:dyDescent="0.3">
      <c r="A33" s="32" t="s">
        <v>63</v>
      </c>
      <c r="B33" s="24" t="s">
        <v>285</v>
      </c>
      <c r="C33" s="26" t="str">
        <f t="shared" si="0"/>
        <v>נעה אחודה</v>
      </c>
      <c r="D33" s="12" t="s">
        <v>6</v>
      </c>
      <c r="E33" s="23" t="s">
        <v>7</v>
      </c>
      <c r="F33" s="31" t="s">
        <v>147</v>
      </c>
      <c r="G33" s="30">
        <v>43101</v>
      </c>
      <c r="H33" s="31"/>
      <c r="I33" s="13"/>
      <c r="J33" s="48"/>
      <c r="K33" s="49"/>
      <c r="L33" s="49"/>
      <c r="M33" s="49"/>
      <c r="N33" s="50">
        <f t="shared" ref="N33:O35" si="87">J33*3+L33</f>
        <v>0</v>
      </c>
      <c r="O33" s="50">
        <f t="shared" si="87"/>
        <v>0</v>
      </c>
      <c r="P33" s="15">
        <f>O33+N33</f>
        <v>0</v>
      </c>
      <c r="Q33" s="10"/>
      <c r="R33" s="12"/>
      <c r="S33" s="12"/>
      <c r="T33" s="12"/>
      <c r="U33" s="14">
        <f t="shared" ref="U33:V35" si="88">Q33*3+S33</f>
        <v>0</v>
      </c>
      <c r="V33" s="14">
        <f t="shared" si="88"/>
        <v>0</v>
      </c>
      <c r="W33" s="16">
        <f>V33+U33</f>
        <v>0</v>
      </c>
      <c r="X33" s="10"/>
      <c r="Y33" s="12"/>
      <c r="Z33" s="12"/>
      <c r="AA33" s="12"/>
      <c r="AB33" s="17">
        <f t="shared" ref="AB33:AC35" si="89">X33*3+Z33</f>
        <v>0</v>
      </c>
      <c r="AC33" s="17">
        <f t="shared" si="89"/>
        <v>0</v>
      </c>
      <c r="AD33" s="18">
        <f>AC33+AB33</f>
        <v>0</v>
      </c>
      <c r="AE33" s="10"/>
      <c r="AF33" s="12"/>
      <c r="AG33" s="12"/>
      <c r="AH33" s="12"/>
      <c r="AI33" s="14">
        <f t="shared" ref="AI33:AJ35" si="90">AE33*3+AG33</f>
        <v>0</v>
      </c>
      <c r="AJ33" s="14">
        <f t="shared" si="90"/>
        <v>0</v>
      </c>
      <c r="AK33" s="16">
        <f>AJ33+AI33</f>
        <v>0</v>
      </c>
      <c r="AL33" s="10"/>
      <c r="AM33" s="12"/>
      <c r="AN33" s="12"/>
      <c r="AO33" s="12"/>
      <c r="AP33" s="14">
        <f t="shared" ref="AP33:AQ35" si="91">AL33*3+AN33</f>
        <v>0</v>
      </c>
      <c r="AQ33" s="14">
        <f t="shared" si="91"/>
        <v>0</v>
      </c>
      <c r="AR33" s="16">
        <f>AQ33+AP33</f>
        <v>0</v>
      </c>
      <c r="AS33" s="10"/>
      <c r="AT33" s="12"/>
      <c r="AU33" s="12"/>
      <c r="AV33" s="12"/>
      <c r="AW33" s="14">
        <f t="shared" ref="AW33:AX35" si="92">AS33*3+AU33</f>
        <v>0</v>
      </c>
      <c r="AX33" s="14">
        <f t="shared" si="92"/>
        <v>0</v>
      </c>
      <c r="AY33" s="16">
        <f>AX33+AW33</f>
        <v>0</v>
      </c>
      <c r="AZ33" s="10"/>
      <c r="BA33" s="12"/>
      <c r="BB33" s="12"/>
      <c r="BC33" s="12"/>
      <c r="BD33" s="14">
        <f t="shared" ref="BD33:BE35" si="93">AZ33*3+BB33</f>
        <v>0</v>
      </c>
      <c r="BE33" s="14">
        <f t="shared" si="93"/>
        <v>0</v>
      </c>
      <c r="BF33" s="16">
        <f>BE33+BD33</f>
        <v>0</v>
      </c>
      <c r="BG33" s="32">
        <v>1</v>
      </c>
      <c r="BH33" s="40"/>
      <c r="BI33" s="12"/>
      <c r="BJ33" s="12"/>
      <c r="BK33" s="14">
        <f t="shared" ref="BK33:BL35" si="94">BG33*3+BI33</f>
        <v>3</v>
      </c>
      <c r="BL33" s="14">
        <f t="shared" si="94"/>
        <v>0</v>
      </c>
      <c r="BM33" s="39">
        <f>BL33+BK33</f>
        <v>3</v>
      </c>
      <c r="BN33" s="32">
        <v>1</v>
      </c>
      <c r="BO33" s="40"/>
      <c r="BP33" s="40">
        <v>1</v>
      </c>
      <c r="BQ33" s="40"/>
      <c r="BR33" s="14">
        <f t="shared" ref="BR33:BS35" si="95">BN33*3+BP33</f>
        <v>4</v>
      </c>
      <c r="BS33" s="14">
        <f t="shared" si="95"/>
        <v>0</v>
      </c>
      <c r="BT33" s="39">
        <f>BS33+BR33</f>
        <v>4</v>
      </c>
      <c r="BU33" s="32"/>
      <c r="BV33" s="40"/>
      <c r="BW33" s="40">
        <v>4</v>
      </c>
      <c r="BX33" s="40"/>
      <c r="BY33" s="14">
        <f t="shared" ref="BY33:BZ35" si="96">BU33*3+BW33</f>
        <v>4</v>
      </c>
      <c r="BZ33" s="14">
        <f t="shared" si="96"/>
        <v>0</v>
      </c>
      <c r="CA33" s="39">
        <f>BZ33+BY33</f>
        <v>4</v>
      </c>
      <c r="CB33" s="32"/>
      <c r="CC33" s="40">
        <v>1</v>
      </c>
      <c r="CD33" s="40">
        <v>1</v>
      </c>
      <c r="CE33" s="79"/>
      <c r="CF33" s="14">
        <f t="shared" ref="CF33:CG35" si="97">CB33*3+CD33</f>
        <v>1</v>
      </c>
      <c r="CG33" s="14">
        <f t="shared" si="97"/>
        <v>3</v>
      </c>
      <c r="CH33" s="39">
        <f>CG33+CF33</f>
        <v>4</v>
      </c>
      <c r="CI33" s="40"/>
      <c r="CJ33" s="40"/>
      <c r="CK33" s="40"/>
      <c r="CL33" s="83">
        <v>1</v>
      </c>
      <c r="CM33" s="14">
        <f t="shared" ref="CM33:CN38" si="98">CI33*3+CK33</f>
        <v>0</v>
      </c>
      <c r="CN33" s="14">
        <f t="shared" si="98"/>
        <v>1</v>
      </c>
      <c r="CO33" s="39">
        <f t="shared" ref="CO33:CO38" si="99">CN33+CM33</f>
        <v>1</v>
      </c>
      <c r="CP33" s="108">
        <v>1</v>
      </c>
      <c r="CQ33" s="40"/>
      <c r="CR33" s="40">
        <v>1</v>
      </c>
      <c r="CS33" s="40"/>
      <c r="CT33" s="14">
        <f t="shared" ref="CT33:CU38" si="100">CP33*3+CR33</f>
        <v>4</v>
      </c>
      <c r="CU33" s="14">
        <f t="shared" si="100"/>
        <v>0</v>
      </c>
      <c r="CV33" s="39">
        <f t="shared" ref="CV33:CV38" si="101">CU33+CT33</f>
        <v>4</v>
      </c>
      <c r="CW33" s="32"/>
      <c r="CX33" s="40"/>
      <c r="CY33" s="40">
        <v>3</v>
      </c>
      <c r="CZ33" s="40"/>
      <c r="DA33" s="17">
        <f t="shared" ref="DA33:DB40" si="102">CW33*3+CY33</f>
        <v>3</v>
      </c>
      <c r="DB33" s="17">
        <f t="shared" si="102"/>
        <v>0</v>
      </c>
      <c r="DC33" s="18">
        <f t="shared" ref="DC33:DC40" si="103">DB33+DA33</f>
        <v>3</v>
      </c>
      <c r="DD33" s="108">
        <v>1</v>
      </c>
      <c r="DE33" s="40"/>
      <c r="DF33" s="40"/>
      <c r="DG33" s="40">
        <v>1</v>
      </c>
      <c r="DH33" s="156">
        <f t="shared" si="56"/>
        <v>3</v>
      </c>
      <c r="DI33" s="156">
        <f t="shared" si="57"/>
        <v>1</v>
      </c>
      <c r="DJ33" s="18">
        <f t="shared" si="58"/>
        <v>4</v>
      </c>
      <c r="DK33" s="108"/>
      <c r="DL33" s="40"/>
      <c r="DM33" s="40">
        <v>2</v>
      </c>
      <c r="DN33" s="40"/>
      <c r="DO33" s="156">
        <f t="shared" si="5"/>
        <v>2</v>
      </c>
      <c r="DP33" s="156">
        <f t="shared" si="6"/>
        <v>0</v>
      </c>
      <c r="DQ33" s="18">
        <f t="shared" si="7"/>
        <v>2</v>
      </c>
      <c r="DR33" s="108"/>
      <c r="DS33" s="40">
        <v>1</v>
      </c>
      <c r="DT33" s="40">
        <v>1</v>
      </c>
      <c r="DU33" s="40"/>
      <c r="DV33" s="156">
        <f t="shared" si="8"/>
        <v>1</v>
      </c>
      <c r="DW33" s="156">
        <f t="shared" si="9"/>
        <v>3</v>
      </c>
      <c r="DX33" s="18">
        <f t="shared" si="10"/>
        <v>4</v>
      </c>
      <c r="DY33" s="108"/>
      <c r="DZ33" s="40"/>
      <c r="EA33" s="40">
        <v>2</v>
      </c>
      <c r="EB33" s="40"/>
      <c r="EC33" s="156">
        <f t="shared" si="11"/>
        <v>2</v>
      </c>
      <c r="ED33" s="156">
        <f t="shared" si="12"/>
        <v>0</v>
      </c>
      <c r="EE33" s="18">
        <f t="shared" si="13"/>
        <v>2</v>
      </c>
      <c r="EF33" s="108">
        <v>1</v>
      </c>
      <c r="EG33" s="40"/>
      <c r="EH33" s="40"/>
      <c r="EI33" s="40"/>
      <c r="EJ33" s="156">
        <f t="shared" si="14"/>
        <v>3</v>
      </c>
      <c r="EK33" s="156">
        <f t="shared" si="15"/>
        <v>0</v>
      </c>
      <c r="EL33" s="18">
        <f t="shared" si="16"/>
        <v>3</v>
      </c>
      <c r="EM33" s="74">
        <f t="shared" si="17"/>
        <v>30</v>
      </c>
      <c r="EN33" s="75">
        <f t="shared" ca="1" si="18"/>
        <v>8.2872928176795577E-2</v>
      </c>
      <c r="EO33" s="76">
        <f t="shared" si="19"/>
        <v>8</v>
      </c>
      <c r="EP33" s="75">
        <f t="shared" ca="1" si="20"/>
        <v>2.2099447513812154E-2</v>
      </c>
      <c r="EQ33" s="76">
        <f t="shared" si="21"/>
        <v>38</v>
      </c>
      <c r="ER33" s="75">
        <f t="shared" ca="1" si="22"/>
        <v>0.10497237569060773</v>
      </c>
      <c r="ES33" s="76">
        <f t="shared" si="23"/>
        <v>5</v>
      </c>
      <c r="ET33" s="76">
        <f t="shared" si="24"/>
        <v>2</v>
      </c>
      <c r="EU33" s="76">
        <f t="shared" si="25"/>
        <v>7</v>
      </c>
    </row>
    <row r="34" spans="1:151" ht="15.75" thickBot="1" x14ac:dyDescent="0.3">
      <c r="A34" s="32" t="s">
        <v>63</v>
      </c>
      <c r="B34" s="247" t="s">
        <v>8</v>
      </c>
      <c r="C34" s="85" t="str">
        <f t="shared" si="0"/>
        <v>עדן אחודה</v>
      </c>
      <c r="D34" s="23" t="s">
        <v>7</v>
      </c>
      <c r="E34" s="23" t="s">
        <v>7</v>
      </c>
      <c r="F34" s="31" t="s">
        <v>158</v>
      </c>
      <c r="G34" s="30">
        <v>43160</v>
      </c>
      <c r="H34" s="31"/>
      <c r="I34" s="13"/>
      <c r="J34" s="48"/>
      <c r="K34" s="49"/>
      <c r="L34" s="49"/>
      <c r="M34" s="49"/>
      <c r="N34" s="50">
        <f t="shared" si="87"/>
        <v>0</v>
      </c>
      <c r="O34" s="50">
        <f t="shared" si="87"/>
        <v>0</v>
      </c>
      <c r="P34" s="15">
        <f>O34+N34</f>
        <v>0</v>
      </c>
      <c r="Q34" s="10"/>
      <c r="R34" s="12"/>
      <c r="S34" s="12"/>
      <c r="T34" s="12"/>
      <c r="U34" s="14">
        <f t="shared" si="88"/>
        <v>0</v>
      </c>
      <c r="V34" s="14">
        <f t="shared" si="88"/>
        <v>0</v>
      </c>
      <c r="W34" s="16">
        <f>V34+U34</f>
        <v>0</v>
      </c>
      <c r="X34" s="10"/>
      <c r="Y34" s="12"/>
      <c r="Z34" s="12"/>
      <c r="AA34" s="12"/>
      <c r="AB34" s="17">
        <f t="shared" si="89"/>
        <v>0</v>
      </c>
      <c r="AC34" s="17">
        <f t="shared" si="89"/>
        <v>0</v>
      </c>
      <c r="AD34" s="18">
        <f>AC34+AB34</f>
        <v>0</v>
      </c>
      <c r="AE34" s="10"/>
      <c r="AF34" s="12"/>
      <c r="AG34" s="12"/>
      <c r="AH34" s="12"/>
      <c r="AI34" s="14">
        <f t="shared" si="90"/>
        <v>0</v>
      </c>
      <c r="AJ34" s="14">
        <f t="shared" si="90"/>
        <v>0</v>
      </c>
      <c r="AK34" s="16">
        <f>AJ34+AI34</f>
        <v>0</v>
      </c>
      <c r="AL34" s="10"/>
      <c r="AM34" s="12"/>
      <c r="AN34" s="12"/>
      <c r="AO34" s="12"/>
      <c r="AP34" s="14">
        <f t="shared" si="91"/>
        <v>0</v>
      </c>
      <c r="AQ34" s="14">
        <f t="shared" si="91"/>
        <v>0</v>
      </c>
      <c r="AR34" s="16">
        <f>AQ34+AP34</f>
        <v>0</v>
      </c>
      <c r="AS34" s="10"/>
      <c r="AT34" s="12"/>
      <c r="AU34" s="12"/>
      <c r="AV34" s="12"/>
      <c r="AW34" s="14">
        <f t="shared" si="92"/>
        <v>0</v>
      </c>
      <c r="AX34" s="14">
        <f t="shared" si="92"/>
        <v>0</v>
      </c>
      <c r="AY34" s="16">
        <f>AX34+AW34</f>
        <v>0</v>
      </c>
      <c r="AZ34" s="10"/>
      <c r="BA34" s="12"/>
      <c r="BB34" s="12"/>
      <c r="BC34" s="12"/>
      <c r="BD34" s="14">
        <f t="shared" si="93"/>
        <v>0</v>
      </c>
      <c r="BE34" s="14">
        <f t="shared" si="93"/>
        <v>0</v>
      </c>
      <c r="BF34" s="16">
        <f>BE34+BD34</f>
        <v>0</v>
      </c>
      <c r="BG34" s="32"/>
      <c r="BH34" s="40"/>
      <c r="BI34" s="12"/>
      <c r="BJ34" s="12"/>
      <c r="BK34" s="14">
        <f t="shared" si="94"/>
        <v>0</v>
      </c>
      <c r="BL34" s="14">
        <f t="shared" si="94"/>
        <v>0</v>
      </c>
      <c r="BM34" s="39">
        <f>BL34+BK34</f>
        <v>0</v>
      </c>
      <c r="BN34" s="32"/>
      <c r="BO34" s="40"/>
      <c r="BP34" s="40"/>
      <c r="BQ34" s="40"/>
      <c r="BR34" s="14">
        <f t="shared" si="95"/>
        <v>0</v>
      </c>
      <c r="BS34" s="14">
        <f t="shared" si="95"/>
        <v>0</v>
      </c>
      <c r="BT34" s="39">
        <f>BS34+BR34</f>
        <v>0</v>
      </c>
      <c r="BU34" s="32"/>
      <c r="BV34" s="40"/>
      <c r="BW34" s="40"/>
      <c r="BX34" s="40">
        <v>1</v>
      </c>
      <c r="BY34" s="14">
        <f t="shared" si="96"/>
        <v>0</v>
      </c>
      <c r="BZ34" s="14">
        <f t="shared" si="96"/>
        <v>1</v>
      </c>
      <c r="CA34" s="39">
        <f>BZ34+BY34</f>
        <v>1</v>
      </c>
      <c r="CB34" s="32"/>
      <c r="CC34" s="40"/>
      <c r="CD34" s="40">
        <v>1</v>
      </c>
      <c r="CE34" s="79"/>
      <c r="CF34" s="14">
        <f t="shared" si="97"/>
        <v>1</v>
      </c>
      <c r="CG34" s="14">
        <f t="shared" si="97"/>
        <v>0</v>
      </c>
      <c r="CH34" s="39">
        <f>CG34+CF34</f>
        <v>1</v>
      </c>
      <c r="CI34" s="40"/>
      <c r="CJ34" s="40"/>
      <c r="CK34" s="40">
        <v>2</v>
      </c>
      <c r="CL34" s="83"/>
      <c r="CM34" s="14">
        <f t="shared" si="98"/>
        <v>2</v>
      </c>
      <c r="CN34" s="14">
        <f t="shared" si="98"/>
        <v>0</v>
      </c>
      <c r="CO34" s="39">
        <f t="shared" si="99"/>
        <v>2</v>
      </c>
      <c r="CP34" s="108"/>
      <c r="CQ34" s="40"/>
      <c r="CR34" s="40">
        <v>1</v>
      </c>
      <c r="CS34" s="40">
        <v>1</v>
      </c>
      <c r="CT34" s="14">
        <f t="shared" si="100"/>
        <v>1</v>
      </c>
      <c r="CU34" s="14">
        <f t="shared" si="100"/>
        <v>1</v>
      </c>
      <c r="CV34" s="39">
        <f t="shared" si="101"/>
        <v>2</v>
      </c>
      <c r="CW34" s="32"/>
      <c r="CX34" s="40"/>
      <c r="CY34" s="40"/>
      <c r="CZ34" s="40">
        <v>2</v>
      </c>
      <c r="DA34" s="17">
        <f t="shared" si="102"/>
        <v>0</v>
      </c>
      <c r="DB34" s="17">
        <f t="shared" si="102"/>
        <v>2</v>
      </c>
      <c r="DC34" s="18">
        <f t="shared" si="103"/>
        <v>2</v>
      </c>
      <c r="DD34" s="108"/>
      <c r="DE34" s="40"/>
      <c r="DF34" s="40"/>
      <c r="DG34" s="40"/>
      <c r="DH34" s="156">
        <f t="shared" si="56"/>
        <v>0</v>
      </c>
      <c r="DI34" s="156">
        <f t="shared" si="57"/>
        <v>0</v>
      </c>
      <c r="DJ34" s="18">
        <f t="shared" si="58"/>
        <v>0</v>
      </c>
      <c r="DK34" s="108"/>
      <c r="DL34" s="40"/>
      <c r="DM34" s="40"/>
      <c r="DN34" s="40">
        <v>2</v>
      </c>
      <c r="DO34" s="156">
        <f t="shared" si="5"/>
        <v>0</v>
      </c>
      <c r="DP34" s="156">
        <f t="shared" si="6"/>
        <v>2</v>
      </c>
      <c r="DQ34" s="18">
        <f t="shared" si="7"/>
        <v>2</v>
      </c>
      <c r="DR34" s="108"/>
      <c r="DS34" s="40">
        <v>1</v>
      </c>
      <c r="DT34" s="40">
        <v>1</v>
      </c>
      <c r="DU34" s="40"/>
      <c r="DV34" s="156">
        <f t="shared" si="8"/>
        <v>1</v>
      </c>
      <c r="DW34" s="156">
        <f t="shared" si="9"/>
        <v>3</v>
      </c>
      <c r="DX34" s="18">
        <f t="shared" si="10"/>
        <v>4</v>
      </c>
      <c r="DY34" s="108"/>
      <c r="DZ34" s="40"/>
      <c r="EA34" s="40">
        <v>3</v>
      </c>
      <c r="EB34" s="40"/>
      <c r="EC34" s="156">
        <f t="shared" si="11"/>
        <v>3</v>
      </c>
      <c r="ED34" s="156">
        <f t="shared" si="12"/>
        <v>0</v>
      </c>
      <c r="EE34" s="18">
        <f t="shared" si="13"/>
        <v>3</v>
      </c>
      <c r="EF34" s="108">
        <v>1</v>
      </c>
      <c r="EG34" s="40"/>
      <c r="EH34" s="40"/>
      <c r="EI34" s="40"/>
      <c r="EJ34" s="156">
        <f t="shared" si="14"/>
        <v>3</v>
      </c>
      <c r="EK34" s="156">
        <f t="shared" si="15"/>
        <v>0</v>
      </c>
      <c r="EL34" s="18">
        <f t="shared" si="16"/>
        <v>3</v>
      </c>
      <c r="EM34" s="74">
        <f t="shared" si="17"/>
        <v>11</v>
      </c>
      <c r="EN34" s="75">
        <f t="shared" ca="1" si="18"/>
        <v>3.6303630363036306E-2</v>
      </c>
      <c r="EO34" s="76">
        <f t="shared" si="19"/>
        <v>9</v>
      </c>
      <c r="EP34" s="75">
        <f t="shared" ca="1" si="20"/>
        <v>2.9702970297029702E-2</v>
      </c>
      <c r="EQ34" s="76">
        <f t="shared" si="21"/>
        <v>20</v>
      </c>
      <c r="ER34" s="75">
        <f t="shared" ca="1" si="22"/>
        <v>6.6006600660066E-2</v>
      </c>
      <c r="ES34" s="76">
        <f t="shared" si="23"/>
        <v>1</v>
      </c>
      <c r="ET34" s="76">
        <f t="shared" si="24"/>
        <v>1</v>
      </c>
      <c r="EU34" s="76">
        <f t="shared" si="25"/>
        <v>2</v>
      </c>
    </row>
    <row r="35" spans="1:151" ht="15.75" thickBot="1" x14ac:dyDescent="0.3">
      <c r="A35" s="32" t="s">
        <v>63</v>
      </c>
      <c r="B35" s="24" t="s">
        <v>125</v>
      </c>
      <c r="C35" s="26" t="str">
        <f t="shared" si="0"/>
        <v>עמית אחודה</v>
      </c>
      <c r="D35" s="12" t="s">
        <v>6</v>
      </c>
      <c r="E35" s="23" t="s">
        <v>7</v>
      </c>
      <c r="F35" s="31" t="s">
        <v>147</v>
      </c>
      <c r="G35" s="30">
        <v>43101</v>
      </c>
      <c r="H35" s="31"/>
      <c r="I35" s="13"/>
      <c r="J35" s="48"/>
      <c r="K35" s="49"/>
      <c r="L35" s="49"/>
      <c r="M35" s="49"/>
      <c r="N35" s="50">
        <f t="shared" si="87"/>
        <v>0</v>
      </c>
      <c r="O35" s="50">
        <f t="shared" si="87"/>
        <v>0</v>
      </c>
      <c r="P35" s="15">
        <f>O35+N35</f>
        <v>0</v>
      </c>
      <c r="Q35" s="10"/>
      <c r="R35" s="12"/>
      <c r="S35" s="12"/>
      <c r="T35" s="12"/>
      <c r="U35" s="14">
        <f t="shared" si="88"/>
        <v>0</v>
      </c>
      <c r="V35" s="14">
        <f t="shared" si="88"/>
        <v>0</v>
      </c>
      <c r="W35" s="16">
        <f>V35+U35</f>
        <v>0</v>
      </c>
      <c r="X35" s="10"/>
      <c r="Y35" s="12"/>
      <c r="Z35" s="12"/>
      <c r="AA35" s="12"/>
      <c r="AB35" s="17">
        <f t="shared" si="89"/>
        <v>0</v>
      </c>
      <c r="AC35" s="17">
        <f t="shared" si="89"/>
        <v>0</v>
      </c>
      <c r="AD35" s="18">
        <f>AC35+AB35</f>
        <v>0</v>
      </c>
      <c r="AE35" s="10"/>
      <c r="AF35" s="12"/>
      <c r="AG35" s="12"/>
      <c r="AH35" s="12"/>
      <c r="AI35" s="14">
        <f t="shared" si="90"/>
        <v>0</v>
      </c>
      <c r="AJ35" s="14">
        <f t="shared" si="90"/>
        <v>0</v>
      </c>
      <c r="AK35" s="16">
        <f>AJ35+AI35</f>
        <v>0</v>
      </c>
      <c r="AL35" s="10"/>
      <c r="AM35" s="12"/>
      <c r="AN35" s="12"/>
      <c r="AO35" s="12"/>
      <c r="AP35" s="14">
        <f t="shared" si="91"/>
        <v>0</v>
      </c>
      <c r="AQ35" s="14">
        <f t="shared" si="91"/>
        <v>0</v>
      </c>
      <c r="AR35" s="16">
        <f>AQ35+AP35</f>
        <v>0</v>
      </c>
      <c r="AS35" s="10"/>
      <c r="AT35" s="12"/>
      <c r="AU35" s="12"/>
      <c r="AV35" s="12"/>
      <c r="AW35" s="14">
        <f t="shared" si="92"/>
        <v>0</v>
      </c>
      <c r="AX35" s="14">
        <f t="shared" si="92"/>
        <v>0</v>
      </c>
      <c r="AY35" s="16">
        <f>AX35+AW35</f>
        <v>0</v>
      </c>
      <c r="AZ35" s="10"/>
      <c r="BA35" s="12"/>
      <c r="BB35" s="12"/>
      <c r="BC35" s="12"/>
      <c r="BD35" s="14">
        <f t="shared" si="93"/>
        <v>0</v>
      </c>
      <c r="BE35" s="14">
        <f t="shared" si="93"/>
        <v>0</v>
      </c>
      <c r="BF35" s="16">
        <f>BE35+BD35</f>
        <v>0</v>
      </c>
      <c r="BG35" s="32">
        <v>1</v>
      </c>
      <c r="BH35" s="40"/>
      <c r="BI35" s="12"/>
      <c r="BJ35" s="12"/>
      <c r="BK35" s="14">
        <f t="shared" si="94"/>
        <v>3</v>
      </c>
      <c r="BL35" s="14">
        <f t="shared" si="94"/>
        <v>0</v>
      </c>
      <c r="BM35" s="39">
        <f>BL35+BK35</f>
        <v>3</v>
      </c>
      <c r="BN35" s="32"/>
      <c r="BO35" s="40">
        <v>1</v>
      </c>
      <c r="BP35" s="40">
        <v>2</v>
      </c>
      <c r="BQ35" s="40"/>
      <c r="BR35" s="14">
        <f t="shared" si="95"/>
        <v>2</v>
      </c>
      <c r="BS35" s="14">
        <f t="shared" si="95"/>
        <v>3</v>
      </c>
      <c r="BT35" s="39">
        <f>BS35+BR35</f>
        <v>5</v>
      </c>
      <c r="BU35" s="32"/>
      <c r="BV35" s="40"/>
      <c r="BW35" s="40">
        <v>3</v>
      </c>
      <c r="BX35" s="40"/>
      <c r="BY35" s="14">
        <f t="shared" si="96"/>
        <v>3</v>
      </c>
      <c r="BZ35" s="14">
        <f t="shared" si="96"/>
        <v>0</v>
      </c>
      <c r="CA35" s="39">
        <f>BZ35+BY35</f>
        <v>3</v>
      </c>
      <c r="CB35" s="32">
        <v>1</v>
      </c>
      <c r="CC35" s="40"/>
      <c r="CD35" s="40"/>
      <c r="CE35" s="79"/>
      <c r="CF35" s="14">
        <f t="shared" si="97"/>
        <v>3</v>
      </c>
      <c r="CG35" s="14">
        <f t="shared" si="97"/>
        <v>0</v>
      </c>
      <c r="CH35" s="39">
        <f>CG35+CF35</f>
        <v>3</v>
      </c>
      <c r="CI35" s="40"/>
      <c r="CJ35" s="40"/>
      <c r="CK35" s="40">
        <v>1</v>
      </c>
      <c r="CL35" s="83"/>
      <c r="CM35" s="14">
        <f t="shared" si="98"/>
        <v>1</v>
      </c>
      <c r="CN35" s="14">
        <f t="shared" si="98"/>
        <v>0</v>
      </c>
      <c r="CO35" s="39">
        <f t="shared" si="99"/>
        <v>1</v>
      </c>
      <c r="CP35" s="108">
        <v>1</v>
      </c>
      <c r="CQ35" s="40">
        <v>1</v>
      </c>
      <c r="CR35" s="40"/>
      <c r="CS35" s="40"/>
      <c r="CT35" s="14">
        <f t="shared" si="100"/>
        <v>3</v>
      </c>
      <c r="CU35" s="14">
        <f t="shared" si="100"/>
        <v>3</v>
      </c>
      <c r="CV35" s="39">
        <f t="shared" si="101"/>
        <v>6</v>
      </c>
      <c r="CW35" s="32"/>
      <c r="CX35" s="40"/>
      <c r="CY35" s="40">
        <v>2</v>
      </c>
      <c r="CZ35" s="40"/>
      <c r="DA35" s="17">
        <f t="shared" si="102"/>
        <v>2</v>
      </c>
      <c r="DB35" s="17">
        <f t="shared" si="102"/>
        <v>0</v>
      </c>
      <c r="DC35" s="18">
        <f t="shared" si="103"/>
        <v>2</v>
      </c>
      <c r="DD35" s="108">
        <v>1</v>
      </c>
      <c r="DE35" s="40"/>
      <c r="DF35" s="40"/>
      <c r="DG35" s="40"/>
      <c r="DH35" s="156">
        <f t="shared" si="56"/>
        <v>3</v>
      </c>
      <c r="DI35" s="156">
        <f t="shared" si="57"/>
        <v>0</v>
      </c>
      <c r="DJ35" s="18">
        <f t="shared" si="58"/>
        <v>3</v>
      </c>
      <c r="DK35" s="108"/>
      <c r="DL35" s="40"/>
      <c r="DM35" s="40">
        <v>3</v>
      </c>
      <c r="DN35" s="40"/>
      <c r="DO35" s="156">
        <f t="shared" si="5"/>
        <v>3</v>
      </c>
      <c r="DP35" s="156">
        <f t="shared" si="6"/>
        <v>0</v>
      </c>
      <c r="DQ35" s="18">
        <f t="shared" si="7"/>
        <v>3</v>
      </c>
      <c r="DR35" s="108">
        <v>1</v>
      </c>
      <c r="DS35" s="40"/>
      <c r="DT35" s="40"/>
      <c r="DU35" s="40"/>
      <c r="DV35" s="156">
        <f t="shared" si="8"/>
        <v>3</v>
      </c>
      <c r="DW35" s="156">
        <f t="shared" si="9"/>
        <v>0</v>
      </c>
      <c r="DX35" s="18">
        <f t="shared" si="10"/>
        <v>3</v>
      </c>
      <c r="DY35" s="108"/>
      <c r="DZ35" s="40"/>
      <c r="EA35" s="40">
        <v>2</v>
      </c>
      <c r="EB35" s="40">
        <v>1</v>
      </c>
      <c r="EC35" s="156">
        <f t="shared" si="11"/>
        <v>2</v>
      </c>
      <c r="ED35" s="156">
        <f t="shared" si="12"/>
        <v>1</v>
      </c>
      <c r="EE35" s="18">
        <f t="shared" si="13"/>
        <v>3</v>
      </c>
      <c r="EF35" s="108"/>
      <c r="EG35" s="40"/>
      <c r="EH35" s="40"/>
      <c r="EI35" s="40"/>
      <c r="EJ35" s="156">
        <f t="shared" si="14"/>
        <v>0</v>
      </c>
      <c r="EK35" s="156">
        <f t="shared" si="15"/>
        <v>0</v>
      </c>
      <c r="EL35" s="18">
        <f t="shared" si="16"/>
        <v>0</v>
      </c>
      <c r="EM35" s="74">
        <f t="shared" si="17"/>
        <v>28</v>
      </c>
      <c r="EN35" s="75">
        <f t="shared" ca="1" si="18"/>
        <v>7.7348066298342538E-2</v>
      </c>
      <c r="EO35" s="76">
        <f t="shared" si="19"/>
        <v>7</v>
      </c>
      <c r="EP35" s="75">
        <f t="shared" ca="1" si="20"/>
        <v>1.9337016574585635E-2</v>
      </c>
      <c r="EQ35" s="76">
        <f t="shared" si="21"/>
        <v>35</v>
      </c>
      <c r="ER35" s="75">
        <f t="shared" ca="1" si="22"/>
        <v>9.668508287292818E-2</v>
      </c>
      <c r="ES35" s="76">
        <f t="shared" si="23"/>
        <v>5</v>
      </c>
      <c r="ET35" s="76">
        <f t="shared" si="24"/>
        <v>2</v>
      </c>
      <c r="EU35" s="76">
        <f t="shared" si="25"/>
        <v>7</v>
      </c>
    </row>
    <row r="36" spans="1:151" ht="15.75" thickBot="1" x14ac:dyDescent="0.3">
      <c r="A36" s="177" t="s">
        <v>63</v>
      </c>
      <c r="B36" s="247" t="s">
        <v>165</v>
      </c>
      <c r="C36" s="85" t="str">
        <f t="shared" si="0"/>
        <v>רוני אחודה</v>
      </c>
      <c r="D36" s="23" t="s">
        <v>6</v>
      </c>
      <c r="E36" s="23" t="s">
        <v>6</v>
      </c>
      <c r="F36" s="31" t="s">
        <v>196</v>
      </c>
      <c r="G36" s="30">
        <v>43282</v>
      </c>
      <c r="H36" s="42"/>
      <c r="I36" s="13"/>
      <c r="J36" s="48"/>
      <c r="K36" s="49"/>
      <c r="L36" s="49"/>
      <c r="M36" s="49"/>
      <c r="N36" s="50"/>
      <c r="O36" s="50"/>
      <c r="P36" s="15"/>
      <c r="Q36" s="10"/>
      <c r="R36" s="12"/>
      <c r="S36" s="12"/>
      <c r="T36" s="12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10"/>
      <c r="AF36" s="12"/>
      <c r="AG36" s="12"/>
      <c r="AH36" s="12"/>
      <c r="AI36" s="14"/>
      <c r="AJ36" s="14"/>
      <c r="AK36" s="16"/>
      <c r="AL36" s="10"/>
      <c r="AM36" s="12"/>
      <c r="AN36" s="12"/>
      <c r="AO36" s="12"/>
      <c r="AP36" s="14"/>
      <c r="AQ36" s="14"/>
      <c r="AR36" s="16"/>
      <c r="AS36" s="10"/>
      <c r="AT36" s="12"/>
      <c r="AU36" s="12"/>
      <c r="AV36" s="12"/>
      <c r="AW36" s="14"/>
      <c r="AX36" s="14"/>
      <c r="AY36" s="16"/>
      <c r="AZ36" s="10"/>
      <c r="BA36" s="12"/>
      <c r="BB36" s="12"/>
      <c r="BC36" s="12"/>
      <c r="BD36" s="14"/>
      <c r="BE36" s="14"/>
      <c r="BF36" s="16"/>
      <c r="BG36" s="32"/>
      <c r="BH36" s="40"/>
      <c r="BI36" s="12"/>
      <c r="BJ36" s="12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40"/>
      <c r="CE36" s="79"/>
      <c r="CF36" s="14"/>
      <c r="CG36" s="14"/>
      <c r="CH36" s="39"/>
      <c r="CI36" s="40"/>
      <c r="CJ36" s="40"/>
      <c r="CK36" s="40"/>
      <c r="CL36" s="83"/>
      <c r="CM36" s="14">
        <f t="shared" si="98"/>
        <v>0</v>
      </c>
      <c r="CN36" s="14">
        <f t="shared" si="98"/>
        <v>0</v>
      </c>
      <c r="CO36" s="39">
        <f t="shared" si="99"/>
        <v>0</v>
      </c>
      <c r="CP36" s="108"/>
      <c r="CQ36" s="40"/>
      <c r="CR36" s="40"/>
      <c r="CS36" s="40"/>
      <c r="CT36" s="14">
        <f t="shared" si="100"/>
        <v>0</v>
      </c>
      <c r="CU36" s="14">
        <f t="shared" si="100"/>
        <v>0</v>
      </c>
      <c r="CV36" s="39">
        <f t="shared" si="101"/>
        <v>0</v>
      </c>
      <c r="CW36" s="32">
        <v>1</v>
      </c>
      <c r="CX36" s="40"/>
      <c r="CY36" s="40">
        <v>1</v>
      </c>
      <c r="CZ36" s="40"/>
      <c r="DA36" s="17">
        <f t="shared" si="102"/>
        <v>4</v>
      </c>
      <c r="DB36" s="17">
        <f t="shared" si="102"/>
        <v>0</v>
      </c>
      <c r="DC36" s="18">
        <f t="shared" si="103"/>
        <v>4</v>
      </c>
      <c r="DD36" s="108">
        <v>1</v>
      </c>
      <c r="DE36" s="40">
        <v>1</v>
      </c>
      <c r="DF36" s="40">
        <v>1</v>
      </c>
      <c r="DG36" s="40"/>
      <c r="DH36" s="156">
        <f t="shared" si="56"/>
        <v>4</v>
      </c>
      <c r="DI36" s="156">
        <f t="shared" si="57"/>
        <v>3</v>
      </c>
      <c r="DJ36" s="18">
        <f t="shared" si="58"/>
        <v>7</v>
      </c>
      <c r="DK36" s="108"/>
      <c r="DL36" s="40"/>
      <c r="DM36" s="40">
        <v>2</v>
      </c>
      <c r="DN36" s="40"/>
      <c r="DO36" s="156">
        <f t="shared" si="5"/>
        <v>2</v>
      </c>
      <c r="DP36" s="156">
        <f t="shared" si="6"/>
        <v>0</v>
      </c>
      <c r="DQ36" s="18">
        <f t="shared" si="7"/>
        <v>2</v>
      </c>
      <c r="DR36" s="108"/>
      <c r="DS36" s="40"/>
      <c r="DT36" s="40">
        <v>1</v>
      </c>
      <c r="DU36" s="40"/>
      <c r="DV36" s="156">
        <f t="shared" si="8"/>
        <v>1</v>
      </c>
      <c r="DW36" s="156">
        <f t="shared" si="9"/>
        <v>0</v>
      </c>
      <c r="DX36" s="18">
        <f t="shared" si="10"/>
        <v>1</v>
      </c>
      <c r="DY36" s="108"/>
      <c r="DZ36" s="40"/>
      <c r="EA36" s="40">
        <v>2</v>
      </c>
      <c r="EB36" s="40"/>
      <c r="EC36" s="156">
        <f t="shared" si="11"/>
        <v>2</v>
      </c>
      <c r="ED36" s="156">
        <f t="shared" si="12"/>
        <v>0</v>
      </c>
      <c r="EE36" s="18">
        <f t="shared" si="13"/>
        <v>2</v>
      </c>
      <c r="EF36" s="108"/>
      <c r="EG36" s="40"/>
      <c r="EH36" s="40"/>
      <c r="EI36" s="40"/>
      <c r="EJ36" s="156">
        <f t="shared" si="14"/>
        <v>0</v>
      </c>
      <c r="EK36" s="156">
        <f t="shared" si="15"/>
        <v>0</v>
      </c>
      <c r="EL36" s="18">
        <f t="shared" si="16"/>
        <v>0</v>
      </c>
      <c r="EM36" s="74">
        <f t="shared" si="17"/>
        <v>13</v>
      </c>
      <c r="EN36" s="75">
        <f t="shared" ca="1" si="18"/>
        <v>7.18232044198895E-2</v>
      </c>
      <c r="EO36" s="76">
        <f t="shared" si="19"/>
        <v>3</v>
      </c>
      <c r="EP36" s="75">
        <f t="shared" ca="1" si="20"/>
        <v>1.6574585635359115E-2</v>
      </c>
      <c r="EQ36" s="76">
        <f t="shared" si="21"/>
        <v>16</v>
      </c>
      <c r="ER36" s="75">
        <f t="shared" ca="1" si="22"/>
        <v>8.8397790055248615E-2</v>
      </c>
      <c r="ES36" s="76">
        <f t="shared" si="23"/>
        <v>2</v>
      </c>
      <c r="ET36" s="76">
        <f t="shared" si="24"/>
        <v>1</v>
      </c>
      <c r="EU36" s="76">
        <f t="shared" si="25"/>
        <v>3</v>
      </c>
    </row>
    <row r="37" spans="1:151" ht="15.75" thickBot="1" x14ac:dyDescent="0.3">
      <c r="A37" s="243" t="s">
        <v>63</v>
      </c>
      <c r="B37" s="244" t="s">
        <v>11</v>
      </c>
      <c r="C37" s="77" t="str">
        <f t="shared" si="0"/>
        <v>שיר אחודה</v>
      </c>
      <c r="D37" s="36" t="s">
        <v>6</v>
      </c>
      <c r="E37" s="36" t="s">
        <v>7</v>
      </c>
      <c r="F37" s="31" t="s">
        <v>193</v>
      </c>
      <c r="G37" s="30">
        <v>43252</v>
      </c>
      <c r="H37" s="42"/>
      <c r="I37" s="73"/>
      <c r="J37" s="51"/>
      <c r="K37" s="52"/>
      <c r="L37" s="52"/>
      <c r="M37" s="52"/>
      <c r="N37" s="50">
        <f>J37*3+L37</f>
        <v>0</v>
      </c>
      <c r="O37" s="50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/>
      <c r="AV37" s="27"/>
      <c r="AW37" s="14">
        <f>AS37*3+AU37</f>
        <v>0</v>
      </c>
      <c r="AX37" s="14">
        <f>AT37*3+AV37</f>
        <v>0</v>
      </c>
      <c r="AY37" s="16">
        <f>AX37+AW37</f>
        <v>0</v>
      </c>
      <c r="AZ37" s="25"/>
      <c r="BA37" s="27"/>
      <c r="BB37" s="27"/>
      <c r="BC37" s="27"/>
      <c r="BD37" s="14">
        <f>AZ37*3+BB37</f>
        <v>0</v>
      </c>
      <c r="BE37" s="14">
        <f>BA37*3+BC37</f>
        <v>0</v>
      </c>
      <c r="BF37" s="16">
        <f>BE37+BD37</f>
        <v>0</v>
      </c>
      <c r="BG37" s="47"/>
      <c r="BH37" s="53"/>
      <c r="BI37" s="27"/>
      <c r="BJ37" s="27"/>
      <c r="BK37" s="14">
        <f>BG37*3+BI37</f>
        <v>0</v>
      </c>
      <c r="BL37" s="14">
        <f>BH37*3+BJ37</f>
        <v>0</v>
      </c>
      <c r="BM37" s="39">
        <f>BL37+BK37</f>
        <v>0</v>
      </c>
      <c r="BN37" s="32"/>
      <c r="BO37" s="40"/>
      <c r="BP37" s="40"/>
      <c r="BQ37" s="40"/>
      <c r="BR37" s="14">
        <f>BN37*3+BP37</f>
        <v>0</v>
      </c>
      <c r="BS37" s="14">
        <f>BO37*3+BQ37</f>
        <v>0</v>
      </c>
      <c r="BT37" s="39">
        <f>BS37+BR37</f>
        <v>0</v>
      </c>
      <c r="BU37" s="32"/>
      <c r="BV37" s="40"/>
      <c r="BW37" s="40"/>
      <c r="BX37" s="40"/>
      <c r="BY37" s="14">
        <f>BU37*3+BW37</f>
        <v>0</v>
      </c>
      <c r="BZ37" s="14">
        <f>BV37*3+BX37</f>
        <v>0</v>
      </c>
      <c r="CA37" s="39">
        <f>BZ37+BY37</f>
        <v>0</v>
      </c>
      <c r="CB37" s="32"/>
      <c r="CC37" s="40"/>
      <c r="CD37" s="40"/>
      <c r="CE37" s="79"/>
      <c r="CF37" s="14">
        <f>CB37*3+CD37</f>
        <v>0</v>
      </c>
      <c r="CG37" s="14">
        <f>CC37*3+CE37</f>
        <v>0</v>
      </c>
      <c r="CH37" s="39">
        <f>CG37+CF37</f>
        <v>0</v>
      </c>
      <c r="CI37" s="40"/>
      <c r="CJ37" s="40"/>
      <c r="CK37" s="40"/>
      <c r="CL37" s="83"/>
      <c r="CM37" s="14">
        <f t="shared" si="98"/>
        <v>0</v>
      </c>
      <c r="CN37" s="14">
        <f t="shared" si="98"/>
        <v>0</v>
      </c>
      <c r="CO37" s="39">
        <f t="shared" si="99"/>
        <v>0</v>
      </c>
      <c r="CP37" s="108">
        <v>1</v>
      </c>
      <c r="CQ37" s="40"/>
      <c r="CR37" s="40">
        <v>1</v>
      </c>
      <c r="CS37" s="40"/>
      <c r="CT37" s="14">
        <f t="shared" si="100"/>
        <v>4</v>
      </c>
      <c r="CU37" s="14">
        <f t="shared" si="100"/>
        <v>0</v>
      </c>
      <c r="CV37" s="39">
        <f t="shared" si="101"/>
        <v>4</v>
      </c>
      <c r="CW37" s="32"/>
      <c r="CX37" s="40"/>
      <c r="CY37" s="40">
        <v>3</v>
      </c>
      <c r="CZ37" s="40"/>
      <c r="DA37" s="17">
        <f t="shared" si="102"/>
        <v>3</v>
      </c>
      <c r="DB37" s="17">
        <f t="shared" si="102"/>
        <v>0</v>
      </c>
      <c r="DC37" s="18">
        <f t="shared" si="103"/>
        <v>3</v>
      </c>
      <c r="DD37" s="108"/>
      <c r="DE37" s="40"/>
      <c r="DF37" s="40">
        <v>3</v>
      </c>
      <c r="DG37" s="40"/>
      <c r="DH37" s="156">
        <f t="shared" si="56"/>
        <v>3</v>
      </c>
      <c r="DI37" s="156">
        <f t="shared" si="57"/>
        <v>0</v>
      </c>
      <c r="DJ37" s="18">
        <f t="shared" si="58"/>
        <v>3</v>
      </c>
      <c r="DK37" s="108">
        <v>1</v>
      </c>
      <c r="DL37" s="40"/>
      <c r="DM37" s="40"/>
      <c r="DN37" s="40"/>
      <c r="DO37" s="156">
        <f t="shared" si="5"/>
        <v>3</v>
      </c>
      <c r="DP37" s="156">
        <f t="shared" si="6"/>
        <v>0</v>
      </c>
      <c r="DQ37" s="18">
        <f t="shared" si="7"/>
        <v>3</v>
      </c>
      <c r="DR37" s="108"/>
      <c r="DS37" s="40"/>
      <c r="DT37" s="40">
        <v>3</v>
      </c>
      <c r="DU37" s="40"/>
      <c r="DV37" s="156">
        <f t="shared" si="8"/>
        <v>3</v>
      </c>
      <c r="DW37" s="156">
        <f t="shared" si="9"/>
        <v>0</v>
      </c>
      <c r="DX37" s="18">
        <f t="shared" si="10"/>
        <v>3</v>
      </c>
      <c r="DY37" s="108"/>
      <c r="DZ37" s="40"/>
      <c r="EA37" s="40"/>
      <c r="EB37" s="40"/>
      <c r="EC37" s="156">
        <f t="shared" si="11"/>
        <v>0</v>
      </c>
      <c r="ED37" s="156">
        <f t="shared" si="12"/>
        <v>0</v>
      </c>
      <c r="EE37" s="18">
        <f t="shared" si="13"/>
        <v>0</v>
      </c>
      <c r="EF37" s="108"/>
      <c r="EG37" s="40"/>
      <c r="EH37" s="40"/>
      <c r="EI37" s="40"/>
      <c r="EJ37" s="156">
        <f t="shared" si="14"/>
        <v>0</v>
      </c>
      <c r="EK37" s="156">
        <f t="shared" si="15"/>
        <v>0</v>
      </c>
      <c r="EL37" s="18">
        <f t="shared" si="16"/>
        <v>0</v>
      </c>
      <c r="EM37" s="74">
        <f t="shared" si="17"/>
        <v>16</v>
      </c>
      <c r="EN37" s="75">
        <f t="shared" ca="1" si="18"/>
        <v>7.582938388625593E-2</v>
      </c>
      <c r="EO37" s="76">
        <f t="shared" si="19"/>
        <v>0</v>
      </c>
      <c r="EP37" s="75">
        <f t="shared" ca="1" si="20"/>
        <v>0</v>
      </c>
      <c r="EQ37" s="76">
        <f t="shared" si="21"/>
        <v>16</v>
      </c>
      <c r="ER37" s="75">
        <f t="shared" ca="1" si="22"/>
        <v>7.582938388625593E-2</v>
      </c>
      <c r="ES37" s="76">
        <f t="shared" si="23"/>
        <v>2</v>
      </c>
      <c r="ET37" s="76">
        <f t="shared" si="24"/>
        <v>0</v>
      </c>
      <c r="EU37" s="76">
        <f t="shared" si="25"/>
        <v>2</v>
      </c>
    </row>
    <row r="38" spans="1:151" ht="15.75" thickBot="1" x14ac:dyDescent="0.3">
      <c r="A38" s="47" t="s">
        <v>63</v>
      </c>
      <c r="B38" s="45" t="s">
        <v>132</v>
      </c>
      <c r="C38" s="26" t="str">
        <f t="shared" si="0"/>
        <v>תאיר אחודה</v>
      </c>
      <c r="D38" s="36" t="s">
        <v>6</v>
      </c>
      <c r="E38" s="23" t="s">
        <v>7</v>
      </c>
      <c r="F38" s="31" t="s">
        <v>148</v>
      </c>
      <c r="G38" s="30">
        <v>43132</v>
      </c>
      <c r="H38" s="31"/>
      <c r="I38" s="54" t="s">
        <v>157</v>
      </c>
      <c r="J38" s="51"/>
      <c r="K38" s="52"/>
      <c r="L38" s="52"/>
      <c r="M38" s="52"/>
      <c r="N38" s="50">
        <f>J38*3+L38</f>
        <v>0</v>
      </c>
      <c r="O38" s="50">
        <f>K38*3+M38</f>
        <v>0</v>
      </c>
      <c r="P38" s="15">
        <f>O38+N38</f>
        <v>0</v>
      </c>
      <c r="Q38" s="25"/>
      <c r="R38" s="27"/>
      <c r="S38" s="27"/>
      <c r="T38" s="27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25"/>
      <c r="AF38" s="27"/>
      <c r="AG38" s="27"/>
      <c r="AH38" s="27"/>
      <c r="AI38" s="14">
        <f>AE38*3+AG38</f>
        <v>0</v>
      </c>
      <c r="AJ38" s="14">
        <f>AF38*3+AH38</f>
        <v>0</v>
      </c>
      <c r="AK38" s="16">
        <f>AJ38+AI38</f>
        <v>0</v>
      </c>
      <c r="AL38" s="25"/>
      <c r="AM38" s="27"/>
      <c r="AN38" s="27"/>
      <c r="AO38" s="27"/>
      <c r="AP38" s="14">
        <f>AL38*3+AN38</f>
        <v>0</v>
      </c>
      <c r="AQ38" s="14">
        <f>AM38*3+AO38</f>
        <v>0</v>
      </c>
      <c r="AR38" s="16">
        <f>AQ38+AP38</f>
        <v>0</v>
      </c>
      <c r="AS38" s="25"/>
      <c r="AT38" s="27"/>
      <c r="AU38" s="27"/>
      <c r="AV38" s="27"/>
      <c r="AW38" s="14">
        <f>AS38*3+AU38</f>
        <v>0</v>
      </c>
      <c r="AX38" s="14">
        <f>AT38*3+AV38</f>
        <v>0</v>
      </c>
      <c r="AY38" s="16">
        <f>AX38+AW38</f>
        <v>0</v>
      </c>
      <c r="AZ38" s="25"/>
      <c r="BA38" s="27"/>
      <c r="BB38" s="27"/>
      <c r="BC38" s="27"/>
      <c r="BD38" s="14">
        <f>AZ38*3+BB38</f>
        <v>0</v>
      </c>
      <c r="BE38" s="14">
        <f>BA38*3+BC38</f>
        <v>0</v>
      </c>
      <c r="BF38" s="16">
        <f>BE38+BD38</f>
        <v>0</v>
      </c>
      <c r="BG38" s="47"/>
      <c r="BH38" s="53"/>
      <c r="BI38" s="27"/>
      <c r="BJ38" s="27"/>
      <c r="BK38" s="14">
        <f>BG38*3+BI38</f>
        <v>0</v>
      </c>
      <c r="BL38" s="14">
        <f>BH38*3+BJ38</f>
        <v>0</v>
      </c>
      <c r="BM38" s="39">
        <f>BL38+BK38</f>
        <v>0</v>
      </c>
      <c r="BN38" s="32">
        <v>1</v>
      </c>
      <c r="BO38" s="40"/>
      <c r="BP38" s="40">
        <v>2</v>
      </c>
      <c r="BQ38" s="40"/>
      <c r="BR38" s="14">
        <f>BN38*3+BP38</f>
        <v>5</v>
      </c>
      <c r="BS38" s="14">
        <f>BO38*3+BQ38</f>
        <v>0</v>
      </c>
      <c r="BT38" s="39">
        <f>BS38+BR38</f>
        <v>5</v>
      </c>
      <c r="BU38" s="32"/>
      <c r="BV38" s="40"/>
      <c r="BW38" s="40">
        <v>3</v>
      </c>
      <c r="BX38" s="40"/>
      <c r="BY38" s="14">
        <f>BU38*3+BW38</f>
        <v>3</v>
      </c>
      <c r="BZ38" s="14">
        <f>BV38*3+BX38</f>
        <v>0</v>
      </c>
      <c r="CA38" s="39">
        <f>BZ38+BY38</f>
        <v>3</v>
      </c>
      <c r="CB38" s="32"/>
      <c r="CC38" s="40"/>
      <c r="CD38" s="40">
        <v>3</v>
      </c>
      <c r="CE38" s="79"/>
      <c r="CF38" s="14">
        <f>CB38*3+CD38</f>
        <v>3</v>
      </c>
      <c r="CG38" s="14">
        <f>CC38*3+CE38</f>
        <v>0</v>
      </c>
      <c r="CH38" s="39">
        <f>CG38+CF38</f>
        <v>3</v>
      </c>
      <c r="CI38" s="40"/>
      <c r="CJ38" s="40"/>
      <c r="CK38" s="40">
        <v>1</v>
      </c>
      <c r="CL38" s="83">
        <v>1</v>
      </c>
      <c r="CM38" s="14">
        <f t="shared" si="98"/>
        <v>1</v>
      </c>
      <c r="CN38" s="14">
        <f t="shared" si="98"/>
        <v>1</v>
      </c>
      <c r="CO38" s="39">
        <f t="shared" si="99"/>
        <v>2</v>
      </c>
      <c r="CP38" s="108"/>
      <c r="CQ38" s="40"/>
      <c r="CR38" s="40">
        <v>3</v>
      </c>
      <c r="CS38" s="40"/>
      <c r="CT38" s="14">
        <f t="shared" si="100"/>
        <v>3</v>
      </c>
      <c r="CU38" s="14">
        <f t="shared" si="100"/>
        <v>0</v>
      </c>
      <c r="CV38" s="39">
        <f t="shared" si="101"/>
        <v>3</v>
      </c>
      <c r="CW38" s="32"/>
      <c r="CX38" s="40"/>
      <c r="CY38" s="40">
        <v>3</v>
      </c>
      <c r="CZ38" s="40"/>
      <c r="DA38" s="17">
        <f t="shared" si="102"/>
        <v>3</v>
      </c>
      <c r="DB38" s="17">
        <f t="shared" si="102"/>
        <v>0</v>
      </c>
      <c r="DC38" s="18">
        <f t="shared" si="103"/>
        <v>3</v>
      </c>
      <c r="DD38" s="108"/>
      <c r="DE38" s="40"/>
      <c r="DF38" s="40">
        <v>4</v>
      </c>
      <c r="DG38" s="40"/>
      <c r="DH38" s="156">
        <f t="shared" si="56"/>
        <v>4</v>
      </c>
      <c r="DI38" s="156">
        <f t="shared" si="57"/>
        <v>0</v>
      </c>
      <c r="DJ38" s="18">
        <f t="shared" si="58"/>
        <v>4</v>
      </c>
      <c r="DK38" s="108"/>
      <c r="DL38" s="40"/>
      <c r="DM38" s="40">
        <v>3</v>
      </c>
      <c r="DN38" s="40"/>
      <c r="DO38" s="156">
        <f t="shared" si="5"/>
        <v>3</v>
      </c>
      <c r="DP38" s="156">
        <f t="shared" si="6"/>
        <v>0</v>
      </c>
      <c r="DQ38" s="18">
        <f t="shared" si="7"/>
        <v>3</v>
      </c>
      <c r="DR38" s="108"/>
      <c r="DS38" s="40"/>
      <c r="DT38" s="40">
        <v>1</v>
      </c>
      <c r="DU38" s="40">
        <v>1</v>
      </c>
      <c r="DV38" s="156">
        <f t="shared" si="8"/>
        <v>1</v>
      </c>
      <c r="DW38" s="156">
        <f t="shared" si="9"/>
        <v>1</v>
      </c>
      <c r="DX38" s="18">
        <f t="shared" si="10"/>
        <v>2</v>
      </c>
      <c r="DY38" s="108"/>
      <c r="DZ38" s="40"/>
      <c r="EA38" s="40">
        <v>3</v>
      </c>
      <c r="EB38" s="40">
        <v>1</v>
      </c>
      <c r="EC38" s="156">
        <f t="shared" si="11"/>
        <v>3</v>
      </c>
      <c r="ED38" s="156">
        <f t="shared" si="12"/>
        <v>1</v>
      </c>
      <c r="EE38" s="18">
        <f t="shared" si="13"/>
        <v>4</v>
      </c>
      <c r="EF38" s="108"/>
      <c r="EG38" s="40"/>
      <c r="EH38" s="40"/>
      <c r="EI38" s="40"/>
      <c r="EJ38" s="156">
        <f t="shared" si="14"/>
        <v>0</v>
      </c>
      <c r="EK38" s="156">
        <f t="shared" si="15"/>
        <v>0</v>
      </c>
      <c r="EL38" s="18">
        <f t="shared" si="16"/>
        <v>0</v>
      </c>
      <c r="EM38" s="74">
        <f t="shared" si="17"/>
        <v>29</v>
      </c>
      <c r="EN38" s="75">
        <f t="shared" ca="1" si="18"/>
        <v>8.7613293051359523E-2</v>
      </c>
      <c r="EO38" s="76">
        <f t="shared" si="19"/>
        <v>3</v>
      </c>
      <c r="EP38" s="75">
        <f t="shared" ca="1" si="20"/>
        <v>9.0634441087613302E-3</v>
      </c>
      <c r="EQ38" s="76">
        <f t="shared" si="21"/>
        <v>32</v>
      </c>
      <c r="ER38" s="75">
        <f t="shared" ca="1" si="22"/>
        <v>9.6676737160120846E-2</v>
      </c>
      <c r="ES38" s="76">
        <f t="shared" si="23"/>
        <v>1</v>
      </c>
      <c r="ET38" s="76">
        <f t="shared" si="24"/>
        <v>0</v>
      </c>
      <c r="EU38" s="76">
        <f t="shared" si="25"/>
        <v>1</v>
      </c>
    </row>
    <row r="39" spans="1:151" ht="15.75" thickBot="1" x14ac:dyDescent="0.3">
      <c r="A39" s="110" t="s">
        <v>12</v>
      </c>
      <c r="B39" s="250" t="s">
        <v>254</v>
      </c>
      <c r="C39" s="85" t="str">
        <f t="shared" si="0"/>
        <v>דור מפאוג</v>
      </c>
      <c r="D39" s="36" t="s">
        <v>6</v>
      </c>
      <c r="E39" s="36" t="s">
        <v>6</v>
      </c>
      <c r="F39" s="31" t="s">
        <v>260</v>
      </c>
      <c r="G39" s="30">
        <v>43344</v>
      </c>
      <c r="H39" s="31"/>
      <c r="I39" s="54" t="s">
        <v>255</v>
      </c>
      <c r="J39" s="51"/>
      <c r="K39" s="52"/>
      <c r="L39" s="52"/>
      <c r="M39" s="52"/>
      <c r="N39" s="50"/>
      <c r="O39" s="50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7"/>
      <c r="BH39" s="53"/>
      <c r="BI39" s="53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78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>
        <f t="shared" si="102"/>
        <v>0</v>
      </c>
      <c r="DB39" s="17">
        <f t="shared" si="102"/>
        <v>0</v>
      </c>
      <c r="DC39" s="18">
        <f t="shared" si="103"/>
        <v>0</v>
      </c>
      <c r="DD39" s="108"/>
      <c r="DE39" s="40"/>
      <c r="DF39" s="40"/>
      <c r="DG39" s="40"/>
      <c r="DH39" s="156">
        <f t="shared" si="56"/>
        <v>0</v>
      </c>
      <c r="DI39" s="156">
        <f t="shared" si="57"/>
        <v>0</v>
      </c>
      <c r="DJ39" s="18">
        <f t="shared" si="58"/>
        <v>0</v>
      </c>
      <c r="DK39" s="108">
        <v>1</v>
      </c>
      <c r="DL39" s="40"/>
      <c r="DM39" s="40">
        <v>2</v>
      </c>
      <c r="DN39" s="40"/>
      <c r="DO39" s="156">
        <f t="shared" si="5"/>
        <v>5</v>
      </c>
      <c r="DP39" s="156">
        <f t="shared" si="6"/>
        <v>0</v>
      </c>
      <c r="DQ39" s="18">
        <f t="shared" si="7"/>
        <v>5</v>
      </c>
      <c r="DR39" s="108"/>
      <c r="DS39" s="40"/>
      <c r="DT39" s="40">
        <v>2</v>
      </c>
      <c r="DU39" s="40"/>
      <c r="DV39" s="156">
        <f t="shared" si="8"/>
        <v>2</v>
      </c>
      <c r="DW39" s="156">
        <f t="shared" si="9"/>
        <v>0</v>
      </c>
      <c r="DX39" s="18">
        <f t="shared" si="10"/>
        <v>2</v>
      </c>
      <c r="DY39" s="108">
        <v>1</v>
      </c>
      <c r="DZ39" s="40"/>
      <c r="EA39" s="40"/>
      <c r="EB39" s="40"/>
      <c r="EC39" s="156">
        <f t="shared" si="11"/>
        <v>3</v>
      </c>
      <c r="ED39" s="156">
        <f t="shared" si="12"/>
        <v>0</v>
      </c>
      <c r="EE39" s="18">
        <f t="shared" si="13"/>
        <v>3</v>
      </c>
      <c r="EF39" s="108"/>
      <c r="EG39" s="40"/>
      <c r="EH39" s="40"/>
      <c r="EI39" s="40"/>
      <c r="EJ39" s="156">
        <f t="shared" si="14"/>
        <v>0</v>
      </c>
      <c r="EK39" s="156">
        <f t="shared" si="15"/>
        <v>0</v>
      </c>
      <c r="EL39" s="18">
        <f t="shared" si="16"/>
        <v>0</v>
      </c>
      <c r="EM39" s="74">
        <f t="shared" si="17"/>
        <v>10</v>
      </c>
      <c r="EN39" s="75">
        <f t="shared" ca="1" si="18"/>
        <v>8.4033613445378158E-2</v>
      </c>
      <c r="EO39" s="76">
        <f t="shared" si="19"/>
        <v>0</v>
      </c>
      <c r="EP39" s="75">
        <f t="shared" ca="1" si="20"/>
        <v>0</v>
      </c>
      <c r="EQ39" s="76">
        <f t="shared" si="21"/>
        <v>10</v>
      </c>
      <c r="ER39" s="75">
        <f t="shared" ca="1" si="22"/>
        <v>8.4033613445378158E-2</v>
      </c>
      <c r="ES39" s="76">
        <f t="shared" si="23"/>
        <v>2</v>
      </c>
      <c r="ET39" s="76">
        <f t="shared" si="24"/>
        <v>0</v>
      </c>
      <c r="EU39" s="76">
        <f t="shared" si="25"/>
        <v>2</v>
      </c>
    </row>
    <row r="40" spans="1:151" ht="15.75" thickBot="1" x14ac:dyDescent="0.3">
      <c r="A40" s="110" t="s">
        <v>12</v>
      </c>
      <c r="B40" s="250" t="s">
        <v>223</v>
      </c>
      <c r="C40" s="85" t="str">
        <f t="shared" si="0"/>
        <v>טופז מפאוג</v>
      </c>
      <c r="D40" s="36" t="s">
        <v>6</v>
      </c>
      <c r="E40" s="36" t="s">
        <v>6</v>
      </c>
      <c r="F40" s="31" t="s">
        <v>224</v>
      </c>
      <c r="G40" s="30">
        <v>43313</v>
      </c>
      <c r="H40" s="31"/>
      <c r="I40" s="73"/>
      <c r="J40" s="51"/>
      <c r="K40" s="52"/>
      <c r="L40" s="52"/>
      <c r="M40" s="52"/>
      <c r="N40" s="50"/>
      <c r="O40" s="50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7"/>
      <c r="BH40" s="53"/>
      <c r="BI40" s="53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78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>
        <f>CP40*3+CR40</f>
        <v>0</v>
      </c>
      <c r="CU40" s="14">
        <f>CQ40*3+CS40</f>
        <v>0</v>
      </c>
      <c r="CV40" s="39">
        <f>CU40+CT40</f>
        <v>0</v>
      </c>
      <c r="CW40" s="32"/>
      <c r="CX40" s="40"/>
      <c r="CY40" s="40"/>
      <c r="CZ40" s="40"/>
      <c r="DA40" s="17">
        <f t="shared" si="102"/>
        <v>0</v>
      </c>
      <c r="DB40" s="17">
        <f t="shared" si="102"/>
        <v>0</v>
      </c>
      <c r="DC40" s="18">
        <f t="shared" si="103"/>
        <v>0</v>
      </c>
      <c r="DD40" s="108">
        <v>1</v>
      </c>
      <c r="DE40" s="40"/>
      <c r="DF40" s="40">
        <v>1</v>
      </c>
      <c r="DG40" s="40"/>
      <c r="DH40" s="156">
        <f t="shared" si="56"/>
        <v>4</v>
      </c>
      <c r="DI40" s="156">
        <f t="shared" si="57"/>
        <v>0</v>
      </c>
      <c r="DJ40" s="18">
        <f t="shared" si="58"/>
        <v>4</v>
      </c>
      <c r="DK40" s="108"/>
      <c r="DL40" s="40"/>
      <c r="DM40" s="40">
        <v>2</v>
      </c>
      <c r="DN40" s="40"/>
      <c r="DO40" s="156">
        <f t="shared" si="5"/>
        <v>2</v>
      </c>
      <c r="DP40" s="156">
        <f t="shared" si="6"/>
        <v>0</v>
      </c>
      <c r="DQ40" s="18">
        <f t="shared" si="7"/>
        <v>2</v>
      </c>
      <c r="DR40" s="108">
        <v>1</v>
      </c>
      <c r="DS40" s="40"/>
      <c r="DT40" s="40">
        <v>1</v>
      </c>
      <c r="DU40" s="40"/>
      <c r="DV40" s="156">
        <f t="shared" si="8"/>
        <v>4</v>
      </c>
      <c r="DW40" s="156">
        <f t="shared" si="9"/>
        <v>0</v>
      </c>
      <c r="DX40" s="18">
        <f t="shared" si="10"/>
        <v>4</v>
      </c>
      <c r="DY40" s="108"/>
      <c r="DZ40" s="40"/>
      <c r="EA40" s="40">
        <v>5</v>
      </c>
      <c r="EB40" s="40"/>
      <c r="EC40" s="156">
        <f t="shared" si="11"/>
        <v>5</v>
      </c>
      <c r="ED40" s="156">
        <f t="shared" si="12"/>
        <v>0</v>
      </c>
      <c r="EE40" s="18">
        <f t="shared" si="13"/>
        <v>5</v>
      </c>
      <c r="EF40" s="108"/>
      <c r="EG40" s="40"/>
      <c r="EH40" s="40"/>
      <c r="EI40" s="40"/>
      <c r="EJ40" s="156">
        <f t="shared" si="14"/>
        <v>0</v>
      </c>
      <c r="EK40" s="156">
        <f t="shared" si="15"/>
        <v>0</v>
      </c>
      <c r="EL40" s="18">
        <f t="shared" si="16"/>
        <v>0</v>
      </c>
      <c r="EM40" s="74">
        <f t="shared" si="17"/>
        <v>15</v>
      </c>
      <c r="EN40" s="75">
        <f t="shared" ca="1" si="18"/>
        <v>0.1</v>
      </c>
      <c r="EO40" s="76">
        <f t="shared" si="19"/>
        <v>0</v>
      </c>
      <c r="EP40" s="75">
        <f t="shared" ca="1" si="20"/>
        <v>0</v>
      </c>
      <c r="EQ40" s="76">
        <f t="shared" si="21"/>
        <v>15</v>
      </c>
      <c r="ER40" s="75">
        <f t="shared" ca="1" si="22"/>
        <v>0.1</v>
      </c>
      <c r="ES40" s="76">
        <f t="shared" si="23"/>
        <v>2</v>
      </c>
      <c r="ET40" s="76">
        <f t="shared" si="24"/>
        <v>0</v>
      </c>
      <c r="EU40" s="76">
        <f t="shared" si="25"/>
        <v>2</v>
      </c>
    </row>
    <row r="41" spans="1:151" ht="15.75" thickBot="1" x14ac:dyDescent="0.3">
      <c r="A41" s="110" t="s">
        <v>12</v>
      </c>
      <c r="B41" s="242" t="s">
        <v>279</v>
      </c>
      <c r="C41" s="85" t="str">
        <f t="shared" si="0"/>
        <v>נילי מפאוג</v>
      </c>
      <c r="D41" s="36" t="s">
        <v>6</v>
      </c>
      <c r="E41" s="36" t="s">
        <v>7</v>
      </c>
      <c r="F41" s="31" t="s">
        <v>276</v>
      </c>
      <c r="G41" s="30">
        <v>43393</v>
      </c>
      <c r="H41" s="31"/>
      <c r="I41" s="73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27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9"/>
      <c r="CF41" s="14"/>
      <c r="CG41" s="14"/>
      <c r="CH41" s="39"/>
      <c r="CI41" s="40"/>
      <c r="CJ41" s="40"/>
      <c r="CK41" s="40"/>
      <c r="CL41" s="83"/>
      <c r="CM41" s="14"/>
      <c r="CN41" s="14"/>
      <c r="CO41" s="39"/>
      <c r="CP41" s="108"/>
      <c r="CQ41" s="40"/>
      <c r="CR41" s="40"/>
      <c r="CS41" s="40"/>
      <c r="CT41" s="14"/>
      <c r="CU41" s="14"/>
      <c r="CV41" s="39"/>
      <c r="CW41" s="32"/>
      <c r="CX41" s="40"/>
      <c r="CY41" s="40"/>
      <c r="CZ41" s="40"/>
      <c r="DA41" s="17"/>
      <c r="DB41" s="17"/>
      <c r="DC41" s="18"/>
      <c r="DD41" s="108"/>
      <c r="DE41" s="40"/>
      <c r="DF41" s="40"/>
      <c r="DG41" s="40"/>
      <c r="DH41" s="156">
        <f t="shared" si="56"/>
        <v>0</v>
      </c>
      <c r="DI41" s="156">
        <f t="shared" si="57"/>
        <v>0</v>
      </c>
      <c r="DJ41" s="18">
        <f t="shared" si="58"/>
        <v>0</v>
      </c>
      <c r="DK41" s="108"/>
      <c r="DL41" s="40"/>
      <c r="DM41" s="40"/>
      <c r="DN41" s="40"/>
      <c r="DO41" s="156">
        <f t="shared" si="5"/>
        <v>0</v>
      </c>
      <c r="DP41" s="156">
        <f t="shared" si="6"/>
        <v>0</v>
      </c>
      <c r="DQ41" s="18">
        <f t="shared" si="7"/>
        <v>0</v>
      </c>
      <c r="DR41" s="108">
        <v>1</v>
      </c>
      <c r="DS41" s="40"/>
      <c r="DT41" s="40"/>
      <c r="DU41" s="40"/>
      <c r="DV41" s="156">
        <f t="shared" si="8"/>
        <v>3</v>
      </c>
      <c r="DW41" s="156">
        <f t="shared" si="9"/>
        <v>0</v>
      </c>
      <c r="DX41" s="18">
        <f t="shared" si="10"/>
        <v>3</v>
      </c>
      <c r="DY41" s="108"/>
      <c r="DZ41" s="40"/>
      <c r="EA41" s="40">
        <v>2</v>
      </c>
      <c r="EB41" s="40">
        <v>1</v>
      </c>
      <c r="EC41" s="156">
        <f t="shared" si="11"/>
        <v>2</v>
      </c>
      <c r="ED41" s="156">
        <f t="shared" si="12"/>
        <v>1</v>
      </c>
      <c r="EE41" s="18">
        <f t="shared" si="13"/>
        <v>3</v>
      </c>
      <c r="EF41" s="108"/>
      <c r="EG41" s="40"/>
      <c r="EH41" s="40"/>
      <c r="EI41" s="40"/>
      <c r="EJ41" s="156">
        <f t="shared" si="14"/>
        <v>0</v>
      </c>
      <c r="EK41" s="156">
        <f t="shared" si="15"/>
        <v>0</v>
      </c>
      <c r="EL41" s="18">
        <f t="shared" si="16"/>
        <v>0</v>
      </c>
      <c r="EM41" s="74">
        <f t="shared" si="17"/>
        <v>5</v>
      </c>
      <c r="EN41" s="75">
        <f t="shared" ca="1" si="18"/>
        <v>7.1428571428571425E-2</v>
      </c>
      <c r="EO41" s="76">
        <f t="shared" si="19"/>
        <v>1</v>
      </c>
      <c r="EP41" s="75">
        <f t="shared" ca="1" si="20"/>
        <v>1.4285714285714285E-2</v>
      </c>
      <c r="EQ41" s="76">
        <f t="shared" si="21"/>
        <v>6</v>
      </c>
      <c r="ER41" s="75">
        <f t="shared" ca="1" si="22"/>
        <v>8.5714285714285715E-2</v>
      </c>
      <c r="ES41" s="76">
        <f t="shared" si="23"/>
        <v>1</v>
      </c>
      <c r="ET41" s="76">
        <f t="shared" si="24"/>
        <v>0</v>
      </c>
      <c r="EU41" s="76">
        <f t="shared" si="25"/>
        <v>1</v>
      </c>
    </row>
    <row r="42" spans="1:151" ht="15.75" thickBot="1" x14ac:dyDescent="0.3">
      <c r="A42" s="218" t="s">
        <v>12</v>
      </c>
      <c r="B42" s="45" t="s">
        <v>98</v>
      </c>
      <c r="C42" s="26" t="str">
        <f t="shared" si="0"/>
        <v>רבקה מפאוג</v>
      </c>
      <c r="D42" s="36" t="s">
        <v>6</v>
      </c>
      <c r="E42" s="36" t="s">
        <v>7</v>
      </c>
      <c r="F42" s="31" t="s">
        <v>146</v>
      </c>
      <c r="G42" s="30">
        <v>43040</v>
      </c>
      <c r="H42" s="31"/>
      <c r="I42" s="73"/>
      <c r="J42" s="51"/>
      <c r="K42" s="52"/>
      <c r="L42" s="52"/>
      <c r="M42" s="52"/>
      <c r="N42" s="50">
        <f>J42*3+L42</f>
        <v>0</v>
      </c>
      <c r="O42" s="50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>
        <v>1</v>
      </c>
      <c r="AV42" s="27"/>
      <c r="AW42" s="14">
        <f>AS42*3+AU42</f>
        <v>1</v>
      </c>
      <c r="AX42" s="14">
        <f>AT42*3+AV42</f>
        <v>0</v>
      </c>
      <c r="AY42" s="16">
        <f>AX42+AW42</f>
        <v>1</v>
      </c>
      <c r="AZ42" s="25">
        <v>1</v>
      </c>
      <c r="BA42" s="27"/>
      <c r="BB42" s="27">
        <v>2</v>
      </c>
      <c r="BC42" s="27"/>
      <c r="BD42" s="14">
        <f>AZ42*3+BB42</f>
        <v>5</v>
      </c>
      <c r="BE42" s="14">
        <f>BA42*3+BC42</f>
        <v>0</v>
      </c>
      <c r="BF42" s="16">
        <f>BE42+BD42</f>
        <v>5</v>
      </c>
      <c r="BG42" s="47"/>
      <c r="BH42" s="53"/>
      <c r="BI42" s="27">
        <v>3</v>
      </c>
      <c r="BJ42" s="27"/>
      <c r="BK42" s="14">
        <f>BG42*3+BI42</f>
        <v>3</v>
      </c>
      <c r="BL42" s="14">
        <f>BH42*3+BJ42</f>
        <v>0</v>
      </c>
      <c r="BM42" s="39">
        <f>BL42+BK42</f>
        <v>3</v>
      </c>
      <c r="BN42" s="32"/>
      <c r="BO42" s="40"/>
      <c r="BP42" s="40">
        <v>4</v>
      </c>
      <c r="BQ42" s="40"/>
      <c r="BR42" s="14">
        <f>BN42*3+BP42</f>
        <v>4</v>
      </c>
      <c r="BS42" s="14">
        <f>BO42*3+BQ42</f>
        <v>0</v>
      </c>
      <c r="BT42" s="39">
        <f>BS42+BR42</f>
        <v>4</v>
      </c>
      <c r="BU42" s="32">
        <v>1</v>
      </c>
      <c r="BV42" s="40"/>
      <c r="BW42" s="40">
        <v>1</v>
      </c>
      <c r="BX42" s="40">
        <v>1</v>
      </c>
      <c r="BY42" s="14">
        <f>BU42*3+BW42</f>
        <v>4</v>
      </c>
      <c r="BZ42" s="14">
        <f>BV42*3+BX42</f>
        <v>1</v>
      </c>
      <c r="CA42" s="39">
        <f>BZ42+BY42</f>
        <v>5</v>
      </c>
      <c r="CB42" s="32">
        <v>1</v>
      </c>
      <c r="CC42" s="40"/>
      <c r="CD42" s="40"/>
      <c r="CE42" s="79"/>
      <c r="CF42" s="14">
        <f>CB42*3+CD42</f>
        <v>3</v>
      </c>
      <c r="CG42" s="14">
        <f>CC42*3+CE42</f>
        <v>0</v>
      </c>
      <c r="CH42" s="39">
        <f>CG42+CF42</f>
        <v>3</v>
      </c>
      <c r="CI42" s="40"/>
      <c r="CJ42" s="40"/>
      <c r="CK42" s="40"/>
      <c r="CL42" s="83"/>
      <c r="CM42" s="14">
        <f>CI42*3+CK42</f>
        <v>0</v>
      </c>
      <c r="CN42" s="14">
        <f>CJ42*3+CL42</f>
        <v>0</v>
      </c>
      <c r="CO42" s="39">
        <f>CN42+CM42</f>
        <v>0</v>
      </c>
      <c r="CP42" s="108"/>
      <c r="CQ42" s="40"/>
      <c r="CR42" s="40">
        <v>2</v>
      </c>
      <c r="CS42" s="40">
        <v>1</v>
      </c>
      <c r="CT42" s="14">
        <f>CP42*3+CR42</f>
        <v>2</v>
      </c>
      <c r="CU42" s="14">
        <f>CQ42*3+CS42</f>
        <v>1</v>
      </c>
      <c r="CV42" s="39">
        <f>CU42+CT42</f>
        <v>3</v>
      </c>
      <c r="CW42" s="32">
        <v>1</v>
      </c>
      <c r="CX42" s="40"/>
      <c r="CY42" s="40">
        <v>1</v>
      </c>
      <c r="CZ42" s="40"/>
      <c r="DA42" s="17">
        <f>CW42*3+CY42</f>
        <v>4</v>
      </c>
      <c r="DB42" s="17">
        <f>CX42*3+CZ42</f>
        <v>0</v>
      </c>
      <c r="DC42" s="18">
        <f>DB42+DA42</f>
        <v>4</v>
      </c>
      <c r="DD42" s="108"/>
      <c r="DE42" s="40">
        <v>1</v>
      </c>
      <c r="DF42" s="40">
        <v>1</v>
      </c>
      <c r="DG42" s="40"/>
      <c r="DH42" s="156">
        <f t="shared" si="56"/>
        <v>1</v>
      </c>
      <c r="DI42" s="156">
        <f t="shared" si="57"/>
        <v>3</v>
      </c>
      <c r="DJ42" s="18">
        <f t="shared" si="58"/>
        <v>4</v>
      </c>
      <c r="DK42" s="108">
        <v>1</v>
      </c>
      <c r="DL42" s="40"/>
      <c r="DM42" s="40"/>
      <c r="DN42" s="40"/>
      <c r="DO42" s="156">
        <f t="shared" si="5"/>
        <v>3</v>
      </c>
      <c r="DP42" s="156">
        <f t="shared" si="6"/>
        <v>0</v>
      </c>
      <c r="DQ42" s="18">
        <f t="shared" si="7"/>
        <v>3</v>
      </c>
      <c r="DR42" s="108"/>
      <c r="DS42" s="40"/>
      <c r="DT42" s="40">
        <v>2</v>
      </c>
      <c r="DU42" s="40"/>
      <c r="DV42" s="156">
        <f t="shared" si="8"/>
        <v>2</v>
      </c>
      <c r="DW42" s="156">
        <f t="shared" si="9"/>
        <v>0</v>
      </c>
      <c r="DX42" s="18">
        <f t="shared" si="10"/>
        <v>2</v>
      </c>
      <c r="DY42" s="108"/>
      <c r="DZ42" s="40"/>
      <c r="EA42" s="40">
        <v>4</v>
      </c>
      <c r="EB42" s="40">
        <v>1</v>
      </c>
      <c r="EC42" s="156">
        <f t="shared" si="11"/>
        <v>4</v>
      </c>
      <c r="ED42" s="156">
        <f t="shared" si="12"/>
        <v>1</v>
      </c>
      <c r="EE42" s="18">
        <f t="shared" si="13"/>
        <v>5</v>
      </c>
      <c r="EF42" s="108">
        <v>1</v>
      </c>
      <c r="EG42" s="40"/>
      <c r="EH42" s="40"/>
      <c r="EI42" s="40"/>
      <c r="EJ42" s="156">
        <f t="shared" si="14"/>
        <v>3</v>
      </c>
      <c r="EK42" s="156">
        <f t="shared" si="15"/>
        <v>0</v>
      </c>
      <c r="EL42" s="18">
        <f t="shared" si="16"/>
        <v>3</v>
      </c>
      <c r="EM42" s="74">
        <f t="shared" si="17"/>
        <v>39</v>
      </c>
      <c r="EN42" s="75">
        <f t="shared" ca="1" si="18"/>
        <v>9.2198581560283682E-2</v>
      </c>
      <c r="EO42" s="76">
        <f t="shared" si="19"/>
        <v>6</v>
      </c>
      <c r="EP42" s="75">
        <f t="shared" ca="1" si="20"/>
        <v>1.4184397163120567E-2</v>
      </c>
      <c r="EQ42" s="76">
        <f t="shared" si="21"/>
        <v>45</v>
      </c>
      <c r="ER42" s="75">
        <f t="shared" ca="1" si="22"/>
        <v>0.10638297872340424</v>
      </c>
      <c r="ES42" s="76">
        <f t="shared" si="23"/>
        <v>6</v>
      </c>
      <c r="ET42" s="76">
        <f t="shared" si="24"/>
        <v>1</v>
      </c>
      <c r="EU42" s="76">
        <f t="shared" si="25"/>
        <v>7</v>
      </c>
    </row>
    <row r="43" spans="1:151" ht="15.75" thickBot="1" x14ac:dyDescent="0.3">
      <c r="A43" s="218" t="s">
        <v>12</v>
      </c>
      <c r="B43" s="45" t="s">
        <v>11</v>
      </c>
      <c r="C43" s="26" t="str">
        <f t="shared" si="0"/>
        <v>שיר מפאוג</v>
      </c>
      <c r="D43" s="36" t="s">
        <v>6</v>
      </c>
      <c r="E43" s="36" t="s">
        <v>6</v>
      </c>
      <c r="F43" s="31" t="s">
        <v>303</v>
      </c>
      <c r="G43" s="30">
        <v>43405</v>
      </c>
      <c r="H43" s="42"/>
      <c r="I43" s="73"/>
      <c r="J43" s="51"/>
      <c r="K43" s="52"/>
      <c r="L43" s="52"/>
      <c r="M43" s="52"/>
      <c r="N43" s="50"/>
      <c r="O43" s="50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47"/>
      <c r="BH43" s="53"/>
      <c r="BI43" s="27"/>
      <c r="BJ43" s="27"/>
      <c r="BK43" s="14"/>
      <c r="BL43" s="14"/>
      <c r="BM43" s="39"/>
      <c r="BN43" s="32"/>
      <c r="BO43" s="40"/>
      <c r="BP43" s="40"/>
      <c r="BQ43" s="40"/>
      <c r="BR43" s="14"/>
      <c r="BS43" s="14"/>
      <c r="BT43" s="39"/>
      <c r="BU43" s="32"/>
      <c r="BV43" s="40"/>
      <c r="BW43" s="40"/>
      <c r="BX43" s="40"/>
      <c r="BY43" s="14"/>
      <c r="BZ43" s="14"/>
      <c r="CA43" s="39"/>
      <c r="CB43" s="32"/>
      <c r="CC43" s="40"/>
      <c r="CD43" s="40"/>
      <c r="CE43" s="79"/>
      <c r="CF43" s="14"/>
      <c r="CG43" s="14"/>
      <c r="CH43" s="39"/>
      <c r="CI43" s="40"/>
      <c r="CJ43" s="40"/>
      <c r="CK43" s="40"/>
      <c r="CL43" s="83"/>
      <c r="CM43" s="14"/>
      <c r="CN43" s="14"/>
      <c r="CO43" s="39"/>
      <c r="CP43" s="108"/>
      <c r="CQ43" s="40"/>
      <c r="CR43" s="40"/>
      <c r="CS43" s="40"/>
      <c r="CT43" s="14"/>
      <c r="CU43" s="14"/>
      <c r="CV43" s="39"/>
      <c r="CW43" s="32"/>
      <c r="CX43" s="40"/>
      <c r="CY43" s="40"/>
      <c r="CZ43" s="40"/>
      <c r="DA43" s="17"/>
      <c r="DB43" s="17"/>
      <c r="DC43" s="18"/>
      <c r="DD43" s="108"/>
      <c r="DE43" s="40"/>
      <c r="DF43" s="40"/>
      <c r="DG43" s="40"/>
      <c r="DH43" s="156"/>
      <c r="DI43" s="156"/>
      <c r="DJ43" s="18"/>
      <c r="DK43" s="108"/>
      <c r="DL43" s="40"/>
      <c r="DM43" s="40"/>
      <c r="DN43" s="40"/>
      <c r="DO43" s="156">
        <f t="shared" si="5"/>
        <v>0</v>
      </c>
      <c r="DP43" s="156">
        <f t="shared" si="6"/>
        <v>0</v>
      </c>
      <c r="DQ43" s="18">
        <f t="shared" si="7"/>
        <v>0</v>
      </c>
      <c r="DR43" s="108"/>
      <c r="DS43" s="40"/>
      <c r="DT43" s="40"/>
      <c r="DU43" s="40"/>
      <c r="DV43" s="156">
        <f t="shared" si="8"/>
        <v>0</v>
      </c>
      <c r="DW43" s="156">
        <f t="shared" si="9"/>
        <v>0</v>
      </c>
      <c r="DX43" s="18">
        <f t="shared" si="10"/>
        <v>0</v>
      </c>
      <c r="DY43" s="108"/>
      <c r="DZ43" s="40"/>
      <c r="EA43" s="40"/>
      <c r="EB43" s="40"/>
      <c r="EC43" s="156">
        <f t="shared" si="11"/>
        <v>0</v>
      </c>
      <c r="ED43" s="156">
        <f t="shared" si="12"/>
        <v>0</v>
      </c>
      <c r="EE43" s="18">
        <f t="shared" si="13"/>
        <v>0</v>
      </c>
      <c r="EF43" s="108"/>
      <c r="EG43" s="40"/>
      <c r="EH43" s="40"/>
      <c r="EI43" s="40"/>
      <c r="EJ43" s="156">
        <f t="shared" si="14"/>
        <v>0</v>
      </c>
      <c r="EK43" s="156">
        <f t="shared" si="15"/>
        <v>0</v>
      </c>
      <c r="EL43" s="18">
        <f t="shared" si="16"/>
        <v>0</v>
      </c>
      <c r="EM43" s="74">
        <f t="shared" si="17"/>
        <v>0</v>
      </c>
      <c r="EN43" s="75">
        <f t="shared" ca="1" si="18"/>
        <v>0</v>
      </c>
      <c r="EO43" s="76">
        <f t="shared" si="19"/>
        <v>0</v>
      </c>
      <c r="EP43" s="75">
        <f t="shared" ca="1" si="20"/>
        <v>0</v>
      </c>
      <c r="EQ43" s="76">
        <f t="shared" si="21"/>
        <v>0</v>
      </c>
      <c r="ER43" s="75">
        <f t="shared" ca="1" si="22"/>
        <v>0</v>
      </c>
      <c r="ES43" s="76">
        <f t="shared" si="23"/>
        <v>0</v>
      </c>
      <c r="ET43" s="76">
        <f t="shared" si="24"/>
        <v>0</v>
      </c>
      <c r="EU43" s="76">
        <f t="shared" si="25"/>
        <v>0</v>
      </c>
    </row>
    <row r="44" spans="1:151" ht="15.75" thickBot="1" x14ac:dyDescent="0.3">
      <c r="A44" s="110" t="s">
        <v>14</v>
      </c>
      <c r="B44" s="250" t="s">
        <v>189</v>
      </c>
      <c r="C44" s="85" t="str">
        <f t="shared" si="0"/>
        <v>יונתן מרחבים</v>
      </c>
      <c r="D44" s="36" t="s">
        <v>6</v>
      </c>
      <c r="E44" s="36" t="s">
        <v>7</v>
      </c>
      <c r="F44" s="31" t="s">
        <v>188</v>
      </c>
      <c r="G44" s="30">
        <v>43230</v>
      </c>
      <c r="H44" s="42"/>
      <c r="I44" s="35" t="s">
        <v>190</v>
      </c>
      <c r="J44" s="51"/>
      <c r="K44" s="52"/>
      <c r="L44" s="52"/>
      <c r="M44" s="52"/>
      <c r="N44" s="50">
        <f>J44*3+L44</f>
        <v>0</v>
      </c>
      <c r="O44" s="50">
        <f>K44*3+M44</f>
        <v>0</v>
      </c>
      <c r="P44" s="15">
        <f>O44+N44</f>
        <v>0</v>
      </c>
      <c r="Q44" s="25"/>
      <c r="R44" s="27"/>
      <c r="S44" s="27"/>
      <c r="T44" s="27"/>
      <c r="U44" s="14">
        <f>Q44*3+S44</f>
        <v>0</v>
      </c>
      <c r="V44" s="14">
        <f>R44*3+T44</f>
        <v>0</v>
      </c>
      <c r="W44" s="16">
        <f>V44+U44</f>
        <v>0</v>
      </c>
      <c r="X44" s="25"/>
      <c r="Y44" s="27"/>
      <c r="Z44" s="27"/>
      <c r="AA44" s="27"/>
      <c r="AB44" s="17">
        <f>X44*3+Z44</f>
        <v>0</v>
      </c>
      <c r="AC44" s="17">
        <f>Y44*3+AA44</f>
        <v>0</v>
      </c>
      <c r="AD44" s="18">
        <f>AC44+AB44</f>
        <v>0</v>
      </c>
      <c r="AE44" s="25"/>
      <c r="AF44" s="27"/>
      <c r="AG44" s="27"/>
      <c r="AH44" s="27"/>
      <c r="AI44" s="14">
        <f>AE44*3+AG44</f>
        <v>0</v>
      </c>
      <c r="AJ44" s="14">
        <f>AF44*3+AH44</f>
        <v>0</v>
      </c>
      <c r="AK44" s="16">
        <f>AJ44+AI44</f>
        <v>0</v>
      </c>
      <c r="AL44" s="25"/>
      <c r="AM44" s="27"/>
      <c r="AN44" s="27"/>
      <c r="AO44" s="27"/>
      <c r="AP44" s="14">
        <f>AL44*3+AN44</f>
        <v>0</v>
      </c>
      <c r="AQ44" s="14">
        <f>AM44*3+AO44</f>
        <v>0</v>
      </c>
      <c r="AR44" s="16">
        <f>AQ44+AP44</f>
        <v>0</v>
      </c>
      <c r="AS44" s="25"/>
      <c r="AT44" s="27"/>
      <c r="AU44" s="27"/>
      <c r="AV44" s="27"/>
      <c r="AW44" s="14">
        <f>AS44*3+AU44</f>
        <v>0</v>
      </c>
      <c r="AX44" s="14">
        <f>AT44*3+AV44</f>
        <v>0</v>
      </c>
      <c r="AY44" s="16">
        <f>AX44+AW44</f>
        <v>0</v>
      </c>
      <c r="AZ44" s="25"/>
      <c r="BA44" s="27"/>
      <c r="BB44" s="27"/>
      <c r="BC44" s="27"/>
      <c r="BD44" s="14">
        <f>AZ44*3+BB44</f>
        <v>0</v>
      </c>
      <c r="BE44" s="14">
        <f>BA44*3+BC44</f>
        <v>0</v>
      </c>
      <c r="BF44" s="16">
        <f>BE44+BD44</f>
        <v>0</v>
      </c>
      <c r="BG44" s="47"/>
      <c r="BH44" s="53"/>
      <c r="BI44" s="27"/>
      <c r="BJ44" s="27"/>
      <c r="BK44" s="14">
        <f>BG44*3+BI44</f>
        <v>0</v>
      </c>
      <c r="BL44" s="14">
        <f>BH44*3+BJ44</f>
        <v>0</v>
      </c>
      <c r="BM44" s="39">
        <f>BL44+BK44</f>
        <v>0</v>
      </c>
      <c r="BN44" s="47"/>
      <c r="BO44" s="53"/>
      <c r="BP44" s="53"/>
      <c r="BQ44" s="53"/>
      <c r="BR44" s="14">
        <f>BN44*3+BP44</f>
        <v>0</v>
      </c>
      <c r="BS44" s="14">
        <f>BO44*3+BQ44</f>
        <v>0</v>
      </c>
      <c r="BT44" s="39">
        <f>BS44+BR44</f>
        <v>0</v>
      </c>
      <c r="BU44" s="47"/>
      <c r="BV44" s="53"/>
      <c r="BW44" s="53"/>
      <c r="BX44" s="53"/>
      <c r="BY44" s="14">
        <f>BU44*3+BW44</f>
        <v>0</v>
      </c>
      <c r="BZ44" s="14">
        <f>BV44*3+BX44</f>
        <v>0</v>
      </c>
      <c r="CA44" s="39">
        <f>BZ44+BY44</f>
        <v>0</v>
      </c>
      <c r="CB44" s="47"/>
      <c r="CC44" s="53"/>
      <c r="CD44" s="53"/>
      <c r="CE44" s="81"/>
      <c r="CF44" s="14">
        <f>CB44*3+CD44</f>
        <v>0</v>
      </c>
      <c r="CG44" s="14">
        <f>CC44*3+CE44</f>
        <v>0</v>
      </c>
      <c r="CH44" s="39">
        <f>CG44+CF44</f>
        <v>0</v>
      </c>
      <c r="CI44" s="40"/>
      <c r="CJ44" s="40"/>
      <c r="CK44" s="40">
        <v>1</v>
      </c>
      <c r="CL44" s="83"/>
      <c r="CM44" s="14">
        <f>CI44*3+CK44</f>
        <v>1</v>
      </c>
      <c r="CN44" s="14">
        <f>CJ44*3+CL44</f>
        <v>0</v>
      </c>
      <c r="CO44" s="39">
        <f>CN44+CM44</f>
        <v>1</v>
      </c>
      <c r="CP44" s="109"/>
      <c r="CQ44" s="53"/>
      <c r="CR44" s="53">
        <v>3</v>
      </c>
      <c r="CS44" s="53"/>
      <c r="CT44" s="14">
        <f>CP44*3+CR44</f>
        <v>3</v>
      </c>
      <c r="CU44" s="14">
        <f>CQ44*3+CS44</f>
        <v>0</v>
      </c>
      <c r="CV44" s="39">
        <f>CU44+CT44</f>
        <v>3</v>
      </c>
      <c r="CW44" s="32"/>
      <c r="CX44" s="40"/>
      <c r="CY44" s="40">
        <v>3</v>
      </c>
      <c r="CZ44" s="40"/>
      <c r="DA44" s="17">
        <f>CW44*3+CY44</f>
        <v>3</v>
      </c>
      <c r="DB44" s="17">
        <f>CX44*3+CZ44</f>
        <v>0</v>
      </c>
      <c r="DC44" s="18">
        <f>DB44+DA44</f>
        <v>3</v>
      </c>
      <c r="DD44" s="108"/>
      <c r="DE44" s="40">
        <v>1</v>
      </c>
      <c r="DF44" s="40">
        <v>1</v>
      </c>
      <c r="DG44" s="40"/>
      <c r="DH44" s="156">
        <f>DD44*3+DF44</f>
        <v>1</v>
      </c>
      <c r="DI44" s="156">
        <f>DE44*3+DG44</f>
        <v>3</v>
      </c>
      <c r="DJ44" s="18">
        <f>DI44+DH44</f>
        <v>4</v>
      </c>
      <c r="DK44" s="108"/>
      <c r="DL44" s="40"/>
      <c r="DM44" s="40">
        <v>2</v>
      </c>
      <c r="DN44" s="40"/>
      <c r="DO44" s="156">
        <f t="shared" si="5"/>
        <v>2</v>
      </c>
      <c r="DP44" s="156">
        <f t="shared" si="6"/>
        <v>0</v>
      </c>
      <c r="DQ44" s="18">
        <f t="shared" si="7"/>
        <v>2</v>
      </c>
      <c r="DR44" s="108">
        <v>1</v>
      </c>
      <c r="DS44" s="40"/>
      <c r="DT44" s="40">
        <v>2</v>
      </c>
      <c r="DU44" s="40"/>
      <c r="DV44" s="156">
        <f t="shared" si="8"/>
        <v>5</v>
      </c>
      <c r="DW44" s="156">
        <f t="shared" si="9"/>
        <v>0</v>
      </c>
      <c r="DX44" s="18">
        <f t="shared" si="10"/>
        <v>5</v>
      </c>
      <c r="DY44" s="108">
        <v>1</v>
      </c>
      <c r="DZ44" s="40"/>
      <c r="EA44" s="40">
        <v>1</v>
      </c>
      <c r="EB44" s="40"/>
      <c r="EC44" s="156">
        <f t="shared" si="11"/>
        <v>4</v>
      </c>
      <c r="ED44" s="156">
        <f t="shared" si="12"/>
        <v>0</v>
      </c>
      <c r="EE44" s="18">
        <f t="shared" si="13"/>
        <v>4</v>
      </c>
      <c r="EF44" s="108"/>
      <c r="EG44" s="40"/>
      <c r="EH44" s="40"/>
      <c r="EI44" s="40"/>
      <c r="EJ44" s="156">
        <f t="shared" si="14"/>
        <v>0</v>
      </c>
      <c r="EK44" s="156">
        <f t="shared" si="15"/>
        <v>0</v>
      </c>
      <c r="EL44" s="18">
        <f t="shared" si="16"/>
        <v>0</v>
      </c>
      <c r="EM44" s="74">
        <f t="shared" si="17"/>
        <v>19</v>
      </c>
      <c r="EN44" s="75">
        <f t="shared" ca="1" si="18"/>
        <v>8.15450643776824E-2</v>
      </c>
      <c r="EO44" s="76">
        <f t="shared" si="19"/>
        <v>3</v>
      </c>
      <c r="EP44" s="75">
        <f t="shared" ca="1" si="20"/>
        <v>1.2875536480686695E-2</v>
      </c>
      <c r="EQ44" s="76">
        <f t="shared" si="21"/>
        <v>22</v>
      </c>
      <c r="ER44" s="75">
        <f t="shared" ca="1" si="22"/>
        <v>9.4420600858369091E-2</v>
      </c>
      <c r="ES44" s="76">
        <f t="shared" si="23"/>
        <v>2</v>
      </c>
      <c r="ET44" s="76">
        <f t="shared" si="24"/>
        <v>1</v>
      </c>
      <c r="EU44" s="76">
        <f t="shared" si="25"/>
        <v>3</v>
      </c>
    </row>
    <row r="45" spans="1:151" x14ac:dyDescent="0.25">
      <c r="A45" s="177" t="s">
        <v>14</v>
      </c>
      <c r="B45" s="24" t="s">
        <v>11</v>
      </c>
      <c r="C45" s="11" t="str">
        <f t="shared" si="0"/>
        <v>שיר מרחבים</v>
      </c>
      <c r="D45" s="23" t="s">
        <v>6</v>
      </c>
      <c r="E45" s="23" t="s">
        <v>7</v>
      </c>
      <c r="F45" s="31" t="s">
        <v>276</v>
      </c>
      <c r="G45" s="30">
        <v>43383</v>
      </c>
      <c r="H45" s="31"/>
      <c r="I45" s="245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6">
        <f>DD45*3+DF45</f>
        <v>0</v>
      </c>
      <c r="DI45" s="156">
        <f>DE45*3+DG45</f>
        <v>0</v>
      </c>
      <c r="DJ45" s="18">
        <f>DI45+DH45</f>
        <v>0</v>
      </c>
      <c r="DK45" s="108"/>
      <c r="DL45" s="40"/>
      <c r="DM45" s="40"/>
      <c r="DN45" s="40"/>
      <c r="DO45" s="156">
        <f t="shared" si="5"/>
        <v>0</v>
      </c>
      <c r="DP45" s="156">
        <f t="shared" si="6"/>
        <v>0</v>
      </c>
      <c r="DQ45" s="18">
        <f t="shared" si="7"/>
        <v>0</v>
      </c>
      <c r="DR45" s="108">
        <v>1</v>
      </c>
      <c r="DS45" s="40"/>
      <c r="DT45" s="40"/>
      <c r="DU45" s="40"/>
      <c r="DV45" s="156">
        <f t="shared" si="8"/>
        <v>3</v>
      </c>
      <c r="DW45" s="156">
        <f t="shared" si="9"/>
        <v>0</v>
      </c>
      <c r="DX45" s="18">
        <f t="shared" si="10"/>
        <v>3</v>
      </c>
      <c r="DY45" s="108"/>
      <c r="DZ45" s="40"/>
      <c r="EA45" s="40">
        <v>3</v>
      </c>
      <c r="EB45" s="40"/>
      <c r="EC45" s="156">
        <f t="shared" si="11"/>
        <v>3</v>
      </c>
      <c r="ED45" s="156">
        <f t="shared" si="12"/>
        <v>0</v>
      </c>
      <c r="EE45" s="18">
        <f t="shared" si="13"/>
        <v>3</v>
      </c>
      <c r="EF45" s="108">
        <v>1</v>
      </c>
      <c r="EG45" s="40"/>
      <c r="EH45" s="40"/>
      <c r="EI45" s="40"/>
      <c r="EJ45" s="156">
        <f t="shared" si="14"/>
        <v>3</v>
      </c>
      <c r="EK45" s="156">
        <f t="shared" si="15"/>
        <v>0</v>
      </c>
      <c r="EL45" s="18">
        <f t="shared" si="16"/>
        <v>3</v>
      </c>
      <c r="EM45" s="74">
        <f t="shared" si="17"/>
        <v>9</v>
      </c>
      <c r="EN45" s="75">
        <f t="shared" ca="1" si="18"/>
        <v>0.1125</v>
      </c>
      <c r="EO45" s="76">
        <f t="shared" si="19"/>
        <v>0</v>
      </c>
      <c r="EP45" s="75">
        <f t="shared" ca="1" si="20"/>
        <v>0</v>
      </c>
      <c r="EQ45" s="76">
        <f t="shared" si="21"/>
        <v>9</v>
      </c>
      <c r="ER45" s="75">
        <f t="shared" ca="1" si="22"/>
        <v>0.1125</v>
      </c>
      <c r="ES45" s="76">
        <f t="shared" si="23"/>
        <v>2</v>
      </c>
      <c r="ET45" s="76">
        <f t="shared" si="24"/>
        <v>0</v>
      </c>
      <c r="EU45" s="76">
        <f t="shared" si="25"/>
        <v>2</v>
      </c>
    </row>
    <row r="46" spans="1:151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3"/>
      <c r="DI46" s="154"/>
      <c r="DJ46" s="154"/>
      <c r="DK46" s="153"/>
      <c r="DL46" s="153"/>
      <c r="DM46" s="153"/>
      <c r="DN46" s="153"/>
      <c r="DO46" s="153"/>
      <c r="DP46" s="154"/>
      <c r="DQ46" s="154"/>
      <c r="DR46" s="153"/>
      <c r="DS46" s="153"/>
      <c r="DT46" s="153"/>
      <c r="DU46" s="153"/>
      <c r="DV46" s="153"/>
      <c r="DW46" s="154"/>
      <c r="DX46" s="154"/>
      <c r="DY46" s="153"/>
      <c r="DZ46" s="153"/>
      <c r="EA46" s="153"/>
      <c r="EB46" s="153"/>
      <c r="EC46" s="153"/>
      <c r="ED46" s="154"/>
      <c r="EE46" s="154"/>
      <c r="EF46" s="153"/>
      <c r="EG46" s="153"/>
      <c r="EH46" s="153"/>
      <c r="EI46" s="153"/>
      <c r="EJ46" s="153"/>
      <c r="EK46" s="154"/>
      <c r="EL46" s="154"/>
    </row>
    <row r="47" spans="1:151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3"/>
      <c r="DI47" s="154"/>
      <c r="DJ47" s="154"/>
      <c r="DK47" s="153"/>
      <c r="DL47" s="153"/>
      <c r="DM47" s="153"/>
      <c r="DN47" s="153"/>
      <c r="DO47" s="153"/>
      <c r="DP47" s="154"/>
      <c r="DQ47" s="154"/>
      <c r="DR47" s="153"/>
      <c r="DS47" s="153"/>
      <c r="DT47" s="153"/>
      <c r="DU47" s="153"/>
      <c r="DV47" s="153"/>
      <c r="DW47" s="154"/>
      <c r="DX47" s="154"/>
      <c r="DY47" s="153"/>
      <c r="DZ47" s="153"/>
      <c r="EA47" s="153"/>
      <c r="EB47" s="153"/>
      <c r="EC47" s="153"/>
      <c r="ED47" s="154"/>
      <c r="EE47" s="154"/>
      <c r="EF47" s="153"/>
      <c r="EG47" s="153"/>
      <c r="EH47" s="153"/>
      <c r="EI47" s="153"/>
      <c r="EJ47" s="153"/>
      <c r="EK47" s="154"/>
      <c r="EL47" s="154"/>
    </row>
    <row r="48" spans="1:151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42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42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42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  <c r="EF51" s="153"/>
      <c r="EG51" s="153"/>
      <c r="EH51" s="153"/>
      <c r="EI51" s="153"/>
      <c r="EJ51" s="153"/>
      <c r="EK51" s="154"/>
      <c r="EL51" s="154"/>
    </row>
    <row r="52" spans="1:142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  <c r="EF52" s="153"/>
      <c r="EG52" s="153"/>
      <c r="EH52" s="153"/>
      <c r="EI52" s="153"/>
      <c r="EJ52" s="153"/>
      <c r="EK52" s="154"/>
      <c r="EL52" s="154"/>
    </row>
    <row r="53" spans="1:142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3"/>
      <c r="DI53" s="154"/>
      <c r="DJ53" s="154"/>
      <c r="DK53" s="153"/>
      <c r="DL53" s="153"/>
      <c r="DM53" s="153"/>
      <c r="DN53" s="153"/>
      <c r="DO53" s="153"/>
      <c r="DP53" s="154"/>
      <c r="DQ53" s="154"/>
      <c r="DR53" s="153"/>
      <c r="DS53" s="153"/>
      <c r="DT53" s="153"/>
      <c r="DU53" s="153"/>
      <c r="DV53" s="153"/>
      <c r="DW53" s="154"/>
      <c r="DX53" s="154"/>
      <c r="DY53" s="153"/>
      <c r="DZ53" s="153"/>
      <c r="EA53" s="153"/>
      <c r="EB53" s="153"/>
      <c r="EC53" s="153"/>
      <c r="ED53" s="154"/>
      <c r="EE53" s="154"/>
      <c r="EF53" s="153"/>
      <c r="EG53" s="153"/>
      <c r="EH53" s="153"/>
      <c r="EI53" s="153"/>
      <c r="EJ53" s="153"/>
      <c r="EK53" s="154"/>
      <c r="EL53" s="154"/>
    </row>
    <row r="54" spans="1:142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3"/>
      <c r="DI54" s="154"/>
      <c r="DJ54" s="154"/>
      <c r="DK54" s="153"/>
      <c r="DL54" s="153"/>
      <c r="DM54" s="153"/>
      <c r="DN54" s="153"/>
      <c r="DO54" s="153"/>
      <c r="DP54" s="154"/>
      <c r="DQ54" s="154"/>
      <c r="DR54" s="153"/>
      <c r="DS54" s="153"/>
      <c r="DT54" s="153"/>
      <c r="DU54" s="153"/>
      <c r="DV54" s="153"/>
      <c r="DW54" s="154"/>
      <c r="DX54" s="154"/>
      <c r="DY54" s="153"/>
      <c r="DZ54" s="153"/>
      <c r="EA54" s="153"/>
      <c r="EB54" s="153"/>
      <c r="EC54" s="153"/>
      <c r="ED54" s="154"/>
      <c r="EE54" s="154"/>
      <c r="EF54" s="153"/>
      <c r="EG54" s="153"/>
      <c r="EH54" s="153"/>
      <c r="EI54" s="153"/>
      <c r="EJ54" s="153"/>
      <c r="EK54" s="154"/>
      <c r="EL54" s="154"/>
    </row>
    <row r="55" spans="1:142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3"/>
      <c r="DI55" s="154"/>
      <c r="DJ55" s="154"/>
      <c r="DK55" s="153"/>
      <c r="DL55" s="153"/>
      <c r="DM55" s="153"/>
      <c r="DN55" s="153"/>
      <c r="DO55" s="153"/>
      <c r="DP55" s="154"/>
      <c r="DQ55" s="154"/>
      <c r="DR55" s="153"/>
      <c r="DS55" s="153"/>
      <c r="DT55" s="153"/>
      <c r="DU55" s="153"/>
      <c r="DV55" s="153"/>
      <c r="DW55" s="154"/>
      <c r="DX55" s="154"/>
      <c r="DY55" s="153"/>
      <c r="DZ55" s="153"/>
      <c r="EA55" s="153"/>
      <c r="EB55" s="153"/>
      <c r="EC55" s="153"/>
      <c r="ED55" s="154"/>
      <c r="EE55" s="154"/>
      <c r="EF55" s="153"/>
      <c r="EG55" s="153"/>
      <c r="EH55" s="153"/>
      <c r="EI55" s="153"/>
      <c r="EJ55" s="153"/>
      <c r="EK55" s="154"/>
      <c r="EL55" s="154"/>
    </row>
    <row r="56" spans="1:142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  <c r="EF56" s="153"/>
      <c r="EG56" s="153"/>
      <c r="EH56" s="153"/>
      <c r="EI56" s="153"/>
      <c r="EJ56" s="153"/>
      <c r="EK56" s="154"/>
      <c r="EL56" s="154"/>
    </row>
    <row r="57" spans="1:142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  <c r="EF57" s="153"/>
      <c r="EG57" s="153"/>
      <c r="EH57" s="153"/>
      <c r="EI57" s="153"/>
      <c r="EJ57" s="153"/>
      <c r="EK57" s="154"/>
      <c r="EL57" s="154"/>
    </row>
    <row r="58" spans="1:142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  <c r="EF58" s="153"/>
      <c r="EG58" s="153"/>
      <c r="EH58" s="153"/>
      <c r="EI58" s="153"/>
      <c r="EJ58" s="153"/>
      <c r="EK58" s="154"/>
      <c r="EL58" s="154"/>
    </row>
    <row r="59" spans="1:142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  <c r="EF59" s="153"/>
      <c r="EG59" s="153"/>
      <c r="EH59" s="153"/>
      <c r="EI59" s="153"/>
      <c r="EJ59" s="153"/>
      <c r="EK59" s="154"/>
      <c r="EL59" s="154"/>
    </row>
    <row r="60" spans="1:142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  <c r="EF60" s="153"/>
      <c r="EG60" s="153"/>
      <c r="EH60" s="153"/>
      <c r="EI60" s="153"/>
      <c r="EJ60" s="153"/>
      <c r="EK60" s="154"/>
      <c r="EL60" s="154"/>
    </row>
    <row r="61" spans="1:142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  <c r="EF61" s="153"/>
      <c r="EG61" s="153"/>
      <c r="EH61" s="153"/>
      <c r="EI61" s="153"/>
      <c r="EJ61" s="153"/>
      <c r="EK61" s="154"/>
      <c r="EL61" s="154"/>
    </row>
    <row r="62" spans="1:142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  <c r="EF62" s="153"/>
      <c r="EG62" s="153"/>
      <c r="EH62" s="153"/>
      <c r="EI62" s="153"/>
      <c r="EJ62" s="153"/>
      <c r="EK62" s="154"/>
      <c r="EL62" s="154"/>
    </row>
    <row r="63" spans="1:142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  <c r="EF63" s="153"/>
      <c r="EG63" s="153"/>
      <c r="EH63" s="153"/>
      <c r="EI63" s="153"/>
      <c r="EJ63" s="153"/>
      <c r="EK63" s="154"/>
      <c r="EL63" s="154"/>
    </row>
    <row r="64" spans="1:142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  <c r="EF64" s="153"/>
      <c r="EG64" s="153"/>
      <c r="EH64" s="153"/>
      <c r="EI64" s="153"/>
      <c r="EJ64" s="153"/>
      <c r="EK64" s="154"/>
      <c r="EL64" s="154"/>
    </row>
    <row r="65" spans="1:142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  <c r="EF65" s="153"/>
      <c r="EG65" s="153"/>
      <c r="EH65" s="153"/>
      <c r="EI65" s="153"/>
      <c r="EJ65" s="153"/>
      <c r="EK65" s="154"/>
      <c r="EL65" s="154"/>
    </row>
    <row r="66" spans="1:142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  <c r="EF66" s="153"/>
      <c r="EG66" s="153"/>
      <c r="EH66" s="153"/>
      <c r="EI66" s="153"/>
      <c r="EJ66" s="153"/>
      <c r="EK66" s="154"/>
      <c r="EL66" s="154"/>
    </row>
    <row r="67" spans="1:142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  <c r="EF67" s="153"/>
      <c r="EG67" s="153"/>
      <c r="EH67" s="153"/>
      <c r="EI67" s="153"/>
      <c r="EJ67" s="153"/>
      <c r="EK67" s="154"/>
      <c r="EL67" s="154"/>
    </row>
    <row r="68" spans="1:142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  <c r="EF68" s="153"/>
      <c r="EG68" s="153"/>
      <c r="EH68" s="153"/>
      <c r="EI68" s="153"/>
      <c r="EJ68" s="153"/>
      <c r="EK68" s="154"/>
      <c r="EL68" s="154"/>
    </row>
    <row r="69" spans="1:142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  <c r="EF69" s="153"/>
      <c r="EG69" s="153"/>
      <c r="EH69" s="153"/>
      <c r="EI69" s="153"/>
      <c r="EJ69" s="153"/>
      <c r="EK69" s="154"/>
      <c r="EL69" s="154"/>
    </row>
    <row r="70" spans="1:142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  <c r="EF70" s="153"/>
      <c r="EG70" s="153"/>
      <c r="EH70" s="153"/>
      <c r="EI70" s="153"/>
      <c r="EJ70" s="153"/>
      <c r="EK70" s="154"/>
      <c r="EL70" s="154"/>
    </row>
    <row r="71" spans="1:142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  <c r="EF71" s="153"/>
      <c r="EG71" s="153"/>
      <c r="EH71" s="153"/>
      <c r="EI71" s="153"/>
      <c r="EJ71" s="153"/>
      <c r="EK71" s="154"/>
      <c r="EL71" s="154"/>
    </row>
    <row r="72" spans="1:142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  <c r="EF72" s="153"/>
      <c r="EG72" s="153"/>
      <c r="EH72" s="153"/>
      <c r="EI72" s="153"/>
      <c r="EJ72" s="153"/>
      <c r="EK72" s="154"/>
      <c r="EL72" s="154"/>
    </row>
    <row r="73" spans="1:142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  <c r="EF73" s="153"/>
      <c r="EG73" s="153"/>
      <c r="EH73" s="153"/>
      <c r="EI73" s="153"/>
      <c r="EJ73" s="153"/>
      <c r="EK73" s="154"/>
      <c r="EL73" s="154"/>
    </row>
    <row r="74" spans="1:142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  <c r="EF74" s="153"/>
      <c r="EG74" s="153"/>
      <c r="EH74" s="153"/>
      <c r="EI74" s="153"/>
      <c r="EJ74" s="153"/>
      <c r="EK74" s="154"/>
      <c r="EL74" s="154"/>
    </row>
    <row r="75" spans="1:142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  <c r="EF75" s="153"/>
      <c r="EG75" s="153"/>
      <c r="EH75" s="153"/>
      <c r="EI75" s="153"/>
      <c r="EJ75" s="153"/>
      <c r="EK75" s="154"/>
      <c r="EL75" s="154"/>
    </row>
    <row r="76" spans="1:142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  <c r="EF76" s="153"/>
      <c r="EG76" s="153"/>
      <c r="EH76" s="153"/>
      <c r="EI76" s="153"/>
      <c r="EJ76" s="153"/>
      <c r="EK76" s="154"/>
      <c r="EL76" s="154"/>
    </row>
    <row r="77" spans="1:142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  <c r="EF77" s="153"/>
      <c r="EG77" s="153"/>
      <c r="EH77" s="153"/>
      <c r="EI77" s="153"/>
      <c r="EJ77" s="153"/>
      <c r="EK77" s="154"/>
      <c r="EL77" s="154"/>
    </row>
    <row r="78" spans="1:142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  <c r="EF78" s="153"/>
      <c r="EG78" s="153"/>
      <c r="EH78" s="153"/>
      <c r="EI78" s="153"/>
      <c r="EJ78" s="153"/>
      <c r="EK78" s="154"/>
      <c r="EL78" s="154"/>
    </row>
    <row r="79" spans="1:142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  <c r="EF79" s="153"/>
      <c r="EG79" s="153"/>
      <c r="EH79" s="153"/>
      <c r="EI79" s="153"/>
      <c r="EJ79" s="153"/>
      <c r="EK79" s="154"/>
      <c r="EL79" s="154"/>
    </row>
    <row r="80" spans="1:142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  <c r="EF80" s="153"/>
      <c r="EG80" s="153"/>
      <c r="EH80" s="153"/>
      <c r="EI80" s="153"/>
      <c r="EJ80" s="153"/>
      <c r="EK80" s="154"/>
      <c r="EL80" s="154"/>
    </row>
  </sheetData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K80"/>
  <sheetViews>
    <sheetView rightToLeft="1" topLeftCell="A22" zoomScale="178" zoomScaleNormal="178" workbookViewId="0">
      <selection activeCell="H28" sqref="H28"/>
    </sheetView>
  </sheetViews>
  <sheetFormatPr defaultRowHeight="15" x14ac:dyDescent="0.25"/>
  <cols>
    <col min="1" max="1" width="7.28515625" style="21" customWidth="1"/>
    <col min="2" max="2" width="7" style="9" bestFit="1" customWidth="1"/>
    <col min="3" max="10" width="7.7109375" style="38" customWidth="1"/>
  </cols>
  <sheetData>
    <row r="1" spans="1:11" ht="60.75" thickBot="1" x14ac:dyDescent="0.3">
      <c r="A1" s="157" t="s">
        <v>0</v>
      </c>
      <c r="B1" s="158" t="s">
        <v>1</v>
      </c>
      <c r="C1" s="172" t="s">
        <v>72</v>
      </c>
      <c r="D1" s="226" t="s">
        <v>72</v>
      </c>
      <c r="E1" s="168" t="s">
        <v>73</v>
      </c>
      <c r="F1" s="225" t="s">
        <v>73</v>
      </c>
      <c r="G1" s="168" t="s">
        <v>74</v>
      </c>
      <c r="H1" s="225" t="s">
        <v>74</v>
      </c>
      <c r="I1" s="168" t="s">
        <v>75</v>
      </c>
      <c r="J1" s="225" t="s">
        <v>75</v>
      </c>
    </row>
    <row r="2" spans="1:11" x14ac:dyDescent="0.25">
      <c r="A2" s="32">
        <v>11</v>
      </c>
      <c r="B2" s="239" t="s">
        <v>133</v>
      </c>
      <c r="C2" s="108"/>
      <c r="D2" s="108"/>
      <c r="E2" s="40"/>
      <c r="F2" s="108"/>
      <c r="G2" s="40">
        <v>3</v>
      </c>
      <c r="H2" s="40">
        <v>3</v>
      </c>
      <c r="I2" s="40"/>
      <c r="J2" s="108"/>
    </row>
    <row r="3" spans="1:11" ht="33.75" x14ac:dyDescent="0.5">
      <c r="A3" s="177">
        <v>209</v>
      </c>
      <c r="B3" s="24" t="s">
        <v>274</v>
      </c>
      <c r="C3" s="108"/>
      <c r="D3" s="108"/>
      <c r="E3" s="40"/>
      <c r="F3" s="108"/>
      <c r="G3" s="40">
        <v>3</v>
      </c>
      <c r="H3" s="40">
        <v>3</v>
      </c>
      <c r="I3" s="40"/>
      <c r="J3" s="108"/>
      <c r="K3" s="46"/>
    </row>
    <row r="4" spans="1:11" ht="33.75" x14ac:dyDescent="0.5">
      <c r="A4" s="32">
        <v>209</v>
      </c>
      <c r="B4" s="24" t="s">
        <v>275</v>
      </c>
      <c r="C4" s="108"/>
      <c r="D4" s="108"/>
      <c r="E4" s="40"/>
      <c r="F4" s="108"/>
      <c r="G4" s="40">
        <v>3</v>
      </c>
      <c r="H4" s="40">
        <v>4</v>
      </c>
      <c r="I4" s="40"/>
      <c r="J4" s="108"/>
      <c r="K4" s="46"/>
    </row>
    <row r="5" spans="1:11" x14ac:dyDescent="0.25">
      <c r="A5" s="10">
        <v>474</v>
      </c>
      <c r="B5" s="24" t="s">
        <v>166</v>
      </c>
      <c r="C5" s="108"/>
      <c r="D5" s="108"/>
      <c r="E5" s="40"/>
      <c r="F5" s="108"/>
      <c r="G5" s="40">
        <v>3</v>
      </c>
      <c r="H5" s="40">
        <v>3</v>
      </c>
      <c r="I5" s="40"/>
      <c r="J5" s="108"/>
    </row>
    <row r="6" spans="1:11" x14ac:dyDescent="0.25">
      <c r="A6" s="32">
        <v>679</v>
      </c>
      <c r="B6" s="239" t="s">
        <v>49</v>
      </c>
      <c r="C6" s="108"/>
      <c r="D6" s="108"/>
      <c r="E6" s="40"/>
      <c r="F6" s="108"/>
      <c r="G6" s="40">
        <v>3</v>
      </c>
      <c r="H6" s="40">
        <v>3</v>
      </c>
      <c r="I6" s="40"/>
      <c r="J6" s="108"/>
    </row>
    <row r="7" spans="1:11" x14ac:dyDescent="0.25">
      <c r="A7" s="32">
        <v>679</v>
      </c>
      <c r="B7" s="239" t="s">
        <v>277</v>
      </c>
      <c r="C7" s="108"/>
      <c r="D7" s="108"/>
      <c r="E7" s="40"/>
      <c r="F7" s="108"/>
      <c r="G7" s="40">
        <v>3</v>
      </c>
      <c r="H7" s="40">
        <v>3</v>
      </c>
      <c r="I7" s="40"/>
      <c r="J7" s="108"/>
    </row>
    <row r="8" spans="1:11" x14ac:dyDescent="0.25">
      <c r="A8" s="217" t="s">
        <v>63</v>
      </c>
      <c r="B8" s="220" t="s">
        <v>11</v>
      </c>
      <c r="C8" s="108"/>
      <c r="D8" s="108"/>
      <c r="E8" s="40"/>
      <c r="F8" s="108"/>
      <c r="G8" s="40">
        <v>3</v>
      </c>
      <c r="H8" s="40">
        <v>3</v>
      </c>
      <c r="I8" s="40"/>
      <c r="J8" s="108"/>
    </row>
    <row r="9" spans="1:11" x14ac:dyDescent="0.25">
      <c r="A9" s="177" t="s">
        <v>14</v>
      </c>
      <c r="B9" s="239" t="s">
        <v>189</v>
      </c>
      <c r="C9" s="108">
        <v>1</v>
      </c>
      <c r="D9" s="108">
        <v>1</v>
      </c>
      <c r="E9" s="40"/>
      <c r="F9" s="108"/>
      <c r="G9" s="40">
        <v>2</v>
      </c>
      <c r="H9" s="40">
        <v>2</v>
      </c>
      <c r="I9" s="40"/>
      <c r="J9" s="108"/>
    </row>
    <row r="10" spans="1:11" x14ac:dyDescent="0.25">
      <c r="A10" s="32">
        <v>9</v>
      </c>
      <c r="B10" s="33" t="s">
        <v>48</v>
      </c>
      <c r="C10" s="108"/>
      <c r="D10" s="108"/>
      <c r="E10" s="40"/>
      <c r="F10" s="108"/>
      <c r="G10" s="40">
        <v>2</v>
      </c>
      <c r="H10" s="40">
        <v>2</v>
      </c>
      <c r="I10" s="40"/>
      <c r="J10" s="108"/>
    </row>
    <row r="11" spans="1:11" x14ac:dyDescent="0.25">
      <c r="A11" s="32">
        <v>9</v>
      </c>
      <c r="B11" s="33" t="s">
        <v>10</v>
      </c>
      <c r="C11" s="108"/>
      <c r="D11" s="108"/>
      <c r="E11" s="40"/>
      <c r="F11" s="108"/>
      <c r="G11" s="40">
        <v>2</v>
      </c>
      <c r="H11" s="40">
        <v>2</v>
      </c>
      <c r="I11" s="40"/>
      <c r="J11" s="108"/>
    </row>
    <row r="12" spans="1:11" x14ac:dyDescent="0.25">
      <c r="A12" s="177" t="s">
        <v>12</v>
      </c>
      <c r="B12" s="239" t="s">
        <v>254</v>
      </c>
      <c r="C12" s="108"/>
      <c r="D12" s="108"/>
      <c r="E12" s="40"/>
      <c r="F12" s="108"/>
      <c r="G12" s="40">
        <v>2</v>
      </c>
      <c r="H12" s="40">
        <v>2</v>
      </c>
      <c r="I12" s="40"/>
      <c r="J12" s="108"/>
    </row>
    <row r="13" spans="1:11" x14ac:dyDescent="0.25">
      <c r="A13" s="221" t="s">
        <v>12</v>
      </c>
      <c r="B13" s="24" t="s">
        <v>98</v>
      </c>
      <c r="C13" s="108"/>
      <c r="D13" s="108"/>
      <c r="E13" s="40"/>
      <c r="F13" s="108"/>
      <c r="G13" s="40">
        <v>2</v>
      </c>
      <c r="H13" s="40">
        <v>2</v>
      </c>
      <c r="I13" s="40"/>
      <c r="J13" s="108"/>
    </row>
    <row r="14" spans="1:11" x14ac:dyDescent="0.25">
      <c r="A14" s="32">
        <v>9</v>
      </c>
      <c r="B14" s="239" t="s">
        <v>226</v>
      </c>
      <c r="C14" s="108">
        <v>1</v>
      </c>
      <c r="D14" s="108">
        <v>1</v>
      </c>
      <c r="E14" s="40"/>
      <c r="F14" s="108"/>
      <c r="G14" s="40">
        <v>1</v>
      </c>
      <c r="H14" s="40">
        <v>1</v>
      </c>
      <c r="I14" s="40">
        <v>2</v>
      </c>
      <c r="J14" s="108">
        <v>2</v>
      </c>
    </row>
    <row r="15" spans="1:11" x14ac:dyDescent="0.25">
      <c r="A15" s="177" t="s">
        <v>63</v>
      </c>
      <c r="B15" s="239" t="s">
        <v>280</v>
      </c>
      <c r="C15" s="108"/>
      <c r="D15" s="108"/>
      <c r="E15" s="40"/>
      <c r="F15" s="108"/>
      <c r="G15" s="40">
        <v>1</v>
      </c>
      <c r="H15" s="40">
        <v>1</v>
      </c>
      <c r="I15" s="40">
        <v>2</v>
      </c>
      <c r="J15" s="108">
        <v>2</v>
      </c>
    </row>
    <row r="16" spans="1:11" x14ac:dyDescent="0.25">
      <c r="A16" s="10">
        <v>11</v>
      </c>
      <c r="B16" s="24" t="s">
        <v>301</v>
      </c>
      <c r="C16" s="108">
        <v>1</v>
      </c>
      <c r="D16" s="108">
        <v>1</v>
      </c>
      <c r="E16" s="40"/>
      <c r="F16" s="108"/>
      <c r="G16" s="40">
        <v>1</v>
      </c>
      <c r="H16" s="40">
        <v>1</v>
      </c>
      <c r="I16" s="40">
        <v>1</v>
      </c>
      <c r="J16" s="108">
        <v>1</v>
      </c>
    </row>
    <row r="17" spans="1:10" x14ac:dyDescent="0.25">
      <c r="A17" s="10">
        <v>9</v>
      </c>
      <c r="B17" s="11" t="s">
        <v>9</v>
      </c>
      <c r="C17" s="108"/>
      <c r="D17" s="108"/>
      <c r="E17" s="40"/>
      <c r="F17" s="108"/>
      <c r="G17" s="40">
        <v>1</v>
      </c>
      <c r="H17" s="40">
        <v>1</v>
      </c>
      <c r="I17" s="40">
        <v>1</v>
      </c>
      <c r="J17" s="108">
        <v>1</v>
      </c>
    </row>
    <row r="18" spans="1:10" x14ac:dyDescent="0.25">
      <c r="A18" s="10">
        <v>474</v>
      </c>
      <c r="B18" s="24" t="s">
        <v>123</v>
      </c>
      <c r="C18" s="108"/>
      <c r="D18" s="108"/>
      <c r="E18" s="40"/>
      <c r="F18" s="108"/>
      <c r="G18" s="40">
        <v>1</v>
      </c>
      <c r="H18" s="40">
        <v>1</v>
      </c>
      <c r="I18" s="40">
        <v>1</v>
      </c>
      <c r="J18" s="108">
        <v>1</v>
      </c>
    </row>
    <row r="19" spans="1:10" x14ac:dyDescent="0.25">
      <c r="A19" s="10">
        <v>474</v>
      </c>
      <c r="B19" s="24" t="s">
        <v>68</v>
      </c>
      <c r="C19" s="108"/>
      <c r="D19" s="108"/>
      <c r="E19" s="40"/>
      <c r="F19" s="108"/>
      <c r="G19" s="40">
        <v>1</v>
      </c>
      <c r="H19" s="40">
        <v>1</v>
      </c>
      <c r="I19" s="40">
        <v>1</v>
      </c>
      <c r="J19" s="108">
        <v>1</v>
      </c>
    </row>
    <row r="20" spans="1:10" x14ac:dyDescent="0.25">
      <c r="A20" s="32" t="s">
        <v>63</v>
      </c>
      <c r="B20" s="24" t="s">
        <v>132</v>
      </c>
      <c r="C20" s="108"/>
      <c r="D20" s="108"/>
      <c r="E20" s="40"/>
      <c r="F20" s="108"/>
      <c r="G20" s="40">
        <v>1</v>
      </c>
      <c r="H20" s="40">
        <v>1</v>
      </c>
      <c r="I20" s="40">
        <v>1</v>
      </c>
      <c r="J20" s="108">
        <v>1</v>
      </c>
    </row>
    <row r="21" spans="1:10" x14ac:dyDescent="0.25">
      <c r="A21" s="32">
        <v>679</v>
      </c>
      <c r="B21" s="33" t="s">
        <v>13</v>
      </c>
      <c r="C21" s="108"/>
      <c r="D21" s="108"/>
      <c r="E21" s="40">
        <v>1</v>
      </c>
      <c r="F21" s="108">
        <v>1</v>
      </c>
      <c r="G21" s="40">
        <v>1</v>
      </c>
      <c r="H21" s="40">
        <v>1</v>
      </c>
      <c r="I21" s="40"/>
      <c r="J21" s="108"/>
    </row>
    <row r="22" spans="1:10" x14ac:dyDescent="0.25">
      <c r="A22" s="32" t="s">
        <v>63</v>
      </c>
      <c r="B22" s="24" t="s">
        <v>285</v>
      </c>
      <c r="C22" s="108"/>
      <c r="D22" s="108"/>
      <c r="E22" s="40">
        <v>1</v>
      </c>
      <c r="F22" s="108">
        <v>1</v>
      </c>
      <c r="G22" s="40">
        <v>1</v>
      </c>
      <c r="H22" s="40">
        <v>1</v>
      </c>
      <c r="I22" s="40"/>
      <c r="J22" s="108"/>
    </row>
    <row r="23" spans="1:10" x14ac:dyDescent="0.25">
      <c r="A23" s="32" t="s">
        <v>63</v>
      </c>
      <c r="B23" s="239" t="s">
        <v>8</v>
      </c>
      <c r="C23" s="108"/>
      <c r="D23" s="108"/>
      <c r="E23" s="40">
        <v>1</v>
      </c>
      <c r="F23" s="108">
        <v>1</v>
      </c>
      <c r="G23" s="40">
        <v>1</v>
      </c>
      <c r="H23" s="40">
        <v>1</v>
      </c>
      <c r="I23" s="40"/>
      <c r="J23" s="108"/>
    </row>
    <row r="24" spans="1:10" x14ac:dyDescent="0.25">
      <c r="A24" s="32">
        <v>9</v>
      </c>
      <c r="B24" s="239" t="s">
        <v>258</v>
      </c>
      <c r="C24" s="108">
        <v>1</v>
      </c>
      <c r="D24" s="108">
        <v>1</v>
      </c>
      <c r="E24" s="40"/>
      <c r="F24" s="108"/>
      <c r="G24" s="40">
        <v>1</v>
      </c>
      <c r="H24" s="40">
        <v>1</v>
      </c>
      <c r="I24" s="40"/>
      <c r="J24" s="108"/>
    </row>
    <row r="25" spans="1:10" x14ac:dyDescent="0.25">
      <c r="A25" s="32">
        <v>9</v>
      </c>
      <c r="B25" s="239" t="s">
        <v>263</v>
      </c>
      <c r="C25" s="108">
        <v>1</v>
      </c>
      <c r="D25" s="108">
        <v>1</v>
      </c>
      <c r="E25" s="40"/>
      <c r="F25" s="108"/>
      <c r="G25" s="40">
        <v>1</v>
      </c>
      <c r="H25" s="40">
        <v>1</v>
      </c>
      <c r="I25" s="40"/>
      <c r="J25" s="108"/>
    </row>
    <row r="26" spans="1:10" x14ac:dyDescent="0.25">
      <c r="A26" s="10">
        <v>474</v>
      </c>
      <c r="B26" s="24" t="s">
        <v>165</v>
      </c>
      <c r="C26" s="108">
        <v>1</v>
      </c>
      <c r="D26" s="108">
        <v>1</v>
      </c>
      <c r="E26" s="40"/>
      <c r="F26" s="108"/>
      <c r="G26" s="40">
        <v>1</v>
      </c>
      <c r="H26" s="40">
        <v>1</v>
      </c>
      <c r="I26" s="40"/>
      <c r="J26" s="108"/>
    </row>
    <row r="27" spans="1:10" x14ac:dyDescent="0.25">
      <c r="A27" s="177" t="s">
        <v>12</v>
      </c>
      <c r="B27" s="239" t="s">
        <v>223</v>
      </c>
      <c r="C27" s="108">
        <v>1</v>
      </c>
      <c r="D27" s="108">
        <v>1</v>
      </c>
      <c r="E27" s="40"/>
      <c r="F27" s="108"/>
      <c r="G27" s="40">
        <v>1</v>
      </c>
      <c r="H27" s="40">
        <v>1</v>
      </c>
      <c r="I27" s="40"/>
      <c r="J27" s="108"/>
    </row>
    <row r="28" spans="1:10" x14ac:dyDescent="0.25">
      <c r="A28" s="10">
        <v>209</v>
      </c>
      <c r="B28" s="24" t="s">
        <v>116</v>
      </c>
      <c r="C28" s="108"/>
      <c r="D28" s="108"/>
      <c r="E28" s="40"/>
      <c r="F28" s="108"/>
      <c r="G28" s="40">
        <v>1</v>
      </c>
      <c r="H28" s="40"/>
      <c r="I28" s="40"/>
      <c r="J28" s="108"/>
    </row>
    <row r="29" spans="1:10" x14ac:dyDescent="0.25">
      <c r="A29" s="10">
        <v>209</v>
      </c>
      <c r="B29" s="24" t="s">
        <v>97</v>
      </c>
      <c r="C29" s="108"/>
      <c r="D29" s="108"/>
      <c r="E29" s="40"/>
      <c r="F29" s="108"/>
      <c r="G29" s="40">
        <v>1</v>
      </c>
      <c r="H29" s="40">
        <v>1</v>
      </c>
      <c r="I29" s="40"/>
      <c r="J29" s="108"/>
    </row>
    <row r="30" spans="1:10" x14ac:dyDescent="0.25">
      <c r="A30" s="177" t="s">
        <v>63</v>
      </c>
      <c r="B30" s="239" t="s">
        <v>165</v>
      </c>
      <c r="C30" s="108"/>
      <c r="D30" s="108"/>
      <c r="E30" s="40"/>
      <c r="F30" s="108"/>
      <c r="G30" s="40">
        <v>1</v>
      </c>
      <c r="H30" s="40">
        <v>1</v>
      </c>
      <c r="I30" s="40"/>
      <c r="J30" s="108"/>
    </row>
    <row r="31" spans="1:10" x14ac:dyDescent="0.25">
      <c r="A31" s="10">
        <v>474</v>
      </c>
      <c r="B31" s="11" t="s">
        <v>5</v>
      </c>
      <c r="C31" s="108"/>
      <c r="D31" s="108"/>
      <c r="E31" s="40"/>
      <c r="F31" s="108"/>
      <c r="G31" s="40"/>
      <c r="H31" s="40"/>
      <c r="I31" s="40">
        <v>4</v>
      </c>
      <c r="J31" s="108">
        <v>4</v>
      </c>
    </row>
    <row r="32" spans="1:10" x14ac:dyDescent="0.25">
      <c r="A32" s="10">
        <v>474</v>
      </c>
      <c r="B32" s="24" t="s">
        <v>124</v>
      </c>
      <c r="C32" s="108"/>
      <c r="D32" s="108"/>
      <c r="E32" s="40"/>
      <c r="F32" s="108"/>
      <c r="G32" s="40"/>
      <c r="H32" s="40"/>
      <c r="I32" s="40">
        <v>3</v>
      </c>
      <c r="J32" s="108">
        <v>3</v>
      </c>
    </row>
    <row r="33" spans="1:10" x14ac:dyDescent="0.25">
      <c r="A33" s="10">
        <v>11</v>
      </c>
      <c r="B33" s="24" t="s">
        <v>164</v>
      </c>
      <c r="C33" s="108"/>
      <c r="D33" s="108"/>
      <c r="E33" s="40">
        <v>1</v>
      </c>
      <c r="F33" s="108">
        <v>1</v>
      </c>
      <c r="G33" s="40"/>
      <c r="H33" s="40"/>
      <c r="I33" s="40"/>
      <c r="J33" s="108"/>
    </row>
    <row r="34" spans="1:10" x14ac:dyDescent="0.25">
      <c r="A34" s="10">
        <v>11</v>
      </c>
      <c r="B34" s="24" t="s">
        <v>123</v>
      </c>
      <c r="C34" s="108">
        <v>1</v>
      </c>
      <c r="D34" s="108">
        <v>1</v>
      </c>
      <c r="E34" s="40"/>
      <c r="F34" s="108"/>
      <c r="G34" s="40"/>
      <c r="H34" s="40"/>
      <c r="I34" s="40"/>
      <c r="J34" s="108"/>
    </row>
    <row r="35" spans="1:10" x14ac:dyDescent="0.25">
      <c r="A35" s="32">
        <v>679</v>
      </c>
      <c r="B35" s="33" t="s">
        <v>11</v>
      </c>
      <c r="C35" s="108">
        <v>1</v>
      </c>
      <c r="D35" s="108">
        <v>1</v>
      </c>
      <c r="E35" s="40"/>
      <c r="F35" s="108"/>
      <c r="G35" s="40"/>
      <c r="H35" s="40"/>
      <c r="I35" s="40"/>
      <c r="J35" s="108"/>
    </row>
    <row r="36" spans="1:10" x14ac:dyDescent="0.25">
      <c r="A36" s="32" t="s">
        <v>63</v>
      </c>
      <c r="B36" s="24" t="s">
        <v>125</v>
      </c>
      <c r="C36" s="108">
        <v>1</v>
      </c>
      <c r="D36" s="108">
        <v>1</v>
      </c>
      <c r="E36" s="40"/>
      <c r="F36" s="108"/>
      <c r="G36" s="40"/>
      <c r="H36" s="40"/>
      <c r="I36" s="40"/>
      <c r="J36" s="108"/>
    </row>
    <row r="37" spans="1:10" x14ac:dyDescent="0.25">
      <c r="A37" s="110" t="s">
        <v>12</v>
      </c>
      <c r="B37" s="242" t="s">
        <v>279</v>
      </c>
      <c r="C37" s="108">
        <v>1</v>
      </c>
      <c r="D37" s="108">
        <v>1</v>
      </c>
      <c r="E37" s="40"/>
      <c r="F37" s="108"/>
      <c r="G37" s="40"/>
      <c r="H37" s="40"/>
      <c r="I37" s="40"/>
      <c r="J37" s="108"/>
    </row>
    <row r="38" spans="1:10" x14ac:dyDescent="0.25">
      <c r="A38" s="110" t="s">
        <v>14</v>
      </c>
      <c r="B38" s="45" t="s">
        <v>11</v>
      </c>
      <c r="C38" s="108">
        <v>1</v>
      </c>
      <c r="D38" s="108">
        <v>1</v>
      </c>
      <c r="E38" s="40"/>
      <c r="F38" s="108"/>
      <c r="G38" s="40"/>
      <c r="H38" s="40"/>
      <c r="I38" s="40"/>
      <c r="J38" s="108"/>
    </row>
    <row r="39" spans="1:10" x14ac:dyDescent="0.25">
      <c r="A39" s="25">
        <v>9</v>
      </c>
      <c r="B39" s="45" t="s">
        <v>96</v>
      </c>
      <c r="C39" s="108"/>
      <c r="D39" s="108"/>
      <c r="E39" s="40"/>
      <c r="F39" s="108"/>
      <c r="G39" s="40"/>
      <c r="H39" s="40"/>
      <c r="I39" s="40"/>
      <c r="J39" s="108"/>
    </row>
    <row r="40" spans="1:10" x14ac:dyDescent="0.25">
      <c r="A40" s="246">
        <v>9</v>
      </c>
      <c r="B40" s="244" t="s">
        <v>5</v>
      </c>
      <c r="C40" s="108"/>
      <c r="D40" s="108"/>
      <c r="E40" s="40"/>
      <c r="F40" s="108"/>
      <c r="G40" s="40"/>
      <c r="H40" s="40"/>
      <c r="I40" s="40"/>
      <c r="J40" s="108"/>
    </row>
    <row r="41" spans="1:10" x14ac:dyDescent="0.25">
      <c r="A41" s="47">
        <v>9</v>
      </c>
      <c r="B41" s="242" t="s">
        <v>304</v>
      </c>
      <c r="C41" s="108"/>
      <c r="D41" s="108"/>
      <c r="E41" s="40"/>
      <c r="F41" s="108"/>
      <c r="G41" s="40"/>
      <c r="H41" s="40"/>
      <c r="I41" s="40"/>
      <c r="J41" s="108"/>
    </row>
    <row r="42" spans="1:10" x14ac:dyDescent="0.25">
      <c r="A42" s="246">
        <v>11</v>
      </c>
      <c r="B42" s="244" t="s">
        <v>259</v>
      </c>
      <c r="C42" s="108"/>
      <c r="D42" s="108"/>
      <c r="E42" s="40"/>
      <c r="F42" s="108"/>
      <c r="G42" s="40"/>
      <c r="H42" s="40"/>
      <c r="I42" s="40"/>
      <c r="J42" s="108"/>
    </row>
    <row r="43" spans="1:10" x14ac:dyDescent="0.25">
      <c r="A43" s="218">
        <v>209</v>
      </c>
      <c r="B43" s="45" t="s">
        <v>302</v>
      </c>
      <c r="C43" s="108"/>
      <c r="D43" s="108"/>
      <c r="E43" s="40"/>
      <c r="F43" s="108"/>
      <c r="G43" s="40"/>
      <c r="H43" s="40"/>
      <c r="I43" s="40"/>
      <c r="J43" s="108"/>
    </row>
    <row r="44" spans="1:10" x14ac:dyDescent="0.25">
      <c r="A44" s="243" t="s">
        <v>63</v>
      </c>
      <c r="B44" s="244" t="s">
        <v>273</v>
      </c>
      <c r="C44" s="108"/>
      <c r="D44" s="108"/>
      <c r="E44" s="40"/>
      <c r="F44" s="108"/>
      <c r="G44" s="40"/>
      <c r="H44" s="40"/>
      <c r="I44" s="40"/>
      <c r="J44" s="108"/>
    </row>
    <row r="45" spans="1:10" x14ac:dyDescent="0.25">
      <c r="A45" s="221" t="s">
        <v>12</v>
      </c>
      <c r="B45" s="24" t="s">
        <v>11</v>
      </c>
      <c r="C45" s="108"/>
      <c r="D45" s="108"/>
      <c r="E45" s="40"/>
      <c r="F45" s="108"/>
      <c r="G45" s="40"/>
      <c r="H45" s="40"/>
      <c r="I45" s="40"/>
      <c r="J45" s="108"/>
    </row>
    <row r="46" spans="1:10" x14ac:dyDescent="0.25">
      <c r="A46" s="9"/>
      <c r="C46" s="153"/>
      <c r="D46" s="153"/>
      <c r="E46" s="153"/>
      <c r="F46" s="153"/>
      <c r="G46" s="153"/>
      <c r="H46" s="153"/>
      <c r="I46" s="153"/>
      <c r="J46" s="153"/>
    </row>
    <row r="47" spans="1:10" x14ac:dyDescent="0.25">
      <c r="A47" s="9"/>
      <c r="C47" s="153"/>
      <c r="D47" s="153"/>
      <c r="E47" s="153"/>
      <c r="F47" s="153"/>
      <c r="G47" s="153"/>
      <c r="H47" s="153"/>
      <c r="I47" s="153"/>
      <c r="J47" s="153"/>
    </row>
    <row r="48" spans="1:10" x14ac:dyDescent="0.25">
      <c r="A48" s="9"/>
    </row>
    <row r="49" spans="1:10" x14ac:dyDescent="0.25">
      <c r="A49" s="9"/>
    </row>
    <row r="50" spans="1:10" x14ac:dyDescent="0.25">
      <c r="A50" s="9"/>
    </row>
    <row r="51" spans="1:10" x14ac:dyDescent="0.25">
      <c r="A51" s="9"/>
      <c r="C51" s="153"/>
      <c r="D51" s="153"/>
      <c r="E51" s="153"/>
      <c r="F51" s="153"/>
      <c r="G51" s="153"/>
      <c r="H51" s="153"/>
      <c r="I51" s="153"/>
      <c r="J51" s="153"/>
    </row>
    <row r="52" spans="1:10" x14ac:dyDescent="0.25">
      <c r="A52" s="9"/>
      <c r="C52" s="153"/>
      <c r="D52" s="153"/>
      <c r="E52" s="153"/>
      <c r="F52" s="153"/>
      <c r="G52" s="153"/>
      <c r="H52" s="153"/>
      <c r="I52" s="153"/>
      <c r="J52" s="153"/>
    </row>
    <row r="53" spans="1:10" x14ac:dyDescent="0.25">
      <c r="A53" s="9"/>
      <c r="C53" s="153"/>
      <c r="D53" s="153"/>
      <c r="E53" s="153"/>
      <c r="F53" s="153"/>
      <c r="G53" s="153"/>
      <c r="H53" s="153"/>
      <c r="I53" s="153"/>
      <c r="J53" s="153"/>
    </row>
    <row r="54" spans="1:10" x14ac:dyDescent="0.25">
      <c r="A54" s="9"/>
      <c r="C54" s="153"/>
      <c r="D54" s="153"/>
      <c r="E54" s="153"/>
      <c r="F54" s="153"/>
      <c r="G54" s="153"/>
      <c r="H54" s="153"/>
      <c r="I54" s="153"/>
      <c r="J54" s="153"/>
    </row>
    <row r="55" spans="1:10" x14ac:dyDescent="0.25">
      <c r="A55" s="9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9"/>
      <c r="C56" s="153"/>
      <c r="D56" s="153"/>
      <c r="E56" s="153"/>
      <c r="F56" s="153"/>
      <c r="G56" s="153"/>
      <c r="H56" s="153"/>
      <c r="I56" s="153"/>
      <c r="J56" s="153"/>
    </row>
    <row r="57" spans="1:10" x14ac:dyDescent="0.25">
      <c r="A57" s="9"/>
      <c r="C57" s="153"/>
      <c r="D57" s="153"/>
      <c r="E57" s="153"/>
      <c r="F57" s="153"/>
      <c r="G57" s="153"/>
      <c r="H57" s="153"/>
      <c r="I57" s="153"/>
      <c r="J57" s="153"/>
    </row>
    <row r="58" spans="1:10" x14ac:dyDescent="0.25">
      <c r="A58" s="9"/>
      <c r="C58" s="153"/>
      <c r="D58" s="153"/>
      <c r="E58" s="153"/>
      <c r="F58" s="153"/>
      <c r="G58" s="153"/>
      <c r="H58" s="153"/>
      <c r="I58" s="153"/>
      <c r="J58" s="153"/>
    </row>
    <row r="59" spans="1:10" x14ac:dyDescent="0.25">
      <c r="A59" s="9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9"/>
      <c r="C60" s="153"/>
      <c r="D60" s="153"/>
      <c r="E60" s="153"/>
      <c r="F60" s="153"/>
      <c r="G60" s="153"/>
      <c r="H60" s="153"/>
      <c r="I60" s="153"/>
      <c r="J60" s="153"/>
    </row>
    <row r="61" spans="1:10" x14ac:dyDescent="0.25">
      <c r="A61" s="9"/>
      <c r="C61" s="153"/>
      <c r="D61" s="153"/>
      <c r="E61" s="153"/>
      <c r="F61" s="153"/>
      <c r="G61" s="153"/>
      <c r="H61" s="153"/>
      <c r="I61" s="153"/>
      <c r="J61" s="153"/>
    </row>
    <row r="62" spans="1:10" x14ac:dyDescent="0.25">
      <c r="A62" s="9"/>
      <c r="C62" s="153"/>
      <c r="D62" s="153"/>
      <c r="E62" s="153"/>
      <c r="F62" s="153"/>
      <c r="G62" s="153"/>
      <c r="H62" s="153"/>
      <c r="I62" s="153"/>
      <c r="J62" s="153"/>
    </row>
    <row r="63" spans="1:10" x14ac:dyDescent="0.25">
      <c r="A63" s="9"/>
      <c r="C63" s="153"/>
      <c r="D63" s="153"/>
      <c r="E63" s="153"/>
      <c r="F63" s="153"/>
      <c r="G63" s="153"/>
      <c r="H63" s="153"/>
      <c r="I63" s="153"/>
      <c r="J63" s="153"/>
    </row>
    <row r="64" spans="1:10" x14ac:dyDescent="0.25">
      <c r="A64" s="9"/>
      <c r="C64" s="153"/>
      <c r="D64" s="153"/>
      <c r="E64" s="153"/>
      <c r="F64" s="153"/>
      <c r="G64" s="153"/>
      <c r="H64" s="153"/>
      <c r="I64" s="153"/>
      <c r="J64" s="153"/>
    </row>
    <row r="65" spans="1:10" x14ac:dyDescent="0.25">
      <c r="A65" s="9"/>
      <c r="C65" s="153"/>
      <c r="D65" s="153"/>
      <c r="E65" s="153"/>
      <c r="F65" s="153"/>
      <c r="G65" s="153"/>
      <c r="H65" s="153"/>
      <c r="I65" s="153"/>
      <c r="J65" s="153"/>
    </row>
    <row r="66" spans="1:10" x14ac:dyDescent="0.25">
      <c r="A66" s="9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9"/>
      <c r="C67" s="153"/>
      <c r="D67" s="153"/>
      <c r="E67" s="153"/>
      <c r="F67" s="153"/>
      <c r="G67" s="153"/>
      <c r="H67" s="153"/>
      <c r="I67" s="153"/>
      <c r="J67" s="153"/>
    </row>
    <row r="68" spans="1:10" x14ac:dyDescent="0.25">
      <c r="A68" s="9"/>
      <c r="C68" s="153"/>
      <c r="D68" s="153"/>
      <c r="E68" s="153"/>
      <c r="F68" s="153"/>
      <c r="G68" s="153"/>
      <c r="H68" s="153"/>
      <c r="I68" s="153"/>
      <c r="J68" s="153"/>
    </row>
    <row r="69" spans="1:10" x14ac:dyDescent="0.25">
      <c r="A69" s="9"/>
      <c r="C69" s="153"/>
      <c r="D69" s="153"/>
      <c r="E69" s="153"/>
      <c r="F69" s="153"/>
      <c r="G69" s="153"/>
      <c r="H69" s="153"/>
      <c r="I69" s="153"/>
      <c r="J69" s="153"/>
    </row>
    <row r="70" spans="1:10" x14ac:dyDescent="0.25">
      <c r="A70" s="9"/>
      <c r="C70" s="153"/>
      <c r="D70" s="153"/>
      <c r="E70" s="153"/>
      <c r="F70" s="153"/>
      <c r="G70" s="153"/>
      <c r="H70" s="153"/>
      <c r="I70" s="153"/>
      <c r="J70" s="153"/>
    </row>
    <row r="71" spans="1:10" x14ac:dyDescent="0.25">
      <c r="A71" s="9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9"/>
      <c r="C72" s="153"/>
      <c r="D72" s="153"/>
      <c r="E72" s="153"/>
      <c r="F72" s="153"/>
      <c r="G72" s="153"/>
      <c r="H72" s="153"/>
      <c r="I72" s="153"/>
      <c r="J72" s="153"/>
    </row>
    <row r="73" spans="1:10" x14ac:dyDescent="0.25">
      <c r="A73" s="9"/>
      <c r="C73" s="153"/>
      <c r="D73" s="153"/>
      <c r="E73" s="153"/>
      <c r="F73" s="153"/>
      <c r="G73" s="153"/>
      <c r="H73" s="153"/>
      <c r="I73" s="153"/>
      <c r="J73" s="153"/>
    </row>
    <row r="74" spans="1:10" x14ac:dyDescent="0.25">
      <c r="A74" s="9"/>
      <c r="C74" s="153"/>
      <c r="D74" s="153"/>
      <c r="E74" s="153"/>
      <c r="F74" s="153"/>
      <c r="G74" s="153"/>
      <c r="H74" s="153"/>
      <c r="I74" s="153"/>
      <c r="J74" s="153"/>
    </row>
    <row r="75" spans="1:10" x14ac:dyDescent="0.25">
      <c r="A75" s="9"/>
      <c r="C75" s="153"/>
      <c r="D75" s="153"/>
      <c r="E75" s="153"/>
      <c r="F75" s="153"/>
      <c r="G75" s="153"/>
      <c r="H75" s="153"/>
      <c r="I75" s="153"/>
      <c r="J75" s="153"/>
    </row>
    <row r="76" spans="1:10" x14ac:dyDescent="0.25">
      <c r="A76" s="9"/>
      <c r="C76" s="153"/>
      <c r="D76" s="153"/>
      <c r="E76" s="153"/>
      <c r="F76" s="153"/>
      <c r="G76" s="153"/>
      <c r="H76" s="153"/>
      <c r="I76" s="153"/>
      <c r="J76" s="153"/>
    </row>
    <row r="77" spans="1:10" x14ac:dyDescent="0.25">
      <c r="A77" s="9"/>
      <c r="C77" s="153"/>
      <c r="D77" s="153"/>
      <c r="E77" s="153"/>
      <c r="F77" s="153"/>
      <c r="G77" s="153"/>
      <c r="H77" s="153"/>
      <c r="I77" s="153"/>
      <c r="J77" s="153"/>
    </row>
    <row r="78" spans="1:10" x14ac:dyDescent="0.25">
      <c r="A78" s="9"/>
      <c r="C78" s="153"/>
      <c r="D78" s="153"/>
      <c r="E78" s="153"/>
      <c r="F78" s="153"/>
      <c r="G78" s="153"/>
      <c r="H78" s="153"/>
      <c r="I78" s="153"/>
      <c r="J78" s="153"/>
    </row>
    <row r="79" spans="1:10" x14ac:dyDescent="0.25">
      <c r="A79" s="9"/>
      <c r="C79" s="153"/>
      <c r="D79" s="153"/>
      <c r="E79" s="153"/>
      <c r="F79" s="153"/>
      <c r="G79" s="153"/>
      <c r="H79" s="153"/>
      <c r="I79" s="153"/>
      <c r="J79" s="153"/>
    </row>
    <row r="80" spans="1:10" x14ac:dyDescent="0.25">
      <c r="A80" s="9"/>
      <c r="C80" s="153"/>
      <c r="D80" s="153"/>
      <c r="E80" s="153"/>
      <c r="F80" s="153"/>
      <c r="G80" s="153"/>
      <c r="H80" s="153"/>
      <c r="I80" s="153"/>
      <c r="J80" s="153"/>
    </row>
  </sheetData>
  <autoFilter ref="A1:J45" xr:uid="{DBE45F1D-CCD6-497A-9677-5E75A77F9EE4}">
    <sortState xmlns:xlrd2="http://schemas.microsoft.com/office/spreadsheetml/2017/richdata2" ref="A2:J45">
      <sortCondition descending="1" ref="G1:G45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B22" sqref="B22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SUM(חיילים!EF:EF)</f>
        <v>14</v>
      </c>
      <c r="H4" s="60">
        <f>SUM(חיילים!EG:EG)</f>
        <v>2</v>
      </c>
      <c r="I4" s="60">
        <f>SUM(חיילים!EH:EH)</f>
        <v>0</v>
      </c>
      <c r="J4" s="61">
        <f>SUM(חיילים!EI:EI)</f>
        <v>0</v>
      </c>
    </row>
    <row r="5" spans="2:10" x14ac:dyDescent="0.25">
      <c r="F5" s="87" t="s">
        <v>30</v>
      </c>
      <c r="G5" s="62">
        <f>G6-G4</f>
        <v>-2</v>
      </c>
      <c r="H5" s="63">
        <f t="shared" ref="H5:I5" si="0">H6-H4</f>
        <v>2</v>
      </c>
      <c r="I5" s="63">
        <f t="shared" si="0"/>
        <v>48</v>
      </c>
      <c r="J5" s="64">
        <f>J6-J4</f>
        <v>16</v>
      </c>
    </row>
    <row r="6" spans="2:10" ht="15.75" thickBot="1" x14ac:dyDescent="0.3">
      <c r="F6" s="88" t="s">
        <v>31</v>
      </c>
      <c r="G6" s="65">
        <f>4*3</f>
        <v>12</v>
      </c>
      <c r="H6" s="66">
        <f>4*1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51">
        <v>3</v>
      </c>
      <c r="G2" s="251"/>
      <c r="H2" s="252"/>
    </row>
    <row r="3" spans="1:8" x14ac:dyDescent="0.25">
      <c r="A3" s="7" t="s">
        <v>19</v>
      </c>
      <c r="B3" s="55"/>
      <c r="C3" s="55"/>
      <c r="D3" s="56"/>
      <c r="E3" s="56"/>
      <c r="F3" s="251" t="s">
        <v>92</v>
      </c>
      <c r="G3" s="251"/>
      <c r="H3" s="252"/>
    </row>
    <row r="4" spans="1:8" x14ac:dyDescent="0.25">
      <c r="A4" s="7" t="s">
        <v>20</v>
      </c>
      <c r="B4" s="55"/>
      <c r="C4" s="56"/>
      <c r="D4" s="56"/>
      <c r="E4" s="55"/>
      <c r="F4" s="263" t="s">
        <v>129</v>
      </c>
      <c r="G4" s="263"/>
      <c r="H4" s="264"/>
    </row>
    <row r="5" spans="1:8" x14ac:dyDescent="0.25">
      <c r="A5" s="7" t="s">
        <v>21</v>
      </c>
      <c r="B5" s="56"/>
      <c r="C5" s="55"/>
      <c r="D5" s="55"/>
      <c r="E5" s="56"/>
      <c r="F5" s="251" t="s">
        <v>128</v>
      </c>
      <c r="G5" s="251"/>
      <c r="H5" s="252"/>
    </row>
    <row r="6" spans="1:8" ht="15.75" thickBot="1" x14ac:dyDescent="0.3">
      <c r="A6" s="7" t="s">
        <v>79</v>
      </c>
      <c r="B6" s="57"/>
      <c r="C6" s="57"/>
      <c r="D6" s="57"/>
      <c r="E6" s="58"/>
      <c r="F6" s="251" t="s">
        <v>141</v>
      </c>
      <c r="G6" s="251"/>
      <c r="H6" s="252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51">
        <v>3</v>
      </c>
      <c r="G8" s="251"/>
      <c r="H8" s="252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57" t="s">
        <v>130</v>
      </c>
      <c r="G9" s="258"/>
      <c r="H9" s="259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63" t="s">
        <v>57</v>
      </c>
      <c r="G10" s="263"/>
      <c r="H10" s="264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51" t="s">
        <v>60</v>
      </c>
      <c r="G11" s="251"/>
      <c r="H11" s="252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51" t="s">
        <v>222</v>
      </c>
      <c r="G12" s="251"/>
      <c r="H12" s="252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51">
        <v>3</v>
      </c>
      <c r="G14" s="251"/>
      <c r="H14" s="252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51" t="s">
        <v>112</v>
      </c>
      <c r="G15" s="251"/>
      <c r="H15" s="252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63" t="s">
        <v>59</v>
      </c>
      <c r="G16" s="263"/>
      <c r="H16" s="264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51" t="s">
        <v>174</v>
      </c>
      <c r="G17" s="251"/>
      <c r="H17" s="252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51" t="s">
        <v>195</v>
      </c>
      <c r="G18" s="251"/>
      <c r="H18" s="252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51" t="str">
        <f>"-"</f>
        <v>-</v>
      </c>
      <c r="G19" s="251"/>
      <c r="H19" s="252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51">
        <v>3</v>
      </c>
      <c r="G21" s="251"/>
      <c r="H21" s="252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57" t="s">
        <v>175</v>
      </c>
      <c r="G22" s="258"/>
      <c r="H22" s="259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60" t="s">
        <v>127</v>
      </c>
      <c r="G23" s="261"/>
      <c r="H23" s="262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51" t="s">
        <v>81</v>
      </c>
      <c r="G24" s="251"/>
      <c r="H24" s="252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69" t="s">
        <v>221</v>
      </c>
      <c r="G25" s="269"/>
      <c r="H25" s="27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51">
        <v>3</v>
      </c>
      <c r="G27" s="251"/>
      <c r="H27" s="252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57" t="s">
        <v>176</v>
      </c>
      <c r="G28" s="258"/>
      <c r="H28" s="259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51" t="s">
        <v>114</v>
      </c>
      <c r="G29" s="251"/>
      <c r="H29" s="252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60" t="s">
        <v>58</v>
      </c>
      <c r="G30" s="261"/>
      <c r="H30" s="262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69" t="s">
        <v>131</v>
      </c>
      <c r="G31" s="269"/>
      <c r="H31" s="270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5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51">
        <v>2</v>
      </c>
      <c r="G2" s="251"/>
      <c r="H2" s="252"/>
    </row>
    <row r="3" spans="1:10" x14ac:dyDescent="0.25">
      <c r="A3" s="7" t="s">
        <v>19</v>
      </c>
      <c r="B3" s="55"/>
      <c r="C3" s="55"/>
      <c r="D3" s="56"/>
      <c r="E3" s="56"/>
      <c r="F3" s="263" t="s">
        <v>81</v>
      </c>
      <c r="G3" s="263"/>
      <c r="H3" s="264"/>
    </row>
    <row r="4" spans="1:10" x14ac:dyDescent="0.25">
      <c r="A4" s="7" t="s">
        <v>20</v>
      </c>
      <c r="B4" s="55"/>
      <c r="C4" s="56"/>
      <c r="D4" s="56"/>
      <c r="E4" s="55"/>
      <c r="F4" s="263" t="s">
        <v>59</v>
      </c>
      <c r="G4" s="263"/>
      <c r="H4" s="264"/>
    </row>
    <row r="5" spans="1:10" x14ac:dyDescent="0.25">
      <c r="A5" s="7" t="s">
        <v>21</v>
      </c>
      <c r="B5" s="56"/>
      <c r="C5" s="55"/>
      <c r="D5" s="55"/>
      <c r="E5" s="56"/>
      <c r="F5" s="275" t="s">
        <v>112</v>
      </c>
      <c r="G5" s="275"/>
      <c r="H5" s="276"/>
    </row>
    <row r="6" spans="1:10" ht="15.75" thickBot="1" x14ac:dyDescent="0.3">
      <c r="A6" s="7" t="s">
        <v>79</v>
      </c>
      <c r="B6" s="57"/>
      <c r="C6" s="57"/>
      <c r="D6" s="57"/>
      <c r="E6" s="58"/>
      <c r="F6" s="251" t="s">
        <v>262</v>
      </c>
      <c r="G6" s="251"/>
      <c r="H6" s="252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51">
        <v>3</v>
      </c>
      <c r="G8" s="251"/>
      <c r="H8" s="252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63" t="s">
        <v>162</v>
      </c>
      <c r="G9" s="263"/>
      <c r="H9" s="264"/>
    </row>
    <row r="10" spans="1:10" x14ac:dyDescent="0.25">
      <c r="A10" s="7" t="s">
        <v>20</v>
      </c>
      <c r="B10" s="205" t="s">
        <v>264</v>
      </c>
      <c r="C10" s="206" t="s">
        <v>126</v>
      </c>
      <c r="D10" s="152" t="s">
        <v>114</v>
      </c>
      <c r="E10" s="206" t="s">
        <v>59</v>
      </c>
      <c r="F10" s="251" t="s">
        <v>268</v>
      </c>
      <c r="G10" s="251"/>
      <c r="H10" s="252"/>
      <c r="J10" s="215" t="s">
        <v>291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270</v>
      </c>
      <c r="E11" s="203" t="s">
        <v>113</v>
      </c>
      <c r="F11" s="251" t="s">
        <v>191</v>
      </c>
      <c r="G11" s="251"/>
      <c r="H11" s="252"/>
      <c r="J11" s="215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51" t="s">
        <v>225</v>
      </c>
      <c r="G12" s="251"/>
      <c r="H12" s="252"/>
      <c r="J12" s="215" t="s">
        <v>299</v>
      </c>
    </row>
    <row r="13" spans="1:10" ht="15.75" thickBot="1" x14ac:dyDescent="0.3">
      <c r="A13" s="189" t="s">
        <v>265</v>
      </c>
      <c r="B13" s="190" t="s">
        <v>271</v>
      </c>
      <c r="C13" s="190"/>
      <c r="D13" s="190" t="s">
        <v>227</v>
      </c>
      <c r="E13" s="190"/>
      <c r="F13" s="273"/>
      <c r="G13" s="273"/>
      <c r="H13" s="274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51">
        <v>3</v>
      </c>
      <c r="G15" s="251"/>
      <c r="H15" s="252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51" t="s">
        <v>175</v>
      </c>
      <c r="G16" s="251"/>
      <c r="H16" s="252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271</v>
      </c>
      <c r="F17" s="251" t="s">
        <v>195</v>
      </c>
      <c r="G17" s="251"/>
      <c r="H17" s="252"/>
      <c r="J17" s="215" t="s">
        <v>286</v>
      </c>
      <c r="K17" t="s">
        <v>289</v>
      </c>
    </row>
    <row r="18" spans="1:11" x14ac:dyDescent="0.25">
      <c r="A18" s="7" t="s">
        <v>21</v>
      </c>
      <c r="B18" s="205" t="s">
        <v>127</v>
      </c>
      <c r="C18" s="204" t="s">
        <v>284</v>
      </c>
      <c r="D18" s="203" t="s">
        <v>141</v>
      </c>
      <c r="E18" s="203" t="s">
        <v>58</v>
      </c>
      <c r="F18" s="263" t="s">
        <v>174</v>
      </c>
      <c r="G18" s="263"/>
      <c r="H18" s="264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2" t="s">
        <v>71</v>
      </c>
      <c r="F19" s="251" t="s">
        <v>227</v>
      </c>
      <c r="G19" s="251"/>
      <c r="H19" s="252"/>
    </row>
    <row r="20" spans="1:11" ht="15.75" thickBot="1" x14ac:dyDescent="0.3">
      <c r="A20" s="189" t="s">
        <v>265</v>
      </c>
      <c r="B20" s="190"/>
      <c r="C20" s="190"/>
      <c r="D20" s="190"/>
      <c r="E20" s="190" t="s">
        <v>264</v>
      </c>
      <c r="F20" s="273"/>
      <c r="G20" s="273"/>
      <c r="H20" s="274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51">
        <v>3</v>
      </c>
      <c r="G22" s="251"/>
      <c r="H22" s="252"/>
    </row>
    <row r="23" spans="1:11" x14ac:dyDescent="0.25">
      <c r="A23" s="7" t="s">
        <v>19</v>
      </c>
      <c r="B23" s="204" t="s">
        <v>191</v>
      </c>
      <c r="C23" s="150" t="s">
        <v>141</v>
      </c>
      <c r="D23" s="213" t="s">
        <v>142</v>
      </c>
      <c r="E23" s="206" t="s">
        <v>59</v>
      </c>
      <c r="F23" s="257" t="s">
        <v>64</v>
      </c>
      <c r="G23" s="258"/>
      <c r="H23" s="259"/>
    </row>
    <row r="24" spans="1:11" x14ac:dyDescent="0.25">
      <c r="A24" s="7" t="s">
        <v>20</v>
      </c>
      <c r="B24" s="205" t="s">
        <v>264</v>
      </c>
      <c r="C24" s="152" t="s">
        <v>268</v>
      </c>
      <c r="D24" s="204" t="s">
        <v>284</v>
      </c>
      <c r="E24" s="203" t="s">
        <v>60</v>
      </c>
      <c r="F24" s="260" t="s">
        <v>69</v>
      </c>
      <c r="G24" s="261"/>
      <c r="H24" s="262"/>
      <c r="J24" s="216" t="s">
        <v>287</v>
      </c>
      <c r="K24" t="s">
        <v>292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4" t="s">
        <v>92</v>
      </c>
      <c r="E25" s="204" t="s">
        <v>194</v>
      </c>
      <c r="F25" s="251" t="s">
        <v>278</v>
      </c>
      <c r="G25" s="251"/>
      <c r="H25" s="252"/>
      <c r="K25" t="s">
        <v>293</v>
      </c>
    </row>
    <row r="26" spans="1:11" x14ac:dyDescent="0.25">
      <c r="A26" s="7" t="s">
        <v>79</v>
      </c>
      <c r="B26" s="203" t="s">
        <v>267</v>
      </c>
      <c r="C26" s="203" t="s">
        <v>61</v>
      </c>
      <c r="D26" s="203" t="s">
        <v>282</v>
      </c>
      <c r="E26" s="203" t="s">
        <v>283</v>
      </c>
      <c r="F26" s="251" t="s">
        <v>261</v>
      </c>
      <c r="G26" s="251"/>
      <c r="H26" s="252"/>
      <c r="K26" t="s">
        <v>297</v>
      </c>
    </row>
    <row r="27" spans="1:11" ht="15.75" thickBot="1" x14ac:dyDescent="0.3">
      <c r="A27" s="211" t="s">
        <v>265</v>
      </c>
      <c r="B27" s="212" t="s">
        <v>271</v>
      </c>
      <c r="C27" s="212" t="s">
        <v>225</v>
      </c>
      <c r="D27" s="212"/>
      <c r="E27" s="212"/>
      <c r="F27" s="271"/>
      <c r="G27" s="271"/>
      <c r="H27" s="272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51">
        <v>3</v>
      </c>
      <c r="G29" s="251"/>
      <c r="H29" s="252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57" t="s">
        <v>281</v>
      </c>
      <c r="G30" s="258"/>
      <c r="H30" s="259"/>
    </row>
    <row r="31" spans="1:11" x14ac:dyDescent="0.25">
      <c r="A31" s="7" t="s">
        <v>20</v>
      </c>
      <c r="B31" s="203" t="s">
        <v>61</v>
      </c>
      <c r="C31" s="210" t="s">
        <v>92</v>
      </c>
      <c r="D31" s="201" t="s">
        <v>271</v>
      </c>
      <c r="E31" s="205" t="s">
        <v>127</v>
      </c>
      <c r="F31" s="257" t="s">
        <v>129</v>
      </c>
      <c r="G31" s="258"/>
      <c r="H31" s="259"/>
      <c r="J31" s="216" t="s">
        <v>288</v>
      </c>
      <c r="K31" s="216" t="s">
        <v>290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60" t="s">
        <v>270</v>
      </c>
      <c r="G32" s="261"/>
      <c r="H32" s="262"/>
      <c r="K32" t="s">
        <v>295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284</v>
      </c>
      <c r="E33" s="203" t="s">
        <v>283</v>
      </c>
      <c r="F33" s="267" t="s">
        <v>262</v>
      </c>
      <c r="G33" s="267"/>
      <c r="H33" s="268"/>
      <c r="K33" t="s">
        <v>298</v>
      </c>
    </row>
    <row r="34" spans="1:11" ht="15.75" thickBot="1" x14ac:dyDescent="0.3">
      <c r="A34" s="189" t="s">
        <v>265</v>
      </c>
      <c r="B34" s="190"/>
      <c r="C34" s="190" t="s">
        <v>267</v>
      </c>
      <c r="D34" s="190" t="s">
        <v>264</v>
      </c>
      <c r="E34" s="190"/>
      <c r="F34" s="273"/>
      <c r="G34" s="273"/>
      <c r="H34" s="274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51">
        <v>2</v>
      </c>
      <c r="G2" s="251"/>
      <c r="H2" s="252"/>
    </row>
    <row r="3" spans="1:10" x14ac:dyDescent="0.25">
      <c r="A3" s="7" t="s">
        <v>19</v>
      </c>
      <c r="B3" s="55"/>
      <c r="C3" s="55"/>
      <c r="D3" s="56"/>
      <c r="E3" s="56"/>
      <c r="F3" s="251" t="s">
        <v>141</v>
      </c>
      <c r="G3" s="251"/>
      <c r="H3" s="252"/>
    </row>
    <row r="4" spans="1:10" x14ac:dyDescent="0.25">
      <c r="A4" s="7" t="s">
        <v>20</v>
      </c>
      <c r="B4" s="55"/>
      <c r="C4" s="56"/>
      <c r="D4" s="56"/>
      <c r="E4" s="55"/>
      <c r="F4" s="263" t="s">
        <v>162</v>
      </c>
      <c r="G4" s="263"/>
      <c r="H4" s="264"/>
    </row>
    <row r="5" spans="1:10" x14ac:dyDescent="0.25">
      <c r="A5" s="7" t="s">
        <v>21</v>
      </c>
      <c r="B5" s="56"/>
      <c r="C5" s="55"/>
      <c r="D5" s="55"/>
      <c r="E5" s="56"/>
      <c r="F5" s="263" t="s">
        <v>80</v>
      </c>
      <c r="G5" s="263"/>
      <c r="H5" s="264"/>
    </row>
    <row r="6" spans="1:10" ht="15.75" thickBot="1" x14ac:dyDescent="0.3">
      <c r="A6" s="186" t="s">
        <v>79</v>
      </c>
      <c r="B6" s="193"/>
      <c r="C6" s="193"/>
      <c r="D6" s="193"/>
      <c r="E6" s="194"/>
      <c r="F6" s="267" t="s">
        <v>225</v>
      </c>
      <c r="G6" s="267"/>
      <c r="H6" s="268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51">
        <v>3</v>
      </c>
      <c r="G8" s="251"/>
      <c r="H8" s="252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51" t="s">
        <v>126</v>
      </c>
      <c r="G9" s="251"/>
      <c r="H9" s="252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269</v>
      </c>
      <c r="E10" s="196" t="s">
        <v>175</v>
      </c>
      <c r="F10" s="263" t="s">
        <v>127</v>
      </c>
      <c r="G10" s="263"/>
      <c r="H10" s="264"/>
    </row>
    <row r="11" spans="1:10" x14ac:dyDescent="0.25">
      <c r="A11" s="7" t="s">
        <v>21</v>
      </c>
      <c r="B11" s="182" t="s">
        <v>64</v>
      </c>
      <c r="C11" s="182" t="s">
        <v>270</v>
      </c>
      <c r="D11" s="182" t="s">
        <v>91</v>
      </c>
      <c r="E11" s="185" t="s">
        <v>60</v>
      </c>
      <c r="F11" s="251" t="s">
        <v>194</v>
      </c>
      <c r="G11" s="251"/>
      <c r="H11" s="252"/>
    </row>
    <row r="12" spans="1:10" x14ac:dyDescent="0.25">
      <c r="A12" s="7" t="s">
        <v>79</v>
      </c>
      <c r="B12" s="182" t="s">
        <v>222</v>
      </c>
      <c r="C12" s="182" t="s">
        <v>268</v>
      </c>
      <c r="D12" s="182" t="s">
        <v>227</v>
      </c>
      <c r="E12" s="182" t="s">
        <v>267</v>
      </c>
      <c r="F12" s="251" t="s">
        <v>69</v>
      </c>
      <c r="G12" s="251"/>
      <c r="H12" s="252"/>
    </row>
    <row r="13" spans="1:10" x14ac:dyDescent="0.25">
      <c r="A13" s="192" t="s">
        <v>265</v>
      </c>
      <c r="B13" s="191" t="s">
        <v>264</v>
      </c>
      <c r="C13" s="191" t="s">
        <v>114</v>
      </c>
      <c r="D13" s="191" t="s">
        <v>272</v>
      </c>
      <c r="E13" s="191" t="s">
        <v>271</v>
      </c>
      <c r="F13" s="251"/>
      <c r="G13" s="251"/>
      <c r="H13" s="252"/>
    </row>
    <row r="14" spans="1:10" ht="15.75" thickBot="1" x14ac:dyDescent="0.3">
      <c r="A14" s="189" t="s">
        <v>266</v>
      </c>
      <c r="B14" s="190"/>
      <c r="C14" s="190"/>
      <c r="D14" s="190" t="s">
        <v>176</v>
      </c>
      <c r="E14" s="190"/>
      <c r="F14" s="269"/>
      <c r="G14" s="269"/>
      <c r="H14" s="270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51">
        <v>3</v>
      </c>
      <c r="G16" s="251"/>
      <c r="H16" s="252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51" t="s">
        <v>112</v>
      </c>
      <c r="G17" s="251"/>
      <c r="H17" s="252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51" t="s">
        <v>58</v>
      </c>
      <c r="G18" s="251"/>
      <c r="H18" s="252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63" t="s">
        <v>71</v>
      </c>
      <c r="G19" s="263"/>
      <c r="H19" s="264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261</v>
      </c>
      <c r="F20" s="251" t="s">
        <v>176</v>
      </c>
      <c r="G20" s="251"/>
      <c r="H20" s="252"/>
      <c r="J20" s="176"/>
    </row>
    <row r="21" spans="1:10" x14ac:dyDescent="0.25">
      <c r="A21" s="187" t="s">
        <v>265</v>
      </c>
      <c r="B21" s="188" t="s">
        <v>267</v>
      </c>
      <c r="C21" s="188" t="s">
        <v>272</v>
      </c>
      <c r="D21" s="188" t="s">
        <v>269</v>
      </c>
      <c r="E21" s="188" t="s">
        <v>268</v>
      </c>
      <c r="F21" s="257"/>
      <c r="G21" s="258"/>
      <c r="H21" s="259"/>
    </row>
    <row r="22" spans="1:10" ht="15.75" thickBot="1" x14ac:dyDescent="0.3">
      <c r="A22" s="189" t="s">
        <v>266</v>
      </c>
      <c r="B22" s="190"/>
      <c r="C22" s="190"/>
      <c r="D22" s="190"/>
      <c r="E22" s="190"/>
      <c r="F22" s="280"/>
      <c r="G22" s="281"/>
      <c r="H22" s="282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51">
        <v>3</v>
      </c>
      <c r="G24" s="251"/>
      <c r="H24" s="252"/>
    </row>
    <row r="25" spans="1:10" x14ac:dyDescent="0.25">
      <c r="A25" s="7" t="s">
        <v>19</v>
      </c>
      <c r="B25" s="180" t="s">
        <v>269</v>
      </c>
      <c r="C25" s="180" t="s">
        <v>130</v>
      </c>
      <c r="D25" s="183" t="s">
        <v>142</v>
      </c>
      <c r="E25" s="182" t="s">
        <v>67</v>
      </c>
      <c r="F25" s="251" t="s">
        <v>115</v>
      </c>
      <c r="G25" s="251"/>
      <c r="H25" s="252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51" t="s">
        <v>61</v>
      </c>
      <c r="G26" s="251"/>
      <c r="H26" s="252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63" t="s">
        <v>59</v>
      </c>
      <c r="G27" s="263"/>
      <c r="H27" s="264"/>
    </row>
    <row r="28" spans="1:10" x14ac:dyDescent="0.25">
      <c r="A28" s="7" t="s">
        <v>79</v>
      </c>
      <c r="B28" s="180" t="s">
        <v>262</v>
      </c>
      <c r="C28" s="180" t="s">
        <v>227</v>
      </c>
      <c r="D28" s="182" t="s">
        <v>267</v>
      </c>
      <c r="E28" s="182" t="s">
        <v>57</v>
      </c>
      <c r="F28" s="251" t="s">
        <v>261</v>
      </c>
      <c r="G28" s="251"/>
      <c r="H28" s="252"/>
    </row>
    <row r="29" spans="1:10" x14ac:dyDescent="0.25">
      <c r="A29" s="187" t="s">
        <v>265</v>
      </c>
      <c r="B29" s="188" t="s">
        <v>141</v>
      </c>
      <c r="C29" s="188" t="s">
        <v>222</v>
      </c>
      <c r="D29" s="188" t="s">
        <v>225</v>
      </c>
      <c r="E29" s="188" t="s">
        <v>271</v>
      </c>
      <c r="F29" s="277"/>
      <c r="G29" s="278"/>
      <c r="H29" s="279"/>
    </row>
    <row r="30" spans="1:10" ht="15.75" thickBot="1" x14ac:dyDescent="0.3">
      <c r="A30" s="187" t="s">
        <v>266</v>
      </c>
      <c r="B30" s="188"/>
      <c r="C30" s="188"/>
      <c r="D30" s="188"/>
      <c r="E30" s="188"/>
      <c r="F30" s="277"/>
      <c r="G30" s="278"/>
      <c r="H30" s="279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51">
        <v>2</v>
      </c>
      <c r="G32" s="251"/>
      <c r="H32" s="252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63" t="s">
        <v>81</v>
      </c>
      <c r="G33" s="263"/>
      <c r="H33" s="264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63" t="s">
        <v>141</v>
      </c>
      <c r="G34" s="263"/>
      <c r="H34" s="264"/>
    </row>
    <row r="35" spans="1:8" x14ac:dyDescent="0.25">
      <c r="A35" s="7" t="s">
        <v>21</v>
      </c>
      <c r="B35" s="196" t="s">
        <v>195</v>
      </c>
      <c r="C35" s="182" t="s">
        <v>270</v>
      </c>
      <c r="D35" s="183" t="s">
        <v>174</v>
      </c>
      <c r="E35" s="182" t="s">
        <v>67</v>
      </c>
      <c r="F35" s="251" t="s">
        <v>191</v>
      </c>
      <c r="G35" s="251"/>
      <c r="H35" s="252"/>
    </row>
    <row r="36" spans="1:8" x14ac:dyDescent="0.25">
      <c r="A36" s="7" t="s">
        <v>79</v>
      </c>
      <c r="B36" s="182" t="s">
        <v>225</v>
      </c>
      <c r="C36" s="182" t="s">
        <v>268</v>
      </c>
      <c r="D36" s="182" t="s">
        <v>91</v>
      </c>
      <c r="E36" s="182" t="s">
        <v>222</v>
      </c>
      <c r="F36" s="251" t="s">
        <v>262</v>
      </c>
      <c r="G36" s="251"/>
      <c r="H36" s="252"/>
    </row>
    <row r="37" spans="1:8" x14ac:dyDescent="0.25">
      <c r="A37" s="192" t="s">
        <v>265</v>
      </c>
      <c r="B37" s="191" t="s">
        <v>194</v>
      </c>
      <c r="C37" s="191" t="s">
        <v>227</v>
      </c>
      <c r="D37" s="191" t="s">
        <v>272</v>
      </c>
      <c r="E37" s="191" t="s">
        <v>69</v>
      </c>
      <c r="F37" s="251"/>
      <c r="G37" s="251"/>
      <c r="H37" s="252"/>
    </row>
    <row r="38" spans="1:8" ht="15.75" thickBot="1" x14ac:dyDescent="0.3">
      <c r="A38" s="189" t="s">
        <v>266</v>
      </c>
      <c r="B38" s="190"/>
      <c r="C38" s="190" t="s">
        <v>264</v>
      </c>
      <c r="D38" s="190"/>
      <c r="E38" s="190"/>
      <c r="F38" s="269"/>
      <c r="G38" s="269"/>
      <c r="H38" s="270"/>
    </row>
    <row r="64" spans="11:11" x14ac:dyDescent="0.25">
      <c r="K64" s="197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51">
        <v>3</v>
      </c>
      <c r="G2" s="251"/>
      <c r="H2" s="252"/>
    </row>
    <row r="3" spans="1:18" ht="15.75" thickBot="1" x14ac:dyDescent="0.3">
      <c r="A3" s="7" t="s">
        <v>19</v>
      </c>
      <c r="B3" s="55"/>
      <c r="C3" s="55"/>
      <c r="D3" s="56"/>
      <c r="E3" s="56"/>
      <c r="F3" s="257" t="s">
        <v>176</v>
      </c>
      <c r="G3" s="258"/>
      <c r="H3" s="259"/>
    </row>
    <row r="4" spans="1:18" ht="15.75" thickBot="1" x14ac:dyDescent="0.3">
      <c r="A4" s="7" t="s">
        <v>20</v>
      </c>
      <c r="B4" s="55"/>
      <c r="C4" s="56"/>
      <c r="D4" s="56"/>
      <c r="E4" s="55"/>
      <c r="F4" s="251" t="s">
        <v>114</v>
      </c>
      <c r="G4" s="251"/>
      <c r="H4" s="252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60" t="s">
        <v>58</v>
      </c>
      <c r="G5" s="261"/>
      <c r="H5" s="262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69" t="s">
        <v>71</v>
      </c>
      <c r="G6" s="269"/>
      <c r="H6" s="270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51">
        <v>3</v>
      </c>
      <c r="G8" s="251"/>
      <c r="H8" s="252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63" t="s">
        <v>57</v>
      </c>
      <c r="G9" s="263"/>
      <c r="H9" s="264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51" t="s">
        <v>126</v>
      </c>
      <c r="G10" s="251"/>
      <c r="H10" s="252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51" t="s">
        <v>128</v>
      </c>
      <c r="G11" s="251"/>
      <c r="H11" s="252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51" t="s">
        <v>129</v>
      </c>
      <c r="G12" s="251"/>
      <c r="H12" s="252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7" t="s">
        <v>210</v>
      </c>
      <c r="C14" s="258"/>
      <c r="D14" s="283"/>
      <c r="E14" s="94">
        <v>3</v>
      </c>
      <c r="F14" s="251">
        <v>3</v>
      </c>
      <c r="G14" s="251"/>
      <c r="H14" s="252"/>
    </row>
    <row r="15" spans="1:18" x14ac:dyDescent="0.25">
      <c r="A15" s="7" t="s">
        <v>19</v>
      </c>
      <c r="B15" s="257" t="s">
        <v>113</v>
      </c>
      <c r="C15" s="258"/>
      <c r="D15" s="283"/>
      <c r="E15" s="148" t="s">
        <v>195</v>
      </c>
      <c r="F15" s="251" t="s">
        <v>81</v>
      </c>
      <c r="G15" s="251"/>
      <c r="H15" s="252"/>
    </row>
    <row r="16" spans="1:18" x14ac:dyDescent="0.25">
      <c r="A16" s="7" t="s">
        <v>20</v>
      </c>
      <c r="B16" s="260" t="s">
        <v>112</v>
      </c>
      <c r="C16" s="261"/>
      <c r="D16" s="285"/>
      <c r="E16" s="145" t="s">
        <v>176</v>
      </c>
      <c r="F16" s="260" t="s">
        <v>92</v>
      </c>
      <c r="G16" s="261"/>
      <c r="H16" s="262"/>
    </row>
    <row r="17" spans="1:8" x14ac:dyDescent="0.25">
      <c r="A17" s="7" t="s">
        <v>21</v>
      </c>
      <c r="B17" s="257" t="s">
        <v>114</v>
      </c>
      <c r="C17" s="258"/>
      <c r="D17" s="283"/>
      <c r="E17" s="94" t="s">
        <v>67</v>
      </c>
      <c r="F17" s="251" t="s">
        <v>191</v>
      </c>
      <c r="G17" s="251"/>
      <c r="H17" s="252"/>
    </row>
    <row r="18" spans="1:8" ht="15.75" thickBot="1" x14ac:dyDescent="0.3">
      <c r="A18" s="7" t="s">
        <v>79</v>
      </c>
      <c r="B18" s="257" t="s">
        <v>222</v>
      </c>
      <c r="C18" s="258"/>
      <c r="D18" s="283"/>
      <c r="E18" s="94" t="s">
        <v>64</v>
      </c>
      <c r="F18" s="251" t="s">
        <v>221</v>
      </c>
      <c r="G18" s="251"/>
      <c r="H18" s="252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57" t="s">
        <v>211</v>
      </c>
      <c r="E20" s="283"/>
      <c r="F20" s="251">
        <v>2</v>
      </c>
      <c r="G20" s="251"/>
      <c r="H20" s="252"/>
    </row>
    <row r="21" spans="1:8" x14ac:dyDescent="0.25">
      <c r="A21" s="29" t="s">
        <v>19</v>
      </c>
      <c r="B21" s="145" t="s">
        <v>176</v>
      </c>
      <c r="C21" s="94" t="s">
        <v>71</v>
      </c>
      <c r="D21" s="257" t="s">
        <v>195</v>
      </c>
      <c r="E21" s="283"/>
      <c r="F21" s="251" t="s">
        <v>115</v>
      </c>
      <c r="G21" s="251"/>
      <c r="H21" s="252"/>
    </row>
    <row r="22" spans="1:8" x14ac:dyDescent="0.25">
      <c r="A22" s="7" t="s">
        <v>20</v>
      </c>
      <c r="B22" s="145" t="s">
        <v>58</v>
      </c>
      <c r="C22" s="148" t="s">
        <v>59</v>
      </c>
      <c r="D22" s="260" t="s">
        <v>80</v>
      </c>
      <c r="E22" s="285"/>
      <c r="F22" s="260" t="s">
        <v>60</v>
      </c>
      <c r="G22" s="261"/>
      <c r="H22" s="262"/>
    </row>
    <row r="23" spans="1:8" x14ac:dyDescent="0.25">
      <c r="A23" s="7" t="s">
        <v>21</v>
      </c>
      <c r="B23" s="146" t="s">
        <v>127</v>
      </c>
      <c r="C23" s="142" t="s">
        <v>67</v>
      </c>
      <c r="D23" s="257" t="s">
        <v>174</v>
      </c>
      <c r="E23" s="283"/>
      <c r="F23" s="251" t="s">
        <v>61</v>
      </c>
      <c r="G23" s="251"/>
      <c r="H23" s="252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57" t="s">
        <v>175</v>
      </c>
      <c r="E24" s="283"/>
      <c r="F24" s="251" t="s">
        <v>227</v>
      </c>
      <c r="G24" s="251"/>
      <c r="H24" s="252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7" t="s">
        <v>212</v>
      </c>
      <c r="C26" s="283"/>
      <c r="D26" s="92">
        <v>3</v>
      </c>
      <c r="E26" s="94">
        <v>3</v>
      </c>
      <c r="F26" s="251">
        <v>3</v>
      </c>
      <c r="G26" s="251"/>
      <c r="H26" s="252"/>
    </row>
    <row r="27" spans="1:8" x14ac:dyDescent="0.25">
      <c r="A27" s="7" t="s">
        <v>19</v>
      </c>
      <c r="B27" s="260" t="s">
        <v>126</v>
      </c>
      <c r="C27" s="285"/>
      <c r="D27" s="149" t="s">
        <v>71</v>
      </c>
      <c r="E27" s="145" t="s">
        <v>57</v>
      </c>
      <c r="F27" s="257" t="s">
        <v>67</v>
      </c>
      <c r="G27" s="258"/>
      <c r="H27" s="259"/>
    </row>
    <row r="28" spans="1:8" x14ac:dyDescent="0.25">
      <c r="A28" s="7" t="s">
        <v>20</v>
      </c>
      <c r="B28" s="257" t="s">
        <v>69</v>
      </c>
      <c r="C28" s="283"/>
      <c r="D28" s="93" t="s">
        <v>127</v>
      </c>
      <c r="E28" s="92" t="s">
        <v>175</v>
      </c>
      <c r="F28" s="260" t="s">
        <v>91</v>
      </c>
      <c r="G28" s="261"/>
      <c r="H28" s="262"/>
    </row>
    <row r="29" spans="1:8" x14ac:dyDescent="0.25">
      <c r="A29" s="7" t="s">
        <v>21</v>
      </c>
      <c r="B29" s="257" t="s">
        <v>81</v>
      </c>
      <c r="C29" s="283"/>
      <c r="D29" s="92" t="s">
        <v>163</v>
      </c>
      <c r="E29" s="146" t="s">
        <v>59</v>
      </c>
      <c r="F29" s="251" t="s">
        <v>161</v>
      </c>
      <c r="G29" s="251"/>
      <c r="H29" s="252"/>
    </row>
    <row r="30" spans="1:8" ht="15.75" thickBot="1" x14ac:dyDescent="0.3">
      <c r="A30" s="8" t="s">
        <v>79</v>
      </c>
      <c r="B30" s="257" t="s">
        <v>142</v>
      </c>
      <c r="C30" s="283"/>
      <c r="D30" s="96" t="s">
        <v>112</v>
      </c>
      <c r="E30" s="95" t="s">
        <v>195</v>
      </c>
      <c r="F30" s="269" t="s">
        <v>130</v>
      </c>
      <c r="G30" s="269"/>
      <c r="H30" s="27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7" t="s">
        <v>213</v>
      </c>
      <c r="C32" s="283"/>
      <c r="D32" s="92">
        <v>3</v>
      </c>
      <c r="E32" s="94">
        <v>3</v>
      </c>
      <c r="F32" s="251">
        <v>2</v>
      </c>
      <c r="G32" s="251"/>
      <c r="H32" s="252"/>
    </row>
    <row r="33" spans="1:8" x14ac:dyDescent="0.25">
      <c r="A33" s="7" t="s">
        <v>19</v>
      </c>
      <c r="B33" s="257" t="s">
        <v>221</v>
      </c>
      <c r="C33" s="283"/>
      <c r="D33" s="94" t="s">
        <v>61</v>
      </c>
      <c r="E33" s="145" t="s">
        <v>71</v>
      </c>
      <c r="F33" s="257" t="s">
        <v>141</v>
      </c>
      <c r="G33" s="258"/>
      <c r="H33" s="259"/>
    </row>
    <row r="34" spans="1:8" x14ac:dyDescent="0.25">
      <c r="A34" s="7" t="s">
        <v>20</v>
      </c>
      <c r="B34" s="260" t="s">
        <v>64</v>
      </c>
      <c r="C34" s="285"/>
      <c r="D34" s="147" t="s">
        <v>176</v>
      </c>
      <c r="E34" s="148" t="s">
        <v>92</v>
      </c>
      <c r="F34" s="260" t="s">
        <v>162</v>
      </c>
      <c r="G34" s="261"/>
      <c r="H34" s="262"/>
    </row>
    <row r="35" spans="1:8" x14ac:dyDescent="0.25">
      <c r="A35" s="7" t="s">
        <v>21</v>
      </c>
      <c r="B35" s="257" t="s">
        <v>163</v>
      </c>
      <c r="C35" s="283"/>
      <c r="D35" s="148" t="s">
        <v>127</v>
      </c>
      <c r="E35" s="94" t="s">
        <v>69</v>
      </c>
      <c r="F35" s="263" t="s">
        <v>80</v>
      </c>
      <c r="G35" s="263"/>
      <c r="H35" s="264"/>
    </row>
    <row r="36" spans="1:8" ht="15.75" thickBot="1" x14ac:dyDescent="0.3">
      <c r="A36" s="8" t="s">
        <v>79</v>
      </c>
      <c r="B36" s="280" t="s">
        <v>194</v>
      </c>
      <c r="C36" s="284"/>
      <c r="D36" s="96" t="s">
        <v>227</v>
      </c>
      <c r="E36" s="95" t="s">
        <v>222</v>
      </c>
      <c r="F36" s="269" t="s">
        <v>225</v>
      </c>
      <c r="G36" s="269"/>
      <c r="H36" s="270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לוח ינואר</vt:lpstr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2018-12-19T19:15:45Z</dcterms:modified>
</cp:coreProperties>
</file>