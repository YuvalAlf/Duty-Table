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0FA7857E-C577-43AB-9273-88EC13CD615E}" xr6:coauthVersionLast="34" xr6:coauthVersionMax="34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חיילים" sheetId="1" r:id="rId1"/>
    <sheet name="לוח ספטמבר" sheetId="26" r:id="rId2"/>
    <sheet name="הזנת לוח" sheetId="24" r:id="rId3"/>
    <sheet name="סטטיסטיקה" sheetId="3" r:id="rId4"/>
    <sheet name="לוח נוב 18" sheetId="28" r:id="rId5"/>
    <sheet name="לוח אוגוסט" sheetId="23" r:id="rId6"/>
    <sheet name="לוח אוקטובר" sheetId="27" r:id="rId7"/>
    <sheet name="לוח יולי" sheetId="22" r:id="rId8"/>
    <sheet name="תקנים עתידיים מושלם" sheetId="17" r:id="rId9"/>
    <sheet name="לוח יוני" sheetId="20" r:id="rId10"/>
    <sheet name="לוח מאי" sheetId="16" r:id="rId11"/>
    <sheet name="לוח אפריל" sheetId="14" r:id="rId12"/>
    <sheet name="לוח מרץ" sheetId="13" r:id="rId13"/>
    <sheet name="לוח פברואר" sheetId="12" r:id="rId14"/>
    <sheet name="לוח ינואר" sheetId="11" r:id="rId15"/>
    <sheet name="לוח דצמבר" sheetId="10" r:id="rId16"/>
    <sheet name="לוח נובמבר" sheetId="8" r:id="rId17"/>
    <sheet name="חיילים שלא עברו מבחן" sheetId="25" r:id="rId18"/>
    <sheet name="חגים" sheetId="21" r:id="rId19"/>
  </sheets>
  <definedNames>
    <definedName name="_xlnm._FilterDatabase" localSheetId="2" hidden="1">'הזנת לוח'!$A$1:$F$46</definedName>
    <definedName name="_xlnm._FilterDatabase" localSheetId="0" hidden="1">חיילים!$A$1:$DS$42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3" i="1" l="1"/>
  <c r="DB3" i="1"/>
  <c r="DH3" i="1"/>
  <c r="DI3" i="1"/>
  <c r="DQ3" i="1"/>
  <c r="DR3" i="1"/>
  <c r="CT3" i="1"/>
  <c r="CU3" i="1"/>
  <c r="C3" i="1"/>
  <c r="CV3" i="1" l="1"/>
  <c r="DS3" i="1"/>
  <c r="DJ3" i="1"/>
  <c r="DC3" i="1"/>
  <c r="DM3" i="1"/>
  <c r="DN3" i="1" s="1"/>
  <c r="DK3" i="1"/>
  <c r="G6" i="3"/>
  <c r="I6" i="3"/>
  <c r="J6" i="3"/>
  <c r="H6" i="3"/>
  <c r="H4" i="3"/>
  <c r="I4" i="3"/>
  <c r="J4" i="3"/>
  <c r="G4" i="3"/>
  <c r="DQ4" i="1"/>
  <c r="DR4" i="1"/>
  <c r="DQ5" i="1"/>
  <c r="DR5" i="1"/>
  <c r="DQ6" i="1"/>
  <c r="DR6" i="1"/>
  <c r="DQ7" i="1"/>
  <c r="DR7" i="1"/>
  <c r="DQ8" i="1"/>
  <c r="DR8" i="1"/>
  <c r="DQ9" i="1"/>
  <c r="DR9" i="1"/>
  <c r="DQ10" i="1"/>
  <c r="DR10" i="1"/>
  <c r="DQ11" i="1"/>
  <c r="DR11" i="1"/>
  <c r="DQ12" i="1"/>
  <c r="DR12" i="1"/>
  <c r="DQ13" i="1"/>
  <c r="DR13" i="1"/>
  <c r="DQ14" i="1"/>
  <c r="DR14" i="1"/>
  <c r="DQ15" i="1"/>
  <c r="DR15" i="1"/>
  <c r="DQ16" i="1"/>
  <c r="DR16" i="1"/>
  <c r="DQ17" i="1"/>
  <c r="DR17" i="1"/>
  <c r="DQ18" i="1"/>
  <c r="DR18" i="1"/>
  <c r="DQ19" i="1"/>
  <c r="DR19" i="1"/>
  <c r="DQ20" i="1"/>
  <c r="DR20" i="1"/>
  <c r="DQ21" i="1"/>
  <c r="DR21" i="1"/>
  <c r="DQ22" i="1"/>
  <c r="DR22" i="1"/>
  <c r="DQ23" i="1"/>
  <c r="DR23" i="1"/>
  <c r="DQ24" i="1"/>
  <c r="DR24" i="1"/>
  <c r="DQ25" i="1"/>
  <c r="DR25" i="1"/>
  <c r="DQ26" i="1"/>
  <c r="DR26" i="1"/>
  <c r="DQ27" i="1"/>
  <c r="DR27" i="1"/>
  <c r="DQ28" i="1"/>
  <c r="DR28" i="1"/>
  <c r="DQ29" i="1"/>
  <c r="DR29" i="1"/>
  <c r="DQ30" i="1"/>
  <c r="DR30" i="1"/>
  <c r="DQ31" i="1"/>
  <c r="DR31" i="1"/>
  <c r="DQ32" i="1"/>
  <c r="DR32" i="1"/>
  <c r="DQ33" i="1"/>
  <c r="DR33" i="1"/>
  <c r="DQ34" i="1"/>
  <c r="DR34" i="1"/>
  <c r="DQ35" i="1"/>
  <c r="DR35" i="1"/>
  <c r="DQ37" i="1"/>
  <c r="DR37" i="1"/>
  <c r="DQ36" i="1"/>
  <c r="DR36" i="1"/>
  <c r="DQ38" i="1"/>
  <c r="DR38" i="1"/>
  <c r="DQ39" i="1"/>
  <c r="DR39" i="1"/>
  <c r="DQ40" i="1"/>
  <c r="DR40" i="1"/>
  <c r="DQ41" i="1"/>
  <c r="DR41" i="1"/>
  <c r="DQ42" i="1"/>
  <c r="DR42" i="1"/>
  <c r="DR2" i="1"/>
  <c r="DQ2" i="1"/>
  <c r="DI42" i="1"/>
  <c r="DH42" i="1"/>
  <c r="DI41" i="1"/>
  <c r="DH41" i="1"/>
  <c r="DI40" i="1"/>
  <c r="DH40" i="1"/>
  <c r="DI39" i="1"/>
  <c r="DH39" i="1"/>
  <c r="DI38" i="1"/>
  <c r="DH38" i="1"/>
  <c r="DI36" i="1"/>
  <c r="DH36" i="1"/>
  <c r="DI37" i="1"/>
  <c r="DH37" i="1"/>
  <c r="DI35" i="1"/>
  <c r="DH35" i="1"/>
  <c r="DI34" i="1"/>
  <c r="DH34" i="1"/>
  <c r="DI33" i="1"/>
  <c r="DH33" i="1"/>
  <c r="DI32" i="1"/>
  <c r="DH32" i="1"/>
  <c r="DI31" i="1"/>
  <c r="DH31" i="1"/>
  <c r="DI30" i="1"/>
  <c r="DH30" i="1"/>
  <c r="DI29" i="1"/>
  <c r="DH29" i="1"/>
  <c r="DI28" i="1"/>
  <c r="DH28" i="1"/>
  <c r="DI27" i="1"/>
  <c r="DH27" i="1"/>
  <c r="DI26" i="1"/>
  <c r="DH26" i="1"/>
  <c r="DI25" i="1"/>
  <c r="DH25" i="1"/>
  <c r="DI24" i="1"/>
  <c r="DH24" i="1"/>
  <c r="DI23" i="1"/>
  <c r="DH23" i="1"/>
  <c r="DI22" i="1"/>
  <c r="DH22" i="1"/>
  <c r="DI21" i="1"/>
  <c r="DH21" i="1"/>
  <c r="DI20" i="1"/>
  <c r="DH20" i="1"/>
  <c r="DI19" i="1"/>
  <c r="DH19" i="1"/>
  <c r="DI18" i="1"/>
  <c r="DH18" i="1"/>
  <c r="DI17" i="1"/>
  <c r="DH17" i="1"/>
  <c r="DI16" i="1"/>
  <c r="DH16" i="1"/>
  <c r="DI15" i="1"/>
  <c r="DH15" i="1"/>
  <c r="DI14" i="1"/>
  <c r="DH14" i="1"/>
  <c r="DI13" i="1"/>
  <c r="DH13" i="1"/>
  <c r="DI12" i="1"/>
  <c r="DH12" i="1"/>
  <c r="DI11" i="1"/>
  <c r="DH11" i="1"/>
  <c r="DI10" i="1"/>
  <c r="DH10" i="1"/>
  <c r="DI9" i="1"/>
  <c r="DH9" i="1"/>
  <c r="DI8" i="1"/>
  <c r="DH8" i="1"/>
  <c r="DI7" i="1"/>
  <c r="DH7" i="1"/>
  <c r="DI6" i="1"/>
  <c r="DH6" i="1"/>
  <c r="DI5" i="1"/>
  <c r="DH5" i="1"/>
  <c r="DI4" i="1"/>
  <c r="DH4" i="1"/>
  <c r="DI2" i="1"/>
  <c r="DH2" i="1"/>
  <c r="DA36" i="1"/>
  <c r="DB36" i="1"/>
  <c r="CT36" i="1"/>
  <c r="CU36" i="1"/>
  <c r="C36" i="1"/>
  <c r="DO3" i="1" l="1"/>
  <c r="DL3" i="1"/>
  <c r="DP3" i="1" s="1"/>
  <c r="DJ14" i="1"/>
  <c r="DJ28" i="1"/>
  <c r="DS30" i="1"/>
  <c r="DS26" i="1"/>
  <c r="DS23" i="1"/>
  <c r="DS19" i="1"/>
  <c r="DS5" i="1"/>
  <c r="CV36" i="1"/>
  <c r="DS41" i="1"/>
  <c r="DS28" i="1"/>
  <c r="DS21" i="1"/>
  <c r="DS16" i="1"/>
  <c r="DS33" i="1"/>
  <c r="DJ19" i="1"/>
  <c r="DS42" i="1"/>
  <c r="DS25" i="1"/>
  <c r="DS18" i="1"/>
  <c r="DS8" i="1"/>
  <c r="DS31" i="1"/>
  <c r="DS38" i="1"/>
  <c r="DS29" i="1"/>
  <c r="DS22" i="1"/>
  <c r="DS4" i="1"/>
  <c r="DJ23" i="1"/>
  <c r="DS37" i="1"/>
  <c r="DS39" i="1"/>
  <c r="DS32" i="1"/>
  <c r="DS9" i="1"/>
  <c r="DK36" i="1"/>
  <c r="DL36" i="1" s="1"/>
  <c r="DS34" i="1"/>
  <c r="DS17" i="1"/>
  <c r="DS15" i="1"/>
  <c r="DS11" i="1"/>
  <c r="DS24" i="1"/>
  <c r="DS14" i="1"/>
  <c r="DS36" i="1"/>
  <c r="DJ13" i="1"/>
  <c r="DJ10" i="1"/>
  <c r="DJ17" i="1"/>
  <c r="DJ27" i="1"/>
  <c r="DS40" i="1"/>
  <c r="DS13" i="1"/>
  <c r="DS10" i="1"/>
  <c r="DS7" i="1"/>
  <c r="DJ18" i="1"/>
  <c r="DJ37" i="1"/>
  <c r="DM36" i="1"/>
  <c r="DN36" i="1" s="1"/>
  <c r="DJ32" i="1"/>
  <c r="DJ40" i="1"/>
  <c r="DS35" i="1"/>
  <c r="DS20" i="1"/>
  <c r="DC36" i="1"/>
  <c r="DJ5" i="1"/>
  <c r="DJ12" i="1"/>
  <c r="DJ29" i="1"/>
  <c r="DS12" i="1"/>
  <c r="DJ42" i="1"/>
  <c r="DS6" i="1"/>
  <c r="DJ26" i="1"/>
  <c r="DJ34" i="1"/>
  <c r="DS27" i="1"/>
  <c r="DJ6" i="1"/>
  <c r="DJ16" i="1"/>
  <c r="DJ22" i="1"/>
  <c r="DJ35" i="1"/>
  <c r="DJ39" i="1"/>
  <c r="DJ7" i="1"/>
  <c r="DJ25" i="1"/>
  <c r="DJ4" i="1"/>
  <c r="DJ24" i="1"/>
  <c r="DJ36" i="1"/>
  <c r="DJ11" i="1"/>
  <c r="DJ41" i="1"/>
  <c r="DJ33" i="1"/>
  <c r="DJ8" i="1"/>
  <c r="DJ20" i="1"/>
  <c r="DJ30" i="1"/>
  <c r="DJ2" i="1"/>
  <c r="DJ9" i="1"/>
  <c r="DJ15" i="1"/>
  <c r="DJ21" i="1"/>
  <c r="DJ31" i="1"/>
  <c r="DJ38" i="1"/>
  <c r="DP36" i="1" l="1"/>
  <c r="DO36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10" i="1"/>
  <c r="DB10" i="1"/>
  <c r="DA33" i="1"/>
  <c r="DB33" i="1"/>
  <c r="CT10" i="1"/>
  <c r="CU10" i="1"/>
  <c r="CT33" i="1"/>
  <c r="CU33" i="1"/>
  <c r="CM10" i="1"/>
  <c r="CN10" i="1"/>
  <c r="CM33" i="1"/>
  <c r="CN33" i="1"/>
  <c r="C33" i="1"/>
  <c r="C10" i="1"/>
  <c r="DK10" i="1" l="1"/>
  <c r="DL10" i="1" s="1"/>
  <c r="DK33" i="1"/>
  <c r="DL33" i="1" s="1"/>
  <c r="DM10" i="1"/>
  <c r="DN10" i="1" s="1"/>
  <c r="DM33" i="1"/>
  <c r="DN33" i="1" s="1"/>
  <c r="C19" i="26"/>
  <c r="D19" i="26" s="1"/>
  <c r="E19" i="26" s="1"/>
  <c r="F19" i="26" s="1"/>
  <c r="G19" i="26" s="1"/>
  <c r="H19" i="26" s="1"/>
  <c r="B25" i="26"/>
  <c r="CO10" i="1"/>
  <c r="CV10" i="1"/>
  <c r="DC10" i="1"/>
  <c r="DC33" i="1"/>
  <c r="CV33" i="1"/>
  <c r="CO33" i="1"/>
  <c r="H5" i="3"/>
  <c r="DB31" i="1"/>
  <c r="DA31" i="1"/>
  <c r="DB8" i="1"/>
  <c r="DA8" i="1"/>
  <c r="DB25" i="1"/>
  <c r="DA25" i="1"/>
  <c r="DB11" i="1"/>
  <c r="DA11" i="1"/>
  <c r="DB28" i="1"/>
  <c r="DA28" i="1"/>
  <c r="DB40" i="1"/>
  <c r="DA40" i="1"/>
  <c r="DB6" i="1"/>
  <c r="DA6" i="1"/>
  <c r="DB39" i="1"/>
  <c r="DA39" i="1"/>
  <c r="DB17" i="1"/>
  <c r="DA17" i="1"/>
  <c r="DB32" i="1"/>
  <c r="DA32" i="1"/>
  <c r="DB12" i="1"/>
  <c r="DA12" i="1"/>
  <c r="DB41" i="1"/>
  <c r="DA41" i="1"/>
  <c r="DB9" i="1"/>
  <c r="DA9" i="1"/>
  <c r="DB21" i="1"/>
  <c r="DA21" i="1"/>
  <c r="DB19" i="1"/>
  <c r="DA19" i="1"/>
  <c r="DB38" i="1"/>
  <c r="DA38" i="1"/>
  <c r="DB37" i="1"/>
  <c r="DA37" i="1"/>
  <c r="DB29" i="1"/>
  <c r="DA29" i="1"/>
  <c r="DB24" i="1"/>
  <c r="DA24" i="1"/>
  <c r="DB23" i="1"/>
  <c r="DA23" i="1"/>
  <c r="DB16" i="1"/>
  <c r="DA16" i="1"/>
  <c r="DB4" i="1"/>
  <c r="DA4" i="1"/>
  <c r="DB7" i="1"/>
  <c r="DA7" i="1"/>
  <c r="DB35" i="1"/>
  <c r="DA35" i="1"/>
  <c r="DB18" i="1"/>
  <c r="DA18" i="1"/>
  <c r="DB2" i="1"/>
  <c r="DA2" i="1"/>
  <c r="DB5" i="1"/>
  <c r="DA5" i="1"/>
  <c r="DB14" i="1"/>
  <c r="DA14" i="1"/>
  <c r="DB30" i="1"/>
  <c r="DA30" i="1"/>
  <c r="DB13" i="1"/>
  <c r="DA13" i="1"/>
  <c r="DB22" i="1"/>
  <c r="DA22" i="1"/>
  <c r="DB26" i="1"/>
  <c r="DA26" i="1"/>
  <c r="DB42" i="1"/>
  <c r="DA42" i="1"/>
  <c r="DB34" i="1"/>
  <c r="DA34" i="1"/>
  <c r="DB27" i="1"/>
  <c r="DA27" i="1"/>
  <c r="DB20" i="1"/>
  <c r="DA20" i="1"/>
  <c r="DB15" i="1"/>
  <c r="DA15" i="1"/>
  <c r="DP10" i="1" l="1"/>
  <c r="DO10" i="1"/>
  <c r="DP33" i="1"/>
  <c r="DO33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7" i="1"/>
  <c r="DC22" i="1"/>
  <c r="DC19" i="1"/>
  <c r="DC9" i="1"/>
  <c r="DC40" i="1"/>
  <c r="DC27" i="1"/>
  <c r="DC15" i="1"/>
  <c r="DC31" i="1"/>
  <c r="DC11" i="1"/>
  <c r="DC25" i="1"/>
  <c r="DC30" i="1"/>
  <c r="DC5" i="1"/>
  <c r="DS2" i="1"/>
  <c r="J5" i="3"/>
  <c r="I5" i="3"/>
  <c r="DC14" i="1"/>
  <c r="DC4" i="1"/>
  <c r="DC20" i="1"/>
  <c r="DC35" i="1"/>
  <c r="DC38" i="1"/>
  <c r="DC21" i="1"/>
  <c r="DC17" i="1"/>
  <c r="DC39" i="1"/>
  <c r="DC13" i="1"/>
  <c r="DC7" i="1"/>
  <c r="DC8" i="1"/>
  <c r="DC16" i="1"/>
  <c r="DC34" i="1"/>
  <c r="DC26" i="1"/>
  <c r="DC2" i="1"/>
  <c r="DC23" i="1"/>
  <c r="DC29" i="1"/>
  <c r="DC12" i="1"/>
  <c r="DC6" i="1"/>
  <c r="DC28" i="1"/>
  <c r="DC42" i="1"/>
  <c r="DC18" i="1"/>
  <c r="DC24" i="1"/>
  <c r="DC41" i="1"/>
  <c r="DC32" i="1"/>
  <c r="CT8" i="1"/>
  <c r="CU8" i="1"/>
  <c r="CT29" i="1"/>
  <c r="CU29" i="1"/>
  <c r="CT34" i="1"/>
  <c r="CU34" i="1"/>
  <c r="CM8" i="1"/>
  <c r="CN8" i="1"/>
  <c r="CM29" i="1"/>
  <c r="CN29" i="1"/>
  <c r="CM34" i="1"/>
  <c r="CN34" i="1"/>
  <c r="CF8" i="1"/>
  <c r="CG8" i="1"/>
  <c r="CF29" i="1"/>
  <c r="CG29" i="1"/>
  <c r="CF34" i="1"/>
  <c r="CG34" i="1"/>
  <c r="BY8" i="1"/>
  <c r="BZ8" i="1"/>
  <c r="BY29" i="1"/>
  <c r="BZ29" i="1"/>
  <c r="BY34" i="1"/>
  <c r="BZ34" i="1"/>
  <c r="BR8" i="1"/>
  <c r="BS8" i="1"/>
  <c r="BR29" i="1"/>
  <c r="BS29" i="1"/>
  <c r="BR34" i="1"/>
  <c r="BS34" i="1"/>
  <c r="BK8" i="1"/>
  <c r="BL8" i="1"/>
  <c r="BK29" i="1"/>
  <c r="BL29" i="1"/>
  <c r="BK34" i="1"/>
  <c r="BL34" i="1"/>
  <c r="BD8" i="1"/>
  <c r="BE8" i="1"/>
  <c r="BD29" i="1"/>
  <c r="BE29" i="1"/>
  <c r="BD34" i="1"/>
  <c r="BE34" i="1"/>
  <c r="AW8" i="1"/>
  <c r="AX8" i="1"/>
  <c r="AW29" i="1"/>
  <c r="AX29" i="1"/>
  <c r="AW34" i="1"/>
  <c r="AX34" i="1"/>
  <c r="AP8" i="1"/>
  <c r="AQ8" i="1"/>
  <c r="AP29" i="1"/>
  <c r="AQ29" i="1"/>
  <c r="AP34" i="1"/>
  <c r="AQ34" i="1"/>
  <c r="AI8" i="1"/>
  <c r="AJ8" i="1"/>
  <c r="AI29" i="1"/>
  <c r="AJ29" i="1"/>
  <c r="AI34" i="1"/>
  <c r="AJ34" i="1"/>
  <c r="AB8" i="1"/>
  <c r="AC8" i="1"/>
  <c r="AB29" i="1"/>
  <c r="AC29" i="1"/>
  <c r="AB34" i="1"/>
  <c r="AC34" i="1"/>
  <c r="U8" i="1"/>
  <c r="V8" i="1"/>
  <c r="U29" i="1"/>
  <c r="V29" i="1"/>
  <c r="U34" i="1"/>
  <c r="V34" i="1"/>
  <c r="N8" i="1"/>
  <c r="O8" i="1"/>
  <c r="N29" i="1"/>
  <c r="O29" i="1"/>
  <c r="N34" i="1"/>
  <c r="O34" i="1"/>
  <c r="N42" i="1"/>
  <c r="O42" i="1"/>
  <c r="C34" i="1"/>
  <c r="DM29" i="1" l="1"/>
  <c r="DN29" i="1" s="1"/>
  <c r="DK29" i="1"/>
  <c r="DM8" i="1"/>
  <c r="DN8" i="1" s="1"/>
  <c r="DK8" i="1"/>
  <c r="DM34" i="1"/>
  <c r="DN34" i="1" s="1"/>
  <c r="DK34" i="1"/>
  <c r="CV29" i="1"/>
  <c r="BT8" i="1"/>
  <c r="CA29" i="1"/>
  <c r="CH8" i="1"/>
  <c r="CV34" i="1"/>
  <c r="CV8" i="1"/>
  <c r="P42" i="1"/>
  <c r="BF29" i="1"/>
  <c r="CA34" i="1"/>
  <c r="CA8" i="1"/>
  <c r="P8" i="1"/>
  <c r="CH29" i="1"/>
  <c r="AY29" i="1"/>
  <c r="W8" i="1"/>
  <c r="AD29" i="1"/>
  <c r="AK8" i="1"/>
  <c r="AR29" i="1"/>
  <c r="AY34" i="1"/>
  <c r="AY8" i="1"/>
  <c r="CO34" i="1"/>
  <c r="AR8" i="1"/>
  <c r="AK34" i="1"/>
  <c r="P34" i="1"/>
  <c r="W29" i="1"/>
  <c r="AD34" i="1"/>
  <c r="AD8" i="1"/>
  <c r="AK29" i="1"/>
  <c r="AR34" i="1"/>
  <c r="CO8" i="1"/>
  <c r="BF34" i="1"/>
  <c r="BM34" i="1"/>
  <c r="BM8" i="1"/>
  <c r="BT29" i="1"/>
  <c r="CH34" i="1"/>
  <c r="P29" i="1"/>
  <c r="W34" i="1"/>
  <c r="BF8" i="1"/>
  <c r="BM29" i="1"/>
  <c r="BT34" i="1"/>
  <c r="CO29" i="1"/>
  <c r="C4" i="1"/>
  <c r="C8" i="1"/>
  <c r="DO29" i="1" l="1"/>
  <c r="DL29" i="1"/>
  <c r="DP29" i="1" s="1"/>
  <c r="DL34" i="1"/>
  <c r="DP34" i="1" s="1"/>
  <c r="DO34" i="1"/>
  <c r="DL8" i="1"/>
  <c r="DP8" i="1" s="1"/>
  <c r="DO8" i="1"/>
  <c r="CT25" i="1"/>
  <c r="CU25" i="1"/>
  <c r="CT19" i="1"/>
  <c r="CU19" i="1"/>
  <c r="CT2" i="1"/>
  <c r="CU2" i="1"/>
  <c r="CT14" i="1"/>
  <c r="CU14" i="1"/>
  <c r="CT22" i="1"/>
  <c r="CU22" i="1"/>
  <c r="CT6" i="1"/>
  <c r="CU6" i="1"/>
  <c r="CT31" i="1"/>
  <c r="CU31" i="1"/>
  <c r="CT38" i="1"/>
  <c r="CU38" i="1"/>
  <c r="CT28" i="1"/>
  <c r="CU28" i="1"/>
  <c r="CT7" i="1"/>
  <c r="CU7" i="1"/>
  <c r="CT5" i="1"/>
  <c r="CU5" i="1"/>
  <c r="CT18" i="1"/>
  <c r="CU18" i="1"/>
  <c r="CT27" i="1"/>
  <c r="CU27" i="1"/>
  <c r="CT17" i="1"/>
  <c r="CU17" i="1"/>
  <c r="CT30" i="1"/>
  <c r="CU30" i="1"/>
  <c r="CT32" i="1"/>
  <c r="CU32" i="1"/>
  <c r="CT37" i="1"/>
  <c r="CU37" i="1"/>
  <c r="CT40" i="1"/>
  <c r="CU40" i="1"/>
  <c r="CT41" i="1"/>
  <c r="CU41" i="1"/>
  <c r="CT16" i="1"/>
  <c r="CU16" i="1"/>
  <c r="CT12" i="1"/>
  <c r="CU12" i="1"/>
  <c r="CT35" i="1"/>
  <c r="CU35" i="1"/>
  <c r="CM25" i="1"/>
  <c r="CN25" i="1"/>
  <c r="CM19" i="1"/>
  <c r="CN19" i="1"/>
  <c r="CM2" i="1"/>
  <c r="CN2" i="1"/>
  <c r="CM14" i="1"/>
  <c r="CN14" i="1"/>
  <c r="CM22" i="1"/>
  <c r="CN22" i="1"/>
  <c r="CM6" i="1"/>
  <c r="CN6" i="1"/>
  <c r="CM31" i="1"/>
  <c r="CN31" i="1"/>
  <c r="CM38" i="1"/>
  <c r="CN38" i="1"/>
  <c r="CM28" i="1"/>
  <c r="CN28" i="1"/>
  <c r="CM7" i="1"/>
  <c r="CN7" i="1"/>
  <c r="CM5" i="1"/>
  <c r="CN5" i="1"/>
  <c r="CM18" i="1"/>
  <c r="CN18" i="1"/>
  <c r="CM27" i="1"/>
  <c r="CN27" i="1"/>
  <c r="CM17" i="1"/>
  <c r="CN17" i="1"/>
  <c r="CM30" i="1"/>
  <c r="CN30" i="1"/>
  <c r="CM32" i="1"/>
  <c r="CN32" i="1"/>
  <c r="CM37" i="1"/>
  <c r="CN37" i="1"/>
  <c r="CM40" i="1"/>
  <c r="CN40" i="1"/>
  <c r="CM41" i="1"/>
  <c r="CN41" i="1"/>
  <c r="CM16" i="1"/>
  <c r="CN16" i="1"/>
  <c r="CM12" i="1"/>
  <c r="CN12" i="1"/>
  <c r="CM35" i="1"/>
  <c r="CN35" i="1"/>
  <c r="CM9" i="1"/>
  <c r="CN9" i="1"/>
  <c r="CM21" i="1"/>
  <c r="CN21" i="1"/>
  <c r="CM13" i="1"/>
  <c r="CN13" i="1"/>
  <c r="CM26" i="1"/>
  <c r="CN26" i="1"/>
  <c r="CM23" i="1"/>
  <c r="CN23" i="1"/>
  <c r="CM24" i="1"/>
  <c r="CN24" i="1"/>
  <c r="CM15" i="1"/>
  <c r="CN15" i="1"/>
  <c r="CM11" i="1"/>
  <c r="CN11" i="1"/>
  <c r="CU20" i="1"/>
  <c r="CT20" i="1"/>
  <c r="CU42" i="1"/>
  <c r="CT42" i="1"/>
  <c r="CU4" i="1"/>
  <c r="CT4" i="1"/>
  <c r="CU15" i="1"/>
  <c r="CT15" i="1"/>
  <c r="CU24" i="1"/>
  <c r="CT24" i="1"/>
  <c r="CU23" i="1"/>
  <c r="CT23" i="1"/>
  <c r="CU26" i="1"/>
  <c r="CT26" i="1"/>
  <c r="CU13" i="1"/>
  <c r="CT13" i="1"/>
  <c r="CU21" i="1"/>
  <c r="CT21" i="1"/>
  <c r="CU9" i="1"/>
  <c r="CT9" i="1"/>
  <c r="CU11" i="1"/>
  <c r="CT11" i="1"/>
  <c r="CU39" i="1"/>
  <c r="CT39" i="1"/>
  <c r="CO32" i="1" l="1"/>
  <c r="CO27" i="1"/>
  <c r="CO38" i="1"/>
  <c r="CO2" i="1"/>
  <c r="CO25" i="1"/>
  <c r="CV35" i="1"/>
  <c r="CV32" i="1"/>
  <c r="CO18" i="1"/>
  <c r="CO5" i="1"/>
  <c r="CO28" i="1"/>
  <c r="CO31" i="1"/>
  <c r="CO19" i="1"/>
  <c r="CV12" i="1"/>
  <c r="CV30" i="1"/>
  <c r="CO23" i="1"/>
  <c r="CO16" i="1"/>
  <c r="CV28" i="1"/>
  <c r="CV22" i="1"/>
  <c r="CO15" i="1"/>
  <c r="CV24" i="1"/>
  <c r="CO26" i="1"/>
  <c r="CO21" i="1"/>
  <c r="CO12" i="1"/>
  <c r="CO41" i="1"/>
  <c r="CO37" i="1"/>
  <c r="CO7" i="1"/>
  <c r="CV38" i="1"/>
  <c r="CV6" i="1"/>
  <c r="CV4" i="1"/>
  <c r="CO9" i="1"/>
  <c r="CO35" i="1"/>
  <c r="CV16" i="1"/>
  <c r="CV40" i="1"/>
  <c r="CV5" i="1"/>
  <c r="CV2" i="1"/>
  <c r="CV25" i="1"/>
  <c r="CV11" i="1"/>
  <c r="CV9" i="1"/>
  <c r="CV13" i="1"/>
  <c r="CV23" i="1"/>
  <c r="CV37" i="1"/>
  <c r="CV27" i="1"/>
  <c r="CV26" i="1"/>
  <c r="CO11" i="1"/>
  <c r="CO17" i="1"/>
  <c r="CO14" i="1"/>
  <c r="CV41" i="1"/>
  <c r="CV17" i="1"/>
  <c r="CV18" i="1"/>
  <c r="CV7" i="1"/>
  <c r="CV31" i="1"/>
  <c r="CV14" i="1"/>
  <c r="CV19" i="1"/>
  <c r="CO24" i="1"/>
  <c r="CO13" i="1"/>
  <c r="CO30" i="1"/>
  <c r="CO22" i="1"/>
  <c r="CO40" i="1"/>
  <c r="CO6" i="1"/>
  <c r="CV15" i="1"/>
  <c r="CV21" i="1"/>
  <c r="CV42" i="1"/>
  <c r="CV39" i="1"/>
  <c r="CV20" i="1"/>
  <c r="C29" i="1"/>
  <c r="CF40" i="1" l="1"/>
  <c r="CG40" i="1"/>
  <c r="CF9" i="1"/>
  <c r="CG9" i="1"/>
  <c r="BY40" i="1"/>
  <c r="BZ40" i="1"/>
  <c r="BY9" i="1"/>
  <c r="BZ9" i="1"/>
  <c r="BR40" i="1"/>
  <c r="BS40" i="1"/>
  <c r="BR9" i="1"/>
  <c r="BS9" i="1"/>
  <c r="BK40" i="1"/>
  <c r="BL40" i="1"/>
  <c r="BD40" i="1"/>
  <c r="BE40" i="1"/>
  <c r="BD9" i="1"/>
  <c r="BE9" i="1"/>
  <c r="AW40" i="1"/>
  <c r="AX40" i="1"/>
  <c r="AP40" i="1"/>
  <c r="AQ40" i="1"/>
  <c r="AP9" i="1"/>
  <c r="AQ9" i="1"/>
  <c r="AI40" i="1"/>
  <c r="AJ40" i="1"/>
  <c r="AI9" i="1"/>
  <c r="AJ9" i="1"/>
  <c r="AB40" i="1"/>
  <c r="AC40" i="1"/>
  <c r="AB9" i="1"/>
  <c r="AC9" i="1"/>
  <c r="U40" i="1"/>
  <c r="V40" i="1"/>
  <c r="U9" i="1"/>
  <c r="V9" i="1"/>
  <c r="U21" i="1"/>
  <c r="V21" i="1"/>
  <c r="N39" i="1"/>
  <c r="O39" i="1"/>
  <c r="N19" i="1"/>
  <c r="O19" i="1"/>
  <c r="N40" i="1"/>
  <c r="O40" i="1"/>
  <c r="N9" i="1"/>
  <c r="O9" i="1"/>
  <c r="N21" i="1"/>
  <c r="O21" i="1"/>
  <c r="C40" i="1"/>
  <c r="DM40" i="1" l="1"/>
  <c r="DN40" i="1" s="1"/>
  <c r="DK40" i="1"/>
  <c r="P9" i="1"/>
  <c r="P19" i="1"/>
  <c r="AK40" i="1"/>
  <c r="BM40" i="1"/>
  <c r="BT9" i="1"/>
  <c r="CH9" i="1"/>
  <c r="P40" i="1"/>
  <c r="W9" i="1"/>
  <c r="AD9" i="1"/>
  <c r="AY40" i="1"/>
  <c r="W40" i="1"/>
  <c r="BF9" i="1"/>
  <c r="W21" i="1"/>
  <c r="AK9" i="1"/>
  <c r="AR9" i="1"/>
  <c r="CA40" i="1"/>
  <c r="AR40" i="1"/>
  <c r="BF40" i="1"/>
  <c r="BT40" i="1"/>
  <c r="CH40" i="1"/>
  <c r="P21" i="1"/>
  <c r="AD40" i="1"/>
  <c r="P39" i="1"/>
  <c r="CA9" i="1"/>
  <c r="C7" i="23"/>
  <c r="D7" i="23" s="1"/>
  <c r="E7" i="23" s="1"/>
  <c r="F7" i="23" s="1"/>
  <c r="G7" i="23" s="1"/>
  <c r="H7" i="23" s="1"/>
  <c r="H1" i="23"/>
  <c r="B13" i="22"/>
  <c r="DO40" i="1" l="1"/>
  <c r="DL40" i="1"/>
  <c r="DP40" i="1" s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42" i="1"/>
  <c r="CM42" i="1"/>
  <c r="CN20" i="1"/>
  <c r="CM20" i="1"/>
  <c r="CN4" i="1"/>
  <c r="CM4" i="1"/>
  <c r="CN39" i="1"/>
  <c r="CM39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39" i="1"/>
  <c r="CO4" i="1"/>
  <c r="CO20" i="1"/>
  <c r="CO42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22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39" i="1"/>
  <c r="CG39" i="1"/>
  <c r="CF21" i="1"/>
  <c r="CG21" i="1"/>
  <c r="CF19" i="1"/>
  <c r="CG19" i="1"/>
  <c r="CF13" i="1"/>
  <c r="CG13" i="1"/>
  <c r="BY39" i="1"/>
  <c r="BZ39" i="1"/>
  <c r="BY21" i="1"/>
  <c r="BZ21" i="1"/>
  <c r="BY19" i="1"/>
  <c r="BZ19" i="1"/>
  <c r="CG41" i="1"/>
  <c r="CF41" i="1"/>
  <c r="CG42" i="1"/>
  <c r="CF42" i="1"/>
  <c r="CG37" i="1"/>
  <c r="CF37" i="1"/>
  <c r="CG38" i="1"/>
  <c r="CF38" i="1"/>
  <c r="CG31" i="1"/>
  <c r="CF31" i="1"/>
  <c r="CG35" i="1"/>
  <c r="CF35" i="1"/>
  <c r="CG32" i="1"/>
  <c r="CF32" i="1"/>
  <c r="CG30" i="1"/>
  <c r="CF30" i="1"/>
  <c r="CG28" i="1"/>
  <c r="CF28" i="1"/>
  <c r="CG25" i="1"/>
  <c r="CF25" i="1"/>
  <c r="CG24" i="1"/>
  <c r="CF24" i="1"/>
  <c r="CG23" i="1"/>
  <c r="CF23" i="1"/>
  <c r="CG27" i="1"/>
  <c r="CF27" i="1"/>
  <c r="CG26" i="1"/>
  <c r="CF26" i="1"/>
  <c r="CG17" i="1"/>
  <c r="CF17" i="1"/>
  <c r="CG22" i="1"/>
  <c r="CF22" i="1"/>
  <c r="CG20" i="1"/>
  <c r="CF20" i="1"/>
  <c r="CG18" i="1"/>
  <c r="CF18" i="1"/>
  <c r="CG14" i="1"/>
  <c r="CF14" i="1"/>
  <c r="CG16" i="1"/>
  <c r="CF16" i="1"/>
  <c r="CG15" i="1"/>
  <c r="CF15" i="1"/>
  <c r="CG11" i="1"/>
  <c r="CF11" i="1"/>
  <c r="CG12" i="1"/>
  <c r="CF12" i="1"/>
  <c r="CG6" i="1"/>
  <c r="CF6" i="1"/>
  <c r="CG4" i="1"/>
  <c r="CF4" i="1"/>
  <c r="CG7" i="1"/>
  <c r="CF7" i="1"/>
  <c r="CG5" i="1"/>
  <c r="CF5" i="1"/>
  <c r="CG2" i="1"/>
  <c r="CF2" i="1"/>
  <c r="U39" i="1"/>
  <c r="V39" i="1"/>
  <c r="AB39" i="1"/>
  <c r="AC39" i="1"/>
  <c r="AI39" i="1"/>
  <c r="AJ39" i="1"/>
  <c r="AP39" i="1"/>
  <c r="AQ39" i="1"/>
  <c r="AW39" i="1"/>
  <c r="AX39" i="1"/>
  <c r="BD39" i="1"/>
  <c r="BE39" i="1"/>
  <c r="BK39" i="1"/>
  <c r="BL39" i="1"/>
  <c r="BR39" i="1"/>
  <c r="BS39" i="1"/>
  <c r="AW9" i="1"/>
  <c r="AX9" i="1"/>
  <c r="BK9" i="1"/>
  <c r="BL9" i="1"/>
  <c r="AB21" i="1"/>
  <c r="AC21" i="1"/>
  <c r="AI21" i="1"/>
  <c r="AJ21" i="1"/>
  <c r="AP21" i="1"/>
  <c r="AQ21" i="1"/>
  <c r="AW21" i="1"/>
  <c r="AX21" i="1"/>
  <c r="BD21" i="1"/>
  <c r="BE21" i="1"/>
  <c r="BK21" i="1"/>
  <c r="BL21" i="1"/>
  <c r="BR21" i="1"/>
  <c r="BS21" i="1"/>
  <c r="U19" i="1"/>
  <c r="V19" i="1"/>
  <c r="AB19" i="1"/>
  <c r="AC19" i="1"/>
  <c r="AI19" i="1"/>
  <c r="AJ19" i="1"/>
  <c r="AP19" i="1"/>
  <c r="AQ19" i="1"/>
  <c r="AW19" i="1"/>
  <c r="AX19" i="1"/>
  <c r="BD19" i="1"/>
  <c r="BE19" i="1"/>
  <c r="BK19" i="1"/>
  <c r="BL19" i="1"/>
  <c r="BR19" i="1"/>
  <c r="BS19" i="1"/>
  <c r="C19" i="1"/>
  <c r="C21" i="1"/>
  <c r="C9" i="1"/>
  <c r="C39" i="1"/>
  <c r="DK39" i="1" l="1"/>
  <c r="DM39" i="1"/>
  <c r="DN39" i="1" s="1"/>
  <c r="DM19" i="1"/>
  <c r="DN19" i="1" s="1"/>
  <c r="DM21" i="1"/>
  <c r="DN21" i="1" s="1"/>
  <c r="DM9" i="1"/>
  <c r="DN9" i="1" s="1"/>
  <c r="DK19" i="1"/>
  <c r="DK21" i="1"/>
  <c r="DK9" i="1"/>
  <c r="CH41" i="1"/>
  <c r="CA21" i="1"/>
  <c r="CA39" i="1"/>
  <c r="CH13" i="1"/>
  <c r="CH21" i="1"/>
  <c r="CH39" i="1"/>
  <c r="CH7" i="1"/>
  <c r="CH4" i="1"/>
  <c r="CH6" i="1"/>
  <c r="CH12" i="1"/>
  <c r="CH15" i="1"/>
  <c r="CH14" i="1"/>
  <c r="CH22" i="1"/>
  <c r="CH26" i="1"/>
  <c r="CH31" i="1"/>
  <c r="BM21" i="1"/>
  <c r="BT39" i="1"/>
  <c r="BF39" i="1"/>
  <c r="AR39" i="1"/>
  <c r="AD39" i="1"/>
  <c r="CH28" i="1"/>
  <c r="CH38" i="1"/>
  <c r="CH42" i="1"/>
  <c r="BT19" i="1"/>
  <c r="AR19" i="1"/>
  <c r="BM9" i="1"/>
  <c r="AY9" i="1"/>
  <c r="W39" i="1"/>
  <c r="BM39" i="1"/>
  <c r="CH16" i="1"/>
  <c r="CA19" i="1"/>
  <c r="CH19" i="1"/>
  <c r="AK21" i="1"/>
  <c r="CH5" i="1"/>
  <c r="CH11" i="1"/>
  <c r="CH20" i="1"/>
  <c r="CH17" i="1"/>
  <c r="CH27" i="1"/>
  <c r="CH24" i="1"/>
  <c r="CH25" i="1"/>
  <c r="CH30" i="1"/>
  <c r="AK19" i="1"/>
  <c r="W19" i="1"/>
  <c r="BF21" i="1"/>
  <c r="AR21" i="1"/>
  <c r="AD21" i="1"/>
  <c r="AY39" i="1"/>
  <c r="CH18" i="1"/>
  <c r="CH23" i="1"/>
  <c r="CH32" i="1"/>
  <c r="CH37" i="1"/>
  <c r="CH35" i="1"/>
  <c r="AK39" i="1"/>
  <c r="CH2" i="1"/>
  <c r="BF19" i="1"/>
  <c r="BM19" i="1"/>
  <c r="AY19" i="1"/>
  <c r="AD19" i="1"/>
  <c r="BT21" i="1"/>
  <c r="AY21" i="1"/>
  <c r="G1" i="16"/>
  <c r="H1" i="16" s="1"/>
  <c r="B7" i="16" s="1"/>
  <c r="DO39" i="1" l="1"/>
  <c r="DL39" i="1"/>
  <c r="DP39" i="1" s="1"/>
  <c r="DO21" i="1"/>
  <c r="DL21" i="1"/>
  <c r="DP21" i="1" s="1"/>
  <c r="DL19" i="1"/>
  <c r="DP19" i="1" s="1"/>
  <c r="DO19" i="1"/>
  <c r="DO9" i="1"/>
  <c r="DL9" i="1"/>
  <c r="DP9" i="1" s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1" i="1"/>
  <c r="BZ41" i="1"/>
  <c r="BR41" i="1"/>
  <c r="BS41" i="1"/>
  <c r="BK41" i="1"/>
  <c r="BL41" i="1"/>
  <c r="BD41" i="1"/>
  <c r="BE41" i="1"/>
  <c r="AW41" i="1"/>
  <c r="AX41" i="1"/>
  <c r="AP41" i="1"/>
  <c r="AQ41" i="1"/>
  <c r="AI41" i="1"/>
  <c r="AJ41" i="1"/>
  <c r="AB41" i="1"/>
  <c r="AC41" i="1"/>
  <c r="U41" i="1"/>
  <c r="V41" i="1"/>
  <c r="N41" i="1"/>
  <c r="O41" i="1"/>
  <c r="C41" i="1"/>
  <c r="DK41" i="1" l="1"/>
  <c r="DM41" i="1"/>
  <c r="DN41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1" i="1"/>
  <c r="BF41" i="1"/>
  <c r="P41" i="1"/>
  <c r="AD41" i="1"/>
  <c r="AR41" i="1"/>
  <c r="BT41" i="1"/>
  <c r="W41" i="1"/>
  <c r="AK41" i="1"/>
  <c r="AY41" i="1"/>
  <c r="BM41" i="1"/>
  <c r="BY6" i="1"/>
  <c r="BZ6" i="1"/>
  <c r="BY11" i="1"/>
  <c r="BZ11" i="1"/>
  <c r="BY25" i="1"/>
  <c r="BZ25" i="1"/>
  <c r="BY31" i="1"/>
  <c r="BZ31" i="1"/>
  <c r="BR6" i="1"/>
  <c r="BS6" i="1"/>
  <c r="BR11" i="1"/>
  <c r="BS11" i="1"/>
  <c r="BR25" i="1"/>
  <c r="BS25" i="1"/>
  <c r="BR31" i="1"/>
  <c r="BS31" i="1"/>
  <c r="BK6" i="1"/>
  <c r="BL6" i="1"/>
  <c r="BK11" i="1"/>
  <c r="BL11" i="1"/>
  <c r="BK25" i="1"/>
  <c r="BL25" i="1"/>
  <c r="BK31" i="1"/>
  <c r="BL31" i="1"/>
  <c r="BD6" i="1"/>
  <c r="BE6" i="1"/>
  <c r="BD11" i="1"/>
  <c r="BE11" i="1"/>
  <c r="BD25" i="1"/>
  <c r="BE25" i="1"/>
  <c r="BD31" i="1"/>
  <c r="BE31" i="1"/>
  <c r="AW6" i="1"/>
  <c r="AX6" i="1"/>
  <c r="AW11" i="1"/>
  <c r="AX11" i="1"/>
  <c r="AW25" i="1"/>
  <c r="AX25" i="1"/>
  <c r="AW31" i="1"/>
  <c r="AX31" i="1"/>
  <c r="AP35" i="1"/>
  <c r="AP6" i="1"/>
  <c r="AQ6" i="1"/>
  <c r="AP11" i="1"/>
  <c r="AQ11" i="1"/>
  <c r="AP25" i="1"/>
  <c r="AQ25" i="1"/>
  <c r="AP31" i="1"/>
  <c r="AQ31" i="1"/>
  <c r="AI6" i="1"/>
  <c r="AJ6" i="1"/>
  <c r="AI11" i="1"/>
  <c r="AJ11" i="1"/>
  <c r="AI25" i="1"/>
  <c r="AJ25" i="1"/>
  <c r="AI31" i="1"/>
  <c r="AJ31" i="1"/>
  <c r="AB6" i="1"/>
  <c r="AC6" i="1"/>
  <c r="AB11" i="1"/>
  <c r="AC11" i="1"/>
  <c r="AB25" i="1"/>
  <c r="AC25" i="1"/>
  <c r="AB31" i="1"/>
  <c r="AC31" i="1"/>
  <c r="U6" i="1"/>
  <c r="V6" i="1"/>
  <c r="U11" i="1"/>
  <c r="V11" i="1"/>
  <c r="U25" i="1"/>
  <c r="V25" i="1"/>
  <c r="U31" i="1"/>
  <c r="V31" i="1"/>
  <c r="N12" i="1"/>
  <c r="O12" i="1"/>
  <c r="N35" i="1"/>
  <c r="O35" i="1"/>
  <c r="N6" i="1"/>
  <c r="O6" i="1"/>
  <c r="N11" i="1"/>
  <c r="O11" i="1"/>
  <c r="N25" i="1"/>
  <c r="O25" i="1"/>
  <c r="N31" i="1"/>
  <c r="O31" i="1"/>
  <c r="C11" i="1"/>
  <c r="C25" i="1"/>
  <c r="C6" i="1"/>
  <c r="C31" i="1"/>
  <c r="DM31" i="1" l="1"/>
  <c r="DN31" i="1" s="1"/>
  <c r="DM6" i="1"/>
  <c r="DN6" i="1" s="1"/>
  <c r="DK25" i="1"/>
  <c r="DM11" i="1"/>
  <c r="DN11" i="1" s="1"/>
  <c r="DK11" i="1"/>
  <c r="DK31" i="1"/>
  <c r="DK6" i="1"/>
  <c r="DM25" i="1"/>
  <c r="DN25" i="1" s="1"/>
  <c r="DL41" i="1"/>
  <c r="DP41" i="1" s="1"/>
  <c r="DO41" i="1"/>
  <c r="BF11" i="1"/>
  <c r="BF6" i="1"/>
  <c r="BM11" i="1"/>
  <c r="BM6" i="1"/>
  <c r="AK25" i="1"/>
  <c r="AR31" i="1"/>
  <c r="AR25" i="1"/>
  <c r="P31" i="1"/>
  <c r="AD6" i="1"/>
  <c r="AD31" i="1"/>
  <c r="W25" i="1"/>
  <c r="AK6" i="1"/>
  <c r="AY31" i="1"/>
  <c r="BF25" i="1"/>
  <c r="BM25" i="1"/>
  <c r="BT25" i="1"/>
  <c r="BM31" i="1"/>
  <c r="BT31" i="1"/>
  <c r="P11" i="1"/>
  <c r="P6" i="1"/>
  <c r="P12" i="1"/>
  <c r="AR11" i="1"/>
  <c r="AR6" i="1"/>
  <c r="CA31" i="1"/>
  <c r="P25" i="1"/>
  <c r="W11" i="1"/>
  <c r="W6" i="1"/>
  <c r="AD25" i="1"/>
  <c r="AK31" i="1"/>
  <c r="AK11" i="1"/>
  <c r="AY11" i="1"/>
  <c r="BF31" i="1"/>
  <c r="BT11" i="1"/>
  <c r="BT6" i="1"/>
  <c r="CA11" i="1"/>
  <c r="CA6" i="1"/>
  <c r="AY25" i="1"/>
  <c r="P35" i="1"/>
  <c r="W31" i="1"/>
  <c r="AD11" i="1"/>
  <c r="AY6" i="1"/>
  <c r="CA25" i="1"/>
  <c r="BZ14" i="1"/>
  <c r="BY14" i="1"/>
  <c r="BZ13" i="1"/>
  <c r="BY13" i="1"/>
  <c r="BZ7" i="1"/>
  <c r="BY7" i="1"/>
  <c r="BZ28" i="1"/>
  <c r="BY28" i="1"/>
  <c r="BZ20" i="1"/>
  <c r="BY20" i="1"/>
  <c r="BZ15" i="1"/>
  <c r="BY15" i="1"/>
  <c r="BZ27" i="1"/>
  <c r="BY27" i="1"/>
  <c r="BZ42" i="1"/>
  <c r="BY42" i="1"/>
  <c r="BZ37" i="1"/>
  <c r="BY37" i="1"/>
  <c r="BZ30" i="1"/>
  <c r="BY30" i="1"/>
  <c r="BZ23" i="1"/>
  <c r="BY23" i="1"/>
  <c r="BZ24" i="1"/>
  <c r="BY24" i="1"/>
  <c r="BZ35" i="1"/>
  <c r="BY35" i="1"/>
  <c r="BZ32" i="1"/>
  <c r="BY32" i="1"/>
  <c r="BZ26" i="1"/>
  <c r="BY26" i="1"/>
  <c r="BZ12" i="1"/>
  <c r="BY12" i="1"/>
  <c r="BZ16" i="1"/>
  <c r="BY16" i="1"/>
  <c r="BZ5" i="1"/>
  <c r="BY5" i="1"/>
  <c r="BZ4" i="1"/>
  <c r="BY4" i="1"/>
  <c r="BZ2" i="1"/>
  <c r="BY2" i="1"/>
  <c r="BZ38" i="1"/>
  <c r="BY38" i="1"/>
  <c r="BZ22" i="1"/>
  <c r="BY22" i="1"/>
  <c r="BZ18" i="1"/>
  <c r="BY18" i="1"/>
  <c r="BZ17" i="1"/>
  <c r="BY17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L31" i="1" l="1"/>
  <c r="DP31" i="1" s="1"/>
  <c r="DO31" i="1"/>
  <c r="DL11" i="1"/>
  <c r="DP11" i="1" s="1"/>
  <c r="DO11" i="1"/>
  <c r="DL25" i="1"/>
  <c r="DP25" i="1" s="1"/>
  <c r="DO25" i="1"/>
  <c r="DL6" i="1"/>
  <c r="DP6" i="1" s="1"/>
  <c r="DO6" i="1"/>
  <c r="CA2" i="1"/>
  <c r="CA5" i="1"/>
  <c r="CA12" i="1"/>
  <c r="CA26" i="1"/>
  <c r="CA28" i="1"/>
  <c r="CA13" i="1"/>
  <c r="CA24" i="1"/>
  <c r="CA37" i="1"/>
  <c r="CA7" i="1"/>
  <c r="CA14" i="1"/>
  <c r="CA18" i="1"/>
  <c r="CA16" i="1"/>
  <c r="CA32" i="1"/>
  <c r="CA22" i="1"/>
  <c r="CA23" i="1"/>
  <c r="CA15" i="1"/>
  <c r="CA42" i="1"/>
  <c r="CA27" i="1"/>
  <c r="CA20" i="1"/>
  <c r="CA17" i="1"/>
  <c r="CA38" i="1"/>
  <c r="CA4" i="1"/>
  <c r="CA35" i="1"/>
  <c r="CA30" i="1"/>
  <c r="B13" i="14"/>
  <c r="C13" i="14" s="1"/>
  <c r="D13" i="14" s="1"/>
  <c r="E13" i="14" s="1"/>
  <c r="F13" i="14" s="1"/>
  <c r="G13" i="14" s="1"/>
  <c r="H13" i="14" s="1"/>
  <c r="BR7" i="1"/>
  <c r="BS7" i="1"/>
  <c r="BR2" i="1"/>
  <c r="BS2" i="1"/>
  <c r="BR13" i="1"/>
  <c r="BS13" i="1"/>
  <c r="BR27" i="1"/>
  <c r="BS27" i="1"/>
  <c r="BR5" i="1"/>
  <c r="BS5" i="1"/>
  <c r="BR4" i="1"/>
  <c r="BS4" i="1"/>
  <c r="BR12" i="1"/>
  <c r="BS12" i="1"/>
  <c r="BR15" i="1"/>
  <c r="BS15" i="1"/>
  <c r="BR14" i="1"/>
  <c r="BS14" i="1"/>
  <c r="BR16" i="1"/>
  <c r="BS16" i="1"/>
  <c r="BR20" i="1"/>
  <c r="BS20" i="1"/>
  <c r="BR17" i="1"/>
  <c r="BS17" i="1"/>
  <c r="BR22" i="1"/>
  <c r="BS22" i="1"/>
  <c r="BR18" i="1"/>
  <c r="BS18" i="1"/>
  <c r="BR23" i="1"/>
  <c r="BS23" i="1"/>
  <c r="BR24" i="1"/>
  <c r="BS24" i="1"/>
  <c r="BR26" i="1"/>
  <c r="BS26" i="1"/>
  <c r="BR30" i="1"/>
  <c r="BS30" i="1"/>
  <c r="BR32" i="1"/>
  <c r="BS32" i="1"/>
  <c r="BR35" i="1"/>
  <c r="BS35" i="1"/>
  <c r="BR28" i="1"/>
  <c r="BS28" i="1"/>
  <c r="BR38" i="1"/>
  <c r="BS38" i="1"/>
  <c r="BR37" i="1"/>
  <c r="BS37" i="1"/>
  <c r="BS42" i="1"/>
  <c r="BR42" i="1"/>
  <c r="B19" i="14" l="1"/>
  <c r="C19" i="14" s="1"/>
  <c r="D19" i="14" s="1"/>
  <c r="E19" i="14" s="1"/>
  <c r="BT2" i="1"/>
  <c r="BT37" i="1"/>
  <c r="BT26" i="1"/>
  <c r="BT42" i="1"/>
  <c r="BT18" i="1"/>
  <c r="BT17" i="1"/>
  <c r="BT27" i="1"/>
  <c r="BT12" i="1"/>
  <c r="BT35" i="1"/>
  <c r="BT30" i="1"/>
  <c r="BT15" i="1"/>
  <c r="BT5" i="1"/>
  <c r="BT7" i="1"/>
  <c r="BT20" i="1"/>
  <c r="BT14" i="1"/>
  <c r="BT4" i="1"/>
  <c r="BT32" i="1"/>
  <c r="BT22" i="1"/>
  <c r="BT13" i="1"/>
  <c r="BT28" i="1"/>
  <c r="BT23" i="1"/>
  <c r="BT38" i="1"/>
  <c r="BT24" i="1"/>
  <c r="BT16" i="1"/>
  <c r="BK12" i="1"/>
  <c r="BL12" i="1"/>
  <c r="U12" i="1"/>
  <c r="V12" i="1"/>
  <c r="AB12" i="1"/>
  <c r="AC12" i="1"/>
  <c r="AI12" i="1"/>
  <c r="AJ12" i="1"/>
  <c r="AP12" i="1"/>
  <c r="AQ12" i="1"/>
  <c r="AW12" i="1"/>
  <c r="AX12" i="1"/>
  <c r="BD12" i="1"/>
  <c r="BE12" i="1"/>
  <c r="C12" i="1"/>
  <c r="BK35" i="1"/>
  <c r="BL35" i="1"/>
  <c r="U35" i="1"/>
  <c r="V35" i="1"/>
  <c r="AB35" i="1"/>
  <c r="AC35" i="1"/>
  <c r="AI35" i="1"/>
  <c r="AJ35" i="1"/>
  <c r="AQ35" i="1"/>
  <c r="AW35" i="1"/>
  <c r="AX35" i="1"/>
  <c r="BD35" i="1"/>
  <c r="BE35" i="1"/>
  <c r="C35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M12" i="1" l="1"/>
  <c r="DN12" i="1" s="1"/>
  <c r="DK12" i="1"/>
  <c r="DK35" i="1"/>
  <c r="DM35" i="1"/>
  <c r="DN35" i="1" s="1"/>
  <c r="AY35" i="1"/>
  <c r="W35" i="1"/>
  <c r="BF35" i="1"/>
  <c r="AR35" i="1"/>
  <c r="AD35" i="1"/>
  <c r="AY12" i="1"/>
  <c r="BM12" i="1"/>
  <c r="BF12" i="1"/>
  <c r="AK12" i="1"/>
  <c r="AK35" i="1"/>
  <c r="BM35" i="1"/>
  <c r="AR12" i="1"/>
  <c r="AD12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28" i="1"/>
  <c r="BK17" i="1"/>
  <c r="BL17" i="1"/>
  <c r="BK22" i="1"/>
  <c r="BL22" i="1"/>
  <c r="BK30" i="1"/>
  <c r="BL30" i="1"/>
  <c r="BK32" i="1"/>
  <c r="BL32" i="1"/>
  <c r="BK37" i="1"/>
  <c r="BL37" i="1"/>
  <c r="BD17" i="1"/>
  <c r="BE17" i="1"/>
  <c r="BD22" i="1"/>
  <c r="BE22" i="1"/>
  <c r="BD30" i="1"/>
  <c r="BE30" i="1"/>
  <c r="BD32" i="1"/>
  <c r="BE32" i="1"/>
  <c r="BD37" i="1"/>
  <c r="BE37" i="1"/>
  <c r="AW17" i="1"/>
  <c r="AX17" i="1"/>
  <c r="AW22" i="1"/>
  <c r="AX22" i="1"/>
  <c r="AW30" i="1"/>
  <c r="AX30" i="1"/>
  <c r="AW32" i="1"/>
  <c r="AX32" i="1"/>
  <c r="AW37" i="1"/>
  <c r="AX37" i="1"/>
  <c r="AP17" i="1"/>
  <c r="AQ17" i="1"/>
  <c r="AP22" i="1"/>
  <c r="AQ22" i="1"/>
  <c r="AP30" i="1"/>
  <c r="AQ30" i="1"/>
  <c r="AP32" i="1"/>
  <c r="AQ32" i="1"/>
  <c r="AP37" i="1"/>
  <c r="AQ37" i="1"/>
  <c r="AI17" i="1"/>
  <c r="AJ17" i="1"/>
  <c r="AI22" i="1"/>
  <c r="AJ22" i="1"/>
  <c r="AI30" i="1"/>
  <c r="AJ30" i="1"/>
  <c r="AI32" i="1"/>
  <c r="AJ32" i="1"/>
  <c r="AI37" i="1"/>
  <c r="AJ37" i="1"/>
  <c r="AB17" i="1"/>
  <c r="AC17" i="1"/>
  <c r="AB22" i="1"/>
  <c r="AC22" i="1"/>
  <c r="AB30" i="1"/>
  <c r="AC30" i="1"/>
  <c r="AB32" i="1"/>
  <c r="AC32" i="1"/>
  <c r="AB37" i="1"/>
  <c r="AC37" i="1"/>
  <c r="U17" i="1"/>
  <c r="V17" i="1"/>
  <c r="U22" i="1"/>
  <c r="V22" i="1"/>
  <c r="U30" i="1"/>
  <c r="V30" i="1"/>
  <c r="U32" i="1"/>
  <c r="V32" i="1"/>
  <c r="U37" i="1"/>
  <c r="V37" i="1"/>
  <c r="N17" i="1"/>
  <c r="O17" i="1"/>
  <c r="N22" i="1"/>
  <c r="O22" i="1"/>
  <c r="N30" i="1"/>
  <c r="O30" i="1"/>
  <c r="N32" i="1"/>
  <c r="O32" i="1"/>
  <c r="N37" i="1"/>
  <c r="O37" i="1"/>
  <c r="C2" i="1"/>
  <c r="C5" i="1"/>
  <c r="C7" i="1"/>
  <c r="C13" i="1"/>
  <c r="C14" i="1"/>
  <c r="C15" i="1"/>
  <c r="C16" i="1"/>
  <c r="C18" i="1"/>
  <c r="C17" i="1"/>
  <c r="C20" i="1"/>
  <c r="C23" i="1"/>
  <c r="C24" i="1"/>
  <c r="C26" i="1"/>
  <c r="C27" i="1"/>
  <c r="C28" i="1"/>
  <c r="C30" i="1"/>
  <c r="C32" i="1"/>
  <c r="C38" i="1"/>
  <c r="C37" i="1"/>
  <c r="DK30" i="1" l="1"/>
  <c r="DM22" i="1"/>
  <c r="DN22" i="1" s="1"/>
  <c r="DK22" i="1"/>
  <c r="DM37" i="1"/>
  <c r="DM17" i="1"/>
  <c r="DN17" i="1" s="1"/>
  <c r="DK37" i="1"/>
  <c r="DL37" i="1" s="1"/>
  <c r="DK17" i="1"/>
  <c r="DM32" i="1"/>
  <c r="DN32" i="1" s="1"/>
  <c r="DL35" i="1"/>
  <c r="DP35" i="1" s="1"/>
  <c r="DO35" i="1"/>
  <c r="DK32" i="1"/>
  <c r="DO12" i="1"/>
  <c r="DL12" i="1"/>
  <c r="DP12" i="1" s="1"/>
  <c r="DM30" i="1"/>
  <c r="DN30" i="1" s="1"/>
  <c r="W30" i="1"/>
  <c r="AD37" i="1"/>
  <c r="AK30" i="1"/>
  <c r="AY37" i="1"/>
  <c r="AY30" i="1"/>
  <c r="AY17" i="1"/>
  <c r="AY22" i="1"/>
  <c r="BM37" i="1"/>
  <c r="BM30" i="1"/>
  <c r="AR17" i="1"/>
  <c r="BM17" i="1"/>
  <c r="P30" i="1"/>
  <c r="P17" i="1"/>
  <c r="AD30" i="1"/>
  <c r="AD17" i="1"/>
  <c r="AR30" i="1"/>
  <c r="BF22" i="1"/>
  <c r="P32" i="1"/>
  <c r="W32" i="1"/>
  <c r="BF30" i="1"/>
  <c r="AD22" i="1"/>
  <c r="AK32" i="1"/>
  <c r="AR22" i="1"/>
  <c r="P22" i="1"/>
  <c r="W37" i="1"/>
  <c r="W17" i="1"/>
  <c r="AK22" i="1"/>
  <c r="AR32" i="1"/>
  <c r="BF32" i="1"/>
  <c r="BF17" i="1"/>
  <c r="BM32" i="1"/>
  <c r="P37" i="1"/>
  <c r="W22" i="1"/>
  <c r="AD32" i="1"/>
  <c r="AK37" i="1"/>
  <c r="AK17" i="1"/>
  <c r="AR37" i="1"/>
  <c r="AY32" i="1"/>
  <c r="BF37" i="1"/>
  <c r="BM22" i="1"/>
  <c r="DO17" i="1" l="1"/>
  <c r="DL17" i="1"/>
  <c r="DP17" i="1" s="1"/>
  <c r="DO32" i="1"/>
  <c r="DL32" i="1"/>
  <c r="DP32" i="1" s="1"/>
  <c r="DO37" i="1"/>
  <c r="DN37" i="1"/>
  <c r="DP37" i="1" s="1"/>
  <c r="DO22" i="1"/>
  <c r="DL22" i="1"/>
  <c r="DP22" i="1" s="1"/>
  <c r="DO30" i="1"/>
  <c r="DL30" i="1"/>
  <c r="DP30" i="1" s="1"/>
  <c r="BL2" i="1"/>
  <c r="BK2" i="1"/>
  <c r="BE2" i="1"/>
  <c r="O2" i="1"/>
  <c r="BD4" i="1"/>
  <c r="BE4" i="1"/>
  <c r="BD5" i="1"/>
  <c r="BE5" i="1"/>
  <c r="BD7" i="1"/>
  <c r="BE7" i="1"/>
  <c r="BD13" i="1"/>
  <c r="BE13" i="1"/>
  <c r="BD14" i="1"/>
  <c r="BE14" i="1"/>
  <c r="BD15" i="1"/>
  <c r="BE15" i="1"/>
  <c r="BD16" i="1"/>
  <c r="BE16" i="1"/>
  <c r="BD18" i="1"/>
  <c r="BE18" i="1"/>
  <c r="AW4" i="1"/>
  <c r="AX4" i="1"/>
  <c r="AW5" i="1"/>
  <c r="AX5" i="1"/>
  <c r="AW7" i="1"/>
  <c r="AX7" i="1"/>
  <c r="AW13" i="1"/>
  <c r="AX13" i="1"/>
  <c r="AW14" i="1"/>
  <c r="AX14" i="1"/>
  <c r="AP4" i="1"/>
  <c r="AQ4" i="1"/>
  <c r="AP5" i="1"/>
  <c r="AQ5" i="1"/>
  <c r="AP7" i="1"/>
  <c r="AQ7" i="1"/>
  <c r="AP13" i="1"/>
  <c r="AQ13" i="1"/>
  <c r="AP14" i="1"/>
  <c r="AQ14" i="1"/>
  <c r="AP15" i="1"/>
  <c r="AQ15" i="1"/>
  <c r="AP16" i="1"/>
  <c r="AQ16" i="1"/>
  <c r="AI4" i="1"/>
  <c r="AJ4" i="1"/>
  <c r="AI5" i="1"/>
  <c r="AJ5" i="1"/>
  <c r="AI7" i="1"/>
  <c r="AJ7" i="1"/>
  <c r="AI13" i="1"/>
  <c r="AJ13" i="1"/>
  <c r="AI14" i="1"/>
  <c r="AJ14" i="1"/>
  <c r="AI15" i="1"/>
  <c r="AJ15" i="1"/>
  <c r="AI16" i="1"/>
  <c r="AJ16" i="1"/>
  <c r="AI18" i="1"/>
  <c r="AJ18" i="1"/>
  <c r="AI20" i="1"/>
  <c r="AJ20" i="1"/>
  <c r="AI23" i="1"/>
  <c r="AJ23" i="1"/>
  <c r="AB4" i="1"/>
  <c r="AC4" i="1"/>
  <c r="AB5" i="1"/>
  <c r="AC5" i="1"/>
  <c r="AB7" i="1"/>
  <c r="AC7" i="1"/>
  <c r="AB13" i="1"/>
  <c r="AC13" i="1"/>
  <c r="AB14" i="1"/>
  <c r="AC14" i="1"/>
  <c r="AB15" i="1"/>
  <c r="AC15" i="1"/>
  <c r="AB16" i="1"/>
  <c r="AC16" i="1"/>
  <c r="U4" i="1"/>
  <c r="V4" i="1"/>
  <c r="U5" i="1"/>
  <c r="V5" i="1"/>
  <c r="U7" i="1"/>
  <c r="V7" i="1"/>
  <c r="U13" i="1"/>
  <c r="V13" i="1"/>
  <c r="U14" i="1"/>
  <c r="V14" i="1"/>
  <c r="U15" i="1"/>
  <c r="V15" i="1"/>
  <c r="U16" i="1"/>
  <c r="V16" i="1"/>
  <c r="N4" i="1"/>
  <c r="O4" i="1"/>
  <c r="N5" i="1"/>
  <c r="O5" i="1"/>
  <c r="N7" i="1"/>
  <c r="O7" i="1"/>
  <c r="N13" i="1"/>
  <c r="O13" i="1"/>
  <c r="N14" i="1"/>
  <c r="O14" i="1"/>
  <c r="N15" i="1"/>
  <c r="O15" i="1"/>
  <c r="N16" i="1"/>
  <c r="O16" i="1"/>
  <c r="N18" i="1"/>
  <c r="O18" i="1"/>
  <c r="BK14" i="1"/>
  <c r="BL14" i="1"/>
  <c r="BL42" i="1"/>
  <c r="BK42" i="1"/>
  <c r="BL38" i="1"/>
  <c r="BK38" i="1"/>
  <c r="BL28" i="1"/>
  <c r="BL27" i="1"/>
  <c r="BK27" i="1"/>
  <c r="BL26" i="1"/>
  <c r="BK26" i="1"/>
  <c r="BL24" i="1"/>
  <c r="BK24" i="1"/>
  <c r="BL23" i="1"/>
  <c r="BK23" i="1"/>
  <c r="BL20" i="1"/>
  <c r="BK20" i="1"/>
  <c r="BL18" i="1"/>
  <c r="BK18" i="1"/>
  <c r="BL16" i="1"/>
  <c r="BK16" i="1"/>
  <c r="BL15" i="1"/>
  <c r="BK15" i="1"/>
  <c r="BL13" i="1"/>
  <c r="BK13" i="1"/>
  <c r="BL7" i="1"/>
  <c r="BK7" i="1"/>
  <c r="BL5" i="1"/>
  <c r="BK5" i="1"/>
  <c r="BL4" i="1"/>
  <c r="BK4" i="1"/>
  <c r="DK14" i="1" l="1"/>
  <c r="DK5" i="1"/>
  <c r="DM13" i="1"/>
  <c r="DN13" i="1" s="1"/>
  <c r="DM4" i="1"/>
  <c r="DN4" i="1" s="1"/>
  <c r="DK13" i="1"/>
  <c r="DK4" i="1"/>
  <c r="DM7" i="1"/>
  <c r="DN7" i="1" s="1"/>
  <c r="DK7" i="1"/>
  <c r="DM14" i="1"/>
  <c r="DN14" i="1" s="1"/>
  <c r="DM5" i="1"/>
  <c r="DN5" i="1" s="1"/>
  <c r="W7" i="1"/>
  <c r="AR14" i="1"/>
  <c r="AY14" i="1"/>
  <c r="AY7" i="1"/>
  <c r="P13" i="1"/>
  <c r="BF7" i="1"/>
  <c r="BM2" i="1"/>
  <c r="BM14" i="1"/>
  <c r="P14" i="1"/>
  <c r="W15" i="1"/>
  <c r="W16" i="1"/>
  <c r="W13" i="1"/>
  <c r="AD5" i="1"/>
  <c r="AR15" i="1"/>
  <c r="AR7" i="1"/>
  <c r="AD4" i="1"/>
  <c r="AR16" i="1"/>
  <c r="BM5" i="1"/>
  <c r="BM7" i="1"/>
  <c r="BM13" i="1"/>
  <c r="BM15" i="1"/>
  <c r="BM18" i="1"/>
  <c r="BM23" i="1"/>
  <c r="BM26" i="1"/>
  <c r="BM27" i="1"/>
  <c r="BM28" i="1"/>
  <c r="BM42" i="1"/>
  <c r="P7" i="1"/>
  <c r="W14" i="1"/>
  <c r="W5" i="1"/>
  <c r="AK7" i="1"/>
  <c r="AR13" i="1"/>
  <c r="AR5" i="1"/>
  <c r="BF13" i="1"/>
  <c r="BM4" i="1"/>
  <c r="BM24" i="1"/>
  <c r="W4" i="1"/>
  <c r="AD16" i="1"/>
  <c r="AD14" i="1"/>
  <c r="AK23" i="1"/>
  <c r="AR4" i="1"/>
  <c r="BF18" i="1"/>
  <c r="P18" i="1"/>
  <c r="P16" i="1"/>
  <c r="P5" i="1"/>
  <c r="AD15" i="1"/>
  <c r="AK20" i="1"/>
  <c r="AK15" i="1"/>
  <c r="AK13" i="1"/>
  <c r="AK4" i="1"/>
  <c r="AY13" i="1"/>
  <c r="AY4" i="1"/>
  <c r="BF16" i="1"/>
  <c r="BF14" i="1"/>
  <c r="BF4" i="1"/>
  <c r="BM16" i="1"/>
  <c r="BM20" i="1"/>
  <c r="BM38" i="1"/>
  <c r="P15" i="1"/>
  <c r="P4" i="1"/>
  <c r="AD13" i="1"/>
  <c r="AD7" i="1"/>
  <c r="AK18" i="1"/>
  <c r="AK16" i="1"/>
  <c r="AK14" i="1"/>
  <c r="AK5" i="1"/>
  <c r="AY5" i="1"/>
  <c r="BF15" i="1"/>
  <c r="BF5" i="1"/>
  <c r="DO7" i="1" l="1"/>
  <c r="DL7" i="1"/>
  <c r="DP7" i="1" s="1"/>
  <c r="DL4" i="1"/>
  <c r="DP4" i="1" s="1"/>
  <c r="DO4" i="1"/>
  <c r="DL13" i="1"/>
  <c r="DP13" i="1" s="1"/>
  <c r="DO13" i="1"/>
  <c r="DL5" i="1"/>
  <c r="DP5" i="1" s="1"/>
  <c r="DO5" i="1"/>
  <c r="DO14" i="1"/>
  <c r="DL14" i="1"/>
  <c r="DP14" i="1" s="1"/>
  <c r="BE42" i="1"/>
  <c r="BD42" i="1"/>
  <c r="BE38" i="1"/>
  <c r="BD38" i="1"/>
  <c r="BE28" i="1"/>
  <c r="BD28" i="1"/>
  <c r="BE27" i="1"/>
  <c r="BD27" i="1"/>
  <c r="BE26" i="1"/>
  <c r="BD26" i="1"/>
  <c r="BE24" i="1"/>
  <c r="BD24" i="1"/>
  <c r="BE23" i="1"/>
  <c r="BD23" i="1"/>
  <c r="BE20" i="1"/>
  <c r="BD20" i="1"/>
  <c r="BD2" i="1"/>
  <c r="AW16" i="1"/>
  <c r="DK16" i="1" s="1"/>
  <c r="AX16" i="1"/>
  <c r="DM16" i="1" s="1"/>
  <c r="DN16" i="1" s="1"/>
  <c r="AW38" i="1"/>
  <c r="AX38" i="1"/>
  <c r="AP38" i="1"/>
  <c r="AQ38" i="1"/>
  <c r="AI38" i="1"/>
  <c r="AJ38" i="1"/>
  <c r="U38" i="1"/>
  <c r="V38" i="1"/>
  <c r="AB38" i="1"/>
  <c r="AC38" i="1"/>
  <c r="N38" i="1"/>
  <c r="O38" i="1"/>
  <c r="DK38" i="1" l="1"/>
  <c r="DM38" i="1"/>
  <c r="DN38" i="1" s="1"/>
  <c r="DO16" i="1"/>
  <c r="DL16" i="1"/>
  <c r="DP16" i="1" s="1"/>
  <c r="BF2" i="1"/>
  <c r="BF20" i="1"/>
  <c r="BF23" i="1"/>
  <c r="BF26" i="1"/>
  <c r="BF27" i="1"/>
  <c r="BF28" i="1"/>
  <c r="BF38" i="1"/>
  <c r="BF42" i="1"/>
  <c r="BF24" i="1"/>
  <c r="AD38" i="1"/>
  <c r="W38" i="1"/>
  <c r="AK38" i="1"/>
  <c r="AY38" i="1"/>
  <c r="P38" i="1"/>
  <c r="AR38" i="1"/>
  <c r="AY16" i="1"/>
  <c r="DO38" i="1" l="1"/>
  <c r="DL38" i="1"/>
  <c r="DP38" i="1" s="1"/>
  <c r="AX15" i="1"/>
  <c r="DM15" i="1" s="1"/>
  <c r="DN15" i="1" s="1"/>
  <c r="AW15" i="1"/>
  <c r="DK15" i="1" s="1"/>
  <c r="AX23" i="1"/>
  <c r="AW23" i="1"/>
  <c r="AX24" i="1"/>
  <c r="AW24" i="1"/>
  <c r="AX28" i="1"/>
  <c r="AW28" i="1"/>
  <c r="AX20" i="1"/>
  <c r="AW20" i="1"/>
  <c r="AX42" i="1"/>
  <c r="AW42" i="1"/>
  <c r="AX27" i="1"/>
  <c r="AW27" i="1"/>
  <c r="AX18" i="1"/>
  <c r="AW18" i="1"/>
  <c r="AX2" i="1"/>
  <c r="AW2" i="1"/>
  <c r="AX26" i="1"/>
  <c r="AW26" i="1"/>
  <c r="DO15" i="1" l="1"/>
  <c r="DL15" i="1"/>
  <c r="DP15" i="1" s="1"/>
  <c r="AY2" i="1"/>
  <c r="AY18" i="1"/>
  <c r="AY27" i="1"/>
  <c r="AY20" i="1"/>
  <c r="AY28" i="1"/>
  <c r="AY23" i="1"/>
  <c r="AY26" i="1"/>
  <c r="AY42" i="1"/>
  <c r="AY24" i="1"/>
  <c r="AY15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" i="1"/>
  <c r="AQ2" i="1"/>
  <c r="AP20" i="1"/>
  <c r="AQ20" i="1"/>
  <c r="AP18" i="1"/>
  <c r="AQ18" i="1"/>
  <c r="AP26" i="1"/>
  <c r="AQ26" i="1"/>
  <c r="AP27" i="1"/>
  <c r="AQ27" i="1"/>
  <c r="AP24" i="1"/>
  <c r="AQ24" i="1"/>
  <c r="AP23" i="1"/>
  <c r="AQ23" i="1"/>
  <c r="AP28" i="1"/>
  <c r="AQ28" i="1"/>
  <c r="AP42" i="1"/>
  <c r="AQ42" i="1"/>
  <c r="AR28" i="1" l="1"/>
  <c r="AR26" i="1"/>
  <c r="AR24" i="1"/>
  <c r="AR18" i="1"/>
  <c r="AR42" i="1"/>
  <c r="AR23" i="1"/>
  <c r="AR27" i="1"/>
  <c r="AR20" i="1"/>
  <c r="AR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0" i="1"/>
  <c r="O20" i="1"/>
  <c r="N23" i="1"/>
  <c r="O23" i="1"/>
  <c r="N24" i="1"/>
  <c r="O24" i="1"/>
  <c r="N26" i="1"/>
  <c r="O26" i="1"/>
  <c r="N27" i="1"/>
  <c r="O27" i="1"/>
  <c r="N28" i="1"/>
  <c r="O28" i="1"/>
  <c r="U18" i="1"/>
  <c r="V18" i="1"/>
  <c r="U20" i="1"/>
  <c r="V20" i="1"/>
  <c r="U23" i="1"/>
  <c r="V23" i="1"/>
  <c r="U24" i="1"/>
  <c r="V24" i="1"/>
  <c r="U26" i="1"/>
  <c r="V26" i="1"/>
  <c r="U27" i="1"/>
  <c r="V27" i="1"/>
  <c r="U28" i="1"/>
  <c r="V28" i="1"/>
  <c r="U42" i="1"/>
  <c r="V42" i="1"/>
  <c r="AB18" i="1"/>
  <c r="AC18" i="1"/>
  <c r="AB20" i="1"/>
  <c r="DK20" i="1" s="1"/>
  <c r="AC20" i="1"/>
  <c r="AB23" i="1"/>
  <c r="AC23" i="1"/>
  <c r="AB24" i="1"/>
  <c r="AC24" i="1"/>
  <c r="AB26" i="1"/>
  <c r="AC26" i="1"/>
  <c r="AB27" i="1"/>
  <c r="AC27" i="1"/>
  <c r="AB28" i="1"/>
  <c r="AC28" i="1"/>
  <c r="AB42" i="1"/>
  <c r="AC42" i="1"/>
  <c r="AI24" i="1"/>
  <c r="AJ24" i="1"/>
  <c r="AI26" i="1"/>
  <c r="AJ26" i="1"/>
  <c r="AI27" i="1"/>
  <c r="AJ27" i="1"/>
  <c r="AI28" i="1"/>
  <c r="AJ28" i="1"/>
  <c r="AI42" i="1"/>
  <c r="AJ42" i="1"/>
  <c r="DK23" i="1" l="1"/>
  <c r="DL23" i="1" s="1"/>
  <c r="DM20" i="1"/>
  <c r="DN20" i="1" s="1"/>
  <c r="DM42" i="1"/>
  <c r="DN42" i="1" s="1"/>
  <c r="DM18" i="1"/>
  <c r="DN18" i="1" s="1"/>
  <c r="DK42" i="1"/>
  <c r="DL42" i="1" s="1"/>
  <c r="DK18" i="1"/>
  <c r="DM23" i="1"/>
  <c r="DN23" i="1" s="1"/>
  <c r="DM24" i="1"/>
  <c r="DN24" i="1" s="1"/>
  <c r="DM28" i="1"/>
  <c r="DN28" i="1" s="1"/>
  <c r="DK24" i="1"/>
  <c r="DL24" i="1" s="1"/>
  <c r="DK28" i="1"/>
  <c r="DL28" i="1" s="1"/>
  <c r="DL20" i="1"/>
  <c r="DK27" i="1"/>
  <c r="DM27" i="1"/>
  <c r="DN27" i="1" s="1"/>
  <c r="DM26" i="1"/>
  <c r="DN26" i="1" s="1"/>
  <c r="DK26" i="1"/>
  <c r="P24" i="1"/>
  <c r="AD24" i="1"/>
  <c r="P28" i="1"/>
  <c r="AD28" i="1"/>
  <c r="AK26" i="1"/>
  <c r="W26" i="1"/>
  <c r="P23" i="1"/>
  <c r="AK42" i="1"/>
  <c r="AD18" i="1"/>
  <c r="AD20" i="1"/>
  <c r="W28" i="1"/>
  <c r="W23" i="1"/>
  <c r="AK27" i="1"/>
  <c r="AD23" i="1"/>
  <c r="W27" i="1"/>
  <c r="W20" i="1"/>
  <c r="P26" i="1"/>
  <c r="AK28" i="1"/>
  <c r="W24" i="1"/>
  <c r="P20" i="1"/>
  <c r="W18" i="1"/>
  <c r="AK24" i="1"/>
  <c r="AD42" i="1"/>
  <c r="AD27" i="1"/>
  <c r="W42" i="1"/>
  <c r="P27" i="1"/>
  <c r="AD26" i="1"/>
  <c r="DO20" i="1" l="1"/>
  <c r="DP20" i="1"/>
  <c r="DO18" i="1"/>
  <c r="DP42" i="1"/>
  <c r="DO42" i="1"/>
  <c r="DL18" i="1"/>
  <c r="DP18" i="1" s="1"/>
  <c r="DP23" i="1"/>
  <c r="DO23" i="1"/>
  <c r="DP24" i="1"/>
  <c r="DO28" i="1"/>
  <c r="DO24" i="1"/>
  <c r="DP28" i="1"/>
  <c r="DO26" i="1"/>
  <c r="DL26" i="1"/>
  <c r="DP26" i="1" s="1"/>
  <c r="DL27" i="1"/>
  <c r="DP27" i="1" s="1"/>
  <c r="DO27" i="1"/>
  <c r="C7" i="3"/>
  <c r="C3" i="3"/>
  <c r="C42" i="1" l="1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DK2" i="1" l="1"/>
  <c r="DM2" i="1"/>
  <c r="DN2" i="1" s="1"/>
  <c r="P2" i="1"/>
  <c r="W2" i="1"/>
  <c r="AD2" i="1"/>
  <c r="DL2" i="1" l="1"/>
  <c r="DP2" i="1" s="1"/>
  <c r="DO2" i="1"/>
</calcChain>
</file>

<file path=xl/sharedStrings.xml><?xml version="1.0" encoding="utf-8"?>
<sst xmlns="http://schemas.openxmlformats.org/spreadsheetml/2006/main" count="1898" uniqueCount="304">
  <si>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</si>
  <si>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</si>
  <si>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</si>
  <si>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</si>
  <si>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</si>
  <si>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</si>
  <si>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</si>
  <si>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</si>
  <si>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</si>
  <si>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</si>
  <si>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</si>
  <si>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</si>
  <si>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</si>
  <si>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</si>
  <si>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</si>
  <si>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</si>
  <si>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</si>
  <si>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</si>
  <si>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</si>
  <si>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</si>
  <si>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</si>
  <si>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</si>
  <si>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</si>
  <si>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</si>
  <si>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</si>
  <si>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</si>
  <si>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</si>
  <si>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</si>
  <si>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</si>
  <si>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</si>
  <si>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</si>
  <si>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</si>
  <si>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</si>
  <si>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</si>
  <si>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</si>
  <si>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</si>
  <si>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</si>
  <si>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</si>
  <si>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</si>
  <si>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</si>
  <si>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</si>
  <si>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</si>
  <si>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</si>
  <si>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</si>
  <si>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</si>
  <si>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</si>
  <si>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</si>
  <si>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</si>
  <si>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</si>
  <si>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</si>
  <si>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</si>
  <si>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</si>
  <si>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</si>
  <si>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</si>
  <si>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</si>
  <si>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</si>
  <si>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</si>
  <si>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</si>
  <si>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</si>
  <si>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</si>
  <si>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</si>
  <si>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</si>
  <si>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</si>
  <si>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</si>
  <si>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</si>
  <si>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</si>
  <si>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</si>
  <si>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</si>
  <si>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</si>
  <si>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</si>
  <si>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</si>
  <si>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</si>
  <si>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</si>
  <si>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</si>
  <si>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</si>
  <si>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</si>
  <si>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</si>
  <si>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</si>
  <si>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</si>
  <si>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</si>
  <si>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</si>
  <si>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</si>
  <si>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</si>
  <si>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</si>
  <si>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</si>
  <si>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</si>
  <si>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</si>
  <si>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</si>
  <si>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</si>
  <si>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</si>
  <si>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</si>
  <si>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</si>
  <si>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</si>
  <si>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</si>
  <si>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</si>
  <si>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</si>
  <si>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</si>
  <si>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</si>
  <si>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</si>
  <si>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</si>
  <si>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</si>
  <si>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</si>
  <si>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</si>
  <si>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</si>
  <si>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</si>
  <si>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</si>
  <si>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</si>
  <si>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</si>
  <si>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</si>
  <si>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</si>
  <si>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</si>
  <si>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</si>
  <si>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</si>
  <si>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</si>
  <si>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</si>
  <si>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</si>
  <si>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</si>
  <si>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</si>
  <si>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</si>
  <si>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</si>
  <si>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</si>
  <si>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</si>
  <si>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</si>
  <si>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</si>
  <si>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</si>
  <si>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</si>
  <si>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</si>
  <si>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</si>
  <si>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</si>
  <si>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</si>
  <si>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</si>
  <si>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</si>
  <si>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</si>
  <si>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</si>
  <si>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</si>
  <si>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</si>
  <si>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</si>
  <si>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</si>
  <si>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</si>
  <si>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</si>
  <si>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</si>
  <si>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</si>
  <si>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</si>
  <si>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</si>
  <si>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</si>
  <si>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</si>
  <si>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</si>
  <si>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</si>
  <si>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</si>
  <si>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</si>
  <si>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</si>
  <si>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</si>
  <si>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</si>
  <si>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</si>
  <si>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</si>
  <si>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</si>
  <si>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</si>
  <si>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</si>
  <si>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</si>
  <si>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</si>
  <si>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</si>
  <si>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</si>
  <si>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</si>
  <si>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</si>
  <si>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</si>
  <si>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</si>
  <si>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</si>
  <si>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</si>
  <si>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</si>
  <si>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</si>
  <si>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</si>
  <si>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</si>
  <si>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</si>
  <si>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</si>
  <si>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</si>
  <si>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</si>
  <si>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</si>
  <si>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</si>
  <si>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</si>
  <si>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</si>
  <si>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</si>
  <si>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</si>
  <si>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</si>
  <si>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</si>
  <si>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</si>
  <si>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</si>
  <si>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</si>
  <si>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</si>
  <si>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</si>
  <si>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</si>
  <si>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</si>
  <si>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</si>
  <si>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</si>
  <si>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</si>
  <si>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</si>
  <si>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</si>
  <si>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</si>
  <si>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</si>
  <si>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</si>
  <si>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</si>
  <si>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</si>
  <si>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</si>
  <si>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</si>
  <si>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</si>
  <si>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</si>
  <si>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</si>
  <si>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</si>
  <si>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</si>
  <si>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</si>
  <si>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</si>
  <si>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</si>
  <si>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</si>
  <si>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</si>
  <si>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</si>
  <si>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</si>
  <si>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</si>
  <si>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</si>
  <si>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</si>
  <si>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</si>
  <si>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</si>
  <si>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</si>
  <si>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</si>
  <si>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</si>
  <si>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</si>
  <si>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</si>
  <si>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</si>
  <si>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</si>
  <si>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</si>
  <si>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</si>
  <si>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</si>
  <si>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</si>
  <si>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</si>
  <si>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</si>
  <si>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</si>
  <si>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</si>
  <si>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</si>
  <si>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</si>
  <si>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</si>
  <si>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</si>
  <si>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</si>
  <si>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</si>
  <si>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</si>
  <si>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</si>
  <si>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</si>
  <si>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</si>
  <si>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</si>
  <si>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</si>
  <si>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</si>
  <si>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</si>
  <si>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</si>
  <si>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</si>
  <si>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</si>
  <si>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</si>
  <si>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</si>
  <si>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</si>
  <si>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</si>
  <si>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</si>
  <si>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</si>
  <si>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</si>
  <si>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</si>
  <si>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</si>
  <si>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</si>
  <si>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</si>
  <si>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</si>
  <si>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</si>
  <si>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</si>
  <si>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</si>
  <si>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</si>
  <si>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</si>
  <si>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</si>
  <si>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</si>
  <si>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</si>
  <si>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</si>
  <si>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</si>
  <si>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</si>
  <si>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</si>
  <si>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</si>
  <si>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</si>
  <si>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</si>
  <si>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</si>
  <si>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</si>
  <si>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</si>
  <si>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</si>
  <si>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</si>
  <si>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</si>
  <si>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</si>
  <si>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</si>
  <si>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</si>
  <si>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</si>
  <si>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</si>
  <si>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</si>
  <si>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</si>
  <si>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</si>
  <si>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</si>
  <si>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</si>
  <si>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</si>
  <si>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</si>
  <si>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</si>
  <si>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</si>
  <si>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לא לשבץ בשבוע הזה את 209 ואת 11</t>
  </si>
  <si>
    <t>דריה</t>
  </si>
  <si>
    <t>דריה 9</t>
  </si>
  <si>
    <t>סוגר חג?</t>
  </si>
  <si>
    <t>דנה מרחבים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</si>
</sst>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5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3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3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18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8" fillId="4" borderId="11" xfId="0" applyFont="1" applyFill="1" applyBorder="1"/>
    <xf numFmtId="0" fontId="8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/>
    </xf>
    <xf numFmtId="10" fontId="8" fillId="2" borderId="16" xfId="0" applyNumberFormat="1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4" borderId="12" xfId="0" applyFont="1" applyFill="1" applyBorder="1"/>
    <xf numFmtId="0" fontId="8" fillId="3" borderId="16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164" fontId="8" fillId="0" borderId="35" xfId="0" applyNumberFormat="1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" fillId="0" borderId="35" xfId="0" applyFont="1" applyBorder="1"/>
    <xf numFmtId="0" fontId="11" fillId="0" borderId="0" xfId="0" applyFont="1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40" xfId="0" applyBorder="1"/>
    <xf numFmtId="0" fontId="2" fillId="0" borderId="40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37" xfId="0" applyBorder="1"/>
    <xf numFmtId="0" fontId="0" fillId="0" borderId="13" xfId="0" applyBorder="1"/>
    <xf numFmtId="0" fontId="0" fillId="0" borderId="38" xfId="0" applyBorder="1"/>
    <xf numFmtId="0" fontId="2" fillId="0" borderId="41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36" xfId="0" applyBorder="1"/>
    <xf numFmtId="0" fontId="2" fillId="0" borderId="44" xfId="0" applyFont="1" applyBorder="1"/>
    <xf numFmtId="0" fontId="2" fillId="0" borderId="10" xfId="0" applyFont="1" applyBorder="1"/>
    <xf numFmtId="0" fontId="2" fillId="0" borderId="45" xfId="0" applyFont="1" applyBorder="1"/>
    <xf numFmtId="0" fontId="2" fillId="0" borderId="4" xfId="0" applyFont="1" applyBorder="1"/>
    <xf numFmtId="0" fontId="2" fillId="8" borderId="46" xfId="0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2" fillId="8" borderId="48" xfId="0" applyFont="1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2" fillId="8" borderId="5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S77"/>
  <sheetViews>
    <sheetView rightToLeft="1" zoomScaleNormal="100" zoomScaleSheetLayoutView="100" workbookViewId="0">
      <pane ySplit="1" topLeftCell="A2" activePane="bottomLeft" state="frozen"/>
      <selection pane="bottomLeft" activeCell="C1" sqref="C1:C1048576"/>
    </sheetView>
  </sheetViews>
  <sheetFormatPr defaultRowHeight="15" x14ac:dyDescent="0.25"/>
  <cols>
    <col min="1" max="1" width="7.140625" style="50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customWidth="1"/>
    <col min="7" max="7" width="20" style="38" customWidth="1"/>
    <col min="8" max="8" width="13.140625" style="38" customWidth="1"/>
    <col min="9" max="9" width="7.28515625" style="51" customWidth="1"/>
    <col min="10" max="15" width="7.85546875" style="51" hidden="1" customWidth="1"/>
    <col min="16" max="16" width="7.7109375" style="51" hidden="1" customWidth="1"/>
    <col min="17" max="65" width="7.7109375" style="49" hidden="1" customWidth="1"/>
    <col min="66" max="70" width="7.7109375" style="105" hidden="1" customWidth="1"/>
    <col min="71" max="71" width="6.7109375" style="49" hidden="1" customWidth="1"/>
    <col min="72" max="72" width="7.7109375" style="49" hidden="1" customWidth="1"/>
    <col min="73" max="74" width="7.7109375" style="105" hidden="1" customWidth="1"/>
    <col min="75" max="75" width="7" style="105" hidden="1" customWidth="1"/>
    <col min="76" max="76" width="7.28515625" hidden="1" customWidth="1"/>
    <col min="77" max="77" width="7.7109375" style="105" hidden="1" customWidth="1"/>
    <col min="78" max="79" width="7.7109375" style="49" hidden="1" customWidth="1"/>
    <col min="80" max="84" width="7.7109375" style="105" hidden="1" customWidth="1"/>
    <col min="85" max="86" width="7.7109375" style="49" hidden="1" customWidth="1"/>
    <col min="87" max="89" width="7.7109375" style="105" hidden="1" customWidth="1"/>
    <col min="90" max="90" width="7.7109375" style="203" hidden="1" customWidth="1"/>
    <col min="91" max="91" width="7.7109375" style="105" hidden="1" customWidth="1"/>
    <col min="92" max="93" width="7.7109375" style="49" hidden="1" customWidth="1"/>
    <col min="94" max="98" width="7.7109375" style="105" customWidth="1"/>
    <col min="99" max="100" width="7.7109375" style="49" customWidth="1"/>
    <col min="101" max="105" width="7.7109375" style="105" customWidth="1"/>
    <col min="106" max="107" width="7.7109375" style="49" customWidth="1"/>
    <col min="108" max="112" width="7.7109375" style="105" customWidth="1"/>
    <col min="113" max="114" width="7.7109375" style="49" customWidth="1"/>
    <col min="115" max="123" width="7.7109375" style="38" customWidth="1"/>
    <col min="124" max="16384" width="9.140625" style="38"/>
  </cols>
  <sheetData>
    <row r="1" spans="1:123" ht="71.25" customHeight="1" thickBot="1" x14ac:dyDescent="0.3">
      <c r="A1" s="204" t="s">
        <v>0</v>
      </c>
      <c r="B1" s="205" t="s">
        <v>1</v>
      </c>
      <c r="C1" s="205" t="s">
        <v>75</v>
      </c>
      <c r="D1" s="205" t="s">
        <v>3</v>
      </c>
      <c r="E1" s="205" t="s">
        <v>4</v>
      </c>
      <c r="F1" s="206" t="s">
        <v>195</v>
      </c>
      <c r="G1" s="206" t="s">
        <v>143</v>
      </c>
      <c r="H1" s="206" t="s">
        <v>51</v>
      </c>
      <c r="I1" s="206" t="s">
        <v>2</v>
      </c>
      <c r="J1" s="207" t="s">
        <v>36</v>
      </c>
      <c r="K1" s="208" t="s">
        <v>37</v>
      </c>
      <c r="L1" s="208" t="s">
        <v>38</v>
      </c>
      <c r="M1" s="208" t="s">
        <v>39</v>
      </c>
      <c r="N1" s="209" t="s">
        <v>49</v>
      </c>
      <c r="O1" s="209" t="s">
        <v>50</v>
      </c>
      <c r="P1" s="210" t="s">
        <v>48</v>
      </c>
      <c r="Q1" s="207" t="s">
        <v>27</v>
      </c>
      <c r="R1" s="208" t="s">
        <v>28</v>
      </c>
      <c r="S1" s="208" t="s">
        <v>29</v>
      </c>
      <c r="T1" s="208" t="s">
        <v>30</v>
      </c>
      <c r="U1" s="211" t="s">
        <v>31</v>
      </c>
      <c r="V1" s="209" t="s">
        <v>32</v>
      </c>
      <c r="W1" s="210" t="s">
        <v>47</v>
      </c>
      <c r="X1" s="207" t="s">
        <v>43</v>
      </c>
      <c r="Y1" s="208" t="s">
        <v>44</v>
      </c>
      <c r="Z1" s="208" t="s">
        <v>45</v>
      </c>
      <c r="AA1" s="208" t="s">
        <v>46</v>
      </c>
      <c r="AB1" s="209" t="s">
        <v>40</v>
      </c>
      <c r="AC1" s="209" t="s">
        <v>41</v>
      </c>
      <c r="AD1" s="212" t="s">
        <v>42</v>
      </c>
      <c r="AE1" s="207" t="s">
        <v>55</v>
      </c>
      <c r="AF1" s="208" t="s">
        <v>56</v>
      </c>
      <c r="AG1" s="208" t="s">
        <v>57</v>
      </c>
      <c r="AH1" s="208" t="s">
        <v>58</v>
      </c>
      <c r="AI1" s="209" t="s">
        <v>59</v>
      </c>
      <c r="AJ1" s="209" t="s">
        <v>60</v>
      </c>
      <c r="AK1" s="212" t="s">
        <v>61</v>
      </c>
      <c r="AL1" s="207" t="s">
        <v>106</v>
      </c>
      <c r="AM1" s="208" t="s">
        <v>107</v>
      </c>
      <c r="AN1" s="208" t="s">
        <v>108</v>
      </c>
      <c r="AO1" s="205" t="s">
        <v>109</v>
      </c>
      <c r="AP1" s="209" t="s">
        <v>110</v>
      </c>
      <c r="AQ1" s="209" t="s">
        <v>111</v>
      </c>
      <c r="AR1" s="210" t="s">
        <v>112</v>
      </c>
      <c r="AS1" s="204" t="s">
        <v>118</v>
      </c>
      <c r="AT1" s="205" t="s">
        <v>119</v>
      </c>
      <c r="AU1" s="205" t="s">
        <v>120</v>
      </c>
      <c r="AV1" s="205" t="s">
        <v>121</v>
      </c>
      <c r="AW1" s="211" t="s">
        <v>122</v>
      </c>
      <c r="AX1" s="211" t="s">
        <v>123</v>
      </c>
      <c r="AY1" s="212" t="s">
        <v>124</v>
      </c>
      <c r="AZ1" s="204" t="s">
        <v>136</v>
      </c>
      <c r="BA1" s="205" t="s">
        <v>137</v>
      </c>
      <c r="BB1" s="205" t="s">
        <v>138</v>
      </c>
      <c r="BC1" s="205" t="s">
        <v>139</v>
      </c>
      <c r="BD1" s="211" t="s">
        <v>140</v>
      </c>
      <c r="BE1" s="211" t="s">
        <v>141</v>
      </c>
      <c r="BF1" s="212" t="s">
        <v>142</v>
      </c>
      <c r="BG1" s="204" t="s">
        <v>155</v>
      </c>
      <c r="BH1" s="205" t="s">
        <v>156</v>
      </c>
      <c r="BI1" s="205" t="s">
        <v>209</v>
      </c>
      <c r="BJ1" s="205" t="s">
        <v>157</v>
      </c>
      <c r="BK1" s="211" t="s">
        <v>160</v>
      </c>
      <c r="BL1" s="211" t="s">
        <v>159</v>
      </c>
      <c r="BM1" s="213" t="s">
        <v>158</v>
      </c>
      <c r="BN1" s="109" t="s">
        <v>175</v>
      </c>
      <c r="BO1" s="110" t="s">
        <v>176</v>
      </c>
      <c r="BP1" s="110" t="s">
        <v>177</v>
      </c>
      <c r="BQ1" s="111" t="s">
        <v>178</v>
      </c>
      <c r="BR1" s="214" t="s">
        <v>179</v>
      </c>
      <c r="BS1" s="211" t="s">
        <v>180</v>
      </c>
      <c r="BT1" s="212" t="s">
        <v>181</v>
      </c>
      <c r="BU1" s="109" t="s">
        <v>196</v>
      </c>
      <c r="BV1" s="110" t="s">
        <v>197</v>
      </c>
      <c r="BW1" s="111" t="s">
        <v>198</v>
      </c>
      <c r="BX1" s="111" t="s">
        <v>199</v>
      </c>
      <c r="BY1" s="214" t="s">
        <v>200</v>
      </c>
      <c r="BZ1" s="211" t="s">
        <v>201</v>
      </c>
      <c r="CA1" s="212" t="s">
        <v>202</v>
      </c>
      <c r="CB1" s="109" t="s">
        <v>222</v>
      </c>
      <c r="CC1" s="110" t="s">
        <v>223</v>
      </c>
      <c r="CD1" s="111" t="s">
        <v>224</v>
      </c>
      <c r="CE1" s="191" t="s">
        <v>254</v>
      </c>
      <c r="CF1" s="214" t="s">
        <v>225</v>
      </c>
      <c r="CG1" s="211" t="s">
        <v>226</v>
      </c>
      <c r="CH1" s="212" t="s">
        <v>227</v>
      </c>
      <c r="CI1" s="215" t="s">
        <v>232</v>
      </c>
      <c r="CJ1" s="215" t="s">
        <v>233</v>
      </c>
      <c r="CK1" s="215" t="s">
        <v>234</v>
      </c>
      <c r="CL1" s="215" t="s">
        <v>235</v>
      </c>
      <c r="CM1" s="214" t="s">
        <v>236</v>
      </c>
      <c r="CN1" s="211" t="s">
        <v>237</v>
      </c>
      <c r="CO1" s="212" t="s">
        <v>238</v>
      </c>
      <c r="CP1" s="246" t="s">
        <v>36</v>
      </c>
      <c r="CQ1" s="110" t="s">
        <v>37</v>
      </c>
      <c r="CR1" s="111" t="s">
        <v>38</v>
      </c>
      <c r="CS1" s="111" t="s">
        <v>39</v>
      </c>
      <c r="CT1" s="214" t="s">
        <v>49</v>
      </c>
      <c r="CU1" s="211" t="s">
        <v>50</v>
      </c>
      <c r="CV1" s="212" t="s">
        <v>48</v>
      </c>
      <c r="CW1" s="109" t="s">
        <v>27</v>
      </c>
      <c r="CX1" s="110" t="s">
        <v>28</v>
      </c>
      <c r="CY1" s="110" t="s">
        <v>29</v>
      </c>
      <c r="CZ1" s="111" t="s">
        <v>30</v>
      </c>
      <c r="DA1" s="214" t="s">
        <v>31</v>
      </c>
      <c r="DB1" s="211" t="s">
        <v>32</v>
      </c>
      <c r="DC1" s="212" t="s">
        <v>47</v>
      </c>
      <c r="DD1" s="109" t="s">
        <v>43</v>
      </c>
      <c r="DE1" s="110" t="s">
        <v>44</v>
      </c>
      <c r="DF1" s="110" t="s">
        <v>45</v>
      </c>
      <c r="DG1" s="111" t="s">
        <v>46</v>
      </c>
      <c r="DH1" s="214" t="s">
        <v>40</v>
      </c>
      <c r="DI1" s="211" t="s">
        <v>41</v>
      </c>
      <c r="DJ1" s="212" t="s">
        <v>42</v>
      </c>
      <c r="DK1" s="216" t="s">
        <v>145</v>
      </c>
      <c r="DL1" s="217" t="s">
        <v>147</v>
      </c>
      <c r="DM1" s="217" t="s">
        <v>146</v>
      </c>
      <c r="DN1" s="217" t="s">
        <v>148</v>
      </c>
      <c r="DO1" s="218" t="s">
        <v>117</v>
      </c>
      <c r="DP1" s="217" t="s">
        <v>144</v>
      </c>
      <c r="DQ1" s="218" t="s">
        <v>130</v>
      </c>
      <c r="DR1" s="218" t="s">
        <v>131</v>
      </c>
      <c r="DS1" s="217" t="s">
        <v>132</v>
      </c>
    </row>
    <row r="2" spans="1:123" ht="15.75" thickBot="1" x14ac:dyDescent="0.3">
      <c r="A2" s="219">
        <v>9</v>
      </c>
      <c r="B2" s="287" t="s">
        <v>11</v>
      </c>
      <c r="C2" s="288" t="str">
        <f t="shared" ref="C2:C42" si="0">B2&amp;" "&amp;A2</f>
        <v>בר 9</v>
      </c>
      <c r="D2" s="220" t="s">
        <v>6</v>
      </c>
      <c r="E2" s="220" t="s">
        <v>7</v>
      </c>
      <c r="F2" s="221" t="s">
        <v>188</v>
      </c>
      <c r="G2" s="222">
        <v>42917</v>
      </c>
      <c r="H2" s="289">
        <v>43560</v>
      </c>
      <c r="I2" s="293"/>
      <c r="J2" s="223"/>
      <c r="K2" s="224"/>
      <c r="L2" s="224"/>
      <c r="M2" s="224"/>
      <c r="N2" s="225">
        <f>J2*3+L2</f>
        <v>0</v>
      </c>
      <c r="O2" s="225">
        <f>K2*3+M2</f>
        <v>0</v>
      </c>
      <c r="P2" s="226">
        <f>O2+N2</f>
        <v>0</v>
      </c>
      <c r="Q2" s="219">
        <v>1</v>
      </c>
      <c r="R2" s="220"/>
      <c r="S2" s="220">
        <v>2</v>
      </c>
      <c r="T2" s="220"/>
      <c r="U2" s="227">
        <f>Q2*3+S2</f>
        <v>5</v>
      </c>
      <c r="V2" s="227">
        <f>R2*3+T2</f>
        <v>0</v>
      </c>
      <c r="W2" s="228">
        <f>V2+U2</f>
        <v>5</v>
      </c>
      <c r="X2" s="219"/>
      <c r="Y2" s="220"/>
      <c r="Z2" s="220">
        <v>2</v>
      </c>
      <c r="AA2" s="220"/>
      <c r="AB2" s="227">
        <f>X2*3+Z2</f>
        <v>2</v>
      </c>
      <c r="AC2" s="227">
        <f>Y2*3+AA2</f>
        <v>0</v>
      </c>
      <c r="AD2" s="228">
        <f>AC2+AB2</f>
        <v>2</v>
      </c>
      <c r="AE2" s="219"/>
      <c r="AF2" s="220">
        <v>1</v>
      </c>
      <c r="AG2" s="220">
        <v>2</v>
      </c>
      <c r="AH2" s="220">
        <v>1</v>
      </c>
      <c r="AI2" s="227">
        <f>AE2*3+AG2</f>
        <v>2</v>
      </c>
      <c r="AJ2" s="227">
        <f>AF2*3+AH2</f>
        <v>4</v>
      </c>
      <c r="AK2" s="228">
        <f>AJ2+AI2</f>
        <v>6</v>
      </c>
      <c r="AL2" s="219">
        <v>1</v>
      </c>
      <c r="AM2" s="220"/>
      <c r="AN2" s="220"/>
      <c r="AO2" s="220"/>
      <c r="AP2" s="227">
        <f>AL2*3+AN2</f>
        <v>3</v>
      </c>
      <c r="AQ2" s="227">
        <f>AM2*3+AO2</f>
        <v>0</v>
      </c>
      <c r="AR2" s="228">
        <f>AQ2+AP2</f>
        <v>3</v>
      </c>
      <c r="AS2" s="219"/>
      <c r="AT2" s="220"/>
      <c r="AU2" s="220">
        <v>2</v>
      </c>
      <c r="AV2" s="220"/>
      <c r="AW2" s="227">
        <f>AS2*3+AU2</f>
        <v>2</v>
      </c>
      <c r="AX2" s="227">
        <f>AT2*3+AV2</f>
        <v>0</v>
      </c>
      <c r="AY2" s="228">
        <f>AX2+AW2</f>
        <v>2</v>
      </c>
      <c r="AZ2" s="219"/>
      <c r="BA2" s="220"/>
      <c r="BB2" s="220">
        <v>1</v>
      </c>
      <c r="BC2" s="220"/>
      <c r="BD2" s="227">
        <f>AZ2*3+BB2</f>
        <v>1</v>
      </c>
      <c r="BE2" s="227">
        <f>BA2*3+BC2</f>
        <v>0</v>
      </c>
      <c r="BF2" s="228">
        <f>BE2+BD2</f>
        <v>1</v>
      </c>
      <c r="BG2" s="229">
        <v>1</v>
      </c>
      <c r="BH2" s="230"/>
      <c r="BI2" s="220">
        <v>3</v>
      </c>
      <c r="BJ2" s="220"/>
      <c r="BK2" s="227">
        <f>BG2*3+BI2</f>
        <v>6</v>
      </c>
      <c r="BL2" s="227">
        <f>BH2*3+BJ2</f>
        <v>0</v>
      </c>
      <c r="BM2" s="231">
        <f>BL2+BK2</f>
        <v>6</v>
      </c>
      <c r="BN2" s="229"/>
      <c r="BO2" s="230"/>
      <c r="BP2" s="230">
        <v>3</v>
      </c>
      <c r="BQ2" s="230"/>
      <c r="BR2" s="227">
        <f>BN2*3+BP2</f>
        <v>3</v>
      </c>
      <c r="BS2" s="227">
        <f>BO2*3+BQ2</f>
        <v>0</v>
      </c>
      <c r="BT2" s="231">
        <f>BS2+BR2</f>
        <v>3</v>
      </c>
      <c r="BU2" s="229">
        <v>1</v>
      </c>
      <c r="BV2" s="230"/>
      <c r="BW2" s="230"/>
      <c r="BX2" s="230"/>
      <c r="BY2" s="227">
        <f>BU2*3+BW2</f>
        <v>3</v>
      </c>
      <c r="BZ2" s="227">
        <f>BV2*3+BX2</f>
        <v>0</v>
      </c>
      <c r="CA2" s="231">
        <f>BZ2+BY2</f>
        <v>3</v>
      </c>
      <c r="CB2" s="229"/>
      <c r="CC2" s="230"/>
      <c r="CD2" s="230">
        <v>1</v>
      </c>
      <c r="CE2" s="230">
        <v>1</v>
      </c>
      <c r="CF2" s="227">
        <f>CB2*3+CD2</f>
        <v>1</v>
      </c>
      <c r="CG2" s="227">
        <f>CC2*3+CE2</f>
        <v>1</v>
      </c>
      <c r="CH2" s="231">
        <f>CG2+CF2</f>
        <v>2</v>
      </c>
      <c r="CI2" s="230"/>
      <c r="CJ2" s="230"/>
      <c r="CK2" s="230">
        <v>2</v>
      </c>
      <c r="CL2" s="232"/>
      <c r="CM2" s="227">
        <f>CI2*3+CK2</f>
        <v>2</v>
      </c>
      <c r="CN2" s="227">
        <f>CJ2*3+CL2</f>
        <v>0</v>
      </c>
      <c r="CO2" s="231">
        <f>CN2+CM2</f>
        <v>2</v>
      </c>
      <c r="CP2" s="274">
        <v>1</v>
      </c>
      <c r="CQ2" s="230"/>
      <c r="CR2" s="230">
        <v>1</v>
      </c>
      <c r="CS2" s="230"/>
      <c r="CT2" s="227">
        <f t="shared" ref="CT2:CT42" si="1">CP2*3+CR2</f>
        <v>4</v>
      </c>
      <c r="CU2" s="227">
        <f t="shared" ref="CU2:CU42" si="2">CQ2*3+CS2</f>
        <v>0</v>
      </c>
      <c r="CV2" s="231">
        <f t="shared" ref="CV2:CV42" si="3">CU2+CT2</f>
        <v>4</v>
      </c>
      <c r="CW2" s="229"/>
      <c r="CX2" s="230">
        <v>1</v>
      </c>
      <c r="CY2" s="230">
        <v>2</v>
      </c>
      <c r="CZ2" s="230"/>
      <c r="DA2" s="227">
        <f t="shared" ref="DA2:DA42" si="4">CW2*3+CY2</f>
        <v>2</v>
      </c>
      <c r="DB2" s="227">
        <f t="shared" ref="DB2:DB42" si="5">CX2*3+CZ2</f>
        <v>3</v>
      </c>
      <c r="DC2" s="231">
        <f t="shared" ref="DC2:DC42" si="6">DB2+DA2</f>
        <v>5</v>
      </c>
      <c r="DD2" s="229"/>
      <c r="DE2" s="230"/>
      <c r="DF2" s="230"/>
      <c r="DG2" s="230"/>
      <c r="DH2" s="227">
        <f t="shared" ref="DH2:DH42" si="7">DD2*3+DF2</f>
        <v>0</v>
      </c>
      <c r="DI2" s="227">
        <f t="shared" ref="DI2:DI42" si="8">DE2*3+DG2</f>
        <v>0</v>
      </c>
      <c r="DJ2" s="231">
        <f t="shared" ref="DJ2:DJ42" si="9">DI2+DH2</f>
        <v>0</v>
      </c>
      <c r="DK2" s="179">
        <f t="shared" ref="DK2:DK42" si="10">SUM(AP2,AI2,AB2,U2,N2,AW2,BD2,BK2,BR2,BY2,CF2,CM2,CT2,DA2,DH2)</f>
        <v>36</v>
      </c>
      <c r="DL2" s="180">
        <f t="shared" ref="DL2:DL42" ca="1" si="11">DK2/(TODAY()-G2)</f>
        <v>8.6538461538461536E-2</v>
      </c>
      <c r="DM2" s="181">
        <f t="shared" ref="DM2:DM42" si="12">SUM(AQ2,AJ2,AC2,V2,O2,AX2,BE2,BL2,BS2,BZ2,CG2,CN2,CU2,DB2,DI2)</f>
        <v>8</v>
      </c>
      <c r="DN2" s="180">
        <f t="shared" ref="DN2:DN42" ca="1" si="13">DM2/(TODAY()-G2)</f>
        <v>1.9230769230769232E-2</v>
      </c>
      <c r="DO2" s="181">
        <f t="shared" ref="DO2:DO42" si="14">DK2+DM2</f>
        <v>44</v>
      </c>
      <c r="DP2" s="180">
        <f t="shared" ref="DP2:DP42" ca="1" si="15">DN2+DL2</f>
        <v>0.10576923076923077</v>
      </c>
      <c r="DQ2" s="181">
        <f t="shared" ref="DQ2:DQ42" si="16">SUM(AS2,AL2,AE2,X2,Q2,Q2,J2,AZ2,BG2,BN2,BU2,CB2,CI2,CP2,CW2,DD2)</f>
        <v>6</v>
      </c>
      <c r="DR2" s="181">
        <f t="shared" ref="DR2:DR42" si="17">SUM(AT2,AM2,AF2,Y2,R2,R2,K2,BA2,BH2,BO2,BV2,CC2,CJ2,CQ2,CX2,DE2)</f>
        <v>2</v>
      </c>
      <c r="DS2" s="181">
        <f t="shared" ref="DS2:DS42" si="18">DR2+DQ2</f>
        <v>8</v>
      </c>
    </row>
    <row r="3" spans="1:123" ht="15.75" thickBot="1" x14ac:dyDescent="0.3">
      <c r="A3" s="39">
        <v>9</v>
      </c>
      <c r="B3" s="62" t="s">
        <v>300</v>
      </c>
      <c r="C3" s="67" t="str">
        <f t="shared" si="0"/>
        <v>דריה 9</v>
      </c>
      <c r="D3" s="55" t="s">
        <v>6</v>
      </c>
      <c r="E3" s="55" t="s">
        <v>6</v>
      </c>
      <c r="F3" s="74" t="s">
        <v>295</v>
      </c>
      <c r="G3" s="72">
        <v>43328</v>
      </c>
      <c r="H3" s="292"/>
      <c r="I3" s="42"/>
      <c r="J3" s="133"/>
      <c r="K3" s="134"/>
      <c r="L3" s="134"/>
      <c r="M3" s="134"/>
      <c r="N3" s="135"/>
      <c r="O3" s="135"/>
      <c r="P3" s="44"/>
      <c r="Q3" s="39"/>
      <c r="R3" s="41"/>
      <c r="S3" s="41"/>
      <c r="T3" s="41"/>
      <c r="U3" s="43"/>
      <c r="V3" s="43"/>
      <c r="W3" s="45"/>
      <c r="X3" s="39"/>
      <c r="Y3" s="41"/>
      <c r="Z3" s="41"/>
      <c r="AA3" s="41"/>
      <c r="AB3" s="46"/>
      <c r="AC3" s="46"/>
      <c r="AD3" s="47"/>
      <c r="AE3" s="39"/>
      <c r="AF3" s="41"/>
      <c r="AG3" s="41"/>
      <c r="AH3" s="41"/>
      <c r="AI3" s="43"/>
      <c r="AJ3" s="43"/>
      <c r="AK3" s="45"/>
      <c r="AL3" s="39"/>
      <c r="AM3" s="41"/>
      <c r="AN3" s="41"/>
      <c r="AO3" s="41"/>
      <c r="AP3" s="43"/>
      <c r="AQ3" s="43"/>
      <c r="AR3" s="45"/>
      <c r="AS3" s="39"/>
      <c r="AT3" s="41"/>
      <c r="AU3" s="41"/>
      <c r="AV3" s="41"/>
      <c r="AW3" s="43"/>
      <c r="AX3" s="43"/>
      <c r="AY3" s="45"/>
      <c r="AZ3" s="39"/>
      <c r="BA3" s="41"/>
      <c r="BB3" s="41"/>
      <c r="BC3" s="41"/>
      <c r="BD3" s="43"/>
      <c r="BE3" s="43"/>
      <c r="BF3" s="45"/>
      <c r="BG3" s="75"/>
      <c r="BH3" s="107"/>
      <c r="BI3" s="107"/>
      <c r="BJ3" s="41"/>
      <c r="BK3" s="43"/>
      <c r="BL3" s="43"/>
      <c r="BM3" s="106"/>
      <c r="BN3" s="75"/>
      <c r="BO3" s="107"/>
      <c r="BP3" s="107"/>
      <c r="BQ3" s="107"/>
      <c r="BR3" s="43"/>
      <c r="BS3" s="43"/>
      <c r="BT3" s="106"/>
      <c r="BU3" s="75"/>
      <c r="BV3" s="107"/>
      <c r="BW3" s="107"/>
      <c r="BX3" s="107"/>
      <c r="BY3" s="43"/>
      <c r="BZ3" s="43"/>
      <c r="CA3" s="106"/>
      <c r="CB3" s="75"/>
      <c r="CC3" s="107"/>
      <c r="CD3" s="107"/>
      <c r="CE3" s="192"/>
      <c r="CF3" s="43"/>
      <c r="CG3" s="43"/>
      <c r="CH3" s="106"/>
      <c r="CI3" s="107"/>
      <c r="CJ3" s="107"/>
      <c r="CK3" s="107"/>
      <c r="CL3" s="202"/>
      <c r="CM3" s="43"/>
      <c r="CN3" s="43"/>
      <c r="CO3" s="106"/>
      <c r="CP3" s="275"/>
      <c r="CQ3" s="107"/>
      <c r="CR3" s="107"/>
      <c r="CS3" s="107"/>
      <c r="CT3" s="43">
        <f t="shared" si="1"/>
        <v>0</v>
      </c>
      <c r="CU3" s="43">
        <f t="shared" si="2"/>
        <v>0</v>
      </c>
      <c r="CV3" s="106">
        <f t="shared" si="3"/>
        <v>0</v>
      </c>
      <c r="CW3" s="75"/>
      <c r="CX3" s="107"/>
      <c r="CY3" s="107"/>
      <c r="CZ3" s="107"/>
      <c r="DA3" s="43">
        <f t="shared" si="4"/>
        <v>0</v>
      </c>
      <c r="DB3" s="43">
        <f t="shared" si="5"/>
        <v>0</v>
      </c>
      <c r="DC3" s="106">
        <f t="shared" si="6"/>
        <v>0</v>
      </c>
      <c r="DD3" s="75">
        <v>1</v>
      </c>
      <c r="DE3" s="107"/>
      <c r="DF3" s="107"/>
      <c r="DG3" s="107"/>
      <c r="DH3" s="43">
        <f t="shared" si="7"/>
        <v>3</v>
      </c>
      <c r="DI3" s="43">
        <f t="shared" si="8"/>
        <v>0</v>
      </c>
      <c r="DJ3" s="106">
        <f t="shared" si="9"/>
        <v>3</v>
      </c>
      <c r="DK3" s="179">
        <f t="shared" si="10"/>
        <v>3</v>
      </c>
      <c r="DL3" s="180">
        <f t="shared" ca="1" si="11"/>
        <v>0.6</v>
      </c>
      <c r="DM3" s="181">
        <f t="shared" si="12"/>
        <v>0</v>
      </c>
      <c r="DN3" s="180">
        <f t="shared" ca="1" si="13"/>
        <v>0</v>
      </c>
      <c r="DO3" s="181">
        <f t="shared" si="14"/>
        <v>3</v>
      </c>
      <c r="DP3" s="180">
        <f t="shared" ca="1" si="15"/>
        <v>0.6</v>
      </c>
      <c r="DQ3" s="181">
        <f t="shared" si="16"/>
        <v>1</v>
      </c>
      <c r="DR3" s="181">
        <f t="shared" si="17"/>
        <v>0</v>
      </c>
      <c r="DS3" s="181">
        <f t="shared" si="18"/>
        <v>1</v>
      </c>
    </row>
    <row r="4" spans="1:123" ht="15.75" thickBot="1" x14ac:dyDescent="0.3">
      <c r="A4" s="39">
        <v>9</v>
      </c>
      <c r="B4" s="62" t="s">
        <v>133</v>
      </c>
      <c r="C4" s="67" t="str">
        <f t="shared" si="0"/>
        <v>ירדן 9</v>
      </c>
      <c r="D4" s="55" t="s">
        <v>6</v>
      </c>
      <c r="E4" s="55" t="s">
        <v>7</v>
      </c>
      <c r="F4" s="74" t="s">
        <v>192</v>
      </c>
      <c r="G4" s="72">
        <v>43040</v>
      </c>
      <c r="H4" s="74"/>
      <c r="I4" s="42"/>
      <c r="J4" s="133"/>
      <c r="K4" s="134"/>
      <c r="L4" s="134"/>
      <c r="M4" s="134"/>
      <c r="N4" s="135">
        <f t="shared" ref="N4:O9" si="19">J4*3+L4</f>
        <v>0</v>
      </c>
      <c r="O4" s="135">
        <f t="shared" si="19"/>
        <v>0</v>
      </c>
      <c r="P4" s="44">
        <f t="shared" ref="P4:P9" si="20">O4+N4</f>
        <v>0</v>
      </c>
      <c r="Q4" s="39"/>
      <c r="R4" s="41"/>
      <c r="S4" s="41"/>
      <c r="T4" s="41"/>
      <c r="U4" s="43">
        <f t="shared" ref="U4:V9" si="21">Q4*3+S4</f>
        <v>0</v>
      </c>
      <c r="V4" s="43">
        <f t="shared" si="21"/>
        <v>0</v>
      </c>
      <c r="W4" s="45">
        <f t="shared" ref="W4:W9" si="22">V4+U4</f>
        <v>0</v>
      </c>
      <c r="X4" s="39"/>
      <c r="Y4" s="41"/>
      <c r="Z4" s="41"/>
      <c r="AA4" s="41"/>
      <c r="AB4" s="46">
        <f t="shared" ref="AB4:AC9" si="23">X4*3+Z4</f>
        <v>0</v>
      </c>
      <c r="AC4" s="46">
        <f t="shared" si="23"/>
        <v>0</v>
      </c>
      <c r="AD4" s="47">
        <f t="shared" ref="AD4:AD9" si="24">AC4+AB4</f>
        <v>0</v>
      </c>
      <c r="AE4" s="39"/>
      <c r="AF4" s="41"/>
      <c r="AG4" s="41"/>
      <c r="AH4" s="41"/>
      <c r="AI4" s="43">
        <f t="shared" ref="AI4:AJ9" si="25">AE4*3+AG4</f>
        <v>0</v>
      </c>
      <c r="AJ4" s="43">
        <f t="shared" si="25"/>
        <v>0</v>
      </c>
      <c r="AK4" s="45">
        <f t="shared" ref="AK4:AK9" si="26">AJ4+AI4</f>
        <v>0</v>
      </c>
      <c r="AL4" s="39"/>
      <c r="AM4" s="41"/>
      <c r="AN4" s="41"/>
      <c r="AO4" s="41"/>
      <c r="AP4" s="43">
        <f t="shared" ref="AP4:AQ9" si="27">AL4*3+AN4</f>
        <v>0</v>
      </c>
      <c r="AQ4" s="43">
        <f t="shared" si="27"/>
        <v>0</v>
      </c>
      <c r="AR4" s="45">
        <f t="shared" ref="AR4:AR9" si="28">AQ4+AP4</f>
        <v>0</v>
      </c>
      <c r="AS4" s="39">
        <v>1</v>
      </c>
      <c r="AT4" s="41"/>
      <c r="AU4" s="41"/>
      <c r="AV4" s="41"/>
      <c r="AW4" s="43">
        <f t="shared" ref="AW4:AX9" si="29">AS4*3+AU4</f>
        <v>3</v>
      </c>
      <c r="AX4" s="43">
        <f t="shared" si="29"/>
        <v>0</v>
      </c>
      <c r="AY4" s="45">
        <f t="shared" ref="AY4:AY9" si="30">AX4+AW4</f>
        <v>3</v>
      </c>
      <c r="AZ4" s="39"/>
      <c r="BA4" s="41"/>
      <c r="BB4" s="41">
        <v>3</v>
      </c>
      <c r="BC4" s="41"/>
      <c r="BD4" s="43">
        <f t="shared" ref="BD4:BE9" si="31">AZ4*3+BB4</f>
        <v>3</v>
      </c>
      <c r="BE4" s="43">
        <f t="shared" si="31"/>
        <v>0</v>
      </c>
      <c r="BF4" s="45">
        <f t="shared" ref="BF4:BF9" si="32">BE4+BD4</f>
        <v>3</v>
      </c>
      <c r="BG4" s="75">
        <v>1</v>
      </c>
      <c r="BH4" s="107"/>
      <c r="BI4" s="107">
        <v>1</v>
      </c>
      <c r="BJ4" s="41"/>
      <c r="BK4" s="43">
        <f t="shared" ref="BK4:BL9" si="33">BG4*3+BI4</f>
        <v>4</v>
      </c>
      <c r="BL4" s="43">
        <f t="shared" si="33"/>
        <v>0</v>
      </c>
      <c r="BM4" s="106">
        <f t="shared" ref="BM4:BM9" si="34">BL4+BK4</f>
        <v>4</v>
      </c>
      <c r="BN4" s="75"/>
      <c r="BO4" s="107"/>
      <c r="BP4" s="107">
        <v>4</v>
      </c>
      <c r="BQ4" s="107"/>
      <c r="BR4" s="43">
        <f t="shared" ref="BR4:BS9" si="35">BN4*3+BP4</f>
        <v>4</v>
      </c>
      <c r="BS4" s="43">
        <f t="shared" si="35"/>
        <v>0</v>
      </c>
      <c r="BT4" s="106">
        <f t="shared" ref="BT4:BT9" si="36">BS4+BR4</f>
        <v>4</v>
      </c>
      <c r="BU4" s="75">
        <v>1</v>
      </c>
      <c r="BV4" s="107"/>
      <c r="BW4" s="107"/>
      <c r="BX4" s="107"/>
      <c r="BY4" s="43">
        <f t="shared" ref="BY4:BZ9" si="37">BU4*3+BW4</f>
        <v>3</v>
      </c>
      <c r="BZ4" s="43">
        <f t="shared" si="37"/>
        <v>0</v>
      </c>
      <c r="CA4" s="106">
        <f t="shared" ref="CA4:CA9" si="38">BZ4+BY4</f>
        <v>3</v>
      </c>
      <c r="CB4" s="75"/>
      <c r="CC4" s="107"/>
      <c r="CD4" s="107">
        <v>2</v>
      </c>
      <c r="CE4" s="192"/>
      <c r="CF4" s="43">
        <f t="shared" ref="CF4:CG9" si="39">CB4*3+CD4</f>
        <v>2</v>
      </c>
      <c r="CG4" s="43">
        <f t="shared" si="39"/>
        <v>0</v>
      </c>
      <c r="CH4" s="106">
        <f t="shared" ref="CH4:CH9" si="40">CG4+CF4</f>
        <v>2</v>
      </c>
      <c r="CI4" s="107"/>
      <c r="CJ4" s="107"/>
      <c r="CK4" s="107">
        <v>1</v>
      </c>
      <c r="CL4" s="202"/>
      <c r="CM4" s="43">
        <f t="shared" ref="CM4:CM35" si="41">CI4*3+CK4</f>
        <v>1</v>
      </c>
      <c r="CN4" s="43">
        <f t="shared" ref="CN4:CN35" si="42">CJ4*3+CL4</f>
        <v>0</v>
      </c>
      <c r="CO4" s="106">
        <f t="shared" ref="CO4:CO35" si="43">CN4+CM4</f>
        <v>1</v>
      </c>
      <c r="CP4" s="275"/>
      <c r="CQ4" s="107">
        <v>1</v>
      </c>
      <c r="CR4" s="107">
        <v>2</v>
      </c>
      <c r="CS4" s="107"/>
      <c r="CT4" s="43">
        <f t="shared" si="1"/>
        <v>2</v>
      </c>
      <c r="CU4" s="43">
        <f t="shared" si="2"/>
        <v>3</v>
      </c>
      <c r="CV4" s="106">
        <f t="shared" si="3"/>
        <v>5</v>
      </c>
      <c r="CW4" s="75">
        <v>1</v>
      </c>
      <c r="CX4" s="107"/>
      <c r="CY4" s="107"/>
      <c r="CZ4" s="107">
        <v>1</v>
      </c>
      <c r="DA4" s="43">
        <f t="shared" si="4"/>
        <v>3</v>
      </c>
      <c r="DB4" s="43">
        <f t="shared" si="5"/>
        <v>1</v>
      </c>
      <c r="DC4" s="106">
        <f t="shared" si="6"/>
        <v>4</v>
      </c>
      <c r="DD4" s="75"/>
      <c r="DE4" s="107"/>
      <c r="DF4" s="107"/>
      <c r="DG4" s="107"/>
      <c r="DH4" s="43">
        <f t="shared" si="7"/>
        <v>0</v>
      </c>
      <c r="DI4" s="43">
        <f t="shared" si="8"/>
        <v>0</v>
      </c>
      <c r="DJ4" s="106">
        <f t="shared" si="9"/>
        <v>0</v>
      </c>
      <c r="DK4" s="179">
        <f t="shared" si="10"/>
        <v>25</v>
      </c>
      <c r="DL4" s="180">
        <f t="shared" ca="1" si="11"/>
        <v>8.5324232081911269E-2</v>
      </c>
      <c r="DM4" s="181">
        <f t="shared" si="12"/>
        <v>4</v>
      </c>
      <c r="DN4" s="180">
        <f t="shared" ca="1" si="13"/>
        <v>1.3651877133105802E-2</v>
      </c>
      <c r="DO4" s="181">
        <f t="shared" si="14"/>
        <v>29</v>
      </c>
      <c r="DP4" s="180">
        <f t="shared" ca="1" si="15"/>
        <v>9.8976109215017066E-2</v>
      </c>
      <c r="DQ4" s="181">
        <f t="shared" si="16"/>
        <v>4</v>
      </c>
      <c r="DR4" s="181">
        <f t="shared" si="17"/>
        <v>1</v>
      </c>
      <c r="DS4" s="181">
        <f t="shared" si="18"/>
        <v>5</v>
      </c>
    </row>
    <row r="5" spans="1:123" ht="15.75" thickBot="1" x14ac:dyDescent="0.3">
      <c r="A5" s="75">
        <v>9</v>
      </c>
      <c r="B5" s="76" t="s">
        <v>53</v>
      </c>
      <c r="C5" s="236" t="str">
        <f t="shared" si="0"/>
        <v>כלנית 9</v>
      </c>
      <c r="D5" s="55" t="s">
        <v>6</v>
      </c>
      <c r="E5" s="55" t="s">
        <v>7</v>
      </c>
      <c r="F5" s="74" t="s">
        <v>190</v>
      </c>
      <c r="G5" s="72">
        <v>42979</v>
      </c>
      <c r="H5" s="48"/>
      <c r="I5" s="84" t="s">
        <v>296</v>
      </c>
      <c r="J5" s="133"/>
      <c r="K5" s="134"/>
      <c r="L5" s="134"/>
      <c r="M5" s="134"/>
      <c r="N5" s="135">
        <f t="shared" si="19"/>
        <v>0</v>
      </c>
      <c r="O5" s="135">
        <f t="shared" si="19"/>
        <v>0</v>
      </c>
      <c r="P5" s="44">
        <f t="shared" si="20"/>
        <v>0</v>
      </c>
      <c r="Q5" s="39"/>
      <c r="R5" s="41"/>
      <c r="S5" s="41"/>
      <c r="T5" s="41"/>
      <c r="U5" s="43">
        <f t="shared" si="21"/>
        <v>0</v>
      </c>
      <c r="V5" s="43">
        <f t="shared" si="21"/>
        <v>0</v>
      </c>
      <c r="W5" s="45">
        <f t="shared" si="22"/>
        <v>0</v>
      </c>
      <c r="X5" s="39"/>
      <c r="Y5" s="41"/>
      <c r="Z5" s="41"/>
      <c r="AA5" s="41"/>
      <c r="AB5" s="46">
        <f t="shared" si="23"/>
        <v>0</v>
      </c>
      <c r="AC5" s="46">
        <f t="shared" si="23"/>
        <v>0</v>
      </c>
      <c r="AD5" s="47">
        <f t="shared" si="24"/>
        <v>0</v>
      </c>
      <c r="AE5" s="39">
        <v>1</v>
      </c>
      <c r="AF5" s="41"/>
      <c r="AG5" s="41">
        <v>2</v>
      </c>
      <c r="AH5" s="41"/>
      <c r="AI5" s="43">
        <f t="shared" si="25"/>
        <v>5</v>
      </c>
      <c r="AJ5" s="43">
        <f t="shared" si="25"/>
        <v>0</v>
      </c>
      <c r="AK5" s="45">
        <f t="shared" si="26"/>
        <v>5</v>
      </c>
      <c r="AL5" s="39">
        <v>1</v>
      </c>
      <c r="AM5" s="41"/>
      <c r="AN5" s="41"/>
      <c r="AO5" s="41"/>
      <c r="AP5" s="43">
        <f t="shared" si="27"/>
        <v>3</v>
      </c>
      <c r="AQ5" s="43">
        <f t="shared" si="27"/>
        <v>0</v>
      </c>
      <c r="AR5" s="45">
        <f t="shared" si="28"/>
        <v>3</v>
      </c>
      <c r="AS5" s="39"/>
      <c r="AT5" s="41"/>
      <c r="AU5" s="41">
        <v>4</v>
      </c>
      <c r="AV5" s="41"/>
      <c r="AW5" s="43">
        <f t="shared" si="29"/>
        <v>4</v>
      </c>
      <c r="AX5" s="43">
        <f t="shared" si="29"/>
        <v>0</v>
      </c>
      <c r="AY5" s="45">
        <f t="shared" si="30"/>
        <v>4</v>
      </c>
      <c r="AZ5" s="39"/>
      <c r="BA5" s="41"/>
      <c r="BB5" s="41">
        <v>2</v>
      </c>
      <c r="BC5" s="41">
        <v>1</v>
      </c>
      <c r="BD5" s="43">
        <f t="shared" si="31"/>
        <v>2</v>
      </c>
      <c r="BE5" s="43">
        <f t="shared" si="31"/>
        <v>1</v>
      </c>
      <c r="BF5" s="45">
        <f t="shared" si="32"/>
        <v>3</v>
      </c>
      <c r="BG5" s="75">
        <v>1</v>
      </c>
      <c r="BH5" s="107"/>
      <c r="BI5" s="107">
        <v>1</v>
      </c>
      <c r="BJ5" s="41"/>
      <c r="BK5" s="43">
        <f t="shared" si="33"/>
        <v>4</v>
      </c>
      <c r="BL5" s="43">
        <f t="shared" si="33"/>
        <v>0</v>
      </c>
      <c r="BM5" s="106">
        <f t="shared" si="34"/>
        <v>4</v>
      </c>
      <c r="BN5" s="75"/>
      <c r="BO5" s="107"/>
      <c r="BP5" s="107">
        <v>3</v>
      </c>
      <c r="BQ5" s="107">
        <v>1</v>
      </c>
      <c r="BR5" s="43">
        <f t="shared" si="35"/>
        <v>3</v>
      </c>
      <c r="BS5" s="43">
        <f t="shared" si="35"/>
        <v>1</v>
      </c>
      <c r="BT5" s="106">
        <f t="shared" si="36"/>
        <v>4</v>
      </c>
      <c r="BU5" s="75"/>
      <c r="BV5" s="107">
        <v>1</v>
      </c>
      <c r="BW5" s="107"/>
      <c r="BX5" s="107">
        <v>1</v>
      </c>
      <c r="BY5" s="43">
        <f t="shared" si="37"/>
        <v>0</v>
      </c>
      <c r="BZ5" s="43">
        <f t="shared" si="37"/>
        <v>4</v>
      </c>
      <c r="CA5" s="106">
        <f t="shared" si="38"/>
        <v>4</v>
      </c>
      <c r="CB5" s="75"/>
      <c r="CC5" s="107"/>
      <c r="CD5" s="107"/>
      <c r="CE5" s="192"/>
      <c r="CF5" s="43">
        <f t="shared" si="39"/>
        <v>0</v>
      </c>
      <c r="CG5" s="43">
        <f t="shared" si="39"/>
        <v>0</v>
      </c>
      <c r="CH5" s="106">
        <f t="shared" si="40"/>
        <v>0</v>
      </c>
      <c r="CI5" s="107">
        <v>1</v>
      </c>
      <c r="CJ5" s="107"/>
      <c r="CK5" s="107">
        <v>1</v>
      </c>
      <c r="CL5" s="202"/>
      <c r="CM5" s="43">
        <f t="shared" si="41"/>
        <v>4</v>
      </c>
      <c r="CN5" s="43">
        <f t="shared" si="42"/>
        <v>0</v>
      </c>
      <c r="CO5" s="106">
        <f t="shared" si="43"/>
        <v>4</v>
      </c>
      <c r="CP5" s="275"/>
      <c r="CQ5" s="107"/>
      <c r="CR5" s="107">
        <v>2</v>
      </c>
      <c r="CS5" s="107"/>
      <c r="CT5" s="43">
        <f t="shared" si="1"/>
        <v>2</v>
      </c>
      <c r="CU5" s="43">
        <f t="shared" si="2"/>
        <v>0</v>
      </c>
      <c r="CV5" s="106">
        <f t="shared" si="3"/>
        <v>2</v>
      </c>
      <c r="CW5" s="75"/>
      <c r="CX5" s="107"/>
      <c r="CY5" s="107">
        <v>1</v>
      </c>
      <c r="CZ5" s="107"/>
      <c r="DA5" s="43">
        <f t="shared" si="4"/>
        <v>1</v>
      </c>
      <c r="DB5" s="43">
        <f t="shared" si="5"/>
        <v>0</v>
      </c>
      <c r="DC5" s="106">
        <f t="shared" si="6"/>
        <v>1</v>
      </c>
      <c r="DD5" s="75">
        <v>1</v>
      </c>
      <c r="DE5" s="107"/>
      <c r="DF5" s="107"/>
      <c r="DG5" s="107"/>
      <c r="DH5" s="43">
        <f t="shared" si="7"/>
        <v>3</v>
      </c>
      <c r="DI5" s="43">
        <f t="shared" si="8"/>
        <v>0</v>
      </c>
      <c r="DJ5" s="106">
        <f t="shared" si="9"/>
        <v>3</v>
      </c>
      <c r="DK5" s="179">
        <f t="shared" si="10"/>
        <v>31</v>
      </c>
      <c r="DL5" s="180">
        <f t="shared" ca="1" si="11"/>
        <v>8.7570621468926552E-2</v>
      </c>
      <c r="DM5" s="181">
        <f t="shared" si="12"/>
        <v>6</v>
      </c>
      <c r="DN5" s="180">
        <f t="shared" ca="1" si="13"/>
        <v>1.6949152542372881E-2</v>
      </c>
      <c r="DO5" s="181">
        <f t="shared" si="14"/>
        <v>37</v>
      </c>
      <c r="DP5" s="180">
        <f t="shared" ca="1" si="15"/>
        <v>0.10451977401129943</v>
      </c>
      <c r="DQ5" s="181">
        <f t="shared" si="16"/>
        <v>5</v>
      </c>
      <c r="DR5" s="181">
        <f t="shared" si="17"/>
        <v>1</v>
      </c>
      <c r="DS5" s="181">
        <f t="shared" si="18"/>
        <v>6</v>
      </c>
    </row>
    <row r="6" spans="1:123" ht="15.75" thickBot="1" x14ac:dyDescent="0.3">
      <c r="A6" s="255">
        <v>9</v>
      </c>
      <c r="B6" s="285" t="s">
        <v>5</v>
      </c>
      <c r="C6" s="182" t="str">
        <f t="shared" si="0"/>
        <v>מאי 9</v>
      </c>
      <c r="D6" s="55" t="s">
        <v>6</v>
      </c>
      <c r="E6" s="55" t="s">
        <v>7</v>
      </c>
      <c r="F6" s="74" t="s">
        <v>207</v>
      </c>
      <c r="G6" s="72">
        <v>43160</v>
      </c>
      <c r="H6" s="115"/>
      <c r="I6" s="84" t="s">
        <v>293</v>
      </c>
      <c r="J6" s="133"/>
      <c r="K6" s="134"/>
      <c r="L6" s="134"/>
      <c r="M6" s="134"/>
      <c r="N6" s="135">
        <f t="shared" si="19"/>
        <v>0</v>
      </c>
      <c r="O6" s="135">
        <f t="shared" si="19"/>
        <v>0</v>
      </c>
      <c r="P6" s="44">
        <f t="shared" si="20"/>
        <v>0</v>
      </c>
      <c r="Q6" s="39"/>
      <c r="R6" s="41"/>
      <c r="S6" s="41"/>
      <c r="T6" s="41"/>
      <c r="U6" s="43">
        <f t="shared" si="21"/>
        <v>0</v>
      </c>
      <c r="V6" s="43">
        <f t="shared" si="21"/>
        <v>0</v>
      </c>
      <c r="W6" s="45">
        <f t="shared" si="22"/>
        <v>0</v>
      </c>
      <c r="X6" s="39"/>
      <c r="Y6" s="41"/>
      <c r="Z6" s="41"/>
      <c r="AA6" s="41"/>
      <c r="AB6" s="46">
        <f t="shared" si="23"/>
        <v>0</v>
      </c>
      <c r="AC6" s="46">
        <f t="shared" si="23"/>
        <v>0</v>
      </c>
      <c r="AD6" s="47">
        <f t="shared" si="24"/>
        <v>0</v>
      </c>
      <c r="AE6" s="39"/>
      <c r="AF6" s="41"/>
      <c r="AG6" s="41"/>
      <c r="AH6" s="41"/>
      <c r="AI6" s="43">
        <f t="shared" si="25"/>
        <v>0</v>
      </c>
      <c r="AJ6" s="43">
        <f t="shared" si="25"/>
        <v>0</v>
      </c>
      <c r="AK6" s="45">
        <f t="shared" si="26"/>
        <v>0</v>
      </c>
      <c r="AL6" s="39"/>
      <c r="AM6" s="41"/>
      <c r="AN6" s="41"/>
      <c r="AO6" s="41"/>
      <c r="AP6" s="43">
        <f t="shared" si="27"/>
        <v>0</v>
      </c>
      <c r="AQ6" s="43">
        <f t="shared" si="27"/>
        <v>0</v>
      </c>
      <c r="AR6" s="45">
        <f t="shared" si="28"/>
        <v>0</v>
      </c>
      <c r="AS6" s="39"/>
      <c r="AT6" s="41"/>
      <c r="AU6" s="41"/>
      <c r="AV6" s="41"/>
      <c r="AW6" s="43">
        <f t="shared" si="29"/>
        <v>0</v>
      </c>
      <c r="AX6" s="43">
        <f t="shared" si="29"/>
        <v>0</v>
      </c>
      <c r="AY6" s="45">
        <f t="shared" si="30"/>
        <v>0</v>
      </c>
      <c r="AZ6" s="39"/>
      <c r="BA6" s="41"/>
      <c r="BB6" s="41"/>
      <c r="BC6" s="41"/>
      <c r="BD6" s="43">
        <f t="shared" si="31"/>
        <v>0</v>
      </c>
      <c r="BE6" s="43">
        <f t="shared" si="31"/>
        <v>0</v>
      </c>
      <c r="BF6" s="45">
        <f t="shared" si="32"/>
        <v>0</v>
      </c>
      <c r="BG6" s="75"/>
      <c r="BH6" s="107"/>
      <c r="BI6" s="41"/>
      <c r="BJ6" s="41"/>
      <c r="BK6" s="43">
        <f t="shared" si="33"/>
        <v>0</v>
      </c>
      <c r="BL6" s="43">
        <f t="shared" si="33"/>
        <v>0</v>
      </c>
      <c r="BM6" s="106">
        <f t="shared" si="34"/>
        <v>0</v>
      </c>
      <c r="BN6" s="75"/>
      <c r="BO6" s="107"/>
      <c r="BP6" s="107"/>
      <c r="BQ6" s="107"/>
      <c r="BR6" s="43">
        <f t="shared" si="35"/>
        <v>0</v>
      </c>
      <c r="BS6" s="43">
        <f t="shared" si="35"/>
        <v>0</v>
      </c>
      <c r="BT6" s="106">
        <f t="shared" si="36"/>
        <v>0</v>
      </c>
      <c r="BU6" s="75"/>
      <c r="BV6" s="107"/>
      <c r="BW6" s="107">
        <v>1</v>
      </c>
      <c r="BX6" s="107"/>
      <c r="BY6" s="43">
        <f t="shared" si="37"/>
        <v>1</v>
      </c>
      <c r="BZ6" s="43">
        <f t="shared" si="37"/>
        <v>0</v>
      </c>
      <c r="CA6" s="106">
        <f t="shared" si="38"/>
        <v>1</v>
      </c>
      <c r="CB6" s="190"/>
      <c r="CC6" s="107"/>
      <c r="CD6" s="107"/>
      <c r="CE6" s="192"/>
      <c r="CF6" s="43">
        <f t="shared" si="39"/>
        <v>0</v>
      </c>
      <c r="CG6" s="43">
        <f t="shared" si="39"/>
        <v>0</v>
      </c>
      <c r="CH6" s="106">
        <f t="shared" si="40"/>
        <v>0</v>
      </c>
      <c r="CI6" s="107"/>
      <c r="CJ6" s="107"/>
      <c r="CK6" s="107"/>
      <c r="CL6" s="202"/>
      <c r="CM6" s="43">
        <f t="shared" si="41"/>
        <v>0</v>
      </c>
      <c r="CN6" s="43">
        <f t="shared" si="42"/>
        <v>0</v>
      </c>
      <c r="CO6" s="106">
        <f t="shared" si="43"/>
        <v>0</v>
      </c>
      <c r="CP6" s="275"/>
      <c r="CQ6" s="107"/>
      <c r="CR6" s="107"/>
      <c r="CS6" s="107"/>
      <c r="CT6" s="43">
        <f t="shared" si="1"/>
        <v>0</v>
      </c>
      <c r="CU6" s="43">
        <f t="shared" si="2"/>
        <v>0</v>
      </c>
      <c r="CV6" s="106">
        <f t="shared" si="3"/>
        <v>0</v>
      </c>
      <c r="CW6" s="75"/>
      <c r="CX6" s="107"/>
      <c r="CY6" s="107"/>
      <c r="CZ6" s="107"/>
      <c r="DA6" s="43">
        <f t="shared" si="4"/>
        <v>0</v>
      </c>
      <c r="DB6" s="43">
        <f t="shared" si="5"/>
        <v>0</v>
      </c>
      <c r="DC6" s="106">
        <f t="shared" si="6"/>
        <v>0</v>
      </c>
      <c r="DD6" s="75"/>
      <c r="DE6" s="107"/>
      <c r="DF6" s="107"/>
      <c r="DG6" s="107"/>
      <c r="DH6" s="43">
        <f t="shared" si="7"/>
        <v>0</v>
      </c>
      <c r="DI6" s="43">
        <f t="shared" si="8"/>
        <v>0</v>
      </c>
      <c r="DJ6" s="106">
        <f t="shared" si="9"/>
        <v>0</v>
      </c>
      <c r="DK6" s="179">
        <f t="shared" si="10"/>
        <v>1</v>
      </c>
      <c r="DL6" s="180">
        <f t="shared" ca="1" si="11"/>
        <v>5.7803468208092483E-3</v>
      </c>
      <c r="DM6" s="181">
        <f t="shared" si="12"/>
        <v>0</v>
      </c>
      <c r="DN6" s="180">
        <f t="shared" ca="1" si="13"/>
        <v>0</v>
      </c>
      <c r="DO6" s="181">
        <f t="shared" si="14"/>
        <v>1</v>
      </c>
      <c r="DP6" s="180">
        <f t="shared" ca="1" si="15"/>
        <v>5.7803468208092483E-3</v>
      </c>
      <c r="DQ6" s="181">
        <f t="shared" si="16"/>
        <v>0</v>
      </c>
      <c r="DR6" s="181">
        <f t="shared" si="17"/>
        <v>0</v>
      </c>
      <c r="DS6" s="181">
        <f t="shared" si="18"/>
        <v>0</v>
      </c>
    </row>
    <row r="7" spans="1:123" ht="15.75" thickBot="1" x14ac:dyDescent="0.3">
      <c r="A7" s="75">
        <v>9</v>
      </c>
      <c r="B7" s="76" t="s">
        <v>12</v>
      </c>
      <c r="C7" s="236" t="str">
        <f t="shared" si="0"/>
        <v>שקד 9</v>
      </c>
      <c r="D7" s="41" t="s">
        <v>6</v>
      </c>
      <c r="E7" s="55" t="s">
        <v>7</v>
      </c>
      <c r="F7" s="74" t="s">
        <v>191</v>
      </c>
      <c r="G7" s="72">
        <v>43009</v>
      </c>
      <c r="H7" s="74"/>
      <c r="I7" s="84" t="s">
        <v>296</v>
      </c>
      <c r="J7" s="133"/>
      <c r="K7" s="134"/>
      <c r="L7" s="134"/>
      <c r="M7" s="134"/>
      <c r="N7" s="135">
        <f t="shared" si="19"/>
        <v>0</v>
      </c>
      <c r="O7" s="135">
        <f t="shared" si="19"/>
        <v>0</v>
      </c>
      <c r="P7" s="44">
        <f t="shared" si="20"/>
        <v>0</v>
      </c>
      <c r="Q7" s="39"/>
      <c r="R7" s="41"/>
      <c r="S7" s="41"/>
      <c r="T7" s="41"/>
      <c r="U7" s="43">
        <f t="shared" si="21"/>
        <v>0</v>
      </c>
      <c r="V7" s="43">
        <f t="shared" si="21"/>
        <v>0</v>
      </c>
      <c r="W7" s="45">
        <f t="shared" si="22"/>
        <v>0</v>
      </c>
      <c r="X7" s="39"/>
      <c r="Y7" s="41"/>
      <c r="Z7" s="41"/>
      <c r="AA7" s="41"/>
      <c r="AB7" s="46">
        <f t="shared" si="23"/>
        <v>0</v>
      </c>
      <c r="AC7" s="46">
        <f t="shared" si="23"/>
        <v>0</v>
      </c>
      <c r="AD7" s="47">
        <f t="shared" si="24"/>
        <v>0</v>
      </c>
      <c r="AE7" s="39"/>
      <c r="AF7" s="41"/>
      <c r="AG7" s="41">
        <v>1</v>
      </c>
      <c r="AH7" s="41"/>
      <c r="AI7" s="43">
        <f t="shared" si="25"/>
        <v>1</v>
      </c>
      <c r="AJ7" s="43">
        <f t="shared" si="25"/>
        <v>0</v>
      </c>
      <c r="AK7" s="45">
        <f t="shared" si="26"/>
        <v>1</v>
      </c>
      <c r="AL7" s="39">
        <v>1</v>
      </c>
      <c r="AM7" s="41"/>
      <c r="AN7" s="41">
        <v>2</v>
      </c>
      <c r="AO7" s="41"/>
      <c r="AP7" s="43">
        <f t="shared" si="27"/>
        <v>5</v>
      </c>
      <c r="AQ7" s="43">
        <f t="shared" si="27"/>
        <v>0</v>
      </c>
      <c r="AR7" s="45">
        <f t="shared" si="28"/>
        <v>5</v>
      </c>
      <c r="AS7" s="39"/>
      <c r="AT7" s="41"/>
      <c r="AU7" s="41">
        <v>4</v>
      </c>
      <c r="AV7" s="41"/>
      <c r="AW7" s="43">
        <f t="shared" si="29"/>
        <v>4</v>
      </c>
      <c r="AX7" s="43">
        <f t="shared" si="29"/>
        <v>0</v>
      </c>
      <c r="AY7" s="45">
        <f t="shared" si="30"/>
        <v>4</v>
      </c>
      <c r="AZ7" s="39"/>
      <c r="BA7" s="41"/>
      <c r="BB7" s="41">
        <v>2</v>
      </c>
      <c r="BC7" s="41">
        <v>1</v>
      </c>
      <c r="BD7" s="43">
        <f t="shared" si="31"/>
        <v>2</v>
      </c>
      <c r="BE7" s="43">
        <f t="shared" si="31"/>
        <v>1</v>
      </c>
      <c r="BF7" s="45">
        <f t="shared" si="32"/>
        <v>3</v>
      </c>
      <c r="BG7" s="75">
        <v>1</v>
      </c>
      <c r="BH7" s="107"/>
      <c r="BI7" s="107">
        <v>1</v>
      </c>
      <c r="BJ7" s="41"/>
      <c r="BK7" s="43">
        <f t="shared" si="33"/>
        <v>4</v>
      </c>
      <c r="BL7" s="43">
        <f t="shared" si="33"/>
        <v>0</v>
      </c>
      <c r="BM7" s="106">
        <f t="shared" si="34"/>
        <v>4</v>
      </c>
      <c r="BN7" s="75">
        <v>1</v>
      </c>
      <c r="BO7" s="107"/>
      <c r="BP7" s="107">
        <v>1</v>
      </c>
      <c r="BQ7" s="107"/>
      <c r="BR7" s="43">
        <f t="shared" si="35"/>
        <v>4</v>
      </c>
      <c r="BS7" s="43">
        <f t="shared" si="35"/>
        <v>0</v>
      </c>
      <c r="BT7" s="106">
        <f t="shared" si="36"/>
        <v>4</v>
      </c>
      <c r="BU7" s="75"/>
      <c r="BV7" s="107"/>
      <c r="BW7" s="107">
        <v>1</v>
      </c>
      <c r="BX7" s="107"/>
      <c r="BY7" s="43">
        <f t="shared" si="37"/>
        <v>1</v>
      </c>
      <c r="BZ7" s="43">
        <f t="shared" si="37"/>
        <v>0</v>
      </c>
      <c r="CA7" s="106">
        <f t="shared" si="38"/>
        <v>1</v>
      </c>
      <c r="CB7" s="75"/>
      <c r="CC7" s="107"/>
      <c r="CD7" s="107">
        <v>1</v>
      </c>
      <c r="CE7" s="192"/>
      <c r="CF7" s="43">
        <f t="shared" si="39"/>
        <v>1</v>
      </c>
      <c r="CG7" s="43">
        <f t="shared" si="39"/>
        <v>0</v>
      </c>
      <c r="CH7" s="106">
        <f t="shared" si="40"/>
        <v>1</v>
      </c>
      <c r="CI7" s="107"/>
      <c r="CJ7" s="107">
        <v>1</v>
      </c>
      <c r="CK7" s="107">
        <v>1</v>
      </c>
      <c r="CL7" s="202"/>
      <c r="CM7" s="43">
        <f t="shared" si="41"/>
        <v>1</v>
      </c>
      <c r="CN7" s="43">
        <f t="shared" si="42"/>
        <v>3</v>
      </c>
      <c r="CO7" s="106">
        <f t="shared" si="43"/>
        <v>4</v>
      </c>
      <c r="CP7" s="275"/>
      <c r="CQ7" s="107"/>
      <c r="CR7" s="107">
        <v>2</v>
      </c>
      <c r="CS7" s="107"/>
      <c r="CT7" s="43">
        <f t="shared" si="1"/>
        <v>2</v>
      </c>
      <c r="CU7" s="43">
        <f t="shared" si="2"/>
        <v>0</v>
      </c>
      <c r="CV7" s="106">
        <f t="shared" si="3"/>
        <v>2</v>
      </c>
      <c r="CW7" s="75">
        <v>1</v>
      </c>
      <c r="CX7" s="107"/>
      <c r="CY7" s="107"/>
      <c r="CZ7" s="107"/>
      <c r="DA7" s="43">
        <f t="shared" si="4"/>
        <v>3</v>
      </c>
      <c r="DB7" s="43">
        <f t="shared" si="5"/>
        <v>0</v>
      </c>
      <c r="DC7" s="106">
        <f t="shared" si="6"/>
        <v>3</v>
      </c>
      <c r="DD7" s="75"/>
      <c r="DE7" s="107"/>
      <c r="DF7" s="107"/>
      <c r="DG7" s="107"/>
      <c r="DH7" s="43">
        <f t="shared" si="7"/>
        <v>0</v>
      </c>
      <c r="DI7" s="43">
        <f t="shared" si="8"/>
        <v>0</v>
      </c>
      <c r="DJ7" s="106">
        <f t="shared" si="9"/>
        <v>0</v>
      </c>
      <c r="DK7" s="179">
        <f t="shared" si="10"/>
        <v>28</v>
      </c>
      <c r="DL7" s="180">
        <f t="shared" ca="1" si="11"/>
        <v>8.6419753086419748E-2</v>
      </c>
      <c r="DM7" s="181">
        <f t="shared" si="12"/>
        <v>4</v>
      </c>
      <c r="DN7" s="180">
        <f t="shared" ca="1" si="13"/>
        <v>1.2345679012345678E-2</v>
      </c>
      <c r="DO7" s="181">
        <f t="shared" si="14"/>
        <v>32</v>
      </c>
      <c r="DP7" s="180">
        <f t="shared" ca="1" si="15"/>
        <v>9.8765432098765427E-2</v>
      </c>
      <c r="DQ7" s="181">
        <f t="shared" si="16"/>
        <v>4</v>
      </c>
      <c r="DR7" s="181">
        <f t="shared" si="17"/>
        <v>1</v>
      </c>
      <c r="DS7" s="181">
        <f t="shared" si="18"/>
        <v>5</v>
      </c>
    </row>
    <row r="8" spans="1:123" ht="15.75" thickBot="1" x14ac:dyDescent="0.3">
      <c r="A8" s="39">
        <v>11</v>
      </c>
      <c r="B8" s="62" t="s">
        <v>161</v>
      </c>
      <c r="C8" s="67" t="str">
        <f t="shared" si="0"/>
        <v>אתי 11</v>
      </c>
      <c r="D8" s="55" t="s">
        <v>6</v>
      </c>
      <c r="E8" s="55" t="s">
        <v>7</v>
      </c>
      <c r="F8" s="74" t="s">
        <v>255</v>
      </c>
      <c r="G8" s="72">
        <v>43252</v>
      </c>
      <c r="H8" s="115"/>
      <c r="I8" s="42"/>
      <c r="J8" s="133"/>
      <c r="K8" s="134"/>
      <c r="L8" s="134"/>
      <c r="M8" s="134"/>
      <c r="N8" s="135">
        <f t="shared" si="19"/>
        <v>0</v>
      </c>
      <c r="O8" s="135">
        <f t="shared" si="19"/>
        <v>0</v>
      </c>
      <c r="P8" s="44">
        <f t="shared" si="20"/>
        <v>0</v>
      </c>
      <c r="Q8" s="39"/>
      <c r="R8" s="41"/>
      <c r="S8" s="41"/>
      <c r="T8" s="41"/>
      <c r="U8" s="43">
        <f t="shared" si="21"/>
        <v>0</v>
      </c>
      <c r="V8" s="43">
        <f t="shared" si="21"/>
        <v>0</v>
      </c>
      <c r="W8" s="45">
        <f t="shared" si="22"/>
        <v>0</v>
      </c>
      <c r="X8" s="39"/>
      <c r="Y8" s="41"/>
      <c r="Z8" s="41"/>
      <c r="AA8" s="41"/>
      <c r="AB8" s="46">
        <f t="shared" si="23"/>
        <v>0</v>
      </c>
      <c r="AC8" s="46">
        <f t="shared" si="23"/>
        <v>0</v>
      </c>
      <c r="AD8" s="47">
        <f t="shared" si="24"/>
        <v>0</v>
      </c>
      <c r="AE8" s="39"/>
      <c r="AF8" s="41"/>
      <c r="AG8" s="41"/>
      <c r="AH8" s="41"/>
      <c r="AI8" s="43">
        <f t="shared" si="25"/>
        <v>0</v>
      </c>
      <c r="AJ8" s="43">
        <f t="shared" si="25"/>
        <v>0</v>
      </c>
      <c r="AK8" s="45">
        <f t="shared" si="26"/>
        <v>0</v>
      </c>
      <c r="AL8" s="39"/>
      <c r="AM8" s="41"/>
      <c r="AN8" s="41"/>
      <c r="AO8" s="41"/>
      <c r="AP8" s="43">
        <f t="shared" si="27"/>
        <v>0</v>
      </c>
      <c r="AQ8" s="43">
        <f t="shared" si="27"/>
        <v>0</v>
      </c>
      <c r="AR8" s="45">
        <f t="shared" si="28"/>
        <v>0</v>
      </c>
      <c r="AS8" s="39"/>
      <c r="AT8" s="41"/>
      <c r="AU8" s="41"/>
      <c r="AV8" s="41"/>
      <c r="AW8" s="43">
        <f t="shared" si="29"/>
        <v>0</v>
      </c>
      <c r="AX8" s="43">
        <f t="shared" si="29"/>
        <v>0</v>
      </c>
      <c r="AY8" s="45">
        <f t="shared" si="30"/>
        <v>0</v>
      </c>
      <c r="AZ8" s="39"/>
      <c r="BA8" s="41"/>
      <c r="BB8" s="41"/>
      <c r="BC8" s="41"/>
      <c r="BD8" s="43">
        <f t="shared" si="31"/>
        <v>0</v>
      </c>
      <c r="BE8" s="43">
        <f t="shared" si="31"/>
        <v>0</v>
      </c>
      <c r="BF8" s="45">
        <f t="shared" si="32"/>
        <v>0</v>
      </c>
      <c r="BG8" s="75"/>
      <c r="BH8" s="107"/>
      <c r="BI8" s="41"/>
      <c r="BJ8" s="41"/>
      <c r="BK8" s="43">
        <f t="shared" si="33"/>
        <v>0</v>
      </c>
      <c r="BL8" s="43">
        <f t="shared" si="33"/>
        <v>0</v>
      </c>
      <c r="BM8" s="106">
        <f t="shared" si="34"/>
        <v>0</v>
      </c>
      <c r="BN8" s="75"/>
      <c r="BO8" s="107"/>
      <c r="BP8" s="107"/>
      <c r="BQ8" s="107"/>
      <c r="BR8" s="43">
        <f t="shared" si="35"/>
        <v>0</v>
      </c>
      <c r="BS8" s="43">
        <f t="shared" si="35"/>
        <v>0</v>
      </c>
      <c r="BT8" s="106">
        <f t="shared" si="36"/>
        <v>0</v>
      </c>
      <c r="BU8" s="75"/>
      <c r="BV8" s="107"/>
      <c r="BW8" s="107"/>
      <c r="BX8" s="107"/>
      <c r="BY8" s="43">
        <f t="shared" si="37"/>
        <v>0</v>
      </c>
      <c r="BZ8" s="43">
        <f t="shared" si="37"/>
        <v>0</v>
      </c>
      <c r="CA8" s="106">
        <f t="shared" si="38"/>
        <v>0</v>
      </c>
      <c r="CB8" s="75"/>
      <c r="CC8" s="107"/>
      <c r="CD8" s="107"/>
      <c r="CE8" s="192"/>
      <c r="CF8" s="43">
        <f t="shared" si="39"/>
        <v>0</v>
      </c>
      <c r="CG8" s="43">
        <f t="shared" si="39"/>
        <v>0</v>
      </c>
      <c r="CH8" s="106">
        <f t="shared" si="40"/>
        <v>0</v>
      </c>
      <c r="CI8" s="107"/>
      <c r="CJ8" s="107"/>
      <c r="CK8" s="107"/>
      <c r="CL8" s="202"/>
      <c r="CM8" s="43">
        <f t="shared" si="41"/>
        <v>0</v>
      </c>
      <c r="CN8" s="43">
        <f t="shared" si="42"/>
        <v>0</v>
      </c>
      <c r="CO8" s="106">
        <f t="shared" si="43"/>
        <v>0</v>
      </c>
      <c r="CP8" s="275"/>
      <c r="CQ8" s="107"/>
      <c r="CR8" s="107">
        <v>3</v>
      </c>
      <c r="CS8" s="107"/>
      <c r="CT8" s="43">
        <f t="shared" si="1"/>
        <v>3</v>
      </c>
      <c r="CU8" s="43">
        <f t="shared" si="2"/>
        <v>0</v>
      </c>
      <c r="CV8" s="106">
        <f t="shared" si="3"/>
        <v>3</v>
      </c>
      <c r="CW8" s="75">
        <v>1</v>
      </c>
      <c r="CX8" s="107"/>
      <c r="CY8" s="107">
        <v>1</v>
      </c>
      <c r="CZ8" s="107"/>
      <c r="DA8" s="43">
        <f t="shared" si="4"/>
        <v>4</v>
      </c>
      <c r="DB8" s="43">
        <f t="shared" si="5"/>
        <v>0</v>
      </c>
      <c r="DC8" s="106">
        <f t="shared" si="6"/>
        <v>4</v>
      </c>
      <c r="DD8" s="75">
        <v>1</v>
      </c>
      <c r="DE8" s="107"/>
      <c r="DF8" s="107"/>
      <c r="DG8" s="107"/>
      <c r="DH8" s="43">
        <f t="shared" si="7"/>
        <v>3</v>
      </c>
      <c r="DI8" s="43">
        <f t="shared" si="8"/>
        <v>0</v>
      </c>
      <c r="DJ8" s="106">
        <f t="shared" si="9"/>
        <v>3</v>
      </c>
      <c r="DK8" s="179">
        <f t="shared" si="10"/>
        <v>10</v>
      </c>
      <c r="DL8" s="180">
        <f t="shared" ca="1" si="11"/>
        <v>0.12345679012345678</v>
      </c>
      <c r="DM8" s="181">
        <f t="shared" si="12"/>
        <v>0</v>
      </c>
      <c r="DN8" s="180">
        <f t="shared" ca="1" si="13"/>
        <v>0</v>
      </c>
      <c r="DO8" s="181">
        <f t="shared" si="14"/>
        <v>10</v>
      </c>
      <c r="DP8" s="180">
        <f t="shared" ca="1" si="15"/>
        <v>0.12345679012345678</v>
      </c>
      <c r="DQ8" s="181">
        <f t="shared" si="16"/>
        <v>2</v>
      </c>
      <c r="DR8" s="181">
        <f t="shared" si="17"/>
        <v>0</v>
      </c>
      <c r="DS8" s="181">
        <f t="shared" si="18"/>
        <v>2</v>
      </c>
    </row>
    <row r="9" spans="1:123" ht="15.75" thickBot="1" x14ac:dyDescent="0.3">
      <c r="A9" s="39">
        <v>11</v>
      </c>
      <c r="B9" s="62" t="s">
        <v>218</v>
      </c>
      <c r="C9" s="67" t="str">
        <f t="shared" si="0"/>
        <v>גל 11</v>
      </c>
      <c r="D9" s="55" t="s">
        <v>6</v>
      </c>
      <c r="E9" s="55" t="s">
        <v>7</v>
      </c>
      <c r="F9" s="74" t="s">
        <v>221</v>
      </c>
      <c r="G9" s="72">
        <v>43191</v>
      </c>
      <c r="H9" s="115"/>
      <c r="I9" s="42"/>
      <c r="J9" s="133"/>
      <c r="K9" s="134"/>
      <c r="L9" s="134"/>
      <c r="M9" s="134"/>
      <c r="N9" s="135">
        <f t="shared" si="19"/>
        <v>0</v>
      </c>
      <c r="O9" s="135">
        <f t="shared" si="19"/>
        <v>0</v>
      </c>
      <c r="P9" s="44">
        <f t="shared" si="20"/>
        <v>0</v>
      </c>
      <c r="Q9" s="39"/>
      <c r="R9" s="41"/>
      <c r="S9" s="41"/>
      <c r="T9" s="41"/>
      <c r="U9" s="43">
        <f t="shared" si="21"/>
        <v>0</v>
      </c>
      <c r="V9" s="43">
        <f t="shared" si="21"/>
        <v>0</v>
      </c>
      <c r="W9" s="45">
        <f t="shared" si="22"/>
        <v>0</v>
      </c>
      <c r="X9" s="39"/>
      <c r="Y9" s="41"/>
      <c r="Z9" s="41"/>
      <c r="AA9" s="41"/>
      <c r="AB9" s="46">
        <f t="shared" si="23"/>
        <v>0</v>
      </c>
      <c r="AC9" s="46">
        <f t="shared" si="23"/>
        <v>0</v>
      </c>
      <c r="AD9" s="47">
        <f t="shared" si="24"/>
        <v>0</v>
      </c>
      <c r="AE9" s="39"/>
      <c r="AF9" s="41"/>
      <c r="AG9" s="41"/>
      <c r="AH9" s="41"/>
      <c r="AI9" s="43">
        <f t="shared" si="25"/>
        <v>0</v>
      </c>
      <c r="AJ9" s="43">
        <f t="shared" si="25"/>
        <v>0</v>
      </c>
      <c r="AK9" s="45">
        <f t="shared" si="26"/>
        <v>0</v>
      </c>
      <c r="AL9" s="39"/>
      <c r="AM9" s="41"/>
      <c r="AN9" s="41"/>
      <c r="AO9" s="41"/>
      <c r="AP9" s="43">
        <f t="shared" si="27"/>
        <v>0</v>
      </c>
      <c r="AQ9" s="43">
        <f t="shared" si="27"/>
        <v>0</v>
      </c>
      <c r="AR9" s="45">
        <f t="shared" si="28"/>
        <v>0</v>
      </c>
      <c r="AS9" s="39"/>
      <c r="AT9" s="41"/>
      <c r="AU9" s="41"/>
      <c r="AV9" s="41"/>
      <c r="AW9" s="43">
        <f t="shared" si="29"/>
        <v>0</v>
      </c>
      <c r="AX9" s="43">
        <f t="shared" si="29"/>
        <v>0</v>
      </c>
      <c r="AY9" s="45">
        <f t="shared" si="30"/>
        <v>0</v>
      </c>
      <c r="AZ9" s="39"/>
      <c r="BA9" s="41"/>
      <c r="BB9" s="41"/>
      <c r="BC9" s="41"/>
      <c r="BD9" s="43">
        <f t="shared" si="31"/>
        <v>0</v>
      </c>
      <c r="BE9" s="43">
        <f t="shared" si="31"/>
        <v>0</v>
      </c>
      <c r="BF9" s="45">
        <f t="shared" si="32"/>
        <v>0</v>
      </c>
      <c r="BG9" s="75"/>
      <c r="BH9" s="107"/>
      <c r="BI9" s="41"/>
      <c r="BJ9" s="41"/>
      <c r="BK9" s="43">
        <f t="shared" si="33"/>
        <v>0</v>
      </c>
      <c r="BL9" s="43">
        <f t="shared" si="33"/>
        <v>0</v>
      </c>
      <c r="BM9" s="106">
        <f t="shared" si="34"/>
        <v>0</v>
      </c>
      <c r="BN9" s="75"/>
      <c r="BO9" s="107"/>
      <c r="BP9" s="107"/>
      <c r="BQ9" s="107"/>
      <c r="BR9" s="43">
        <f t="shared" si="35"/>
        <v>0</v>
      </c>
      <c r="BS9" s="43">
        <f t="shared" si="35"/>
        <v>0</v>
      </c>
      <c r="BT9" s="106">
        <f t="shared" si="36"/>
        <v>0</v>
      </c>
      <c r="BU9" s="75"/>
      <c r="BV9" s="107"/>
      <c r="BW9" s="107">
        <v>1</v>
      </c>
      <c r="BX9" s="107"/>
      <c r="BY9" s="43">
        <f t="shared" si="37"/>
        <v>1</v>
      </c>
      <c r="BZ9" s="43">
        <f t="shared" si="37"/>
        <v>0</v>
      </c>
      <c r="CA9" s="106">
        <f t="shared" si="38"/>
        <v>1</v>
      </c>
      <c r="CB9" s="75"/>
      <c r="CC9" s="107"/>
      <c r="CD9" s="107">
        <v>2</v>
      </c>
      <c r="CE9" s="192"/>
      <c r="CF9" s="43">
        <f t="shared" si="39"/>
        <v>2</v>
      </c>
      <c r="CG9" s="43">
        <f t="shared" si="39"/>
        <v>0</v>
      </c>
      <c r="CH9" s="106">
        <f t="shared" si="40"/>
        <v>2</v>
      </c>
      <c r="CI9" s="107">
        <v>1</v>
      </c>
      <c r="CJ9" s="107"/>
      <c r="CK9" s="107">
        <v>1</v>
      </c>
      <c r="CL9" s="202"/>
      <c r="CM9" s="43">
        <f t="shared" si="41"/>
        <v>4</v>
      </c>
      <c r="CN9" s="43">
        <f t="shared" si="42"/>
        <v>0</v>
      </c>
      <c r="CO9" s="106">
        <f t="shared" si="43"/>
        <v>4</v>
      </c>
      <c r="CP9" s="275"/>
      <c r="CQ9" s="107"/>
      <c r="CR9" s="107">
        <v>1</v>
      </c>
      <c r="CS9" s="107">
        <v>1</v>
      </c>
      <c r="CT9" s="43">
        <f t="shared" si="1"/>
        <v>1</v>
      </c>
      <c r="CU9" s="43">
        <f t="shared" si="2"/>
        <v>1</v>
      </c>
      <c r="CV9" s="106">
        <f t="shared" si="3"/>
        <v>2</v>
      </c>
      <c r="CW9" s="75">
        <v>1</v>
      </c>
      <c r="CX9" s="107"/>
      <c r="CY9" s="107">
        <v>2</v>
      </c>
      <c r="CZ9" s="107"/>
      <c r="DA9" s="43">
        <f t="shared" si="4"/>
        <v>5</v>
      </c>
      <c r="DB9" s="43">
        <f t="shared" si="5"/>
        <v>0</v>
      </c>
      <c r="DC9" s="106">
        <f t="shared" si="6"/>
        <v>5</v>
      </c>
      <c r="DD9" s="75"/>
      <c r="DE9" s="107"/>
      <c r="DF9" s="107"/>
      <c r="DG9" s="107"/>
      <c r="DH9" s="43">
        <f t="shared" si="7"/>
        <v>0</v>
      </c>
      <c r="DI9" s="43">
        <f t="shared" si="8"/>
        <v>0</v>
      </c>
      <c r="DJ9" s="106">
        <f t="shared" si="9"/>
        <v>0</v>
      </c>
      <c r="DK9" s="179">
        <f t="shared" si="10"/>
        <v>13</v>
      </c>
      <c r="DL9" s="180">
        <f t="shared" ca="1" si="11"/>
        <v>9.154929577464789E-2</v>
      </c>
      <c r="DM9" s="181">
        <f t="shared" si="12"/>
        <v>1</v>
      </c>
      <c r="DN9" s="180">
        <f t="shared" ca="1" si="13"/>
        <v>7.0422535211267607E-3</v>
      </c>
      <c r="DO9" s="181">
        <f t="shared" si="14"/>
        <v>14</v>
      </c>
      <c r="DP9" s="180">
        <f t="shared" ca="1" si="15"/>
        <v>9.8591549295774655E-2</v>
      </c>
      <c r="DQ9" s="181">
        <f t="shared" si="16"/>
        <v>2</v>
      </c>
      <c r="DR9" s="181">
        <f t="shared" si="17"/>
        <v>0</v>
      </c>
      <c r="DS9" s="181">
        <f t="shared" si="18"/>
        <v>2</v>
      </c>
    </row>
    <row r="10" spans="1:123" ht="15.75" thickBot="1" x14ac:dyDescent="0.3">
      <c r="A10" s="75">
        <v>11</v>
      </c>
      <c r="B10" s="296" t="s">
        <v>258</v>
      </c>
      <c r="C10" s="236" t="str">
        <f t="shared" si="0"/>
        <v>לירון 11</v>
      </c>
      <c r="D10" s="55" t="s">
        <v>6</v>
      </c>
      <c r="E10" s="55" t="s">
        <v>7</v>
      </c>
      <c r="F10" s="74" t="s">
        <v>259</v>
      </c>
      <c r="G10" s="72">
        <v>43282</v>
      </c>
      <c r="H10" s="115"/>
      <c r="I10" s="42"/>
      <c r="J10" s="133"/>
      <c r="K10" s="134"/>
      <c r="L10" s="134"/>
      <c r="M10" s="134"/>
      <c r="N10" s="135"/>
      <c r="O10" s="135"/>
      <c r="P10" s="44"/>
      <c r="Q10" s="39"/>
      <c r="R10" s="41"/>
      <c r="S10" s="41"/>
      <c r="T10" s="41"/>
      <c r="U10" s="43"/>
      <c r="V10" s="43"/>
      <c r="W10" s="45"/>
      <c r="X10" s="39"/>
      <c r="Y10" s="41"/>
      <c r="Z10" s="41"/>
      <c r="AA10" s="41"/>
      <c r="AB10" s="46"/>
      <c r="AC10" s="46"/>
      <c r="AD10" s="47"/>
      <c r="AE10" s="39"/>
      <c r="AF10" s="41"/>
      <c r="AG10" s="41"/>
      <c r="AH10" s="41"/>
      <c r="AI10" s="43"/>
      <c r="AJ10" s="43"/>
      <c r="AK10" s="45"/>
      <c r="AL10" s="39"/>
      <c r="AM10" s="41"/>
      <c r="AN10" s="41"/>
      <c r="AO10" s="41"/>
      <c r="AP10" s="43"/>
      <c r="AQ10" s="43"/>
      <c r="AR10" s="45"/>
      <c r="AS10" s="39"/>
      <c r="AT10" s="41"/>
      <c r="AU10" s="41"/>
      <c r="AV10" s="41"/>
      <c r="AW10" s="43"/>
      <c r="AX10" s="43"/>
      <c r="AY10" s="45"/>
      <c r="AZ10" s="39"/>
      <c r="BA10" s="41"/>
      <c r="BB10" s="41"/>
      <c r="BC10" s="41"/>
      <c r="BD10" s="43"/>
      <c r="BE10" s="43"/>
      <c r="BF10" s="45"/>
      <c r="BG10" s="75"/>
      <c r="BH10" s="107"/>
      <c r="BI10" s="41"/>
      <c r="BJ10" s="41"/>
      <c r="BK10" s="43"/>
      <c r="BL10" s="43"/>
      <c r="BM10" s="106"/>
      <c r="BN10" s="75"/>
      <c r="BO10" s="107"/>
      <c r="BP10" s="107"/>
      <c r="BQ10" s="107"/>
      <c r="BR10" s="43"/>
      <c r="BS10" s="43"/>
      <c r="BT10" s="106"/>
      <c r="BU10" s="75"/>
      <c r="BV10" s="107"/>
      <c r="BW10" s="107"/>
      <c r="BX10" s="107"/>
      <c r="BY10" s="43"/>
      <c r="BZ10" s="43"/>
      <c r="CA10" s="106"/>
      <c r="CB10" s="75"/>
      <c r="CC10" s="107"/>
      <c r="CD10" s="107"/>
      <c r="CE10" s="192"/>
      <c r="CF10" s="43"/>
      <c r="CG10" s="43"/>
      <c r="CH10" s="106"/>
      <c r="CI10" s="107"/>
      <c r="CJ10" s="107"/>
      <c r="CK10" s="107"/>
      <c r="CL10" s="202"/>
      <c r="CM10" s="43">
        <f t="shared" si="41"/>
        <v>0</v>
      </c>
      <c r="CN10" s="43">
        <f t="shared" si="42"/>
        <v>0</v>
      </c>
      <c r="CO10" s="106">
        <f t="shared" si="43"/>
        <v>0</v>
      </c>
      <c r="CP10" s="275"/>
      <c r="CQ10" s="107"/>
      <c r="CR10" s="107">
        <v>2</v>
      </c>
      <c r="CS10" s="107"/>
      <c r="CT10" s="43">
        <f t="shared" si="1"/>
        <v>2</v>
      </c>
      <c r="CU10" s="43">
        <f t="shared" si="2"/>
        <v>0</v>
      </c>
      <c r="CV10" s="106">
        <f t="shared" si="3"/>
        <v>2</v>
      </c>
      <c r="CW10" s="75">
        <v>1</v>
      </c>
      <c r="CX10" s="107"/>
      <c r="CY10" s="107">
        <v>1</v>
      </c>
      <c r="CZ10" s="107"/>
      <c r="DA10" s="43">
        <f t="shared" si="4"/>
        <v>4</v>
      </c>
      <c r="DB10" s="43">
        <f t="shared" si="5"/>
        <v>0</v>
      </c>
      <c r="DC10" s="106">
        <f t="shared" si="6"/>
        <v>4</v>
      </c>
      <c r="DD10" s="75">
        <v>1</v>
      </c>
      <c r="DE10" s="107"/>
      <c r="DF10" s="107"/>
      <c r="DG10" s="107"/>
      <c r="DH10" s="43">
        <f t="shared" si="7"/>
        <v>3</v>
      </c>
      <c r="DI10" s="43">
        <f t="shared" si="8"/>
        <v>0</v>
      </c>
      <c r="DJ10" s="106">
        <f t="shared" si="9"/>
        <v>3</v>
      </c>
      <c r="DK10" s="179">
        <f t="shared" si="10"/>
        <v>9</v>
      </c>
      <c r="DL10" s="180">
        <f t="shared" ca="1" si="11"/>
        <v>0.17647058823529413</v>
      </c>
      <c r="DM10" s="181">
        <f t="shared" si="12"/>
        <v>0</v>
      </c>
      <c r="DN10" s="180">
        <f t="shared" ca="1" si="13"/>
        <v>0</v>
      </c>
      <c r="DO10" s="181">
        <f t="shared" si="14"/>
        <v>9</v>
      </c>
      <c r="DP10" s="180">
        <f t="shared" ca="1" si="15"/>
        <v>0.17647058823529413</v>
      </c>
      <c r="DQ10" s="181">
        <f t="shared" si="16"/>
        <v>2</v>
      </c>
      <c r="DR10" s="181">
        <f t="shared" si="17"/>
        <v>0</v>
      </c>
      <c r="DS10" s="181">
        <f t="shared" si="18"/>
        <v>2</v>
      </c>
    </row>
    <row r="11" spans="1:123" ht="15.75" thickBot="1" x14ac:dyDescent="0.3">
      <c r="A11" s="255">
        <v>11</v>
      </c>
      <c r="B11" s="285" t="s">
        <v>208</v>
      </c>
      <c r="C11" s="182" t="str">
        <f t="shared" si="0"/>
        <v>מיכל 11</v>
      </c>
      <c r="D11" s="55" t="s">
        <v>6</v>
      </c>
      <c r="E11" s="55" t="s">
        <v>6</v>
      </c>
      <c r="F11" s="74" t="s">
        <v>207</v>
      </c>
      <c r="G11" s="72">
        <v>43160</v>
      </c>
      <c r="H11" s="74"/>
      <c r="I11" s="84"/>
      <c r="J11" s="133"/>
      <c r="K11" s="134"/>
      <c r="L11" s="134"/>
      <c r="M11" s="134"/>
      <c r="N11" s="135">
        <f t="shared" ref="N11:N32" si="44">J11*3+L11</f>
        <v>0</v>
      </c>
      <c r="O11" s="135">
        <f t="shared" ref="O11:O32" si="45">K11*3+M11</f>
        <v>0</v>
      </c>
      <c r="P11" s="44">
        <f t="shared" ref="P11:P32" si="46">O11+N11</f>
        <v>0</v>
      </c>
      <c r="Q11" s="39"/>
      <c r="R11" s="41"/>
      <c r="S11" s="41"/>
      <c r="T11" s="41"/>
      <c r="U11" s="43">
        <f t="shared" ref="U11:U32" si="47">Q11*3+S11</f>
        <v>0</v>
      </c>
      <c r="V11" s="43">
        <f t="shared" ref="V11:V32" si="48">R11*3+T11</f>
        <v>0</v>
      </c>
      <c r="W11" s="45">
        <f>V11+U11</f>
        <v>0</v>
      </c>
      <c r="X11" s="39"/>
      <c r="Y11" s="41"/>
      <c r="Z11" s="41"/>
      <c r="AA11" s="41"/>
      <c r="AB11" s="46">
        <f t="shared" ref="AB11:AB32" si="49">X11*3+Z11</f>
        <v>0</v>
      </c>
      <c r="AC11" s="46">
        <f t="shared" ref="AC11:AC32" si="50">Y11*3+AA11</f>
        <v>0</v>
      </c>
      <c r="AD11" s="47">
        <f t="shared" ref="AD11:AD32" si="51">AC11+AB11</f>
        <v>0</v>
      </c>
      <c r="AE11" s="39"/>
      <c r="AF11" s="41"/>
      <c r="AG11" s="41"/>
      <c r="AH11" s="41"/>
      <c r="AI11" s="43">
        <f t="shared" ref="AI11:AI32" si="52">AE11*3+AG11</f>
        <v>0</v>
      </c>
      <c r="AJ11" s="43">
        <f t="shared" ref="AJ11:AJ32" si="53">AF11*3+AH11</f>
        <v>0</v>
      </c>
      <c r="AK11" s="45">
        <f t="shared" ref="AK11:AK32" si="54">AJ11+AI11</f>
        <v>0</v>
      </c>
      <c r="AL11" s="39"/>
      <c r="AM11" s="41"/>
      <c r="AN11" s="41"/>
      <c r="AO11" s="41"/>
      <c r="AP11" s="43">
        <f t="shared" ref="AP11:AP32" si="55">AL11*3+AN11</f>
        <v>0</v>
      </c>
      <c r="AQ11" s="43">
        <f t="shared" ref="AQ11:AQ32" si="56">AM11*3+AO11</f>
        <v>0</v>
      </c>
      <c r="AR11" s="45">
        <f t="shared" ref="AR11:AR32" si="57">AQ11+AP11</f>
        <v>0</v>
      </c>
      <c r="AS11" s="39"/>
      <c r="AT11" s="41"/>
      <c r="AU11" s="41"/>
      <c r="AV11" s="41"/>
      <c r="AW11" s="43">
        <f t="shared" ref="AW11:AW32" si="58">AS11*3+AU11</f>
        <v>0</v>
      </c>
      <c r="AX11" s="43">
        <f t="shared" ref="AX11:AX32" si="59">AT11*3+AV11</f>
        <v>0</v>
      </c>
      <c r="AY11" s="45">
        <f t="shared" ref="AY11:AY32" si="60">AX11+AW11</f>
        <v>0</v>
      </c>
      <c r="AZ11" s="39"/>
      <c r="BA11" s="41"/>
      <c r="BB11" s="41"/>
      <c r="BC11" s="41"/>
      <c r="BD11" s="43">
        <f t="shared" ref="BD11:BD32" si="61">AZ11*3+BB11</f>
        <v>0</v>
      </c>
      <c r="BE11" s="43">
        <f t="shared" ref="BE11:BE32" si="62">BA11*3+BC11</f>
        <v>0</v>
      </c>
      <c r="BF11" s="45">
        <f t="shared" ref="BF11:BF32" si="63">BE11+BD11</f>
        <v>0</v>
      </c>
      <c r="BG11" s="75"/>
      <c r="BH11" s="107"/>
      <c r="BI11" s="41"/>
      <c r="BJ11" s="41"/>
      <c r="BK11" s="43">
        <f t="shared" ref="BK11:BK32" si="64">BG11*3+BI11</f>
        <v>0</v>
      </c>
      <c r="BL11" s="43">
        <f t="shared" ref="BL11:BL32" si="65">BH11*3+BJ11</f>
        <v>0</v>
      </c>
      <c r="BM11" s="106">
        <f t="shared" ref="BM11:BM32" si="66">BL11+BK11</f>
        <v>0</v>
      </c>
      <c r="BN11" s="75"/>
      <c r="BO11" s="107"/>
      <c r="BP11" s="107"/>
      <c r="BQ11" s="107"/>
      <c r="BR11" s="43">
        <f t="shared" ref="BR11:BR32" si="67">BN11*3+BP11</f>
        <v>0</v>
      </c>
      <c r="BS11" s="43">
        <f t="shared" ref="BS11:BS32" si="68">BO11*3+BQ11</f>
        <v>0</v>
      </c>
      <c r="BT11" s="106">
        <f t="shared" ref="BT11:BT32" si="69">BS11+BR11</f>
        <v>0</v>
      </c>
      <c r="BU11" s="75">
        <v>1</v>
      </c>
      <c r="BV11" s="107"/>
      <c r="BW11" s="107"/>
      <c r="BX11" s="107"/>
      <c r="BY11" s="43">
        <f t="shared" ref="BY11:BY32" si="70">BU11*3+BW11</f>
        <v>3</v>
      </c>
      <c r="BZ11" s="43">
        <f t="shared" ref="BZ11:BZ32" si="71">BV11*3+BX11</f>
        <v>0</v>
      </c>
      <c r="CA11" s="106">
        <f t="shared" ref="CA11:CA32" si="72">BZ11+BY11</f>
        <v>3</v>
      </c>
      <c r="CB11" s="75"/>
      <c r="CC11" s="107"/>
      <c r="CD11" s="107">
        <v>2</v>
      </c>
      <c r="CE11" s="192"/>
      <c r="CF11" s="43">
        <f t="shared" ref="CF11:CF32" si="73">CB11*3+CD11</f>
        <v>2</v>
      </c>
      <c r="CG11" s="43">
        <f t="shared" ref="CG11:CG32" si="74">CC11*3+CE11</f>
        <v>0</v>
      </c>
      <c r="CH11" s="106">
        <f t="shared" ref="CH11:CH32" si="75">CG11+CF11</f>
        <v>2</v>
      </c>
      <c r="CI11" s="107"/>
      <c r="CJ11" s="107"/>
      <c r="CK11" s="107">
        <v>3</v>
      </c>
      <c r="CL11" s="202"/>
      <c r="CM11" s="43">
        <f t="shared" si="41"/>
        <v>3</v>
      </c>
      <c r="CN11" s="43">
        <f t="shared" si="42"/>
        <v>0</v>
      </c>
      <c r="CO11" s="106">
        <f t="shared" si="43"/>
        <v>3</v>
      </c>
      <c r="CP11" s="275">
        <v>1</v>
      </c>
      <c r="CQ11" s="107"/>
      <c r="CR11" s="107">
        <v>1</v>
      </c>
      <c r="CS11" s="107"/>
      <c r="CT11" s="43">
        <f t="shared" si="1"/>
        <v>4</v>
      </c>
      <c r="CU11" s="43">
        <f t="shared" si="2"/>
        <v>0</v>
      </c>
      <c r="CV11" s="106">
        <f t="shared" si="3"/>
        <v>4</v>
      </c>
      <c r="CW11" s="75"/>
      <c r="CX11" s="107"/>
      <c r="CY11" s="107">
        <v>4</v>
      </c>
      <c r="CZ11" s="107"/>
      <c r="DA11" s="43">
        <f t="shared" si="4"/>
        <v>4</v>
      </c>
      <c r="DB11" s="43">
        <f t="shared" si="5"/>
        <v>0</v>
      </c>
      <c r="DC11" s="106">
        <f t="shared" si="6"/>
        <v>4</v>
      </c>
      <c r="DD11" s="75">
        <v>1</v>
      </c>
      <c r="DE11" s="107"/>
      <c r="DF11" s="107"/>
      <c r="DG11" s="107"/>
      <c r="DH11" s="43">
        <f t="shared" si="7"/>
        <v>3</v>
      </c>
      <c r="DI11" s="43">
        <f t="shared" si="8"/>
        <v>0</v>
      </c>
      <c r="DJ11" s="106">
        <f t="shared" si="9"/>
        <v>3</v>
      </c>
      <c r="DK11" s="179">
        <f t="shared" si="10"/>
        <v>19</v>
      </c>
      <c r="DL11" s="180">
        <f t="shared" ca="1" si="11"/>
        <v>0.10982658959537572</v>
      </c>
      <c r="DM11" s="181">
        <f t="shared" si="12"/>
        <v>0</v>
      </c>
      <c r="DN11" s="180">
        <f t="shared" ca="1" si="13"/>
        <v>0</v>
      </c>
      <c r="DO11" s="181">
        <f t="shared" si="14"/>
        <v>19</v>
      </c>
      <c r="DP11" s="180">
        <f t="shared" ca="1" si="15"/>
        <v>0.10982658959537572</v>
      </c>
      <c r="DQ11" s="181">
        <f t="shared" si="16"/>
        <v>3</v>
      </c>
      <c r="DR11" s="181">
        <f t="shared" si="17"/>
        <v>0</v>
      </c>
      <c r="DS11" s="181">
        <f t="shared" si="18"/>
        <v>3</v>
      </c>
    </row>
    <row r="12" spans="1:123" ht="15.75" thickBot="1" x14ac:dyDescent="0.3">
      <c r="A12" s="255">
        <v>11</v>
      </c>
      <c r="B12" s="285" t="s">
        <v>174</v>
      </c>
      <c r="C12" s="182" t="str">
        <f t="shared" si="0"/>
        <v>ניקול 11</v>
      </c>
      <c r="D12" s="55" t="s">
        <v>6</v>
      </c>
      <c r="E12" s="55" t="s">
        <v>7</v>
      </c>
      <c r="F12" s="74" t="s">
        <v>194</v>
      </c>
      <c r="G12" s="72">
        <v>43132</v>
      </c>
      <c r="H12" s="115"/>
      <c r="I12" s="42"/>
      <c r="J12" s="133"/>
      <c r="K12" s="134"/>
      <c r="L12" s="134"/>
      <c r="M12" s="134"/>
      <c r="N12" s="135">
        <f t="shared" si="44"/>
        <v>0</v>
      </c>
      <c r="O12" s="135">
        <f t="shared" si="45"/>
        <v>0</v>
      </c>
      <c r="P12" s="44">
        <f t="shared" si="46"/>
        <v>0</v>
      </c>
      <c r="Q12" s="39"/>
      <c r="R12" s="41"/>
      <c r="S12" s="41"/>
      <c r="T12" s="41"/>
      <c r="U12" s="43">
        <f t="shared" si="47"/>
        <v>0</v>
      </c>
      <c r="V12" s="43">
        <f t="shared" si="48"/>
        <v>0</v>
      </c>
      <c r="W12" s="45">
        <v>0</v>
      </c>
      <c r="X12" s="39"/>
      <c r="Y12" s="41"/>
      <c r="Z12" s="41"/>
      <c r="AA12" s="41"/>
      <c r="AB12" s="46">
        <f t="shared" si="49"/>
        <v>0</v>
      </c>
      <c r="AC12" s="46">
        <f t="shared" si="50"/>
        <v>0</v>
      </c>
      <c r="AD12" s="47">
        <f t="shared" si="51"/>
        <v>0</v>
      </c>
      <c r="AE12" s="39"/>
      <c r="AF12" s="41"/>
      <c r="AG12" s="41"/>
      <c r="AH12" s="41"/>
      <c r="AI12" s="43">
        <f t="shared" si="52"/>
        <v>0</v>
      </c>
      <c r="AJ12" s="43">
        <f t="shared" si="53"/>
        <v>0</v>
      </c>
      <c r="AK12" s="45">
        <f t="shared" si="54"/>
        <v>0</v>
      </c>
      <c r="AL12" s="39"/>
      <c r="AM12" s="41"/>
      <c r="AN12" s="41"/>
      <c r="AO12" s="41"/>
      <c r="AP12" s="43">
        <f t="shared" si="55"/>
        <v>0</v>
      </c>
      <c r="AQ12" s="43">
        <f t="shared" si="56"/>
        <v>0</v>
      </c>
      <c r="AR12" s="45">
        <f t="shared" si="57"/>
        <v>0</v>
      </c>
      <c r="AS12" s="39"/>
      <c r="AT12" s="41"/>
      <c r="AU12" s="41"/>
      <c r="AV12" s="41"/>
      <c r="AW12" s="43">
        <f t="shared" si="58"/>
        <v>0</v>
      </c>
      <c r="AX12" s="43">
        <f t="shared" si="59"/>
        <v>0</v>
      </c>
      <c r="AY12" s="45">
        <f t="shared" si="60"/>
        <v>0</v>
      </c>
      <c r="AZ12" s="39"/>
      <c r="BA12" s="41"/>
      <c r="BB12" s="41"/>
      <c r="BC12" s="41"/>
      <c r="BD12" s="43">
        <f t="shared" si="61"/>
        <v>0</v>
      </c>
      <c r="BE12" s="43">
        <f t="shared" si="62"/>
        <v>0</v>
      </c>
      <c r="BF12" s="45">
        <f t="shared" si="63"/>
        <v>0</v>
      </c>
      <c r="BG12" s="75"/>
      <c r="BH12" s="107"/>
      <c r="BI12" s="41"/>
      <c r="BJ12" s="41"/>
      <c r="BK12" s="43">
        <f t="shared" si="64"/>
        <v>0</v>
      </c>
      <c r="BL12" s="43">
        <f t="shared" si="65"/>
        <v>0</v>
      </c>
      <c r="BM12" s="106">
        <f t="shared" si="66"/>
        <v>0</v>
      </c>
      <c r="BN12" s="75">
        <v>1</v>
      </c>
      <c r="BO12" s="107"/>
      <c r="BP12" s="107">
        <v>2</v>
      </c>
      <c r="BQ12" s="107"/>
      <c r="BR12" s="43">
        <f t="shared" si="67"/>
        <v>5</v>
      </c>
      <c r="BS12" s="43">
        <f t="shared" si="68"/>
        <v>0</v>
      </c>
      <c r="BT12" s="106">
        <f t="shared" si="69"/>
        <v>5</v>
      </c>
      <c r="BU12" s="75">
        <v>1</v>
      </c>
      <c r="BV12" s="107"/>
      <c r="BW12" s="107">
        <v>1</v>
      </c>
      <c r="BX12" s="107"/>
      <c r="BY12" s="43">
        <f t="shared" si="70"/>
        <v>4</v>
      </c>
      <c r="BZ12" s="43">
        <f t="shared" si="71"/>
        <v>0</v>
      </c>
      <c r="CA12" s="106">
        <f t="shared" si="72"/>
        <v>4</v>
      </c>
      <c r="CB12" s="75"/>
      <c r="CC12" s="107"/>
      <c r="CD12" s="107">
        <v>2</v>
      </c>
      <c r="CE12" s="192"/>
      <c r="CF12" s="43">
        <f t="shared" si="73"/>
        <v>2</v>
      </c>
      <c r="CG12" s="43">
        <f t="shared" si="74"/>
        <v>0</v>
      </c>
      <c r="CH12" s="106">
        <f t="shared" si="75"/>
        <v>2</v>
      </c>
      <c r="CI12" s="107"/>
      <c r="CJ12" s="107"/>
      <c r="CK12" s="107"/>
      <c r="CL12" s="202"/>
      <c r="CM12" s="43">
        <f t="shared" si="41"/>
        <v>0</v>
      </c>
      <c r="CN12" s="43">
        <f t="shared" si="42"/>
        <v>0</v>
      </c>
      <c r="CO12" s="106">
        <f t="shared" si="43"/>
        <v>0</v>
      </c>
      <c r="CP12" s="275"/>
      <c r="CQ12" s="107"/>
      <c r="CR12" s="107"/>
      <c r="CS12" s="107">
        <v>1</v>
      </c>
      <c r="CT12" s="43">
        <f t="shared" si="1"/>
        <v>0</v>
      </c>
      <c r="CU12" s="43">
        <f t="shared" si="2"/>
        <v>1</v>
      </c>
      <c r="CV12" s="106">
        <f t="shared" si="3"/>
        <v>1</v>
      </c>
      <c r="CW12" s="75"/>
      <c r="CX12" s="107"/>
      <c r="CY12" s="107">
        <v>4</v>
      </c>
      <c r="CZ12" s="107"/>
      <c r="DA12" s="43">
        <f t="shared" si="4"/>
        <v>4</v>
      </c>
      <c r="DB12" s="43">
        <f t="shared" si="5"/>
        <v>0</v>
      </c>
      <c r="DC12" s="106">
        <f t="shared" si="6"/>
        <v>4</v>
      </c>
      <c r="DD12" s="75">
        <v>1</v>
      </c>
      <c r="DE12" s="107"/>
      <c r="DF12" s="107"/>
      <c r="DG12" s="107"/>
      <c r="DH12" s="43">
        <f t="shared" si="7"/>
        <v>3</v>
      </c>
      <c r="DI12" s="43">
        <f t="shared" si="8"/>
        <v>0</v>
      </c>
      <c r="DJ12" s="106">
        <f t="shared" si="9"/>
        <v>3</v>
      </c>
      <c r="DK12" s="179">
        <f t="shared" si="10"/>
        <v>18</v>
      </c>
      <c r="DL12" s="180">
        <f t="shared" ca="1" si="11"/>
        <v>8.9552238805970144E-2</v>
      </c>
      <c r="DM12" s="181">
        <f t="shared" si="12"/>
        <v>1</v>
      </c>
      <c r="DN12" s="180">
        <f t="shared" ca="1" si="13"/>
        <v>4.9751243781094526E-3</v>
      </c>
      <c r="DO12" s="181">
        <f t="shared" si="14"/>
        <v>19</v>
      </c>
      <c r="DP12" s="180">
        <f t="shared" ca="1" si="15"/>
        <v>9.4527363184079602E-2</v>
      </c>
      <c r="DQ12" s="181">
        <f t="shared" si="16"/>
        <v>3</v>
      </c>
      <c r="DR12" s="181">
        <f t="shared" si="17"/>
        <v>0</v>
      </c>
      <c r="DS12" s="181">
        <f t="shared" si="18"/>
        <v>3</v>
      </c>
    </row>
    <row r="13" spans="1:123" ht="15.75" thickBot="1" x14ac:dyDescent="0.3">
      <c r="A13" s="39">
        <v>11</v>
      </c>
      <c r="B13" s="40" t="s">
        <v>10</v>
      </c>
      <c r="C13" s="67" t="str">
        <f t="shared" si="0"/>
        <v>עדן 11</v>
      </c>
      <c r="D13" s="41" t="s">
        <v>6</v>
      </c>
      <c r="E13" s="41" t="s">
        <v>7</v>
      </c>
      <c r="F13" s="74" t="s">
        <v>187</v>
      </c>
      <c r="G13" s="72">
        <v>42887</v>
      </c>
      <c r="H13" s="48">
        <v>43490</v>
      </c>
      <c r="I13" s="84"/>
      <c r="J13" s="133">
        <v>1</v>
      </c>
      <c r="K13" s="134"/>
      <c r="L13" s="134">
        <v>4</v>
      </c>
      <c r="M13" s="134"/>
      <c r="N13" s="135">
        <f t="shared" si="44"/>
        <v>7</v>
      </c>
      <c r="O13" s="135">
        <f t="shared" si="45"/>
        <v>0</v>
      </c>
      <c r="P13" s="44">
        <f t="shared" si="46"/>
        <v>7</v>
      </c>
      <c r="Q13" s="39"/>
      <c r="R13" s="41"/>
      <c r="S13" s="41">
        <v>3</v>
      </c>
      <c r="T13" s="41"/>
      <c r="U13" s="43">
        <f t="shared" si="47"/>
        <v>3</v>
      </c>
      <c r="V13" s="43">
        <f t="shared" si="48"/>
        <v>0</v>
      </c>
      <c r="W13" s="45">
        <f t="shared" ref="W13:W32" si="76">V13+U13</f>
        <v>3</v>
      </c>
      <c r="X13" s="39">
        <v>1</v>
      </c>
      <c r="Y13" s="41">
        <v>1</v>
      </c>
      <c r="Z13" s="41"/>
      <c r="AA13" s="41">
        <v>1</v>
      </c>
      <c r="AB13" s="46">
        <f t="shared" si="49"/>
        <v>3</v>
      </c>
      <c r="AC13" s="46">
        <f t="shared" si="50"/>
        <v>4</v>
      </c>
      <c r="AD13" s="47">
        <f t="shared" si="51"/>
        <v>7</v>
      </c>
      <c r="AE13" s="39"/>
      <c r="AF13" s="41"/>
      <c r="AG13" s="41">
        <v>1</v>
      </c>
      <c r="AH13" s="41"/>
      <c r="AI13" s="43">
        <f t="shared" si="52"/>
        <v>1</v>
      </c>
      <c r="AJ13" s="43">
        <f t="shared" si="53"/>
        <v>0</v>
      </c>
      <c r="AK13" s="45">
        <f t="shared" si="54"/>
        <v>1</v>
      </c>
      <c r="AL13" s="39"/>
      <c r="AM13" s="41"/>
      <c r="AN13" s="41">
        <v>2</v>
      </c>
      <c r="AO13" s="41"/>
      <c r="AP13" s="43">
        <f t="shared" si="55"/>
        <v>2</v>
      </c>
      <c r="AQ13" s="43">
        <f t="shared" si="56"/>
        <v>0</v>
      </c>
      <c r="AR13" s="45">
        <f t="shared" si="57"/>
        <v>2</v>
      </c>
      <c r="AS13" s="39">
        <v>1</v>
      </c>
      <c r="AT13" s="41"/>
      <c r="AU13" s="41"/>
      <c r="AV13" s="41"/>
      <c r="AW13" s="43">
        <f t="shared" si="58"/>
        <v>3</v>
      </c>
      <c r="AX13" s="43">
        <f t="shared" si="59"/>
        <v>0</v>
      </c>
      <c r="AY13" s="45">
        <f t="shared" si="60"/>
        <v>3</v>
      </c>
      <c r="AZ13" s="39"/>
      <c r="BA13" s="41"/>
      <c r="BB13" s="41">
        <v>3</v>
      </c>
      <c r="BC13" s="41"/>
      <c r="BD13" s="43">
        <f t="shared" si="61"/>
        <v>3</v>
      </c>
      <c r="BE13" s="43">
        <f t="shared" si="62"/>
        <v>0</v>
      </c>
      <c r="BF13" s="45">
        <f t="shared" si="63"/>
        <v>3</v>
      </c>
      <c r="BG13" s="75"/>
      <c r="BH13" s="107">
        <v>1</v>
      </c>
      <c r="BI13" s="107"/>
      <c r="BJ13" s="41"/>
      <c r="BK13" s="43">
        <f t="shared" si="64"/>
        <v>0</v>
      </c>
      <c r="BL13" s="43">
        <f t="shared" si="65"/>
        <v>3</v>
      </c>
      <c r="BM13" s="106">
        <f t="shared" si="66"/>
        <v>3</v>
      </c>
      <c r="BN13" s="75">
        <v>1</v>
      </c>
      <c r="BO13" s="107"/>
      <c r="BP13" s="107"/>
      <c r="BQ13" s="107"/>
      <c r="BR13" s="43">
        <f t="shared" si="67"/>
        <v>3</v>
      </c>
      <c r="BS13" s="43">
        <f t="shared" si="68"/>
        <v>0</v>
      </c>
      <c r="BT13" s="106">
        <f t="shared" si="69"/>
        <v>3</v>
      </c>
      <c r="BU13" s="75"/>
      <c r="BV13" s="107"/>
      <c r="BW13" s="107">
        <v>4</v>
      </c>
      <c r="BX13" s="107"/>
      <c r="BY13" s="43">
        <f t="shared" si="70"/>
        <v>4</v>
      </c>
      <c r="BZ13" s="43">
        <f t="shared" si="71"/>
        <v>0</v>
      </c>
      <c r="CA13" s="106">
        <f t="shared" si="72"/>
        <v>4</v>
      </c>
      <c r="CB13" s="75"/>
      <c r="CC13" s="107"/>
      <c r="CD13" s="107">
        <v>3</v>
      </c>
      <c r="CE13" s="192"/>
      <c r="CF13" s="43">
        <f t="shared" si="73"/>
        <v>3</v>
      </c>
      <c r="CG13" s="43">
        <f t="shared" si="74"/>
        <v>0</v>
      </c>
      <c r="CH13" s="106">
        <f t="shared" si="75"/>
        <v>3</v>
      </c>
      <c r="CI13" s="107">
        <v>1</v>
      </c>
      <c r="CJ13" s="107"/>
      <c r="CK13" s="107">
        <v>1</v>
      </c>
      <c r="CL13" s="202"/>
      <c r="CM13" s="43">
        <f t="shared" si="41"/>
        <v>4</v>
      </c>
      <c r="CN13" s="43">
        <f t="shared" si="42"/>
        <v>0</v>
      </c>
      <c r="CO13" s="106">
        <f t="shared" si="43"/>
        <v>4</v>
      </c>
      <c r="CP13" s="275"/>
      <c r="CQ13" s="107"/>
      <c r="CR13" s="107">
        <v>1</v>
      </c>
      <c r="CS13" s="107"/>
      <c r="CT13" s="43">
        <f t="shared" si="1"/>
        <v>1</v>
      </c>
      <c r="CU13" s="43">
        <f t="shared" si="2"/>
        <v>0</v>
      </c>
      <c r="CV13" s="106">
        <f t="shared" si="3"/>
        <v>1</v>
      </c>
      <c r="CW13" s="75">
        <v>1</v>
      </c>
      <c r="CX13" s="107"/>
      <c r="CY13" s="107"/>
      <c r="CZ13" s="107">
        <v>1</v>
      </c>
      <c r="DA13" s="43">
        <f t="shared" si="4"/>
        <v>3</v>
      </c>
      <c r="DB13" s="43">
        <f t="shared" si="5"/>
        <v>1</v>
      </c>
      <c r="DC13" s="106">
        <f t="shared" si="6"/>
        <v>4</v>
      </c>
      <c r="DD13" s="75"/>
      <c r="DE13" s="107"/>
      <c r="DF13" s="107"/>
      <c r="DG13" s="107"/>
      <c r="DH13" s="43">
        <f t="shared" si="7"/>
        <v>0</v>
      </c>
      <c r="DI13" s="43">
        <f t="shared" si="8"/>
        <v>0</v>
      </c>
      <c r="DJ13" s="106">
        <f t="shared" si="9"/>
        <v>0</v>
      </c>
      <c r="DK13" s="179">
        <f t="shared" si="10"/>
        <v>40</v>
      </c>
      <c r="DL13" s="180">
        <f t="shared" ca="1" si="11"/>
        <v>8.9686098654708515E-2</v>
      </c>
      <c r="DM13" s="181">
        <f t="shared" si="12"/>
        <v>8</v>
      </c>
      <c r="DN13" s="180">
        <f t="shared" ca="1" si="13"/>
        <v>1.7937219730941704E-2</v>
      </c>
      <c r="DO13" s="181">
        <f t="shared" si="14"/>
        <v>48</v>
      </c>
      <c r="DP13" s="180">
        <f t="shared" ca="1" si="15"/>
        <v>0.10762331838565022</v>
      </c>
      <c r="DQ13" s="181">
        <f t="shared" si="16"/>
        <v>6</v>
      </c>
      <c r="DR13" s="181">
        <f t="shared" si="17"/>
        <v>2</v>
      </c>
      <c r="DS13" s="181">
        <f t="shared" si="18"/>
        <v>8</v>
      </c>
    </row>
    <row r="14" spans="1:123" ht="15.75" thickBot="1" x14ac:dyDescent="0.3">
      <c r="A14" s="39">
        <v>209</v>
      </c>
      <c r="B14" s="62" t="s">
        <v>154</v>
      </c>
      <c r="C14" s="67" t="str">
        <f t="shared" si="0"/>
        <v>אלינה 209</v>
      </c>
      <c r="D14" s="55" t="s">
        <v>6</v>
      </c>
      <c r="E14" s="55" t="s">
        <v>7</v>
      </c>
      <c r="F14" s="74" t="s">
        <v>193</v>
      </c>
      <c r="G14" s="72">
        <v>43101</v>
      </c>
      <c r="H14" s="48">
        <v>43490</v>
      </c>
      <c r="I14" s="42"/>
      <c r="J14" s="133"/>
      <c r="K14" s="134"/>
      <c r="L14" s="134"/>
      <c r="M14" s="134"/>
      <c r="N14" s="135">
        <f t="shared" si="44"/>
        <v>0</v>
      </c>
      <c r="O14" s="135">
        <f t="shared" si="45"/>
        <v>0</v>
      </c>
      <c r="P14" s="44">
        <f t="shared" si="46"/>
        <v>0</v>
      </c>
      <c r="Q14" s="39"/>
      <c r="R14" s="41"/>
      <c r="S14" s="41"/>
      <c r="T14" s="41"/>
      <c r="U14" s="43">
        <f t="shared" si="47"/>
        <v>0</v>
      </c>
      <c r="V14" s="43">
        <f t="shared" si="48"/>
        <v>0</v>
      </c>
      <c r="W14" s="45">
        <f t="shared" si="76"/>
        <v>0</v>
      </c>
      <c r="X14" s="39"/>
      <c r="Y14" s="41"/>
      <c r="Z14" s="41"/>
      <c r="AA14" s="41"/>
      <c r="AB14" s="46">
        <f t="shared" si="49"/>
        <v>0</v>
      </c>
      <c r="AC14" s="46">
        <f t="shared" si="50"/>
        <v>0</v>
      </c>
      <c r="AD14" s="47">
        <f t="shared" si="51"/>
        <v>0</v>
      </c>
      <c r="AE14" s="39"/>
      <c r="AF14" s="41"/>
      <c r="AG14" s="41"/>
      <c r="AH14" s="41"/>
      <c r="AI14" s="43">
        <f t="shared" si="52"/>
        <v>0</v>
      </c>
      <c r="AJ14" s="43">
        <f t="shared" si="53"/>
        <v>0</v>
      </c>
      <c r="AK14" s="45">
        <f t="shared" si="54"/>
        <v>0</v>
      </c>
      <c r="AL14" s="39"/>
      <c r="AM14" s="41"/>
      <c r="AN14" s="41"/>
      <c r="AO14" s="41"/>
      <c r="AP14" s="43">
        <f t="shared" si="55"/>
        <v>0</v>
      </c>
      <c r="AQ14" s="43">
        <f t="shared" si="56"/>
        <v>0</v>
      </c>
      <c r="AR14" s="45">
        <f t="shared" si="57"/>
        <v>0</v>
      </c>
      <c r="AS14" s="39"/>
      <c r="AT14" s="41"/>
      <c r="AU14" s="41"/>
      <c r="AV14" s="41"/>
      <c r="AW14" s="43">
        <f t="shared" si="58"/>
        <v>0</v>
      </c>
      <c r="AX14" s="43">
        <f t="shared" si="59"/>
        <v>0</v>
      </c>
      <c r="AY14" s="45">
        <f t="shared" si="60"/>
        <v>0</v>
      </c>
      <c r="AZ14" s="39">
        <v>1</v>
      </c>
      <c r="BA14" s="41"/>
      <c r="BB14" s="41"/>
      <c r="BC14" s="41"/>
      <c r="BD14" s="43">
        <f t="shared" si="61"/>
        <v>3</v>
      </c>
      <c r="BE14" s="43">
        <f t="shared" si="62"/>
        <v>0</v>
      </c>
      <c r="BF14" s="45">
        <f t="shared" si="63"/>
        <v>3</v>
      </c>
      <c r="BG14" s="75"/>
      <c r="BH14" s="107">
        <v>1</v>
      </c>
      <c r="BI14" s="107">
        <v>1</v>
      </c>
      <c r="BJ14" s="41"/>
      <c r="BK14" s="43">
        <f t="shared" si="64"/>
        <v>1</v>
      </c>
      <c r="BL14" s="43">
        <f t="shared" si="65"/>
        <v>3</v>
      </c>
      <c r="BM14" s="106">
        <f t="shared" si="66"/>
        <v>4</v>
      </c>
      <c r="BN14" s="75"/>
      <c r="BO14" s="107"/>
      <c r="BP14" s="107">
        <v>1</v>
      </c>
      <c r="BQ14" s="107"/>
      <c r="BR14" s="43">
        <f t="shared" si="67"/>
        <v>1</v>
      </c>
      <c r="BS14" s="43">
        <f t="shared" si="68"/>
        <v>0</v>
      </c>
      <c r="BT14" s="106">
        <f t="shared" si="69"/>
        <v>1</v>
      </c>
      <c r="BU14" s="75">
        <v>1</v>
      </c>
      <c r="BV14" s="107"/>
      <c r="BW14" s="107"/>
      <c r="BX14" s="107"/>
      <c r="BY14" s="43">
        <f t="shared" si="70"/>
        <v>3</v>
      </c>
      <c r="BZ14" s="43">
        <f t="shared" si="71"/>
        <v>0</v>
      </c>
      <c r="CA14" s="106">
        <f t="shared" si="72"/>
        <v>3</v>
      </c>
      <c r="CB14" s="75"/>
      <c r="CC14" s="107"/>
      <c r="CD14" s="107">
        <v>2</v>
      </c>
      <c r="CE14" s="192"/>
      <c r="CF14" s="43">
        <f t="shared" si="73"/>
        <v>2</v>
      </c>
      <c r="CG14" s="43">
        <f t="shared" si="74"/>
        <v>0</v>
      </c>
      <c r="CH14" s="106">
        <f t="shared" si="75"/>
        <v>2</v>
      </c>
      <c r="CI14" s="107"/>
      <c r="CJ14" s="107">
        <v>1</v>
      </c>
      <c r="CK14" s="107">
        <v>2</v>
      </c>
      <c r="CL14" s="202"/>
      <c r="CM14" s="43">
        <f t="shared" si="41"/>
        <v>2</v>
      </c>
      <c r="CN14" s="43">
        <f t="shared" si="42"/>
        <v>3</v>
      </c>
      <c r="CO14" s="106">
        <f t="shared" si="43"/>
        <v>5</v>
      </c>
      <c r="CP14" s="275"/>
      <c r="CQ14" s="107"/>
      <c r="CR14" s="107"/>
      <c r="CS14" s="107"/>
      <c r="CT14" s="43">
        <f t="shared" si="1"/>
        <v>0</v>
      </c>
      <c r="CU14" s="43">
        <f t="shared" si="2"/>
        <v>0</v>
      </c>
      <c r="CV14" s="106">
        <f t="shared" si="3"/>
        <v>0</v>
      </c>
      <c r="CW14" s="75">
        <v>1</v>
      </c>
      <c r="CX14" s="107"/>
      <c r="CY14" s="107">
        <v>1</v>
      </c>
      <c r="CZ14" s="107"/>
      <c r="DA14" s="43">
        <f t="shared" si="4"/>
        <v>4</v>
      </c>
      <c r="DB14" s="43">
        <f t="shared" si="5"/>
        <v>0</v>
      </c>
      <c r="DC14" s="106">
        <f t="shared" si="6"/>
        <v>4</v>
      </c>
      <c r="DD14" s="75">
        <v>1</v>
      </c>
      <c r="DE14" s="107"/>
      <c r="DF14" s="107"/>
      <c r="DG14" s="107"/>
      <c r="DH14" s="43">
        <f t="shared" si="7"/>
        <v>3</v>
      </c>
      <c r="DI14" s="43">
        <f t="shared" si="8"/>
        <v>0</v>
      </c>
      <c r="DJ14" s="106">
        <f t="shared" si="9"/>
        <v>3</v>
      </c>
      <c r="DK14" s="179">
        <f t="shared" si="10"/>
        <v>19</v>
      </c>
      <c r="DL14" s="180">
        <f t="shared" ca="1" si="11"/>
        <v>8.1896551724137928E-2</v>
      </c>
      <c r="DM14" s="181">
        <f t="shared" si="12"/>
        <v>6</v>
      </c>
      <c r="DN14" s="180">
        <f t="shared" ca="1" si="13"/>
        <v>2.5862068965517241E-2</v>
      </c>
      <c r="DO14" s="181">
        <f t="shared" si="14"/>
        <v>25</v>
      </c>
      <c r="DP14" s="180">
        <f t="shared" ca="1" si="15"/>
        <v>0.10775862068965517</v>
      </c>
      <c r="DQ14" s="181">
        <f t="shared" si="16"/>
        <v>4</v>
      </c>
      <c r="DR14" s="181">
        <f t="shared" si="17"/>
        <v>2</v>
      </c>
      <c r="DS14" s="181">
        <f t="shared" si="18"/>
        <v>6</v>
      </c>
    </row>
    <row r="15" spans="1:123" ht="15.75" thickBot="1" x14ac:dyDescent="0.3">
      <c r="A15" s="39">
        <v>209</v>
      </c>
      <c r="B15" s="40" t="s">
        <v>103</v>
      </c>
      <c r="C15" s="67" t="str">
        <f t="shared" si="0"/>
        <v>גילי 209</v>
      </c>
      <c r="D15" s="41" t="s">
        <v>7</v>
      </c>
      <c r="E15" s="55" t="s">
        <v>7</v>
      </c>
      <c r="F15" s="74" t="s">
        <v>191</v>
      </c>
      <c r="G15" s="72">
        <v>43009</v>
      </c>
      <c r="H15" s="48">
        <v>43385</v>
      </c>
      <c r="I15" s="42"/>
      <c r="J15" s="133"/>
      <c r="K15" s="134"/>
      <c r="L15" s="134"/>
      <c r="M15" s="134"/>
      <c r="N15" s="135">
        <f t="shared" si="44"/>
        <v>0</v>
      </c>
      <c r="O15" s="135">
        <f t="shared" si="45"/>
        <v>0</v>
      </c>
      <c r="P15" s="44">
        <f t="shared" si="46"/>
        <v>0</v>
      </c>
      <c r="Q15" s="39"/>
      <c r="R15" s="41"/>
      <c r="S15" s="41"/>
      <c r="T15" s="41"/>
      <c r="U15" s="43">
        <f t="shared" si="47"/>
        <v>0</v>
      </c>
      <c r="V15" s="43">
        <f t="shared" si="48"/>
        <v>0</v>
      </c>
      <c r="W15" s="45">
        <f t="shared" si="76"/>
        <v>0</v>
      </c>
      <c r="X15" s="39"/>
      <c r="Y15" s="41"/>
      <c r="Z15" s="41"/>
      <c r="AA15" s="41"/>
      <c r="AB15" s="46">
        <f t="shared" si="49"/>
        <v>0</v>
      </c>
      <c r="AC15" s="46">
        <f t="shared" si="50"/>
        <v>0</v>
      </c>
      <c r="AD15" s="47">
        <f t="shared" si="51"/>
        <v>0</v>
      </c>
      <c r="AE15" s="39"/>
      <c r="AF15" s="41"/>
      <c r="AG15" s="41"/>
      <c r="AH15" s="41"/>
      <c r="AI15" s="43">
        <f t="shared" si="52"/>
        <v>0</v>
      </c>
      <c r="AJ15" s="43">
        <f t="shared" si="53"/>
        <v>0</v>
      </c>
      <c r="AK15" s="45">
        <f t="shared" si="54"/>
        <v>0</v>
      </c>
      <c r="AL15" s="39"/>
      <c r="AM15" s="41">
        <v>1</v>
      </c>
      <c r="AN15" s="41"/>
      <c r="AO15" s="41"/>
      <c r="AP15" s="43">
        <f t="shared" si="55"/>
        <v>0</v>
      </c>
      <c r="AQ15" s="43">
        <f t="shared" si="56"/>
        <v>3</v>
      </c>
      <c r="AR15" s="45">
        <f t="shared" si="57"/>
        <v>3</v>
      </c>
      <c r="AS15" s="39"/>
      <c r="AT15" s="41">
        <v>1</v>
      </c>
      <c r="AU15" s="41"/>
      <c r="AV15" s="41">
        <v>2</v>
      </c>
      <c r="AW15" s="43">
        <f t="shared" si="58"/>
        <v>0</v>
      </c>
      <c r="AX15" s="43">
        <f t="shared" si="59"/>
        <v>5</v>
      </c>
      <c r="AY15" s="45">
        <f t="shared" si="60"/>
        <v>5</v>
      </c>
      <c r="AZ15" s="39"/>
      <c r="BA15" s="41"/>
      <c r="BB15" s="41"/>
      <c r="BC15" s="41">
        <v>3</v>
      </c>
      <c r="BD15" s="43">
        <f t="shared" si="61"/>
        <v>0</v>
      </c>
      <c r="BE15" s="43">
        <f t="shared" si="62"/>
        <v>3</v>
      </c>
      <c r="BF15" s="45">
        <f t="shared" si="63"/>
        <v>3</v>
      </c>
      <c r="BG15" s="75"/>
      <c r="BH15" s="107">
        <v>1</v>
      </c>
      <c r="BI15" s="107"/>
      <c r="BJ15" s="41">
        <v>2</v>
      </c>
      <c r="BK15" s="43">
        <f t="shared" si="64"/>
        <v>0</v>
      </c>
      <c r="BL15" s="43">
        <f t="shared" si="65"/>
        <v>5</v>
      </c>
      <c r="BM15" s="106">
        <f t="shared" si="66"/>
        <v>5</v>
      </c>
      <c r="BN15" s="75"/>
      <c r="BO15" s="107"/>
      <c r="BP15" s="107"/>
      <c r="BQ15" s="107">
        <v>2</v>
      </c>
      <c r="BR15" s="43">
        <f t="shared" si="67"/>
        <v>0</v>
      </c>
      <c r="BS15" s="43">
        <f t="shared" si="68"/>
        <v>2</v>
      </c>
      <c r="BT15" s="106">
        <f t="shared" si="69"/>
        <v>2</v>
      </c>
      <c r="BU15" s="75"/>
      <c r="BV15" s="107">
        <v>1</v>
      </c>
      <c r="BW15" s="107"/>
      <c r="BX15" s="107">
        <v>1</v>
      </c>
      <c r="BY15" s="43">
        <f t="shared" si="70"/>
        <v>0</v>
      </c>
      <c r="BZ15" s="43">
        <f t="shared" si="71"/>
        <v>4</v>
      </c>
      <c r="CA15" s="106">
        <f t="shared" si="72"/>
        <v>4</v>
      </c>
      <c r="CB15" s="75"/>
      <c r="CC15" s="107"/>
      <c r="CD15" s="107"/>
      <c r="CE15" s="192">
        <v>2</v>
      </c>
      <c r="CF15" s="43">
        <f t="shared" si="73"/>
        <v>0</v>
      </c>
      <c r="CG15" s="43">
        <f t="shared" si="74"/>
        <v>2</v>
      </c>
      <c r="CH15" s="106">
        <f t="shared" si="75"/>
        <v>2</v>
      </c>
      <c r="CI15" s="107"/>
      <c r="CJ15" s="107"/>
      <c r="CK15" s="107"/>
      <c r="CL15" s="202">
        <v>2</v>
      </c>
      <c r="CM15" s="43">
        <f t="shared" si="41"/>
        <v>0</v>
      </c>
      <c r="CN15" s="43">
        <f t="shared" si="42"/>
        <v>2</v>
      </c>
      <c r="CO15" s="106">
        <f t="shared" si="43"/>
        <v>2</v>
      </c>
      <c r="CP15" s="275"/>
      <c r="CQ15" s="107">
        <v>1</v>
      </c>
      <c r="CR15" s="107"/>
      <c r="CS15" s="107">
        <v>1</v>
      </c>
      <c r="CT15" s="43">
        <f t="shared" si="1"/>
        <v>0</v>
      </c>
      <c r="CU15" s="43">
        <f t="shared" si="2"/>
        <v>4</v>
      </c>
      <c r="CV15" s="106">
        <f t="shared" si="3"/>
        <v>4</v>
      </c>
      <c r="CW15" s="75"/>
      <c r="CX15" s="107"/>
      <c r="CY15" s="107"/>
      <c r="CZ15" s="107">
        <v>2</v>
      </c>
      <c r="DA15" s="43">
        <f t="shared" si="4"/>
        <v>0</v>
      </c>
      <c r="DB15" s="43">
        <f t="shared" si="5"/>
        <v>2</v>
      </c>
      <c r="DC15" s="106">
        <f t="shared" si="6"/>
        <v>2</v>
      </c>
      <c r="DD15" s="75"/>
      <c r="DE15" s="107">
        <v>1</v>
      </c>
      <c r="DF15" s="107"/>
      <c r="DG15" s="107"/>
      <c r="DH15" s="43">
        <f t="shared" si="7"/>
        <v>0</v>
      </c>
      <c r="DI15" s="43">
        <f t="shared" si="8"/>
        <v>3</v>
      </c>
      <c r="DJ15" s="106">
        <f t="shared" si="9"/>
        <v>3</v>
      </c>
      <c r="DK15" s="179">
        <f t="shared" si="10"/>
        <v>0</v>
      </c>
      <c r="DL15" s="180">
        <f t="shared" ca="1" si="11"/>
        <v>0</v>
      </c>
      <c r="DM15" s="181">
        <f t="shared" si="12"/>
        <v>35</v>
      </c>
      <c r="DN15" s="180">
        <f t="shared" ca="1" si="13"/>
        <v>0.10802469135802469</v>
      </c>
      <c r="DO15" s="181">
        <f t="shared" si="14"/>
        <v>35</v>
      </c>
      <c r="DP15" s="180">
        <f t="shared" ca="1" si="15"/>
        <v>0.10802469135802469</v>
      </c>
      <c r="DQ15" s="181">
        <f t="shared" si="16"/>
        <v>0</v>
      </c>
      <c r="DR15" s="181">
        <f t="shared" si="17"/>
        <v>6</v>
      </c>
      <c r="DS15" s="181">
        <f t="shared" si="18"/>
        <v>6</v>
      </c>
    </row>
    <row r="16" spans="1:123" ht="15.75" thickBot="1" x14ac:dyDescent="0.3">
      <c r="A16" s="39">
        <v>209</v>
      </c>
      <c r="B16" s="62" t="s">
        <v>134</v>
      </c>
      <c r="C16" s="67" t="str">
        <f t="shared" si="0"/>
        <v>ולריה 209</v>
      </c>
      <c r="D16" s="55" t="s">
        <v>6</v>
      </c>
      <c r="E16" s="55" t="s">
        <v>7</v>
      </c>
      <c r="F16" s="74" t="s">
        <v>192</v>
      </c>
      <c r="G16" s="72">
        <v>43040</v>
      </c>
      <c r="H16" s="74"/>
      <c r="I16" s="42"/>
      <c r="J16" s="133"/>
      <c r="K16" s="134"/>
      <c r="L16" s="134"/>
      <c r="M16" s="134"/>
      <c r="N16" s="135">
        <f t="shared" si="44"/>
        <v>0</v>
      </c>
      <c r="O16" s="135">
        <f t="shared" si="45"/>
        <v>0</v>
      </c>
      <c r="P16" s="44">
        <f t="shared" si="46"/>
        <v>0</v>
      </c>
      <c r="Q16" s="39"/>
      <c r="R16" s="41"/>
      <c r="S16" s="41"/>
      <c r="T16" s="41"/>
      <c r="U16" s="43">
        <f t="shared" si="47"/>
        <v>0</v>
      </c>
      <c r="V16" s="43">
        <f t="shared" si="48"/>
        <v>0</v>
      </c>
      <c r="W16" s="45">
        <f t="shared" si="76"/>
        <v>0</v>
      </c>
      <c r="X16" s="39"/>
      <c r="Y16" s="41"/>
      <c r="Z16" s="41"/>
      <c r="AA16" s="41"/>
      <c r="AB16" s="46">
        <f t="shared" si="49"/>
        <v>0</v>
      </c>
      <c r="AC16" s="46">
        <f t="shared" si="50"/>
        <v>0</v>
      </c>
      <c r="AD16" s="47">
        <f t="shared" si="51"/>
        <v>0</v>
      </c>
      <c r="AE16" s="39"/>
      <c r="AF16" s="41"/>
      <c r="AG16" s="41"/>
      <c r="AH16" s="41"/>
      <c r="AI16" s="43">
        <f t="shared" si="52"/>
        <v>0</v>
      </c>
      <c r="AJ16" s="43">
        <f t="shared" si="53"/>
        <v>0</v>
      </c>
      <c r="AK16" s="45">
        <f t="shared" si="54"/>
        <v>0</v>
      </c>
      <c r="AL16" s="39"/>
      <c r="AM16" s="41"/>
      <c r="AN16" s="41"/>
      <c r="AO16" s="41"/>
      <c r="AP16" s="43">
        <f t="shared" si="55"/>
        <v>0</v>
      </c>
      <c r="AQ16" s="43">
        <f t="shared" si="56"/>
        <v>0</v>
      </c>
      <c r="AR16" s="45">
        <f t="shared" si="57"/>
        <v>0</v>
      </c>
      <c r="AS16" s="39"/>
      <c r="AT16" s="41"/>
      <c r="AU16" s="41">
        <v>1</v>
      </c>
      <c r="AV16" s="41"/>
      <c r="AW16" s="43">
        <f t="shared" si="58"/>
        <v>1</v>
      </c>
      <c r="AX16" s="43">
        <f t="shared" si="59"/>
        <v>0</v>
      </c>
      <c r="AY16" s="45">
        <f t="shared" si="60"/>
        <v>1</v>
      </c>
      <c r="AZ16" s="39">
        <v>1</v>
      </c>
      <c r="BA16" s="41"/>
      <c r="BB16" s="41">
        <v>2</v>
      </c>
      <c r="BC16" s="41"/>
      <c r="BD16" s="43">
        <f t="shared" si="61"/>
        <v>5</v>
      </c>
      <c r="BE16" s="43">
        <f t="shared" si="62"/>
        <v>0</v>
      </c>
      <c r="BF16" s="45">
        <f t="shared" si="63"/>
        <v>5</v>
      </c>
      <c r="BG16" s="75"/>
      <c r="BH16" s="107"/>
      <c r="BI16" s="41">
        <v>3</v>
      </c>
      <c r="BJ16" s="41"/>
      <c r="BK16" s="43">
        <f t="shared" si="64"/>
        <v>3</v>
      </c>
      <c r="BL16" s="43">
        <f t="shared" si="65"/>
        <v>0</v>
      </c>
      <c r="BM16" s="106">
        <f t="shared" si="66"/>
        <v>3</v>
      </c>
      <c r="BN16" s="75"/>
      <c r="BO16" s="107">
        <v>1</v>
      </c>
      <c r="BP16" s="107">
        <v>3</v>
      </c>
      <c r="BQ16" s="107"/>
      <c r="BR16" s="43">
        <f t="shared" si="67"/>
        <v>3</v>
      </c>
      <c r="BS16" s="43">
        <f t="shared" si="68"/>
        <v>3</v>
      </c>
      <c r="BT16" s="106">
        <f t="shared" si="69"/>
        <v>6</v>
      </c>
      <c r="BU16" s="75">
        <v>1</v>
      </c>
      <c r="BV16" s="107"/>
      <c r="BW16" s="107">
        <v>1</v>
      </c>
      <c r="BX16" s="107"/>
      <c r="BY16" s="43">
        <f t="shared" si="70"/>
        <v>4</v>
      </c>
      <c r="BZ16" s="43">
        <f t="shared" si="71"/>
        <v>0</v>
      </c>
      <c r="CA16" s="106">
        <f t="shared" si="72"/>
        <v>4</v>
      </c>
      <c r="CB16" s="75"/>
      <c r="CC16" s="107"/>
      <c r="CD16" s="107">
        <v>1</v>
      </c>
      <c r="CE16" s="192"/>
      <c r="CF16" s="43">
        <f t="shared" si="73"/>
        <v>1</v>
      </c>
      <c r="CG16" s="43">
        <f t="shared" si="74"/>
        <v>0</v>
      </c>
      <c r="CH16" s="106">
        <f t="shared" si="75"/>
        <v>1</v>
      </c>
      <c r="CI16" s="107"/>
      <c r="CJ16" s="107"/>
      <c r="CK16" s="107">
        <v>2</v>
      </c>
      <c r="CL16" s="202"/>
      <c r="CM16" s="43">
        <f t="shared" si="41"/>
        <v>2</v>
      </c>
      <c r="CN16" s="43">
        <f t="shared" si="42"/>
        <v>0</v>
      </c>
      <c r="CO16" s="106">
        <f t="shared" si="43"/>
        <v>2</v>
      </c>
      <c r="CP16" s="275">
        <v>1</v>
      </c>
      <c r="CQ16" s="107"/>
      <c r="CR16" s="107">
        <v>1</v>
      </c>
      <c r="CS16" s="107"/>
      <c r="CT16" s="43">
        <f t="shared" si="1"/>
        <v>4</v>
      </c>
      <c r="CU16" s="43">
        <f t="shared" si="2"/>
        <v>0</v>
      </c>
      <c r="CV16" s="106">
        <f t="shared" si="3"/>
        <v>4</v>
      </c>
      <c r="CW16" s="75"/>
      <c r="CX16" s="107"/>
      <c r="CY16" s="107">
        <v>2</v>
      </c>
      <c r="CZ16" s="107"/>
      <c r="DA16" s="43">
        <f t="shared" si="4"/>
        <v>2</v>
      </c>
      <c r="DB16" s="43">
        <f t="shared" si="5"/>
        <v>0</v>
      </c>
      <c r="DC16" s="106">
        <f t="shared" si="6"/>
        <v>2</v>
      </c>
      <c r="DD16" s="75">
        <v>1</v>
      </c>
      <c r="DE16" s="107"/>
      <c r="DF16" s="107"/>
      <c r="DG16" s="107"/>
      <c r="DH16" s="43">
        <f t="shared" si="7"/>
        <v>3</v>
      </c>
      <c r="DI16" s="43">
        <f t="shared" si="8"/>
        <v>0</v>
      </c>
      <c r="DJ16" s="106">
        <f t="shared" si="9"/>
        <v>3</v>
      </c>
      <c r="DK16" s="179">
        <f t="shared" si="10"/>
        <v>28</v>
      </c>
      <c r="DL16" s="180">
        <f t="shared" ca="1" si="11"/>
        <v>9.556313993174062E-2</v>
      </c>
      <c r="DM16" s="181">
        <f t="shared" si="12"/>
        <v>3</v>
      </c>
      <c r="DN16" s="180">
        <f t="shared" ca="1" si="13"/>
        <v>1.0238907849829351E-2</v>
      </c>
      <c r="DO16" s="181">
        <f t="shared" si="14"/>
        <v>31</v>
      </c>
      <c r="DP16" s="180">
        <f t="shared" ca="1" si="15"/>
        <v>0.10580204778156997</v>
      </c>
      <c r="DQ16" s="181">
        <f t="shared" si="16"/>
        <v>4</v>
      </c>
      <c r="DR16" s="181">
        <f t="shared" si="17"/>
        <v>1</v>
      </c>
      <c r="DS16" s="181">
        <f t="shared" si="18"/>
        <v>5</v>
      </c>
    </row>
    <row r="17" spans="1:123" ht="15.75" thickBot="1" x14ac:dyDescent="0.3">
      <c r="A17" s="39">
        <v>474</v>
      </c>
      <c r="B17" s="62" t="s">
        <v>161</v>
      </c>
      <c r="C17" s="67" t="str">
        <f t="shared" si="0"/>
        <v>אתי 474</v>
      </c>
      <c r="D17" s="41" t="s">
        <v>6</v>
      </c>
      <c r="E17" s="55" t="s">
        <v>7</v>
      </c>
      <c r="F17" s="74" t="s">
        <v>193</v>
      </c>
      <c r="G17" s="72">
        <v>43101</v>
      </c>
      <c r="H17" s="74"/>
      <c r="I17" s="42"/>
      <c r="J17" s="133"/>
      <c r="K17" s="134"/>
      <c r="L17" s="134"/>
      <c r="M17" s="134"/>
      <c r="N17" s="135">
        <f t="shared" si="44"/>
        <v>0</v>
      </c>
      <c r="O17" s="135">
        <f t="shared" si="45"/>
        <v>0</v>
      </c>
      <c r="P17" s="44">
        <f t="shared" si="46"/>
        <v>0</v>
      </c>
      <c r="Q17" s="39"/>
      <c r="R17" s="41"/>
      <c r="S17" s="41"/>
      <c r="T17" s="41"/>
      <c r="U17" s="43">
        <f t="shared" si="47"/>
        <v>0</v>
      </c>
      <c r="V17" s="43">
        <f t="shared" si="48"/>
        <v>0</v>
      </c>
      <c r="W17" s="45">
        <f t="shared" si="76"/>
        <v>0</v>
      </c>
      <c r="X17" s="39"/>
      <c r="Y17" s="41"/>
      <c r="Z17" s="41"/>
      <c r="AA17" s="41"/>
      <c r="AB17" s="46">
        <f t="shared" si="49"/>
        <v>0</v>
      </c>
      <c r="AC17" s="46">
        <f t="shared" si="50"/>
        <v>0</v>
      </c>
      <c r="AD17" s="47">
        <f t="shared" si="51"/>
        <v>0</v>
      </c>
      <c r="AE17" s="39"/>
      <c r="AF17" s="41"/>
      <c r="AG17" s="41"/>
      <c r="AH17" s="41"/>
      <c r="AI17" s="43">
        <f t="shared" si="52"/>
        <v>0</v>
      </c>
      <c r="AJ17" s="43">
        <f t="shared" si="53"/>
        <v>0</v>
      </c>
      <c r="AK17" s="45">
        <f t="shared" si="54"/>
        <v>0</v>
      </c>
      <c r="AL17" s="39"/>
      <c r="AM17" s="41"/>
      <c r="AN17" s="41"/>
      <c r="AO17" s="41"/>
      <c r="AP17" s="43">
        <f t="shared" si="55"/>
        <v>0</v>
      </c>
      <c r="AQ17" s="43">
        <f t="shared" si="56"/>
        <v>0</v>
      </c>
      <c r="AR17" s="45">
        <f t="shared" si="57"/>
        <v>0</v>
      </c>
      <c r="AS17" s="39"/>
      <c r="AT17" s="41"/>
      <c r="AU17" s="41"/>
      <c r="AV17" s="41"/>
      <c r="AW17" s="43">
        <f t="shared" si="58"/>
        <v>0</v>
      </c>
      <c r="AX17" s="43">
        <f t="shared" si="59"/>
        <v>0</v>
      </c>
      <c r="AY17" s="45">
        <f t="shared" si="60"/>
        <v>0</v>
      </c>
      <c r="AZ17" s="39"/>
      <c r="BA17" s="41"/>
      <c r="BB17" s="41"/>
      <c r="BC17" s="41"/>
      <c r="BD17" s="43">
        <f t="shared" si="61"/>
        <v>0</v>
      </c>
      <c r="BE17" s="43">
        <f t="shared" si="62"/>
        <v>0</v>
      </c>
      <c r="BF17" s="45">
        <f t="shared" si="63"/>
        <v>0</v>
      </c>
      <c r="BG17" s="75">
        <v>1</v>
      </c>
      <c r="BH17" s="107"/>
      <c r="BI17" s="41"/>
      <c r="BJ17" s="41"/>
      <c r="BK17" s="43">
        <f t="shared" si="64"/>
        <v>3</v>
      </c>
      <c r="BL17" s="43">
        <f t="shared" si="65"/>
        <v>0</v>
      </c>
      <c r="BM17" s="106">
        <f t="shared" si="66"/>
        <v>3</v>
      </c>
      <c r="BN17" s="75"/>
      <c r="BO17" s="107"/>
      <c r="BP17" s="107">
        <v>4</v>
      </c>
      <c r="BQ17" s="107"/>
      <c r="BR17" s="43">
        <f t="shared" si="67"/>
        <v>4</v>
      </c>
      <c r="BS17" s="43">
        <f t="shared" si="68"/>
        <v>0</v>
      </c>
      <c r="BT17" s="106">
        <f t="shared" si="69"/>
        <v>4</v>
      </c>
      <c r="BU17" s="75"/>
      <c r="BV17" s="107"/>
      <c r="BW17" s="107">
        <v>3</v>
      </c>
      <c r="BX17" s="107"/>
      <c r="BY17" s="43">
        <f t="shared" si="70"/>
        <v>3</v>
      </c>
      <c r="BZ17" s="43">
        <f t="shared" si="71"/>
        <v>0</v>
      </c>
      <c r="CA17" s="106">
        <f t="shared" si="72"/>
        <v>3</v>
      </c>
      <c r="CB17" s="75">
        <v>1</v>
      </c>
      <c r="CC17" s="107"/>
      <c r="CD17" s="107">
        <v>1</v>
      </c>
      <c r="CE17" s="192"/>
      <c r="CF17" s="43">
        <f t="shared" si="73"/>
        <v>4</v>
      </c>
      <c r="CG17" s="43">
        <f t="shared" si="74"/>
        <v>0</v>
      </c>
      <c r="CH17" s="106">
        <f t="shared" si="75"/>
        <v>4</v>
      </c>
      <c r="CI17" s="107"/>
      <c r="CJ17" s="107"/>
      <c r="CK17" s="107">
        <v>1</v>
      </c>
      <c r="CL17" s="202">
        <v>1</v>
      </c>
      <c r="CM17" s="43">
        <f t="shared" si="41"/>
        <v>1</v>
      </c>
      <c r="CN17" s="43">
        <f t="shared" si="42"/>
        <v>1</v>
      </c>
      <c r="CO17" s="106">
        <f t="shared" si="43"/>
        <v>2</v>
      </c>
      <c r="CP17" s="275">
        <v>1</v>
      </c>
      <c r="CQ17" s="107"/>
      <c r="CR17" s="107">
        <v>1</v>
      </c>
      <c r="CS17" s="107"/>
      <c r="CT17" s="43">
        <f t="shared" si="1"/>
        <v>4</v>
      </c>
      <c r="CU17" s="43">
        <f t="shared" si="2"/>
        <v>0</v>
      </c>
      <c r="CV17" s="106">
        <f t="shared" si="3"/>
        <v>4</v>
      </c>
      <c r="CW17" s="75"/>
      <c r="CX17" s="107"/>
      <c r="CY17" s="107">
        <v>2</v>
      </c>
      <c r="CZ17" s="107"/>
      <c r="DA17" s="43">
        <f t="shared" si="4"/>
        <v>2</v>
      </c>
      <c r="DB17" s="43">
        <f t="shared" si="5"/>
        <v>0</v>
      </c>
      <c r="DC17" s="106">
        <f t="shared" si="6"/>
        <v>2</v>
      </c>
      <c r="DD17" s="75">
        <v>1</v>
      </c>
      <c r="DE17" s="107"/>
      <c r="DF17" s="107"/>
      <c r="DG17" s="107"/>
      <c r="DH17" s="43">
        <f t="shared" si="7"/>
        <v>3</v>
      </c>
      <c r="DI17" s="43">
        <f t="shared" si="8"/>
        <v>0</v>
      </c>
      <c r="DJ17" s="106">
        <f t="shared" si="9"/>
        <v>3</v>
      </c>
      <c r="DK17" s="179">
        <f t="shared" si="10"/>
        <v>24</v>
      </c>
      <c r="DL17" s="180">
        <f t="shared" ca="1" si="11"/>
        <v>0.10344827586206896</v>
      </c>
      <c r="DM17" s="181">
        <f t="shared" si="12"/>
        <v>1</v>
      </c>
      <c r="DN17" s="180">
        <f t="shared" ca="1" si="13"/>
        <v>4.3103448275862068E-3</v>
      </c>
      <c r="DO17" s="181">
        <f t="shared" si="14"/>
        <v>25</v>
      </c>
      <c r="DP17" s="180">
        <f t="shared" ca="1" si="15"/>
        <v>0.10775862068965517</v>
      </c>
      <c r="DQ17" s="181">
        <f t="shared" si="16"/>
        <v>4</v>
      </c>
      <c r="DR17" s="181">
        <f t="shared" si="17"/>
        <v>0</v>
      </c>
      <c r="DS17" s="181">
        <f t="shared" si="18"/>
        <v>4</v>
      </c>
    </row>
    <row r="18" spans="1:123" ht="15.75" thickBot="1" x14ac:dyDescent="0.3">
      <c r="A18" s="39">
        <v>474</v>
      </c>
      <c r="B18" s="62" t="s">
        <v>96</v>
      </c>
      <c r="C18" s="40" t="str">
        <f t="shared" si="0"/>
        <v>יהל אור 474</v>
      </c>
      <c r="D18" s="41" t="s">
        <v>6</v>
      </c>
      <c r="E18" s="41" t="s">
        <v>7</v>
      </c>
      <c r="F18" s="74" t="s">
        <v>188</v>
      </c>
      <c r="G18" s="72">
        <v>42917</v>
      </c>
      <c r="H18" s="48"/>
      <c r="I18" s="42"/>
      <c r="J18" s="133"/>
      <c r="K18" s="134"/>
      <c r="L18" s="134"/>
      <c r="M18" s="134"/>
      <c r="N18" s="135">
        <f t="shared" si="44"/>
        <v>0</v>
      </c>
      <c r="O18" s="135">
        <f t="shared" si="45"/>
        <v>0</v>
      </c>
      <c r="P18" s="44">
        <f t="shared" si="46"/>
        <v>0</v>
      </c>
      <c r="Q18" s="39"/>
      <c r="R18" s="41"/>
      <c r="S18" s="41">
        <v>4</v>
      </c>
      <c r="T18" s="41"/>
      <c r="U18" s="43">
        <f t="shared" si="47"/>
        <v>4</v>
      </c>
      <c r="V18" s="43">
        <f t="shared" si="48"/>
        <v>0</v>
      </c>
      <c r="W18" s="45">
        <f t="shared" si="76"/>
        <v>4</v>
      </c>
      <c r="X18" s="39">
        <v>1</v>
      </c>
      <c r="Y18" s="41"/>
      <c r="Z18" s="41">
        <v>1</v>
      </c>
      <c r="AA18" s="41"/>
      <c r="AB18" s="46">
        <f t="shared" si="49"/>
        <v>4</v>
      </c>
      <c r="AC18" s="46">
        <f t="shared" si="50"/>
        <v>0</v>
      </c>
      <c r="AD18" s="47">
        <f t="shared" si="51"/>
        <v>4</v>
      </c>
      <c r="AE18" s="39"/>
      <c r="AF18" s="41"/>
      <c r="AG18" s="41">
        <v>2</v>
      </c>
      <c r="AH18" s="41">
        <v>2</v>
      </c>
      <c r="AI18" s="43">
        <f t="shared" si="52"/>
        <v>2</v>
      </c>
      <c r="AJ18" s="43">
        <f t="shared" si="53"/>
        <v>2</v>
      </c>
      <c r="AK18" s="45">
        <f t="shared" si="54"/>
        <v>4</v>
      </c>
      <c r="AL18" s="39"/>
      <c r="AM18" s="41"/>
      <c r="AN18" s="41">
        <v>2</v>
      </c>
      <c r="AO18" s="41">
        <v>1</v>
      </c>
      <c r="AP18" s="43">
        <f t="shared" si="55"/>
        <v>2</v>
      </c>
      <c r="AQ18" s="43">
        <f t="shared" si="56"/>
        <v>1</v>
      </c>
      <c r="AR18" s="45">
        <f t="shared" si="57"/>
        <v>3</v>
      </c>
      <c r="AS18" s="39">
        <v>1</v>
      </c>
      <c r="AT18" s="41"/>
      <c r="AU18" s="41"/>
      <c r="AV18" s="41"/>
      <c r="AW18" s="43">
        <f t="shared" si="58"/>
        <v>3</v>
      </c>
      <c r="AX18" s="43">
        <f t="shared" si="59"/>
        <v>0</v>
      </c>
      <c r="AY18" s="45">
        <f t="shared" si="60"/>
        <v>3</v>
      </c>
      <c r="AZ18" s="39"/>
      <c r="BA18" s="41"/>
      <c r="BB18" s="41">
        <v>3</v>
      </c>
      <c r="BC18" s="41"/>
      <c r="BD18" s="43">
        <f t="shared" si="61"/>
        <v>3</v>
      </c>
      <c r="BE18" s="43">
        <f t="shared" si="62"/>
        <v>0</v>
      </c>
      <c r="BF18" s="45">
        <f t="shared" si="63"/>
        <v>3</v>
      </c>
      <c r="BG18" s="75">
        <v>1</v>
      </c>
      <c r="BH18" s="107"/>
      <c r="BI18" s="41"/>
      <c r="BJ18" s="41">
        <v>1</v>
      </c>
      <c r="BK18" s="43">
        <f t="shared" si="64"/>
        <v>3</v>
      </c>
      <c r="BL18" s="43">
        <f t="shared" si="65"/>
        <v>1</v>
      </c>
      <c r="BM18" s="106">
        <f t="shared" si="66"/>
        <v>4</v>
      </c>
      <c r="BN18" s="75">
        <v>1</v>
      </c>
      <c r="BO18" s="107"/>
      <c r="BP18" s="107">
        <v>3</v>
      </c>
      <c r="BQ18" s="107"/>
      <c r="BR18" s="43">
        <f t="shared" si="67"/>
        <v>6</v>
      </c>
      <c r="BS18" s="43">
        <f t="shared" si="68"/>
        <v>0</v>
      </c>
      <c r="BT18" s="106">
        <f t="shared" si="69"/>
        <v>6</v>
      </c>
      <c r="BU18" s="75"/>
      <c r="BV18" s="107"/>
      <c r="BW18" s="107">
        <v>1</v>
      </c>
      <c r="BX18" s="107">
        <v>1</v>
      </c>
      <c r="BY18" s="43">
        <f t="shared" si="70"/>
        <v>1</v>
      </c>
      <c r="BZ18" s="43">
        <f t="shared" si="71"/>
        <v>1</v>
      </c>
      <c r="CA18" s="106">
        <f t="shared" si="72"/>
        <v>2</v>
      </c>
      <c r="CB18" s="75"/>
      <c r="CC18" s="107"/>
      <c r="CD18" s="107">
        <v>2</v>
      </c>
      <c r="CE18" s="192"/>
      <c r="CF18" s="43">
        <f t="shared" si="73"/>
        <v>2</v>
      </c>
      <c r="CG18" s="43">
        <f t="shared" si="74"/>
        <v>0</v>
      </c>
      <c r="CH18" s="106">
        <f t="shared" si="75"/>
        <v>2</v>
      </c>
      <c r="CI18" s="107">
        <v>1</v>
      </c>
      <c r="CJ18" s="107"/>
      <c r="CK18" s="107"/>
      <c r="CL18" s="202"/>
      <c r="CM18" s="43">
        <f t="shared" si="41"/>
        <v>3</v>
      </c>
      <c r="CN18" s="43">
        <f t="shared" si="42"/>
        <v>0</v>
      </c>
      <c r="CO18" s="106">
        <f t="shared" si="43"/>
        <v>3</v>
      </c>
      <c r="CP18" s="275"/>
      <c r="CQ18" s="107"/>
      <c r="CR18" s="107">
        <v>1</v>
      </c>
      <c r="CS18" s="107"/>
      <c r="CT18" s="43">
        <f t="shared" si="1"/>
        <v>1</v>
      </c>
      <c r="CU18" s="43">
        <f t="shared" si="2"/>
        <v>0</v>
      </c>
      <c r="CV18" s="106">
        <f t="shared" si="3"/>
        <v>1</v>
      </c>
      <c r="CW18" s="75"/>
      <c r="CX18" s="107"/>
      <c r="CY18" s="107">
        <v>2</v>
      </c>
      <c r="CZ18" s="107"/>
      <c r="DA18" s="43">
        <f t="shared" si="4"/>
        <v>2</v>
      </c>
      <c r="DB18" s="43">
        <f t="shared" si="5"/>
        <v>0</v>
      </c>
      <c r="DC18" s="106">
        <f t="shared" si="6"/>
        <v>2</v>
      </c>
      <c r="DD18" s="75">
        <v>1</v>
      </c>
      <c r="DE18" s="107"/>
      <c r="DF18" s="107"/>
      <c r="DG18" s="107"/>
      <c r="DH18" s="43">
        <f t="shared" si="7"/>
        <v>3</v>
      </c>
      <c r="DI18" s="43">
        <f t="shared" si="8"/>
        <v>0</v>
      </c>
      <c r="DJ18" s="106">
        <f t="shared" si="9"/>
        <v>3</v>
      </c>
      <c r="DK18" s="179">
        <f t="shared" si="10"/>
        <v>39</v>
      </c>
      <c r="DL18" s="180">
        <f t="shared" ca="1" si="11"/>
        <v>9.375E-2</v>
      </c>
      <c r="DM18" s="181">
        <f t="shared" si="12"/>
        <v>5</v>
      </c>
      <c r="DN18" s="180">
        <f t="shared" ca="1" si="13"/>
        <v>1.201923076923077E-2</v>
      </c>
      <c r="DO18" s="181">
        <f t="shared" si="14"/>
        <v>44</v>
      </c>
      <c r="DP18" s="180">
        <f t="shared" ca="1" si="15"/>
        <v>0.10576923076923077</v>
      </c>
      <c r="DQ18" s="181">
        <f t="shared" si="16"/>
        <v>6</v>
      </c>
      <c r="DR18" s="181">
        <f t="shared" si="17"/>
        <v>0</v>
      </c>
      <c r="DS18" s="181">
        <f t="shared" si="18"/>
        <v>6</v>
      </c>
    </row>
    <row r="19" spans="1:123" ht="15.75" thickBot="1" x14ac:dyDescent="0.3">
      <c r="A19" s="39">
        <v>474</v>
      </c>
      <c r="B19" s="62" t="s">
        <v>220</v>
      </c>
      <c r="C19" s="67" t="str">
        <f t="shared" si="0"/>
        <v>לירוז 474</v>
      </c>
      <c r="D19" s="55" t="s">
        <v>6</v>
      </c>
      <c r="E19" s="55" t="s">
        <v>7</v>
      </c>
      <c r="F19" s="74" t="s">
        <v>221</v>
      </c>
      <c r="G19" s="72">
        <v>43191</v>
      </c>
      <c r="H19" s="115"/>
      <c r="I19" s="42"/>
      <c r="J19" s="133"/>
      <c r="K19" s="134"/>
      <c r="L19" s="134"/>
      <c r="M19" s="134"/>
      <c r="N19" s="135">
        <f t="shared" si="44"/>
        <v>0</v>
      </c>
      <c r="O19" s="135">
        <f t="shared" si="45"/>
        <v>0</v>
      </c>
      <c r="P19" s="44">
        <f t="shared" si="46"/>
        <v>0</v>
      </c>
      <c r="Q19" s="39"/>
      <c r="R19" s="41"/>
      <c r="S19" s="41"/>
      <c r="T19" s="41"/>
      <c r="U19" s="43">
        <f t="shared" si="47"/>
        <v>0</v>
      </c>
      <c r="V19" s="43">
        <f t="shared" si="48"/>
        <v>0</v>
      </c>
      <c r="W19" s="45">
        <f t="shared" si="76"/>
        <v>0</v>
      </c>
      <c r="X19" s="39"/>
      <c r="Y19" s="41"/>
      <c r="Z19" s="41"/>
      <c r="AA19" s="41"/>
      <c r="AB19" s="46">
        <f t="shared" si="49"/>
        <v>0</v>
      </c>
      <c r="AC19" s="46">
        <f t="shared" si="50"/>
        <v>0</v>
      </c>
      <c r="AD19" s="47">
        <f t="shared" si="51"/>
        <v>0</v>
      </c>
      <c r="AE19" s="39"/>
      <c r="AF19" s="41"/>
      <c r="AG19" s="41"/>
      <c r="AH19" s="41"/>
      <c r="AI19" s="43">
        <f t="shared" si="52"/>
        <v>0</v>
      </c>
      <c r="AJ19" s="43">
        <f t="shared" si="53"/>
        <v>0</v>
      </c>
      <c r="AK19" s="45">
        <f t="shared" si="54"/>
        <v>0</v>
      </c>
      <c r="AL19" s="39"/>
      <c r="AM19" s="41"/>
      <c r="AN19" s="41"/>
      <c r="AO19" s="41"/>
      <c r="AP19" s="43">
        <f t="shared" si="55"/>
        <v>0</v>
      </c>
      <c r="AQ19" s="43">
        <f t="shared" si="56"/>
        <v>0</v>
      </c>
      <c r="AR19" s="45">
        <f t="shared" si="57"/>
        <v>0</v>
      </c>
      <c r="AS19" s="39"/>
      <c r="AT19" s="41"/>
      <c r="AU19" s="41"/>
      <c r="AV19" s="41"/>
      <c r="AW19" s="43">
        <f t="shared" si="58"/>
        <v>0</v>
      </c>
      <c r="AX19" s="43">
        <f t="shared" si="59"/>
        <v>0</v>
      </c>
      <c r="AY19" s="45">
        <f t="shared" si="60"/>
        <v>0</v>
      </c>
      <c r="AZ19" s="39"/>
      <c r="BA19" s="41"/>
      <c r="BB19" s="41"/>
      <c r="BC19" s="41"/>
      <c r="BD19" s="43">
        <f t="shared" si="61"/>
        <v>0</v>
      </c>
      <c r="BE19" s="43">
        <f t="shared" si="62"/>
        <v>0</v>
      </c>
      <c r="BF19" s="45">
        <f t="shared" si="63"/>
        <v>0</v>
      </c>
      <c r="BG19" s="75"/>
      <c r="BH19" s="107"/>
      <c r="BI19" s="41"/>
      <c r="BJ19" s="41"/>
      <c r="BK19" s="43">
        <f t="shared" si="64"/>
        <v>0</v>
      </c>
      <c r="BL19" s="43">
        <f t="shared" si="65"/>
        <v>0</v>
      </c>
      <c r="BM19" s="106">
        <f t="shared" si="66"/>
        <v>0</v>
      </c>
      <c r="BN19" s="75"/>
      <c r="BO19" s="107"/>
      <c r="BP19" s="107"/>
      <c r="BQ19" s="107"/>
      <c r="BR19" s="43">
        <f t="shared" si="67"/>
        <v>0</v>
      </c>
      <c r="BS19" s="43">
        <f t="shared" si="68"/>
        <v>0</v>
      </c>
      <c r="BT19" s="106">
        <f t="shared" si="69"/>
        <v>0</v>
      </c>
      <c r="BU19" s="75"/>
      <c r="BV19" s="107"/>
      <c r="BW19" s="107"/>
      <c r="BX19" s="107"/>
      <c r="BY19" s="43">
        <f t="shared" si="70"/>
        <v>0</v>
      </c>
      <c r="BZ19" s="43">
        <f t="shared" si="71"/>
        <v>0</v>
      </c>
      <c r="CA19" s="106">
        <f t="shared" si="72"/>
        <v>0</v>
      </c>
      <c r="CB19" s="75">
        <v>1</v>
      </c>
      <c r="CC19" s="107"/>
      <c r="CD19" s="107">
        <v>1</v>
      </c>
      <c r="CE19" s="192"/>
      <c r="CF19" s="43">
        <f t="shared" si="73"/>
        <v>4</v>
      </c>
      <c r="CG19" s="43">
        <f t="shared" si="74"/>
        <v>0</v>
      </c>
      <c r="CH19" s="106">
        <f t="shared" si="75"/>
        <v>4</v>
      </c>
      <c r="CI19" s="107"/>
      <c r="CJ19" s="107"/>
      <c r="CK19" s="107">
        <v>2</v>
      </c>
      <c r="CL19" s="202"/>
      <c r="CM19" s="43">
        <f t="shared" si="41"/>
        <v>2</v>
      </c>
      <c r="CN19" s="43">
        <f t="shared" si="42"/>
        <v>0</v>
      </c>
      <c r="CO19" s="106">
        <f t="shared" si="43"/>
        <v>2</v>
      </c>
      <c r="CP19" s="275"/>
      <c r="CQ19" s="107"/>
      <c r="CR19" s="107">
        <v>3</v>
      </c>
      <c r="CS19" s="107">
        <v>1</v>
      </c>
      <c r="CT19" s="43">
        <f t="shared" si="1"/>
        <v>3</v>
      </c>
      <c r="CU19" s="43">
        <f t="shared" si="2"/>
        <v>1</v>
      </c>
      <c r="CV19" s="106">
        <f t="shared" si="3"/>
        <v>4</v>
      </c>
      <c r="CW19" s="75">
        <v>1</v>
      </c>
      <c r="CX19" s="107"/>
      <c r="CY19" s="107"/>
      <c r="CZ19" s="107"/>
      <c r="DA19" s="43">
        <f t="shared" si="4"/>
        <v>3</v>
      </c>
      <c r="DB19" s="43">
        <f t="shared" si="5"/>
        <v>0</v>
      </c>
      <c r="DC19" s="106">
        <f t="shared" si="6"/>
        <v>3</v>
      </c>
      <c r="DD19" s="75"/>
      <c r="DE19" s="107"/>
      <c r="DF19" s="107"/>
      <c r="DG19" s="107"/>
      <c r="DH19" s="43">
        <f t="shared" si="7"/>
        <v>0</v>
      </c>
      <c r="DI19" s="43">
        <f t="shared" si="8"/>
        <v>0</v>
      </c>
      <c r="DJ19" s="106">
        <f t="shared" si="9"/>
        <v>0</v>
      </c>
      <c r="DK19" s="179">
        <f t="shared" si="10"/>
        <v>12</v>
      </c>
      <c r="DL19" s="180">
        <f t="shared" ca="1" si="11"/>
        <v>8.4507042253521125E-2</v>
      </c>
      <c r="DM19" s="181">
        <f t="shared" si="12"/>
        <v>1</v>
      </c>
      <c r="DN19" s="180">
        <f t="shared" ca="1" si="13"/>
        <v>7.0422535211267607E-3</v>
      </c>
      <c r="DO19" s="181">
        <f t="shared" si="14"/>
        <v>13</v>
      </c>
      <c r="DP19" s="180">
        <f t="shared" ca="1" si="15"/>
        <v>9.154929577464789E-2</v>
      </c>
      <c r="DQ19" s="181">
        <f t="shared" si="16"/>
        <v>2</v>
      </c>
      <c r="DR19" s="181">
        <f t="shared" si="17"/>
        <v>0</v>
      </c>
      <c r="DS19" s="181">
        <f t="shared" si="18"/>
        <v>2</v>
      </c>
    </row>
    <row r="20" spans="1:123" ht="15.75" thickBot="1" x14ac:dyDescent="0.3">
      <c r="A20" s="39">
        <v>474</v>
      </c>
      <c r="B20" s="40" t="s">
        <v>5</v>
      </c>
      <c r="C20" s="67" t="str">
        <f t="shared" si="0"/>
        <v>מאי 474</v>
      </c>
      <c r="D20" s="55" t="s">
        <v>7</v>
      </c>
      <c r="E20" s="55" t="s">
        <v>7</v>
      </c>
      <c r="F20" s="74" t="s">
        <v>190</v>
      </c>
      <c r="G20" s="72">
        <v>42979</v>
      </c>
      <c r="H20" s="48"/>
      <c r="I20" s="42"/>
      <c r="J20" s="133"/>
      <c r="K20" s="134"/>
      <c r="L20" s="134"/>
      <c r="M20" s="134"/>
      <c r="N20" s="135">
        <f t="shared" si="44"/>
        <v>0</v>
      </c>
      <c r="O20" s="135">
        <f t="shared" si="45"/>
        <v>0</v>
      </c>
      <c r="P20" s="44">
        <f t="shared" si="46"/>
        <v>0</v>
      </c>
      <c r="Q20" s="39"/>
      <c r="R20" s="41"/>
      <c r="S20" s="41"/>
      <c r="T20" s="41"/>
      <c r="U20" s="43">
        <f t="shared" si="47"/>
        <v>0</v>
      </c>
      <c r="V20" s="43">
        <f t="shared" si="48"/>
        <v>0</v>
      </c>
      <c r="W20" s="45">
        <f t="shared" si="76"/>
        <v>0</v>
      </c>
      <c r="X20" s="39"/>
      <c r="Y20" s="41"/>
      <c r="Z20" s="41"/>
      <c r="AA20" s="41"/>
      <c r="AB20" s="46">
        <f t="shared" si="49"/>
        <v>0</v>
      </c>
      <c r="AC20" s="46">
        <f t="shared" si="50"/>
        <v>0</v>
      </c>
      <c r="AD20" s="47">
        <f t="shared" si="51"/>
        <v>0</v>
      </c>
      <c r="AE20" s="39">
        <v>1</v>
      </c>
      <c r="AF20" s="41"/>
      <c r="AG20" s="41">
        <v>2</v>
      </c>
      <c r="AH20" s="41"/>
      <c r="AI20" s="43">
        <f t="shared" si="52"/>
        <v>5</v>
      </c>
      <c r="AJ20" s="43">
        <f t="shared" si="53"/>
        <v>0</v>
      </c>
      <c r="AK20" s="45">
        <f t="shared" si="54"/>
        <v>5</v>
      </c>
      <c r="AL20" s="39">
        <v>1</v>
      </c>
      <c r="AM20" s="41"/>
      <c r="AN20" s="41"/>
      <c r="AO20" s="41"/>
      <c r="AP20" s="43">
        <f t="shared" si="55"/>
        <v>3</v>
      </c>
      <c r="AQ20" s="43">
        <f t="shared" si="56"/>
        <v>0</v>
      </c>
      <c r="AR20" s="45">
        <f t="shared" si="57"/>
        <v>3</v>
      </c>
      <c r="AS20" s="39"/>
      <c r="AT20" s="41"/>
      <c r="AU20" s="41"/>
      <c r="AV20" s="41">
        <v>2</v>
      </c>
      <c r="AW20" s="43">
        <f t="shared" si="58"/>
        <v>0</v>
      </c>
      <c r="AX20" s="43">
        <f t="shared" si="59"/>
        <v>2</v>
      </c>
      <c r="AY20" s="45">
        <f t="shared" si="60"/>
        <v>2</v>
      </c>
      <c r="AZ20" s="39"/>
      <c r="BA20" s="41">
        <v>1</v>
      </c>
      <c r="BB20" s="41"/>
      <c r="BC20" s="41">
        <v>2</v>
      </c>
      <c r="BD20" s="43">
        <f t="shared" si="61"/>
        <v>0</v>
      </c>
      <c r="BE20" s="43">
        <f t="shared" si="62"/>
        <v>5</v>
      </c>
      <c r="BF20" s="45">
        <f t="shared" si="63"/>
        <v>5</v>
      </c>
      <c r="BG20" s="75"/>
      <c r="BH20" s="107">
        <v>1</v>
      </c>
      <c r="BI20" s="107"/>
      <c r="BJ20" s="41">
        <v>1</v>
      </c>
      <c r="BK20" s="43">
        <f t="shared" si="64"/>
        <v>0</v>
      </c>
      <c r="BL20" s="43">
        <f t="shared" si="65"/>
        <v>4</v>
      </c>
      <c r="BM20" s="106">
        <f t="shared" si="66"/>
        <v>4</v>
      </c>
      <c r="BN20" s="75"/>
      <c r="BO20" s="107">
        <v>1</v>
      </c>
      <c r="BP20" s="107"/>
      <c r="BQ20" s="107">
        <v>1</v>
      </c>
      <c r="BR20" s="43">
        <f t="shared" si="67"/>
        <v>0</v>
      </c>
      <c r="BS20" s="43">
        <f t="shared" si="68"/>
        <v>4</v>
      </c>
      <c r="BT20" s="106">
        <f t="shared" si="69"/>
        <v>4</v>
      </c>
      <c r="BU20" s="75"/>
      <c r="BV20" s="107"/>
      <c r="BW20" s="107"/>
      <c r="BX20" s="107">
        <v>2</v>
      </c>
      <c r="BY20" s="43">
        <f t="shared" si="70"/>
        <v>0</v>
      </c>
      <c r="BZ20" s="43">
        <f t="shared" si="71"/>
        <v>2</v>
      </c>
      <c r="CA20" s="106">
        <f t="shared" si="72"/>
        <v>2</v>
      </c>
      <c r="CB20" s="75"/>
      <c r="CC20" s="107"/>
      <c r="CD20" s="107"/>
      <c r="CE20" s="192">
        <v>3</v>
      </c>
      <c r="CF20" s="43">
        <f t="shared" si="73"/>
        <v>0</v>
      </c>
      <c r="CG20" s="43">
        <f t="shared" si="74"/>
        <v>3</v>
      </c>
      <c r="CH20" s="106">
        <f t="shared" si="75"/>
        <v>3</v>
      </c>
      <c r="CI20" s="107"/>
      <c r="CJ20" s="107">
        <v>1</v>
      </c>
      <c r="CK20" s="107"/>
      <c r="CL20" s="202">
        <v>1</v>
      </c>
      <c r="CM20" s="43">
        <f t="shared" si="41"/>
        <v>0</v>
      </c>
      <c r="CN20" s="43">
        <f t="shared" si="42"/>
        <v>4</v>
      </c>
      <c r="CO20" s="106">
        <f t="shared" si="43"/>
        <v>4</v>
      </c>
      <c r="CP20" s="275"/>
      <c r="CQ20" s="107"/>
      <c r="CR20" s="107"/>
      <c r="CS20" s="107">
        <v>2</v>
      </c>
      <c r="CT20" s="43">
        <f t="shared" si="1"/>
        <v>0</v>
      </c>
      <c r="CU20" s="43">
        <f t="shared" si="2"/>
        <v>2</v>
      </c>
      <c r="CV20" s="106">
        <f t="shared" si="3"/>
        <v>2</v>
      </c>
      <c r="CW20" s="75"/>
      <c r="CX20" s="107">
        <v>1</v>
      </c>
      <c r="CY20" s="107"/>
      <c r="CZ20" s="107"/>
      <c r="DA20" s="43">
        <f t="shared" si="4"/>
        <v>0</v>
      </c>
      <c r="DB20" s="43">
        <f t="shared" si="5"/>
        <v>3</v>
      </c>
      <c r="DC20" s="106">
        <f t="shared" si="6"/>
        <v>3</v>
      </c>
      <c r="DD20" s="75"/>
      <c r="DE20" s="107"/>
      <c r="DF20" s="107"/>
      <c r="DG20" s="107"/>
      <c r="DH20" s="43">
        <f t="shared" si="7"/>
        <v>0</v>
      </c>
      <c r="DI20" s="43">
        <f t="shared" si="8"/>
        <v>0</v>
      </c>
      <c r="DJ20" s="106">
        <f t="shared" si="9"/>
        <v>0</v>
      </c>
      <c r="DK20" s="179">
        <f t="shared" si="10"/>
        <v>8</v>
      </c>
      <c r="DL20" s="180">
        <f t="shared" ca="1" si="11"/>
        <v>2.2598870056497175E-2</v>
      </c>
      <c r="DM20" s="181">
        <f t="shared" si="12"/>
        <v>29</v>
      </c>
      <c r="DN20" s="180">
        <f t="shared" ca="1" si="13"/>
        <v>8.1920903954802254E-2</v>
      </c>
      <c r="DO20" s="181">
        <f t="shared" si="14"/>
        <v>37</v>
      </c>
      <c r="DP20" s="180">
        <f t="shared" ca="1" si="15"/>
        <v>0.10451977401129943</v>
      </c>
      <c r="DQ20" s="181">
        <f t="shared" si="16"/>
        <v>2</v>
      </c>
      <c r="DR20" s="181">
        <f t="shared" si="17"/>
        <v>5</v>
      </c>
      <c r="DS20" s="181">
        <f t="shared" si="18"/>
        <v>7</v>
      </c>
    </row>
    <row r="21" spans="1:123" ht="15.75" thickBot="1" x14ac:dyDescent="0.3">
      <c r="A21" s="39">
        <v>474</v>
      </c>
      <c r="B21" s="62" t="s">
        <v>219</v>
      </c>
      <c r="C21" s="67" t="str">
        <f t="shared" si="0"/>
        <v>רוני 474</v>
      </c>
      <c r="D21" s="55" t="s">
        <v>6</v>
      </c>
      <c r="E21" s="55" t="s">
        <v>7</v>
      </c>
      <c r="F21" s="74" t="s">
        <v>221</v>
      </c>
      <c r="G21" s="72">
        <v>43191</v>
      </c>
      <c r="H21" s="115"/>
      <c r="I21" s="42"/>
      <c r="J21" s="133"/>
      <c r="K21" s="134"/>
      <c r="L21" s="134"/>
      <c r="M21" s="134"/>
      <c r="N21" s="135">
        <f t="shared" si="44"/>
        <v>0</v>
      </c>
      <c r="O21" s="135">
        <f t="shared" si="45"/>
        <v>0</v>
      </c>
      <c r="P21" s="44">
        <f t="shared" si="46"/>
        <v>0</v>
      </c>
      <c r="Q21" s="39"/>
      <c r="R21" s="41"/>
      <c r="S21" s="41"/>
      <c r="T21" s="41"/>
      <c r="U21" s="43">
        <f t="shared" si="47"/>
        <v>0</v>
      </c>
      <c r="V21" s="43">
        <f t="shared" si="48"/>
        <v>0</v>
      </c>
      <c r="W21" s="45">
        <f t="shared" si="76"/>
        <v>0</v>
      </c>
      <c r="X21" s="39"/>
      <c r="Y21" s="41"/>
      <c r="Z21" s="41"/>
      <c r="AA21" s="41"/>
      <c r="AB21" s="46">
        <f t="shared" si="49"/>
        <v>0</v>
      </c>
      <c r="AC21" s="46">
        <f t="shared" si="50"/>
        <v>0</v>
      </c>
      <c r="AD21" s="47">
        <f t="shared" si="51"/>
        <v>0</v>
      </c>
      <c r="AE21" s="39"/>
      <c r="AF21" s="41"/>
      <c r="AG21" s="41"/>
      <c r="AH21" s="41"/>
      <c r="AI21" s="43">
        <f t="shared" si="52"/>
        <v>0</v>
      </c>
      <c r="AJ21" s="43">
        <f t="shared" si="53"/>
        <v>0</v>
      </c>
      <c r="AK21" s="45">
        <f t="shared" si="54"/>
        <v>0</v>
      </c>
      <c r="AL21" s="39"/>
      <c r="AM21" s="41"/>
      <c r="AN21" s="41"/>
      <c r="AO21" s="41"/>
      <c r="AP21" s="43">
        <f t="shared" si="55"/>
        <v>0</v>
      </c>
      <c r="AQ21" s="43">
        <f t="shared" si="56"/>
        <v>0</v>
      </c>
      <c r="AR21" s="45">
        <f t="shared" si="57"/>
        <v>0</v>
      </c>
      <c r="AS21" s="39"/>
      <c r="AT21" s="41"/>
      <c r="AU21" s="41"/>
      <c r="AV21" s="41"/>
      <c r="AW21" s="43">
        <f t="shared" si="58"/>
        <v>0</v>
      </c>
      <c r="AX21" s="43">
        <f t="shared" si="59"/>
        <v>0</v>
      </c>
      <c r="AY21" s="45">
        <f t="shared" si="60"/>
        <v>0</v>
      </c>
      <c r="AZ21" s="39"/>
      <c r="BA21" s="41"/>
      <c r="BB21" s="41"/>
      <c r="BC21" s="41"/>
      <c r="BD21" s="43">
        <f t="shared" si="61"/>
        <v>0</v>
      </c>
      <c r="BE21" s="43">
        <f t="shared" si="62"/>
        <v>0</v>
      </c>
      <c r="BF21" s="45">
        <f t="shared" si="63"/>
        <v>0</v>
      </c>
      <c r="BG21" s="75"/>
      <c r="BH21" s="107"/>
      <c r="BI21" s="41"/>
      <c r="BJ21" s="41"/>
      <c r="BK21" s="43">
        <f t="shared" si="64"/>
        <v>0</v>
      </c>
      <c r="BL21" s="43">
        <f t="shared" si="65"/>
        <v>0</v>
      </c>
      <c r="BM21" s="106">
        <f t="shared" si="66"/>
        <v>0</v>
      </c>
      <c r="BN21" s="75"/>
      <c r="BO21" s="107"/>
      <c r="BP21" s="107"/>
      <c r="BQ21" s="107"/>
      <c r="BR21" s="43">
        <f t="shared" si="67"/>
        <v>0</v>
      </c>
      <c r="BS21" s="43">
        <f t="shared" si="68"/>
        <v>0</v>
      </c>
      <c r="BT21" s="106">
        <f t="shared" si="69"/>
        <v>0</v>
      </c>
      <c r="BU21" s="75"/>
      <c r="BV21" s="107"/>
      <c r="BW21" s="107">
        <v>1</v>
      </c>
      <c r="BX21" s="107"/>
      <c r="BY21" s="43">
        <f t="shared" si="70"/>
        <v>1</v>
      </c>
      <c r="BZ21" s="43">
        <f t="shared" si="71"/>
        <v>0</v>
      </c>
      <c r="CA21" s="106">
        <f t="shared" si="72"/>
        <v>1</v>
      </c>
      <c r="CB21" s="75"/>
      <c r="CC21" s="107"/>
      <c r="CD21" s="107">
        <v>2</v>
      </c>
      <c r="CE21" s="192"/>
      <c r="CF21" s="43">
        <f t="shared" si="73"/>
        <v>2</v>
      </c>
      <c r="CG21" s="43">
        <f t="shared" si="74"/>
        <v>0</v>
      </c>
      <c r="CH21" s="106">
        <f t="shared" si="75"/>
        <v>2</v>
      </c>
      <c r="CI21" s="107">
        <v>1</v>
      </c>
      <c r="CJ21" s="107"/>
      <c r="CK21" s="107"/>
      <c r="CL21" s="202"/>
      <c r="CM21" s="43">
        <f t="shared" si="41"/>
        <v>3</v>
      </c>
      <c r="CN21" s="43">
        <f t="shared" si="42"/>
        <v>0</v>
      </c>
      <c r="CO21" s="106">
        <f t="shared" si="43"/>
        <v>3</v>
      </c>
      <c r="CP21" s="275"/>
      <c r="CQ21" s="107"/>
      <c r="CR21" s="107">
        <v>3</v>
      </c>
      <c r="CS21" s="107">
        <v>1</v>
      </c>
      <c r="CT21" s="43">
        <f t="shared" si="1"/>
        <v>3</v>
      </c>
      <c r="CU21" s="43">
        <f t="shared" si="2"/>
        <v>1</v>
      </c>
      <c r="CV21" s="106">
        <f t="shared" si="3"/>
        <v>4</v>
      </c>
      <c r="CW21" s="75">
        <v>1</v>
      </c>
      <c r="CX21" s="107"/>
      <c r="CY21" s="107"/>
      <c r="CZ21" s="107"/>
      <c r="DA21" s="43">
        <f t="shared" si="4"/>
        <v>3</v>
      </c>
      <c r="DB21" s="43">
        <f t="shared" si="5"/>
        <v>0</v>
      </c>
      <c r="DC21" s="106">
        <f t="shared" si="6"/>
        <v>3</v>
      </c>
      <c r="DD21" s="75"/>
      <c r="DE21" s="107"/>
      <c r="DF21" s="107"/>
      <c r="DG21" s="107"/>
      <c r="DH21" s="43">
        <f t="shared" si="7"/>
        <v>0</v>
      </c>
      <c r="DI21" s="43">
        <f t="shared" si="8"/>
        <v>0</v>
      </c>
      <c r="DJ21" s="106">
        <f t="shared" si="9"/>
        <v>0</v>
      </c>
      <c r="DK21" s="179">
        <f t="shared" si="10"/>
        <v>12</v>
      </c>
      <c r="DL21" s="180">
        <f t="shared" ca="1" si="11"/>
        <v>8.4507042253521125E-2</v>
      </c>
      <c r="DM21" s="181">
        <f t="shared" si="12"/>
        <v>1</v>
      </c>
      <c r="DN21" s="180">
        <f t="shared" ca="1" si="13"/>
        <v>7.0422535211267607E-3</v>
      </c>
      <c r="DO21" s="181">
        <f t="shared" si="14"/>
        <v>13</v>
      </c>
      <c r="DP21" s="180">
        <f t="shared" ca="1" si="15"/>
        <v>9.154929577464789E-2</v>
      </c>
      <c r="DQ21" s="181">
        <f t="shared" si="16"/>
        <v>2</v>
      </c>
      <c r="DR21" s="181">
        <f t="shared" si="17"/>
        <v>0</v>
      </c>
      <c r="DS21" s="181">
        <f t="shared" si="18"/>
        <v>2</v>
      </c>
    </row>
    <row r="22" spans="1:123" ht="15.75" thickBot="1" x14ac:dyDescent="0.3">
      <c r="A22" s="39">
        <v>474</v>
      </c>
      <c r="B22" s="62" t="s">
        <v>162</v>
      </c>
      <c r="C22" s="67" t="str">
        <f t="shared" si="0"/>
        <v>שובל 474</v>
      </c>
      <c r="D22" s="55" t="s">
        <v>7</v>
      </c>
      <c r="E22" s="55" t="s">
        <v>7</v>
      </c>
      <c r="F22" s="74" t="s">
        <v>193</v>
      </c>
      <c r="G22" s="72">
        <v>43101</v>
      </c>
      <c r="H22" s="74"/>
      <c r="I22" s="42"/>
      <c r="J22" s="133"/>
      <c r="K22" s="134"/>
      <c r="L22" s="134"/>
      <c r="M22" s="134"/>
      <c r="N22" s="135">
        <f t="shared" si="44"/>
        <v>0</v>
      </c>
      <c r="O22" s="135">
        <f t="shared" si="45"/>
        <v>0</v>
      </c>
      <c r="P22" s="44">
        <f t="shared" si="46"/>
        <v>0</v>
      </c>
      <c r="Q22" s="39"/>
      <c r="R22" s="41"/>
      <c r="S22" s="41"/>
      <c r="T22" s="41"/>
      <c r="U22" s="43">
        <f t="shared" si="47"/>
        <v>0</v>
      </c>
      <c r="V22" s="43">
        <f t="shared" si="48"/>
        <v>0</v>
      </c>
      <c r="W22" s="45">
        <f t="shared" si="76"/>
        <v>0</v>
      </c>
      <c r="X22" s="39"/>
      <c r="Y22" s="41"/>
      <c r="Z22" s="41"/>
      <c r="AA22" s="41"/>
      <c r="AB22" s="46">
        <f t="shared" si="49"/>
        <v>0</v>
      </c>
      <c r="AC22" s="46">
        <f t="shared" si="50"/>
        <v>0</v>
      </c>
      <c r="AD22" s="47">
        <f t="shared" si="51"/>
        <v>0</v>
      </c>
      <c r="AE22" s="39"/>
      <c r="AF22" s="41"/>
      <c r="AG22" s="41"/>
      <c r="AH22" s="41"/>
      <c r="AI22" s="43">
        <f t="shared" si="52"/>
        <v>0</v>
      </c>
      <c r="AJ22" s="43">
        <f t="shared" si="53"/>
        <v>0</v>
      </c>
      <c r="AK22" s="45">
        <f t="shared" si="54"/>
        <v>0</v>
      </c>
      <c r="AL22" s="39"/>
      <c r="AM22" s="41"/>
      <c r="AN22" s="41"/>
      <c r="AO22" s="41"/>
      <c r="AP22" s="43">
        <f t="shared" si="55"/>
        <v>0</v>
      </c>
      <c r="AQ22" s="43">
        <f t="shared" si="56"/>
        <v>0</v>
      </c>
      <c r="AR22" s="45">
        <f t="shared" si="57"/>
        <v>0</v>
      </c>
      <c r="AS22" s="39"/>
      <c r="AT22" s="41"/>
      <c r="AU22" s="41"/>
      <c r="AV22" s="41"/>
      <c r="AW22" s="43">
        <f t="shared" si="58"/>
        <v>0</v>
      </c>
      <c r="AX22" s="43">
        <f t="shared" si="59"/>
        <v>0</v>
      </c>
      <c r="AY22" s="45">
        <f t="shared" si="60"/>
        <v>0</v>
      </c>
      <c r="AZ22" s="39"/>
      <c r="BA22" s="41"/>
      <c r="BB22" s="41"/>
      <c r="BC22" s="41"/>
      <c r="BD22" s="43">
        <f t="shared" si="61"/>
        <v>0</v>
      </c>
      <c r="BE22" s="43">
        <f t="shared" si="62"/>
        <v>0</v>
      </c>
      <c r="BF22" s="45">
        <f t="shared" si="63"/>
        <v>0</v>
      </c>
      <c r="BG22" s="75">
        <v>1</v>
      </c>
      <c r="BH22" s="107"/>
      <c r="BI22" s="41"/>
      <c r="BJ22" s="41"/>
      <c r="BK22" s="43">
        <f t="shared" si="64"/>
        <v>3</v>
      </c>
      <c r="BL22" s="43">
        <f t="shared" si="65"/>
        <v>0</v>
      </c>
      <c r="BM22" s="106">
        <f t="shared" si="66"/>
        <v>3</v>
      </c>
      <c r="BN22" s="75"/>
      <c r="BO22" s="107"/>
      <c r="BP22" s="107">
        <v>3</v>
      </c>
      <c r="BQ22" s="107">
        <v>1</v>
      </c>
      <c r="BR22" s="43">
        <f t="shared" si="67"/>
        <v>3</v>
      </c>
      <c r="BS22" s="43">
        <f t="shared" si="68"/>
        <v>1</v>
      </c>
      <c r="BT22" s="106">
        <f t="shared" si="69"/>
        <v>4</v>
      </c>
      <c r="BU22" s="75">
        <v>1</v>
      </c>
      <c r="BV22" s="107"/>
      <c r="BW22" s="107">
        <v>1</v>
      </c>
      <c r="BX22" s="107"/>
      <c r="BY22" s="43">
        <f t="shared" si="70"/>
        <v>4</v>
      </c>
      <c r="BZ22" s="43">
        <f t="shared" si="71"/>
        <v>0</v>
      </c>
      <c r="CA22" s="106">
        <f t="shared" si="72"/>
        <v>4</v>
      </c>
      <c r="CB22" s="75"/>
      <c r="CC22" s="107"/>
      <c r="CD22" s="107">
        <v>2</v>
      </c>
      <c r="CE22" s="192"/>
      <c r="CF22" s="43">
        <f t="shared" si="73"/>
        <v>2</v>
      </c>
      <c r="CG22" s="43">
        <f t="shared" si="74"/>
        <v>0</v>
      </c>
      <c r="CH22" s="106">
        <f t="shared" si="75"/>
        <v>2</v>
      </c>
      <c r="CI22" s="107"/>
      <c r="CJ22" s="107">
        <v>1</v>
      </c>
      <c r="CK22" s="107"/>
      <c r="CL22" s="202">
        <v>1</v>
      </c>
      <c r="CM22" s="43">
        <f t="shared" si="41"/>
        <v>0</v>
      </c>
      <c r="CN22" s="43">
        <f t="shared" si="42"/>
        <v>4</v>
      </c>
      <c r="CO22" s="106">
        <f t="shared" si="43"/>
        <v>4</v>
      </c>
      <c r="CP22" s="275"/>
      <c r="CQ22" s="107"/>
      <c r="CR22" s="107"/>
      <c r="CS22" s="107">
        <v>2</v>
      </c>
      <c r="CT22" s="43">
        <f t="shared" si="1"/>
        <v>0</v>
      </c>
      <c r="CU22" s="43">
        <f t="shared" si="2"/>
        <v>2</v>
      </c>
      <c r="CV22" s="106">
        <f t="shared" si="3"/>
        <v>2</v>
      </c>
      <c r="CW22" s="75"/>
      <c r="CX22" s="107">
        <v>1</v>
      </c>
      <c r="CY22" s="107"/>
      <c r="CZ22" s="107">
        <v>1</v>
      </c>
      <c r="DA22" s="43">
        <f t="shared" si="4"/>
        <v>0</v>
      </c>
      <c r="DB22" s="43">
        <f t="shared" si="5"/>
        <v>4</v>
      </c>
      <c r="DC22" s="106">
        <f t="shared" si="6"/>
        <v>4</v>
      </c>
      <c r="DD22" s="75"/>
      <c r="DE22" s="107"/>
      <c r="DF22" s="107"/>
      <c r="DG22" s="107"/>
      <c r="DH22" s="43">
        <f t="shared" si="7"/>
        <v>0</v>
      </c>
      <c r="DI22" s="43">
        <f t="shared" si="8"/>
        <v>0</v>
      </c>
      <c r="DJ22" s="106">
        <f t="shared" si="9"/>
        <v>0</v>
      </c>
      <c r="DK22" s="179">
        <f t="shared" si="10"/>
        <v>12</v>
      </c>
      <c r="DL22" s="180">
        <f t="shared" ca="1" si="11"/>
        <v>5.1724137931034482E-2</v>
      </c>
      <c r="DM22" s="181">
        <f t="shared" si="12"/>
        <v>11</v>
      </c>
      <c r="DN22" s="180">
        <f t="shared" ca="1" si="13"/>
        <v>4.7413793103448273E-2</v>
      </c>
      <c r="DO22" s="181">
        <f t="shared" si="14"/>
        <v>23</v>
      </c>
      <c r="DP22" s="180">
        <f t="shared" ca="1" si="15"/>
        <v>9.9137931034482762E-2</v>
      </c>
      <c r="DQ22" s="181">
        <f t="shared" si="16"/>
        <v>2</v>
      </c>
      <c r="DR22" s="181">
        <f t="shared" si="17"/>
        <v>2</v>
      </c>
      <c r="DS22" s="181">
        <f t="shared" si="18"/>
        <v>4</v>
      </c>
    </row>
    <row r="23" spans="1:123" ht="15.75" thickBot="1" x14ac:dyDescent="0.3">
      <c r="A23" s="75">
        <v>679</v>
      </c>
      <c r="B23" s="76" t="s">
        <v>15</v>
      </c>
      <c r="C23" s="40" t="str">
        <f t="shared" si="0"/>
        <v>אופיר 679</v>
      </c>
      <c r="D23" s="41" t="s">
        <v>6</v>
      </c>
      <c r="E23" s="55" t="s">
        <v>7</v>
      </c>
      <c r="F23" s="74" t="s">
        <v>190</v>
      </c>
      <c r="G23" s="72">
        <v>42979</v>
      </c>
      <c r="H23" s="48"/>
      <c r="I23" s="42"/>
      <c r="J23" s="133"/>
      <c r="K23" s="134"/>
      <c r="L23" s="134"/>
      <c r="M23" s="134"/>
      <c r="N23" s="135">
        <f t="shared" si="44"/>
        <v>0</v>
      </c>
      <c r="O23" s="135">
        <f t="shared" si="45"/>
        <v>0</v>
      </c>
      <c r="P23" s="44">
        <f t="shared" si="46"/>
        <v>0</v>
      </c>
      <c r="Q23" s="39"/>
      <c r="R23" s="41"/>
      <c r="S23" s="41"/>
      <c r="T23" s="41"/>
      <c r="U23" s="43">
        <f t="shared" si="47"/>
        <v>0</v>
      </c>
      <c r="V23" s="43">
        <f t="shared" si="48"/>
        <v>0</v>
      </c>
      <c r="W23" s="45">
        <f t="shared" si="76"/>
        <v>0</v>
      </c>
      <c r="X23" s="39"/>
      <c r="Y23" s="41"/>
      <c r="Z23" s="41"/>
      <c r="AA23" s="41"/>
      <c r="AB23" s="46">
        <f t="shared" si="49"/>
        <v>0</v>
      </c>
      <c r="AC23" s="46">
        <f t="shared" si="50"/>
        <v>0</v>
      </c>
      <c r="AD23" s="47">
        <f t="shared" si="51"/>
        <v>0</v>
      </c>
      <c r="AE23" s="39"/>
      <c r="AF23" s="41"/>
      <c r="AG23" s="41">
        <v>2</v>
      </c>
      <c r="AH23" s="41"/>
      <c r="AI23" s="43">
        <f t="shared" si="52"/>
        <v>2</v>
      </c>
      <c r="AJ23" s="43">
        <f t="shared" si="53"/>
        <v>0</v>
      </c>
      <c r="AK23" s="45">
        <f t="shared" si="54"/>
        <v>2</v>
      </c>
      <c r="AL23" s="39"/>
      <c r="AM23" s="41"/>
      <c r="AN23" s="41">
        <v>5</v>
      </c>
      <c r="AO23" s="41"/>
      <c r="AP23" s="43">
        <f t="shared" si="55"/>
        <v>5</v>
      </c>
      <c r="AQ23" s="43">
        <f t="shared" si="56"/>
        <v>0</v>
      </c>
      <c r="AR23" s="45">
        <f t="shared" si="57"/>
        <v>5</v>
      </c>
      <c r="AS23" s="39">
        <v>1</v>
      </c>
      <c r="AT23" s="41"/>
      <c r="AU23" s="41">
        <v>3</v>
      </c>
      <c r="AV23" s="41"/>
      <c r="AW23" s="43">
        <f t="shared" si="58"/>
        <v>6</v>
      </c>
      <c r="AX23" s="43">
        <f t="shared" si="59"/>
        <v>0</v>
      </c>
      <c r="AY23" s="45">
        <f t="shared" si="60"/>
        <v>6</v>
      </c>
      <c r="AZ23" s="39"/>
      <c r="BA23" s="41"/>
      <c r="BB23" s="41"/>
      <c r="BC23" s="41"/>
      <c r="BD23" s="43">
        <f t="shared" si="61"/>
        <v>0</v>
      </c>
      <c r="BE23" s="43">
        <f t="shared" si="62"/>
        <v>0</v>
      </c>
      <c r="BF23" s="45">
        <f t="shared" si="63"/>
        <v>0</v>
      </c>
      <c r="BG23" s="75"/>
      <c r="BH23" s="107"/>
      <c r="BI23" s="41">
        <v>5</v>
      </c>
      <c r="BJ23" s="41">
        <v>2</v>
      </c>
      <c r="BK23" s="43">
        <f t="shared" si="64"/>
        <v>5</v>
      </c>
      <c r="BL23" s="43">
        <f t="shared" si="65"/>
        <v>2</v>
      </c>
      <c r="BM23" s="106">
        <f t="shared" si="66"/>
        <v>7</v>
      </c>
      <c r="BN23" s="75">
        <v>1</v>
      </c>
      <c r="BO23" s="107"/>
      <c r="BP23" s="107">
        <v>-1</v>
      </c>
      <c r="BQ23" s="107"/>
      <c r="BR23" s="43">
        <f t="shared" si="67"/>
        <v>2</v>
      </c>
      <c r="BS23" s="43">
        <f t="shared" si="68"/>
        <v>0</v>
      </c>
      <c r="BT23" s="106">
        <f t="shared" si="69"/>
        <v>2</v>
      </c>
      <c r="BU23" s="75"/>
      <c r="BV23" s="107"/>
      <c r="BW23" s="107">
        <v>2</v>
      </c>
      <c r="BX23" s="107"/>
      <c r="BY23" s="43">
        <f t="shared" si="70"/>
        <v>2</v>
      </c>
      <c r="BZ23" s="43">
        <f t="shared" si="71"/>
        <v>0</v>
      </c>
      <c r="CA23" s="106">
        <f t="shared" si="72"/>
        <v>2</v>
      </c>
      <c r="CB23" s="75"/>
      <c r="CC23" s="107"/>
      <c r="CD23" s="298"/>
      <c r="CE23" s="193"/>
      <c r="CF23" s="43">
        <f t="shared" si="73"/>
        <v>0</v>
      </c>
      <c r="CG23" s="43">
        <f t="shared" si="74"/>
        <v>0</v>
      </c>
      <c r="CH23" s="106">
        <f t="shared" si="75"/>
        <v>0</v>
      </c>
      <c r="CI23" s="107"/>
      <c r="CJ23" s="107"/>
      <c r="CK23" s="107">
        <v>1</v>
      </c>
      <c r="CL23" s="202"/>
      <c r="CM23" s="43">
        <f t="shared" si="41"/>
        <v>1</v>
      </c>
      <c r="CN23" s="43">
        <f t="shared" si="42"/>
        <v>0</v>
      </c>
      <c r="CO23" s="106">
        <f t="shared" si="43"/>
        <v>1</v>
      </c>
      <c r="CP23" s="275">
        <v>2</v>
      </c>
      <c r="CQ23" s="107"/>
      <c r="CR23" s="107">
        <v>1</v>
      </c>
      <c r="CS23" s="107"/>
      <c r="CT23" s="43">
        <f t="shared" si="1"/>
        <v>7</v>
      </c>
      <c r="CU23" s="43">
        <f t="shared" si="2"/>
        <v>0</v>
      </c>
      <c r="CV23" s="106">
        <f t="shared" si="3"/>
        <v>7</v>
      </c>
      <c r="CW23" s="75"/>
      <c r="CX23" s="107"/>
      <c r="CY23" s="107">
        <v>2</v>
      </c>
      <c r="CZ23" s="107"/>
      <c r="DA23" s="43">
        <f t="shared" si="4"/>
        <v>2</v>
      </c>
      <c r="DB23" s="43">
        <f t="shared" si="5"/>
        <v>0</v>
      </c>
      <c r="DC23" s="106">
        <f t="shared" si="6"/>
        <v>2</v>
      </c>
      <c r="DD23" s="75">
        <v>1</v>
      </c>
      <c r="DE23" s="107"/>
      <c r="DF23" s="107"/>
      <c r="DG23" s="107"/>
      <c r="DH23" s="43">
        <f t="shared" si="7"/>
        <v>3</v>
      </c>
      <c r="DI23" s="43">
        <f t="shared" si="8"/>
        <v>0</v>
      </c>
      <c r="DJ23" s="106">
        <f t="shared" si="9"/>
        <v>3</v>
      </c>
      <c r="DK23" s="179">
        <f t="shared" si="10"/>
        <v>35</v>
      </c>
      <c r="DL23" s="180">
        <f t="shared" ca="1" si="11"/>
        <v>9.8870056497175146E-2</v>
      </c>
      <c r="DM23" s="181">
        <f t="shared" si="12"/>
        <v>2</v>
      </c>
      <c r="DN23" s="180">
        <f t="shared" ca="1" si="13"/>
        <v>5.6497175141242938E-3</v>
      </c>
      <c r="DO23" s="181">
        <f t="shared" si="14"/>
        <v>37</v>
      </c>
      <c r="DP23" s="180">
        <f t="shared" ca="1" si="15"/>
        <v>0.10451977401129944</v>
      </c>
      <c r="DQ23" s="181">
        <f t="shared" si="16"/>
        <v>5</v>
      </c>
      <c r="DR23" s="181">
        <f t="shared" si="17"/>
        <v>0</v>
      </c>
      <c r="DS23" s="181">
        <f t="shared" si="18"/>
        <v>5</v>
      </c>
    </row>
    <row r="24" spans="1:123" ht="15.75" thickBot="1" x14ac:dyDescent="0.3">
      <c r="A24" s="75">
        <v>679</v>
      </c>
      <c r="B24" s="296" t="s">
        <v>54</v>
      </c>
      <c r="C24" s="67" t="str">
        <f t="shared" si="0"/>
        <v>אלכס 679</v>
      </c>
      <c r="D24" s="41" t="s">
        <v>6</v>
      </c>
      <c r="E24" s="55" t="s">
        <v>7</v>
      </c>
      <c r="F24" s="74" t="s">
        <v>190</v>
      </c>
      <c r="G24" s="72">
        <v>42979</v>
      </c>
      <c r="H24" s="256">
        <v>43573</v>
      </c>
      <c r="I24" s="42"/>
      <c r="J24" s="133"/>
      <c r="K24" s="134"/>
      <c r="L24" s="134"/>
      <c r="M24" s="134"/>
      <c r="N24" s="135">
        <f t="shared" si="44"/>
        <v>0</v>
      </c>
      <c r="O24" s="135">
        <f t="shared" si="45"/>
        <v>0</v>
      </c>
      <c r="P24" s="44">
        <f t="shared" si="46"/>
        <v>0</v>
      </c>
      <c r="Q24" s="39"/>
      <c r="R24" s="41"/>
      <c r="S24" s="41"/>
      <c r="T24" s="41"/>
      <c r="U24" s="43">
        <f t="shared" si="47"/>
        <v>0</v>
      </c>
      <c r="V24" s="43">
        <f t="shared" si="48"/>
        <v>0</v>
      </c>
      <c r="W24" s="45">
        <f t="shared" si="76"/>
        <v>0</v>
      </c>
      <c r="X24" s="39"/>
      <c r="Y24" s="41"/>
      <c r="Z24" s="41"/>
      <c r="AA24" s="41"/>
      <c r="AB24" s="46">
        <f t="shared" si="49"/>
        <v>0</v>
      </c>
      <c r="AC24" s="46">
        <f t="shared" si="50"/>
        <v>0</v>
      </c>
      <c r="AD24" s="47">
        <f t="shared" si="51"/>
        <v>0</v>
      </c>
      <c r="AE24" s="39">
        <v>1</v>
      </c>
      <c r="AF24" s="41"/>
      <c r="AG24" s="41"/>
      <c r="AH24" s="41"/>
      <c r="AI24" s="43">
        <f t="shared" si="52"/>
        <v>3</v>
      </c>
      <c r="AJ24" s="43">
        <f t="shared" si="53"/>
        <v>0</v>
      </c>
      <c r="AK24" s="45">
        <f t="shared" si="54"/>
        <v>3</v>
      </c>
      <c r="AL24" s="39"/>
      <c r="AM24" s="41"/>
      <c r="AN24" s="41">
        <v>4</v>
      </c>
      <c r="AO24" s="41"/>
      <c r="AP24" s="43">
        <f t="shared" si="55"/>
        <v>4</v>
      </c>
      <c r="AQ24" s="43">
        <f t="shared" si="56"/>
        <v>0</v>
      </c>
      <c r="AR24" s="45">
        <f t="shared" si="57"/>
        <v>4</v>
      </c>
      <c r="AS24" s="39"/>
      <c r="AT24" s="41"/>
      <c r="AU24" s="41">
        <v>4</v>
      </c>
      <c r="AV24" s="41"/>
      <c r="AW24" s="43">
        <f t="shared" si="58"/>
        <v>4</v>
      </c>
      <c r="AX24" s="43">
        <f t="shared" si="59"/>
        <v>0</v>
      </c>
      <c r="AY24" s="45">
        <f t="shared" si="60"/>
        <v>4</v>
      </c>
      <c r="AZ24" s="39">
        <v>1</v>
      </c>
      <c r="BA24" s="41"/>
      <c r="BB24" s="41"/>
      <c r="BC24" s="41"/>
      <c r="BD24" s="43">
        <f t="shared" si="61"/>
        <v>3</v>
      </c>
      <c r="BE24" s="43">
        <f t="shared" si="62"/>
        <v>0</v>
      </c>
      <c r="BF24" s="45">
        <f t="shared" si="63"/>
        <v>3</v>
      </c>
      <c r="BG24" s="75"/>
      <c r="BH24" s="107"/>
      <c r="BI24" s="41">
        <v>2</v>
      </c>
      <c r="BJ24" s="41">
        <v>1</v>
      </c>
      <c r="BK24" s="43">
        <f t="shared" si="64"/>
        <v>2</v>
      </c>
      <c r="BL24" s="43">
        <f t="shared" si="65"/>
        <v>1</v>
      </c>
      <c r="BM24" s="106">
        <f t="shared" si="66"/>
        <v>3</v>
      </c>
      <c r="BN24" s="75">
        <v>1</v>
      </c>
      <c r="BO24" s="107"/>
      <c r="BP24" s="107">
        <v>2</v>
      </c>
      <c r="BQ24" s="107">
        <v>1</v>
      </c>
      <c r="BR24" s="43">
        <f t="shared" si="67"/>
        <v>5</v>
      </c>
      <c r="BS24" s="43">
        <f t="shared" si="68"/>
        <v>1</v>
      </c>
      <c r="BT24" s="106">
        <f t="shared" si="69"/>
        <v>6</v>
      </c>
      <c r="BU24" s="75"/>
      <c r="BV24" s="107"/>
      <c r="BW24" s="107">
        <v>1</v>
      </c>
      <c r="BX24" s="107"/>
      <c r="BY24" s="43">
        <f t="shared" si="70"/>
        <v>1</v>
      </c>
      <c r="BZ24" s="43">
        <f t="shared" si="71"/>
        <v>0</v>
      </c>
      <c r="CA24" s="106">
        <f t="shared" si="72"/>
        <v>1</v>
      </c>
      <c r="CB24" s="75"/>
      <c r="CC24" s="107"/>
      <c r="CD24" s="298">
        <v>2</v>
      </c>
      <c r="CE24" s="193"/>
      <c r="CF24" s="43">
        <f t="shared" si="73"/>
        <v>2</v>
      </c>
      <c r="CG24" s="43">
        <f t="shared" si="74"/>
        <v>0</v>
      </c>
      <c r="CH24" s="106">
        <f t="shared" si="75"/>
        <v>2</v>
      </c>
      <c r="CI24" s="107">
        <v>1</v>
      </c>
      <c r="CJ24" s="107"/>
      <c r="CK24" s="107">
        <v>1</v>
      </c>
      <c r="CL24" s="202">
        <v>1</v>
      </c>
      <c r="CM24" s="43">
        <f t="shared" si="41"/>
        <v>4</v>
      </c>
      <c r="CN24" s="43">
        <f t="shared" si="42"/>
        <v>1</v>
      </c>
      <c r="CO24" s="106">
        <f t="shared" si="43"/>
        <v>5</v>
      </c>
      <c r="CP24" s="275"/>
      <c r="CQ24" s="107"/>
      <c r="CR24" s="107">
        <v>2</v>
      </c>
      <c r="CS24" s="107"/>
      <c r="CT24" s="43">
        <f t="shared" si="1"/>
        <v>2</v>
      </c>
      <c r="CU24" s="43">
        <f t="shared" si="2"/>
        <v>0</v>
      </c>
      <c r="CV24" s="106">
        <f t="shared" si="3"/>
        <v>2</v>
      </c>
      <c r="CW24" s="75">
        <v>1</v>
      </c>
      <c r="CX24" s="107"/>
      <c r="CY24" s="107"/>
      <c r="CZ24" s="107"/>
      <c r="DA24" s="43">
        <f t="shared" si="4"/>
        <v>3</v>
      </c>
      <c r="DB24" s="43">
        <f t="shared" si="5"/>
        <v>0</v>
      </c>
      <c r="DC24" s="106">
        <f t="shared" si="6"/>
        <v>3</v>
      </c>
      <c r="DD24" s="75"/>
      <c r="DE24" s="107">
        <v>1</v>
      </c>
      <c r="DF24" s="107"/>
      <c r="DG24" s="107"/>
      <c r="DH24" s="43">
        <f t="shared" si="7"/>
        <v>0</v>
      </c>
      <c r="DI24" s="43">
        <f t="shared" si="8"/>
        <v>3</v>
      </c>
      <c r="DJ24" s="106">
        <f t="shared" si="9"/>
        <v>3</v>
      </c>
      <c r="DK24" s="179">
        <f t="shared" si="10"/>
        <v>33</v>
      </c>
      <c r="DL24" s="180">
        <f t="shared" ca="1" si="11"/>
        <v>9.3220338983050849E-2</v>
      </c>
      <c r="DM24" s="181">
        <f t="shared" si="12"/>
        <v>6</v>
      </c>
      <c r="DN24" s="180">
        <f t="shared" ca="1" si="13"/>
        <v>1.6949152542372881E-2</v>
      </c>
      <c r="DO24" s="181">
        <f t="shared" si="14"/>
        <v>39</v>
      </c>
      <c r="DP24" s="180">
        <f t="shared" ca="1" si="15"/>
        <v>0.11016949152542373</v>
      </c>
      <c r="DQ24" s="181">
        <f t="shared" si="16"/>
        <v>5</v>
      </c>
      <c r="DR24" s="181">
        <f t="shared" si="17"/>
        <v>1</v>
      </c>
      <c r="DS24" s="181">
        <f t="shared" si="18"/>
        <v>6</v>
      </c>
    </row>
    <row r="25" spans="1:123" ht="15.75" thickBot="1" x14ac:dyDescent="0.3">
      <c r="A25" s="75">
        <v>679</v>
      </c>
      <c r="B25" s="296" t="s">
        <v>204</v>
      </c>
      <c r="C25" s="236" t="str">
        <f t="shared" si="0"/>
        <v>חן 679</v>
      </c>
      <c r="D25" s="55" t="s">
        <v>6</v>
      </c>
      <c r="E25" s="55" t="s">
        <v>7</v>
      </c>
      <c r="F25" s="74" t="s">
        <v>207</v>
      </c>
      <c r="G25" s="72">
        <v>43160</v>
      </c>
      <c r="H25" s="266"/>
      <c r="I25" s="84" t="s">
        <v>296</v>
      </c>
      <c r="J25" s="133"/>
      <c r="K25" s="134"/>
      <c r="L25" s="134"/>
      <c r="M25" s="134"/>
      <c r="N25" s="135">
        <f t="shared" si="44"/>
        <v>0</v>
      </c>
      <c r="O25" s="135">
        <f t="shared" si="45"/>
        <v>0</v>
      </c>
      <c r="P25" s="44">
        <f t="shared" si="46"/>
        <v>0</v>
      </c>
      <c r="Q25" s="39"/>
      <c r="R25" s="41"/>
      <c r="S25" s="41"/>
      <c r="T25" s="41"/>
      <c r="U25" s="43">
        <f t="shared" si="47"/>
        <v>0</v>
      </c>
      <c r="V25" s="43">
        <f t="shared" si="48"/>
        <v>0</v>
      </c>
      <c r="W25" s="45">
        <f t="shared" si="76"/>
        <v>0</v>
      </c>
      <c r="X25" s="39"/>
      <c r="Y25" s="41"/>
      <c r="Z25" s="41"/>
      <c r="AA25" s="41"/>
      <c r="AB25" s="46">
        <f t="shared" si="49"/>
        <v>0</v>
      </c>
      <c r="AC25" s="46">
        <f t="shared" si="50"/>
        <v>0</v>
      </c>
      <c r="AD25" s="47">
        <f t="shared" si="51"/>
        <v>0</v>
      </c>
      <c r="AE25" s="39"/>
      <c r="AF25" s="41"/>
      <c r="AG25" s="41"/>
      <c r="AH25" s="41"/>
      <c r="AI25" s="43">
        <f t="shared" si="52"/>
        <v>0</v>
      </c>
      <c r="AJ25" s="43">
        <f t="shared" si="53"/>
        <v>0</v>
      </c>
      <c r="AK25" s="45">
        <f t="shared" si="54"/>
        <v>0</v>
      </c>
      <c r="AL25" s="39"/>
      <c r="AM25" s="41"/>
      <c r="AN25" s="41"/>
      <c r="AO25" s="41"/>
      <c r="AP25" s="43">
        <f t="shared" si="55"/>
        <v>0</v>
      </c>
      <c r="AQ25" s="43">
        <f t="shared" si="56"/>
        <v>0</v>
      </c>
      <c r="AR25" s="45">
        <f t="shared" si="57"/>
        <v>0</v>
      </c>
      <c r="AS25" s="39"/>
      <c r="AT25" s="41"/>
      <c r="AU25" s="41"/>
      <c r="AV25" s="41"/>
      <c r="AW25" s="43">
        <f t="shared" si="58"/>
        <v>0</v>
      </c>
      <c r="AX25" s="43">
        <f t="shared" si="59"/>
        <v>0</v>
      </c>
      <c r="AY25" s="45">
        <f t="shared" si="60"/>
        <v>0</v>
      </c>
      <c r="AZ25" s="39"/>
      <c r="BA25" s="41"/>
      <c r="BB25" s="41"/>
      <c r="BC25" s="41"/>
      <c r="BD25" s="43">
        <f t="shared" si="61"/>
        <v>0</v>
      </c>
      <c r="BE25" s="43">
        <f t="shared" si="62"/>
        <v>0</v>
      </c>
      <c r="BF25" s="45">
        <f t="shared" si="63"/>
        <v>0</v>
      </c>
      <c r="BG25" s="75"/>
      <c r="BH25" s="107"/>
      <c r="BI25" s="41"/>
      <c r="BJ25" s="41"/>
      <c r="BK25" s="43">
        <f t="shared" si="64"/>
        <v>0</v>
      </c>
      <c r="BL25" s="43">
        <f t="shared" si="65"/>
        <v>0</v>
      </c>
      <c r="BM25" s="106">
        <f t="shared" si="66"/>
        <v>0</v>
      </c>
      <c r="BN25" s="75"/>
      <c r="BO25" s="107"/>
      <c r="BP25" s="107"/>
      <c r="BQ25" s="107"/>
      <c r="BR25" s="43">
        <f t="shared" si="67"/>
        <v>0</v>
      </c>
      <c r="BS25" s="43">
        <f t="shared" si="68"/>
        <v>0</v>
      </c>
      <c r="BT25" s="106">
        <f t="shared" si="69"/>
        <v>0</v>
      </c>
      <c r="BU25" s="75"/>
      <c r="BV25" s="107"/>
      <c r="BW25" s="107"/>
      <c r="BX25" s="107"/>
      <c r="BY25" s="43">
        <f t="shared" si="70"/>
        <v>0</v>
      </c>
      <c r="BZ25" s="43">
        <f t="shared" si="71"/>
        <v>0</v>
      </c>
      <c r="CA25" s="106">
        <f t="shared" si="72"/>
        <v>0</v>
      </c>
      <c r="CB25" s="75">
        <v>1</v>
      </c>
      <c r="CC25" s="107"/>
      <c r="CD25" s="107">
        <v>2</v>
      </c>
      <c r="CE25" s="192"/>
      <c r="CF25" s="43">
        <f t="shared" si="73"/>
        <v>5</v>
      </c>
      <c r="CG25" s="43">
        <f t="shared" si="74"/>
        <v>0</v>
      </c>
      <c r="CH25" s="106">
        <f t="shared" si="75"/>
        <v>5</v>
      </c>
      <c r="CI25" s="107">
        <v>1</v>
      </c>
      <c r="CJ25" s="107"/>
      <c r="CK25" s="107">
        <v>3</v>
      </c>
      <c r="CL25" s="202"/>
      <c r="CM25" s="43">
        <f t="shared" si="41"/>
        <v>6</v>
      </c>
      <c r="CN25" s="43">
        <f t="shared" si="42"/>
        <v>0</v>
      </c>
      <c r="CO25" s="106">
        <f t="shared" si="43"/>
        <v>6</v>
      </c>
      <c r="CP25" s="275">
        <v>1</v>
      </c>
      <c r="CQ25" s="107"/>
      <c r="CR25" s="107">
        <v>2</v>
      </c>
      <c r="CS25" s="107">
        <v>1</v>
      </c>
      <c r="CT25" s="43">
        <f t="shared" si="1"/>
        <v>5</v>
      </c>
      <c r="CU25" s="43">
        <f t="shared" si="2"/>
        <v>1</v>
      </c>
      <c r="CV25" s="106">
        <f t="shared" si="3"/>
        <v>6</v>
      </c>
      <c r="CW25" s="75"/>
      <c r="CX25" s="107"/>
      <c r="CY25" s="107"/>
      <c r="CZ25" s="107"/>
      <c r="DA25" s="43">
        <f t="shared" si="4"/>
        <v>0</v>
      </c>
      <c r="DB25" s="43">
        <f t="shared" si="5"/>
        <v>0</v>
      </c>
      <c r="DC25" s="106">
        <f t="shared" si="6"/>
        <v>0</v>
      </c>
      <c r="DD25" s="75">
        <v>1</v>
      </c>
      <c r="DE25" s="107"/>
      <c r="DF25" s="107"/>
      <c r="DG25" s="107"/>
      <c r="DH25" s="43">
        <f t="shared" si="7"/>
        <v>3</v>
      </c>
      <c r="DI25" s="43">
        <f t="shared" si="8"/>
        <v>0</v>
      </c>
      <c r="DJ25" s="106">
        <f t="shared" si="9"/>
        <v>3</v>
      </c>
      <c r="DK25" s="179">
        <f t="shared" si="10"/>
        <v>19</v>
      </c>
      <c r="DL25" s="180">
        <f t="shared" ca="1" si="11"/>
        <v>0.10982658959537572</v>
      </c>
      <c r="DM25" s="181">
        <f t="shared" si="12"/>
        <v>1</v>
      </c>
      <c r="DN25" s="180">
        <f t="shared" ca="1" si="13"/>
        <v>5.7803468208092483E-3</v>
      </c>
      <c r="DO25" s="181">
        <f t="shared" si="14"/>
        <v>20</v>
      </c>
      <c r="DP25" s="180">
        <f t="shared" ca="1" si="15"/>
        <v>0.11560693641618497</v>
      </c>
      <c r="DQ25" s="181">
        <f t="shared" si="16"/>
        <v>4</v>
      </c>
      <c r="DR25" s="181">
        <f t="shared" si="17"/>
        <v>0</v>
      </c>
      <c r="DS25" s="181">
        <f t="shared" si="18"/>
        <v>4</v>
      </c>
    </row>
    <row r="26" spans="1:123" ht="15.75" thickBot="1" x14ac:dyDescent="0.3">
      <c r="A26" s="39">
        <v>679</v>
      </c>
      <c r="B26" s="62" t="s">
        <v>9</v>
      </c>
      <c r="C26" s="67" t="str">
        <f t="shared" si="0"/>
        <v>מירב 679</v>
      </c>
      <c r="D26" s="41" t="s">
        <v>6</v>
      </c>
      <c r="E26" s="41" t="s">
        <v>7</v>
      </c>
      <c r="F26" s="74" t="s">
        <v>187</v>
      </c>
      <c r="G26" s="72">
        <v>42887</v>
      </c>
      <c r="H26" s="256">
        <v>43421</v>
      </c>
      <c r="I26" s="42"/>
      <c r="J26" s="133">
        <v>1</v>
      </c>
      <c r="K26" s="134"/>
      <c r="L26" s="134">
        <v>3</v>
      </c>
      <c r="M26" s="134">
        <v>1</v>
      </c>
      <c r="N26" s="135">
        <f t="shared" si="44"/>
        <v>6</v>
      </c>
      <c r="O26" s="135">
        <f t="shared" si="45"/>
        <v>1</v>
      </c>
      <c r="P26" s="44">
        <f t="shared" si="46"/>
        <v>7</v>
      </c>
      <c r="Q26" s="39"/>
      <c r="R26" s="41"/>
      <c r="S26" s="41">
        <v>1</v>
      </c>
      <c r="T26" s="41">
        <v>1</v>
      </c>
      <c r="U26" s="43">
        <f t="shared" si="47"/>
        <v>1</v>
      </c>
      <c r="V26" s="43">
        <f t="shared" si="48"/>
        <v>1</v>
      </c>
      <c r="W26" s="45">
        <f t="shared" si="76"/>
        <v>2</v>
      </c>
      <c r="X26" s="39"/>
      <c r="Y26" s="41"/>
      <c r="Z26" s="41">
        <v>3</v>
      </c>
      <c r="AA26" s="41"/>
      <c r="AB26" s="46">
        <f t="shared" si="49"/>
        <v>3</v>
      </c>
      <c r="AC26" s="46">
        <f t="shared" si="50"/>
        <v>0</v>
      </c>
      <c r="AD26" s="47">
        <f t="shared" si="51"/>
        <v>3</v>
      </c>
      <c r="AE26" s="39">
        <v>1</v>
      </c>
      <c r="AF26" s="41">
        <v>1</v>
      </c>
      <c r="AG26" s="41">
        <v>1</v>
      </c>
      <c r="AH26" s="41">
        <v>1</v>
      </c>
      <c r="AI26" s="43">
        <f t="shared" si="52"/>
        <v>4</v>
      </c>
      <c r="AJ26" s="43">
        <f t="shared" si="53"/>
        <v>4</v>
      </c>
      <c r="AK26" s="45">
        <f t="shared" si="54"/>
        <v>8</v>
      </c>
      <c r="AL26" s="39"/>
      <c r="AM26" s="41"/>
      <c r="AN26" s="41">
        <v>1</v>
      </c>
      <c r="AO26" s="41">
        <v>1</v>
      </c>
      <c r="AP26" s="43">
        <f t="shared" si="55"/>
        <v>1</v>
      </c>
      <c r="AQ26" s="43">
        <f t="shared" si="56"/>
        <v>1</v>
      </c>
      <c r="AR26" s="45">
        <f t="shared" si="57"/>
        <v>2</v>
      </c>
      <c r="AS26" s="39"/>
      <c r="AT26" s="41"/>
      <c r="AU26" s="41">
        <v>1</v>
      </c>
      <c r="AV26" s="41">
        <v>2</v>
      </c>
      <c r="AW26" s="43">
        <f t="shared" si="58"/>
        <v>1</v>
      </c>
      <c r="AX26" s="43">
        <f t="shared" si="59"/>
        <v>2</v>
      </c>
      <c r="AY26" s="45">
        <f t="shared" si="60"/>
        <v>3</v>
      </c>
      <c r="AZ26" s="39"/>
      <c r="BA26" s="41"/>
      <c r="BB26" s="41">
        <v>2</v>
      </c>
      <c r="BC26" s="41">
        <v>1</v>
      </c>
      <c r="BD26" s="43">
        <f t="shared" si="61"/>
        <v>2</v>
      </c>
      <c r="BE26" s="43">
        <f t="shared" si="62"/>
        <v>1</v>
      </c>
      <c r="BF26" s="45">
        <f t="shared" si="63"/>
        <v>3</v>
      </c>
      <c r="BG26" s="75"/>
      <c r="BH26" s="107"/>
      <c r="BI26" s="41">
        <v>2</v>
      </c>
      <c r="BJ26" s="41">
        <v>1</v>
      </c>
      <c r="BK26" s="43">
        <f t="shared" si="64"/>
        <v>2</v>
      </c>
      <c r="BL26" s="43">
        <f t="shared" si="65"/>
        <v>1</v>
      </c>
      <c r="BM26" s="106">
        <f t="shared" si="66"/>
        <v>3</v>
      </c>
      <c r="BN26" s="75">
        <v>1</v>
      </c>
      <c r="BO26" s="107"/>
      <c r="BP26" s="107">
        <v>2</v>
      </c>
      <c r="BQ26" s="107"/>
      <c r="BR26" s="43">
        <f t="shared" si="67"/>
        <v>5</v>
      </c>
      <c r="BS26" s="43">
        <f t="shared" si="68"/>
        <v>0</v>
      </c>
      <c r="BT26" s="106">
        <f t="shared" si="69"/>
        <v>5</v>
      </c>
      <c r="BU26" s="75"/>
      <c r="BV26" s="107"/>
      <c r="BW26" s="107">
        <v>1</v>
      </c>
      <c r="BX26" s="107"/>
      <c r="BY26" s="43">
        <f t="shared" si="70"/>
        <v>1</v>
      </c>
      <c r="BZ26" s="43">
        <f t="shared" si="71"/>
        <v>0</v>
      </c>
      <c r="CA26" s="106">
        <f t="shared" si="72"/>
        <v>1</v>
      </c>
      <c r="CB26" s="75"/>
      <c r="CC26" s="107"/>
      <c r="CD26" s="107">
        <v>2</v>
      </c>
      <c r="CE26" s="192"/>
      <c r="CF26" s="43">
        <f t="shared" si="73"/>
        <v>2</v>
      </c>
      <c r="CG26" s="43">
        <f t="shared" si="74"/>
        <v>0</v>
      </c>
      <c r="CH26" s="106">
        <f t="shared" si="75"/>
        <v>2</v>
      </c>
      <c r="CI26" s="107">
        <v>1</v>
      </c>
      <c r="CJ26" s="107"/>
      <c r="CK26" s="107"/>
      <c r="CL26" s="202"/>
      <c r="CM26" s="43">
        <f t="shared" si="41"/>
        <v>3</v>
      </c>
      <c r="CN26" s="43">
        <f t="shared" si="42"/>
        <v>0</v>
      </c>
      <c r="CO26" s="106">
        <f t="shared" si="43"/>
        <v>3</v>
      </c>
      <c r="CP26" s="275"/>
      <c r="CQ26" s="107"/>
      <c r="CR26" s="107">
        <v>2</v>
      </c>
      <c r="CS26" s="107"/>
      <c r="CT26" s="43">
        <f t="shared" si="1"/>
        <v>2</v>
      </c>
      <c r="CU26" s="43">
        <f t="shared" si="2"/>
        <v>0</v>
      </c>
      <c r="CV26" s="106">
        <f t="shared" si="3"/>
        <v>2</v>
      </c>
      <c r="CW26" s="75"/>
      <c r="CX26" s="107"/>
      <c r="CY26" s="107">
        <v>2</v>
      </c>
      <c r="CZ26" s="107">
        <v>1</v>
      </c>
      <c r="DA26" s="43">
        <f t="shared" si="4"/>
        <v>2</v>
      </c>
      <c r="DB26" s="43">
        <f t="shared" si="5"/>
        <v>1</v>
      </c>
      <c r="DC26" s="106">
        <f t="shared" si="6"/>
        <v>3</v>
      </c>
      <c r="DD26" s="75">
        <v>1</v>
      </c>
      <c r="DE26" s="107"/>
      <c r="DF26" s="107"/>
      <c r="DG26" s="107"/>
      <c r="DH26" s="43">
        <f t="shared" si="7"/>
        <v>3</v>
      </c>
      <c r="DI26" s="43">
        <f t="shared" si="8"/>
        <v>0</v>
      </c>
      <c r="DJ26" s="106">
        <f t="shared" si="9"/>
        <v>3</v>
      </c>
      <c r="DK26" s="179">
        <f t="shared" si="10"/>
        <v>38</v>
      </c>
      <c r="DL26" s="180">
        <f t="shared" ca="1" si="11"/>
        <v>8.520179372197309E-2</v>
      </c>
      <c r="DM26" s="181">
        <f t="shared" si="12"/>
        <v>12</v>
      </c>
      <c r="DN26" s="180">
        <f t="shared" ca="1" si="13"/>
        <v>2.6905829596412557E-2</v>
      </c>
      <c r="DO26" s="181">
        <f t="shared" si="14"/>
        <v>50</v>
      </c>
      <c r="DP26" s="180">
        <f t="shared" ca="1" si="15"/>
        <v>0.11210762331838564</v>
      </c>
      <c r="DQ26" s="181">
        <f t="shared" si="16"/>
        <v>5</v>
      </c>
      <c r="DR26" s="181">
        <f t="shared" si="17"/>
        <v>1</v>
      </c>
      <c r="DS26" s="181">
        <f t="shared" si="18"/>
        <v>6</v>
      </c>
    </row>
    <row r="27" spans="1:123" ht="15.75" thickBot="1" x14ac:dyDescent="0.3">
      <c r="A27" s="75">
        <v>679</v>
      </c>
      <c r="B27" s="76" t="s">
        <v>13</v>
      </c>
      <c r="C27" s="236" t="str">
        <f t="shared" si="0"/>
        <v>שיר 679</v>
      </c>
      <c r="D27" s="55" t="s">
        <v>7</v>
      </c>
      <c r="E27" s="41" t="s">
        <v>7</v>
      </c>
      <c r="F27" s="74" t="s">
        <v>188</v>
      </c>
      <c r="G27" s="72">
        <v>42917</v>
      </c>
      <c r="H27" s="256">
        <v>43558</v>
      </c>
      <c r="I27" s="42"/>
      <c r="J27" s="133"/>
      <c r="K27" s="134"/>
      <c r="L27" s="134"/>
      <c r="M27" s="134"/>
      <c r="N27" s="135">
        <f t="shared" si="44"/>
        <v>0</v>
      </c>
      <c r="O27" s="135">
        <f t="shared" si="45"/>
        <v>0</v>
      </c>
      <c r="P27" s="44">
        <f t="shared" si="46"/>
        <v>0</v>
      </c>
      <c r="Q27" s="39">
        <v>1</v>
      </c>
      <c r="R27" s="41"/>
      <c r="S27" s="41"/>
      <c r="T27" s="41"/>
      <c r="U27" s="43">
        <f t="shared" si="47"/>
        <v>3</v>
      </c>
      <c r="V27" s="43">
        <f t="shared" si="48"/>
        <v>0</v>
      </c>
      <c r="W27" s="45">
        <f t="shared" si="76"/>
        <v>3</v>
      </c>
      <c r="X27" s="39">
        <v>1</v>
      </c>
      <c r="Y27" s="41"/>
      <c r="Z27" s="41">
        <v>1</v>
      </c>
      <c r="AA27" s="41"/>
      <c r="AB27" s="46">
        <f t="shared" si="49"/>
        <v>4</v>
      </c>
      <c r="AC27" s="46">
        <f t="shared" si="50"/>
        <v>0</v>
      </c>
      <c r="AD27" s="47">
        <f t="shared" si="51"/>
        <v>4</v>
      </c>
      <c r="AE27" s="39"/>
      <c r="AF27" s="41"/>
      <c r="AG27" s="41">
        <v>1</v>
      </c>
      <c r="AH27" s="41">
        <v>2</v>
      </c>
      <c r="AI27" s="43">
        <f t="shared" si="52"/>
        <v>1</v>
      </c>
      <c r="AJ27" s="43">
        <f t="shared" si="53"/>
        <v>2</v>
      </c>
      <c r="AK27" s="45">
        <f t="shared" si="54"/>
        <v>3</v>
      </c>
      <c r="AL27" s="39"/>
      <c r="AM27" s="41"/>
      <c r="AN27" s="41">
        <v>2</v>
      </c>
      <c r="AO27" s="41"/>
      <c r="AP27" s="43">
        <f t="shared" si="55"/>
        <v>2</v>
      </c>
      <c r="AQ27" s="43">
        <f t="shared" si="56"/>
        <v>0</v>
      </c>
      <c r="AR27" s="45">
        <f t="shared" si="57"/>
        <v>2</v>
      </c>
      <c r="AS27" s="39"/>
      <c r="AT27" s="41"/>
      <c r="AU27" s="41">
        <v>3</v>
      </c>
      <c r="AV27" s="41"/>
      <c r="AW27" s="43">
        <f t="shared" si="58"/>
        <v>3</v>
      </c>
      <c r="AX27" s="43">
        <f t="shared" si="59"/>
        <v>0</v>
      </c>
      <c r="AY27" s="45">
        <f t="shared" si="60"/>
        <v>3</v>
      </c>
      <c r="AZ27" s="39">
        <v>1</v>
      </c>
      <c r="BA27" s="41"/>
      <c r="BB27" s="41">
        <v>1</v>
      </c>
      <c r="BC27" s="41">
        <v>1</v>
      </c>
      <c r="BD27" s="43">
        <f t="shared" si="61"/>
        <v>4</v>
      </c>
      <c r="BE27" s="43">
        <f t="shared" si="62"/>
        <v>1</v>
      </c>
      <c r="BF27" s="45">
        <f t="shared" si="63"/>
        <v>5</v>
      </c>
      <c r="BG27" s="75">
        <v>1</v>
      </c>
      <c r="BH27" s="107"/>
      <c r="BI27" s="107">
        <v>1</v>
      </c>
      <c r="BJ27" s="41">
        <v>1</v>
      </c>
      <c r="BK27" s="43">
        <f t="shared" si="64"/>
        <v>4</v>
      </c>
      <c r="BL27" s="43">
        <f t="shared" si="65"/>
        <v>1</v>
      </c>
      <c r="BM27" s="106">
        <f t="shared" si="66"/>
        <v>5</v>
      </c>
      <c r="BN27" s="75"/>
      <c r="BO27" s="107"/>
      <c r="BP27" s="107"/>
      <c r="BQ27" s="107">
        <v>2</v>
      </c>
      <c r="BR27" s="43">
        <f t="shared" si="67"/>
        <v>0</v>
      </c>
      <c r="BS27" s="43">
        <f t="shared" si="68"/>
        <v>2</v>
      </c>
      <c r="BT27" s="106">
        <f t="shared" si="69"/>
        <v>2</v>
      </c>
      <c r="BU27" s="75"/>
      <c r="BV27" s="107">
        <v>1</v>
      </c>
      <c r="BW27" s="107"/>
      <c r="BX27" s="107">
        <v>2</v>
      </c>
      <c r="BY27" s="43">
        <f t="shared" si="70"/>
        <v>0</v>
      </c>
      <c r="BZ27" s="43">
        <f t="shared" si="71"/>
        <v>5</v>
      </c>
      <c r="CA27" s="106">
        <f t="shared" si="72"/>
        <v>5</v>
      </c>
      <c r="CB27" s="75"/>
      <c r="CC27" s="107">
        <v>1</v>
      </c>
      <c r="CD27" s="107"/>
      <c r="CE27" s="192"/>
      <c r="CF27" s="43">
        <f t="shared" si="73"/>
        <v>0</v>
      </c>
      <c r="CG27" s="43">
        <f t="shared" si="74"/>
        <v>3</v>
      </c>
      <c r="CH27" s="106">
        <f t="shared" si="75"/>
        <v>3</v>
      </c>
      <c r="CI27" s="107"/>
      <c r="CJ27" s="107"/>
      <c r="CK27" s="107">
        <v>1</v>
      </c>
      <c r="CL27" s="202"/>
      <c r="CM27" s="43">
        <f t="shared" si="41"/>
        <v>1</v>
      </c>
      <c r="CN27" s="43">
        <f t="shared" si="42"/>
        <v>0</v>
      </c>
      <c r="CO27" s="106">
        <f t="shared" si="43"/>
        <v>1</v>
      </c>
      <c r="CP27" s="275"/>
      <c r="CQ27" s="107">
        <v>1</v>
      </c>
      <c r="CR27" s="107"/>
      <c r="CS27" s="107">
        <v>1</v>
      </c>
      <c r="CT27" s="43">
        <f t="shared" si="1"/>
        <v>0</v>
      </c>
      <c r="CU27" s="43">
        <f t="shared" si="2"/>
        <v>4</v>
      </c>
      <c r="CV27" s="106">
        <f t="shared" si="3"/>
        <v>4</v>
      </c>
      <c r="CW27" s="75"/>
      <c r="CX27" s="107"/>
      <c r="CY27" s="107"/>
      <c r="CZ27" s="107">
        <v>1</v>
      </c>
      <c r="DA27" s="43">
        <f t="shared" si="4"/>
        <v>0</v>
      </c>
      <c r="DB27" s="43">
        <f t="shared" si="5"/>
        <v>1</v>
      </c>
      <c r="DC27" s="106">
        <f t="shared" si="6"/>
        <v>1</v>
      </c>
      <c r="DD27" s="75"/>
      <c r="DE27" s="107">
        <v>1</v>
      </c>
      <c r="DF27" s="107"/>
      <c r="DG27" s="107"/>
      <c r="DH27" s="43">
        <f t="shared" si="7"/>
        <v>0</v>
      </c>
      <c r="DI27" s="43">
        <f t="shared" si="8"/>
        <v>3</v>
      </c>
      <c r="DJ27" s="106">
        <f t="shared" si="9"/>
        <v>3</v>
      </c>
      <c r="DK27" s="179">
        <f t="shared" si="10"/>
        <v>22</v>
      </c>
      <c r="DL27" s="180">
        <f t="shared" ca="1" si="11"/>
        <v>5.2884615384615384E-2</v>
      </c>
      <c r="DM27" s="181">
        <f t="shared" si="12"/>
        <v>22</v>
      </c>
      <c r="DN27" s="180">
        <f t="shared" ca="1" si="13"/>
        <v>5.2884615384615384E-2</v>
      </c>
      <c r="DO27" s="181">
        <f t="shared" si="14"/>
        <v>44</v>
      </c>
      <c r="DP27" s="180">
        <f t="shared" ca="1" si="15"/>
        <v>0.10576923076923077</v>
      </c>
      <c r="DQ27" s="181">
        <f t="shared" si="16"/>
        <v>5</v>
      </c>
      <c r="DR27" s="181">
        <f t="shared" si="17"/>
        <v>4</v>
      </c>
      <c r="DS27" s="181">
        <f t="shared" si="18"/>
        <v>9</v>
      </c>
    </row>
    <row r="28" spans="1:123" ht="15.75" thickBot="1" x14ac:dyDescent="0.3">
      <c r="A28" s="75" t="s">
        <v>76</v>
      </c>
      <c r="B28" s="76" t="s">
        <v>52</v>
      </c>
      <c r="C28" s="236" t="str">
        <f t="shared" si="0"/>
        <v>דקל אחודה</v>
      </c>
      <c r="D28" s="55" t="s">
        <v>7</v>
      </c>
      <c r="E28" s="41" t="s">
        <v>7</v>
      </c>
      <c r="F28" s="74" t="s">
        <v>189</v>
      </c>
      <c r="G28" s="72">
        <v>42948</v>
      </c>
      <c r="H28" s="256">
        <v>43570</v>
      </c>
      <c r="I28" s="42"/>
      <c r="J28" s="133"/>
      <c r="K28" s="134"/>
      <c r="L28" s="134"/>
      <c r="M28" s="134"/>
      <c r="N28" s="135">
        <f t="shared" si="44"/>
        <v>0</v>
      </c>
      <c r="O28" s="135">
        <f t="shared" si="45"/>
        <v>0</v>
      </c>
      <c r="P28" s="44">
        <f t="shared" si="46"/>
        <v>0</v>
      </c>
      <c r="Q28" s="39"/>
      <c r="R28" s="41"/>
      <c r="S28" s="41"/>
      <c r="T28" s="41"/>
      <c r="U28" s="43">
        <f t="shared" si="47"/>
        <v>0</v>
      </c>
      <c r="V28" s="43">
        <f t="shared" si="48"/>
        <v>0</v>
      </c>
      <c r="W28" s="45">
        <f t="shared" si="76"/>
        <v>0</v>
      </c>
      <c r="X28" s="39">
        <v>1</v>
      </c>
      <c r="Y28" s="41"/>
      <c r="Z28" s="41"/>
      <c r="AA28" s="41"/>
      <c r="AB28" s="46">
        <f t="shared" si="49"/>
        <v>3</v>
      </c>
      <c r="AC28" s="46">
        <f t="shared" si="50"/>
        <v>0</v>
      </c>
      <c r="AD28" s="47">
        <f t="shared" si="51"/>
        <v>3</v>
      </c>
      <c r="AE28" s="39">
        <v>1</v>
      </c>
      <c r="AF28" s="41"/>
      <c r="AG28" s="41">
        <v>1</v>
      </c>
      <c r="AH28" s="41"/>
      <c r="AI28" s="43">
        <f t="shared" si="52"/>
        <v>4</v>
      </c>
      <c r="AJ28" s="43">
        <f t="shared" si="53"/>
        <v>0</v>
      </c>
      <c r="AK28" s="45">
        <f t="shared" si="54"/>
        <v>4</v>
      </c>
      <c r="AL28" s="39"/>
      <c r="AM28" s="41"/>
      <c r="AN28" s="41"/>
      <c r="AO28" s="41">
        <v>1</v>
      </c>
      <c r="AP28" s="43">
        <f t="shared" si="55"/>
        <v>0</v>
      </c>
      <c r="AQ28" s="43">
        <f t="shared" si="56"/>
        <v>1</v>
      </c>
      <c r="AR28" s="45">
        <f t="shared" si="57"/>
        <v>1</v>
      </c>
      <c r="AS28" s="39"/>
      <c r="AT28" s="41"/>
      <c r="AU28" s="41">
        <v>4</v>
      </c>
      <c r="AV28" s="41"/>
      <c r="AW28" s="43">
        <f t="shared" si="58"/>
        <v>4</v>
      </c>
      <c r="AX28" s="43">
        <f t="shared" si="59"/>
        <v>0</v>
      </c>
      <c r="AY28" s="45">
        <f t="shared" si="60"/>
        <v>4</v>
      </c>
      <c r="AZ28" s="39"/>
      <c r="BA28" s="41">
        <v>1</v>
      </c>
      <c r="BB28" s="41"/>
      <c r="BC28" s="41"/>
      <c r="BD28" s="43">
        <f t="shared" si="61"/>
        <v>0</v>
      </c>
      <c r="BE28" s="43">
        <f t="shared" si="62"/>
        <v>3</v>
      </c>
      <c r="BF28" s="45">
        <f t="shared" si="63"/>
        <v>3</v>
      </c>
      <c r="BG28" s="75"/>
      <c r="BH28" s="107"/>
      <c r="BI28" s="107">
        <v>1</v>
      </c>
      <c r="BJ28" s="41">
        <v>1</v>
      </c>
      <c r="BK28" s="43">
        <f t="shared" si="64"/>
        <v>1</v>
      </c>
      <c r="BL28" s="43">
        <f t="shared" si="65"/>
        <v>1</v>
      </c>
      <c r="BM28" s="106">
        <f t="shared" si="66"/>
        <v>2</v>
      </c>
      <c r="BN28" s="75"/>
      <c r="BO28" s="107">
        <v>1</v>
      </c>
      <c r="BP28" s="107"/>
      <c r="BQ28" s="107">
        <v>1</v>
      </c>
      <c r="BR28" s="43">
        <f t="shared" si="67"/>
        <v>0</v>
      </c>
      <c r="BS28" s="43">
        <f t="shared" si="68"/>
        <v>4</v>
      </c>
      <c r="BT28" s="106">
        <f t="shared" si="69"/>
        <v>4</v>
      </c>
      <c r="BU28" s="75"/>
      <c r="BV28" s="107"/>
      <c r="BW28" s="107">
        <v>2</v>
      </c>
      <c r="BX28" s="107">
        <v>1</v>
      </c>
      <c r="BY28" s="43">
        <f t="shared" si="70"/>
        <v>2</v>
      </c>
      <c r="BZ28" s="43">
        <f t="shared" si="71"/>
        <v>1</v>
      </c>
      <c r="CA28" s="106">
        <f t="shared" si="72"/>
        <v>3</v>
      </c>
      <c r="CB28" s="75"/>
      <c r="CC28" s="107"/>
      <c r="CD28" s="107">
        <v>1</v>
      </c>
      <c r="CE28" s="192"/>
      <c r="CF28" s="43">
        <f t="shared" si="73"/>
        <v>1</v>
      </c>
      <c r="CG28" s="43">
        <f t="shared" si="74"/>
        <v>0</v>
      </c>
      <c r="CH28" s="106">
        <f t="shared" si="75"/>
        <v>1</v>
      </c>
      <c r="CI28" s="107"/>
      <c r="CJ28" s="107"/>
      <c r="CK28" s="107">
        <v>1</v>
      </c>
      <c r="CL28" s="202"/>
      <c r="CM28" s="43">
        <f t="shared" si="41"/>
        <v>1</v>
      </c>
      <c r="CN28" s="43">
        <f t="shared" si="42"/>
        <v>0</v>
      </c>
      <c r="CO28" s="106">
        <f t="shared" si="43"/>
        <v>1</v>
      </c>
      <c r="CP28" s="275"/>
      <c r="CQ28" s="107"/>
      <c r="CR28" s="107"/>
      <c r="CS28" s="107">
        <v>1</v>
      </c>
      <c r="CT28" s="43">
        <f t="shared" si="1"/>
        <v>0</v>
      </c>
      <c r="CU28" s="43">
        <f t="shared" si="2"/>
        <v>1</v>
      </c>
      <c r="CV28" s="106">
        <f t="shared" si="3"/>
        <v>1</v>
      </c>
      <c r="CW28" s="75"/>
      <c r="CX28" s="107">
        <v>1</v>
      </c>
      <c r="CY28" s="107"/>
      <c r="CZ28" s="107">
        <v>2</v>
      </c>
      <c r="DA28" s="43">
        <f t="shared" si="4"/>
        <v>0</v>
      </c>
      <c r="DB28" s="43">
        <f t="shared" si="5"/>
        <v>5</v>
      </c>
      <c r="DC28" s="106">
        <f t="shared" si="6"/>
        <v>5</v>
      </c>
      <c r="DD28" s="75"/>
      <c r="DE28" s="107"/>
      <c r="DF28" s="107"/>
      <c r="DG28" s="107"/>
      <c r="DH28" s="43">
        <f t="shared" si="7"/>
        <v>0</v>
      </c>
      <c r="DI28" s="43">
        <f t="shared" si="8"/>
        <v>0</v>
      </c>
      <c r="DJ28" s="106">
        <f t="shared" si="9"/>
        <v>0</v>
      </c>
      <c r="DK28" s="179">
        <f t="shared" si="10"/>
        <v>16</v>
      </c>
      <c r="DL28" s="180">
        <f t="shared" ca="1" si="11"/>
        <v>4.1558441558441558E-2</v>
      </c>
      <c r="DM28" s="181">
        <f t="shared" si="12"/>
        <v>16</v>
      </c>
      <c r="DN28" s="180">
        <f t="shared" ca="1" si="13"/>
        <v>4.1558441558441558E-2</v>
      </c>
      <c r="DO28" s="181">
        <f t="shared" si="14"/>
        <v>32</v>
      </c>
      <c r="DP28" s="180">
        <f t="shared" ca="1" si="15"/>
        <v>8.3116883116883117E-2</v>
      </c>
      <c r="DQ28" s="181">
        <f t="shared" si="16"/>
        <v>2</v>
      </c>
      <c r="DR28" s="181">
        <f t="shared" si="17"/>
        <v>3</v>
      </c>
      <c r="DS28" s="181">
        <f t="shared" si="18"/>
        <v>5</v>
      </c>
    </row>
    <row r="29" spans="1:123" ht="15.75" thickBot="1" x14ac:dyDescent="0.3">
      <c r="A29" s="187" t="s">
        <v>76</v>
      </c>
      <c r="B29" s="62" t="s">
        <v>246</v>
      </c>
      <c r="C29" s="67" t="str">
        <f t="shared" si="0"/>
        <v>מאיה אחודה</v>
      </c>
      <c r="D29" s="55" t="s">
        <v>6</v>
      </c>
      <c r="E29" s="55" t="s">
        <v>7</v>
      </c>
      <c r="F29" s="74" t="s">
        <v>221</v>
      </c>
      <c r="G29" s="72">
        <v>43200</v>
      </c>
      <c r="H29" s="48"/>
      <c r="I29" s="84" t="s">
        <v>245</v>
      </c>
      <c r="J29" s="133"/>
      <c r="K29" s="134"/>
      <c r="L29" s="134"/>
      <c r="M29" s="134"/>
      <c r="N29" s="135">
        <f t="shared" si="44"/>
        <v>0</v>
      </c>
      <c r="O29" s="135">
        <f t="shared" si="45"/>
        <v>0</v>
      </c>
      <c r="P29" s="44">
        <f t="shared" si="46"/>
        <v>0</v>
      </c>
      <c r="Q29" s="39"/>
      <c r="R29" s="41"/>
      <c r="S29" s="41"/>
      <c r="T29" s="41"/>
      <c r="U29" s="43">
        <f t="shared" si="47"/>
        <v>0</v>
      </c>
      <c r="V29" s="43">
        <f t="shared" si="48"/>
        <v>0</v>
      </c>
      <c r="W29" s="45">
        <f t="shared" si="76"/>
        <v>0</v>
      </c>
      <c r="X29" s="39"/>
      <c r="Y29" s="41"/>
      <c r="Z29" s="41"/>
      <c r="AA29" s="41"/>
      <c r="AB29" s="46">
        <f t="shared" si="49"/>
        <v>0</v>
      </c>
      <c r="AC29" s="46">
        <f t="shared" si="50"/>
        <v>0</v>
      </c>
      <c r="AD29" s="47">
        <f t="shared" si="51"/>
        <v>0</v>
      </c>
      <c r="AE29" s="39"/>
      <c r="AF29" s="41"/>
      <c r="AG29" s="41"/>
      <c r="AH29" s="41"/>
      <c r="AI29" s="43">
        <f t="shared" si="52"/>
        <v>0</v>
      </c>
      <c r="AJ29" s="43">
        <f t="shared" si="53"/>
        <v>0</v>
      </c>
      <c r="AK29" s="45">
        <f t="shared" si="54"/>
        <v>0</v>
      </c>
      <c r="AL29" s="39"/>
      <c r="AM29" s="41"/>
      <c r="AN29" s="41"/>
      <c r="AO29" s="41"/>
      <c r="AP29" s="43">
        <f t="shared" si="55"/>
        <v>0</v>
      </c>
      <c r="AQ29" s="43">
        <f t="shared" si="56"/>
        <v>0</v>
      </c>
      <c r="AR29" s="45">
        <f t="shared" si="57"/>
        <v>0</v>
      </c>
      <c r="AS29" s="39"/>
      <c r="AT29" s="41"/>
      <c r="AU29" s="41"/>
      <c r="AV29" s="41"/>
      <c r="AW29" s="43">
        <f t="shared" si="58"/>
        <v>0</v>
      </c>
      <c r="AX29" s="43">
        <f t="shared" si="59"/>
        <v>0</v>
      </c>
      <c r="AY29" s="45">
        <f t="shared" si="60"/>
        <v>0</v>
      </c>
      <c r="AZ29" s="39"/>
      <c r="BA29" s="41"/>
      <c r="BB29" s="41"/>
      <c r="BC29" s="41"/>
      <c r="BD29" s="43">
        <f t="shared" si="61"/>
        <v>0</v>
      </c>
      <c r="BE29" s="43">
        <f t="shared" si="62"/>
        <v>0</v>
      </c>
      <c r="BF29" s="45">
        <f t="shared" si="63"/>
        <v>0</v>
      </c>
      <c r="BG29" s="75"/>
      <c r="BH29" s="107"/>
      <c r="BI29" s="107"/>
      <c r="BJ29" s="41"/>
      <c r="BK29" s="43">
        <f t="shared" si="64"/>
        <v>0</v>
      </c>
      <c r="BL29" s="43">
        <f t="shared" si="65"/>
        <v>0</v>
      </c>
      <c r="BM29" s="106">
        <f t="shared" si="66"/>
        <v>0</v>
      </c>
      <c r="BN29" s="75"/>
      <c r="BO29" s="107"/>
      <c r="BP29" s="107"/>
      <c r="BQ29" s="107"/>
      <c r="BR29" s="43">
        <f t="shared" si="67"/>
        <v>0</v>
      </c>
      <c r="BS29" s="43">
        <f t="shared" si="68"/>
        <v>0</v>
      </c>
      <c r="BT29" s="106">
        <f t="shared" si="69"/>
        <v>0</v>
      </c>
      <c r="BU29" s="75"/>
      <c r="BV29" s="107"/>
      <c r="BW29" s="107"/>
      <c r="BX29" s="107"/>
      <c r="BY29" s="43">
        <f t="shared" si="70"/>
        <v>0</v>
      </c>
      <c r="BZ29" s="43">
        <f t="shared" si="71"/>
        <v>0</v>
      </c>
      <c r="CA29" s="106">
        <f t="shared" si="72"/>
        <v>0</v>
      </c>
      <c r="CB29" s="75"/>
      <c r="CC29" s="107"/>
      <c r="CD29" s="107"/>
      <c r="CE29" s="192"/>
      <c r="CF29" s="43">
        <f t="shared" si="73"/>
        <v>0</v>
      </c>
      <c r="CG29" s="43">
        <f t="shared" si="74"/>
        <v>0</v>
      </c>
      <c r="CH29" s="106">
        <f t="shared" si="75"/>
        <v>0</v>
      </c>
      <c r="CI29" s="107">
        <v>1</v>
      </c>
      <c r="CJ29" s="107"/>
      <c r="CK29" s="107">
        <v>2</v>
      </c>
      <c r="CL29" s="202"/>
      <c r="CM29" s="43">
        <f t="shared" si="41"/>
        <v>5</v>
      </c>
      <c r="CN29" s="43">
        <f t="shared" si="42"/>
        <v>0</v>
      </c>
      <c r="CO29" s="106">
        <f t="shared" si="43"/>
        <v>5</v>
      </c>
      <c r="CP29" s="275">
        <v>1</v>
      </c>
      <c r="CQ29" s="107"/>
      <c r="CR29" s="107">
        <v>3</v>
      </c>
      <c r="CS29" s="107"/>
      <c r="CT29" s="43">
        <f t="shared" si="1"/>
        <v>6</v>
      </c>
      <c r="CU29" s="43">
        <f t="shared" si="2"/>
        <v>0</v>
      </c>
      <c r="CV29" s="106">
        <f t="shared" si="3"/>
        <v>6</v>
      </c>
      <c r="CW29" s="75"/>
      <c r="CX29" s="107"/>
      <c r="CY29" s="107">
        <v>1</v>
      </c>
      <c r="CZ29" s="107"/>
      <c r="DA29" s="43">
        <f t="shared" si="4"/>
        <v>1</v>
      </c>
      <c r="DB29" s="43">
        <f t="shared" si="5"/>
        <v>0</v>
      </c>
      <c r="DC29" s="106">
        <f t="shared" si="6"/>
        <v>1</v>
      </c>
      <c r="DD29" s="75"/>
      <c r="DE29" s="107">
        <v>1</v>
      </c>
      <c r="DF29" s="107"/>
      <c r="DG29" s="107"/>
      <c r="DH29" s="43">
        <f t="shared" si="7"/>
        <v>0</v>
      </c>
      <c r="DI29" s="43">
        <f t="shared" si="8"/>
        <v>3</v>
      </c>
      <c r="DJ29" s="106">
        <f t="shared" si="9"/>
        <v>3</v>
      </c>
      <c r="DK29" s="179">
        <f t="shared" si="10"/>
        <v>12</v>
      </c>
      <c r="DL29" s="180">
        <f t="shared" ca="1" si="11"/>
        <v>9.0225563909774431E-2</v>
      </c>
      <c r="DM29" s="181">
        <f t="shared" si="12"/>
        <v>3</v>
      </c>
      <c r="DN29" s="180">
        <f t="shared" ca="1" si="13"/>
        <v>2.2556390977443608E-2</v>
      </c>
      <c r="DO29" s="181">
        <f t="shared" si="14"/>
        <v>15</v>
      </c>
      <c r="DP29" s="180">
        <f t="shared" ca="1" si="15"/>
        <v>0.11278195488721804</v>
      </c>
      <c r="DQ29" s="181">
        <f t="shared" si="16"/>
        <v>2</v>
      </c>
      <c r="DR29" s="181">
        <f t="shared" si="17"/>
        <v>1</v>
      </c>
      <c r="DS29" s="181">
        <f t="shared" si="18"/>
        <v>3</v>
      </c>
    </row>
    <row r="30" spans="1:123" ht="15.75" thickBot="1" x14ac:dyDescent="0.3">
      <c r="A30" s="75" t="s">
        <v>76</v>
      </c>
      <c r="B30" s="62" t="s">
        <v>163</v>
      </c>
      <c r="C30" s="67" t="str">
        <f t="shared" si="0"/>
        <v>נועה אחודה</v>
      </c>
      <c r="D30" s="41" t="s">
        <v>6</v>
      </c>
      <c r="E30" s="55" t="s">
        <v>7</v>
      </c>
      <c r="F30" s="74" t="s">
        <v>193</v>
      </c>
      <c r="G30" s="72">
        <v>43101</v>
      </c>
      <c r="H30" s="74"/>
      <c r="I30" s="42"/>
      <c r="J30" s="133"/>
      <c r="K30" s="134"/>
      <c r="L30" s="134"/>
      <c r="M30" s="134"/>
      <c r="N30" s="135">
        <f t="shared" si="44"/>
        <v>0</v>
      </c>
      <c r="O30" s="135">
        <f t="shared" si="45"/>
        <v>0</v>
      </c>
      <c r="P30" s="44">
        <f t="shared" si="46"/>
        <v>0</v>
      </c>
      <c r="Q30" s="39"/>
      <c r="R30" s="41"/>
      <c r="S30" s="41"/>
      <c r="T30" s="41"/>
      <c r="U30" s="43">
        <f t="shared" si="47"/>
        <v>0</v>
      </c>
      <c r="V30" s="43">
        <f t="shared" si="48"/>
        <v>0</v>
      </c>
      <c r="W30" s="45">
        <f t="shared" si="76"/>
        <v>0</v>
      </c>
      <c r="X30" s="39"/>
      <c r="Y30" s="41"/>
      <c r="Z30" s="41"/>
      <c r="AA30" s="41"/>
      <c r="AB30" s="46">
        <f t="shared" si="49"/>
        <v>0</v>
      </c>
      <c r="AC30" s="46">
        <f t="shared" si="50"/>
        <v>0</v>
      </c>
      <c r="AD30" s="47">
        <f t="shared" si="51"/>
        <v>0</v>
      </c>
      <c r="AE30" s="39"/>
      <c r="AF30" s="41"/>
      <c r="AG30" s="41"/>
      <c r="AH30" s="41"/>
      <c r="AI30" s="43">
        <f t="shared" si="52"/>
        <v>0</v>
      </c>
      <c r="AJ30" s="43">
        <f t="shared" si="53"/>
        <v>0</v>
      </c>
      <c r="AK30" s="45">
        <f t="shared" si="54"/>
        <v>0</v>
      </c>
      <c r="AL30" s="39"/>
      <c r="AM30" s="41"/>
      <c r="AN30" s="41"/>
      <c r="AO30" s="41"/>
      <c r="AP30" s="43">
        <f t="shared" si="55"/>
        <v>0</v>
      </c>
      <c r="AQ30" s="43">
        <f t="shared" si="56"/>
        <v>0</v>
      </c>
      <c r="AR30" s="45">
        <f t="shared" si="57"/>
        <v>0</v>
      </c>
      <c r="AS30" s="39"/>
      <c r="AT30" s="41"/>
      <c r="AU30" s="41"/>
      <c r="AV30" s="41"/>
      <c r="AW30" s="43">
        <f t="shared" si="58"/>
        <v>0</v>
      </c>
      <c r="AX30" s="43">
        <f t="shared" si="59"/>
        <v>0</v>
      </c>
      <c r="AY30" s="45">
        <f t="shared" si="60"/>
        <v>0</v>
      </c>
      <c r="AZ30" s="39"/>
      <c r="BA30" s="41"/>
      <c r="BB30" s="41"/>
      <c r="BC30" s="41"/>
      <c r="BD30" s="43">
        <f t="shared" si="61"/>
        <v>0</v>
      </c>
      <c r="BE30" s="43">
        <f t="shared" si="62"/>
        <v>0</v>
      </c>
      <c r="BF30" s="45">
        <f t="shared" si="63"/>
        <v>0</v>
      </c>
      <c r="BG30" s="75">
        <v>1</v>
      </c>
      <c r="BH30" s="107"/>
      <c r="BI30" s="41"/>
      <c r="BJ30" s="41"/>
      <c r="BK30" s="43">
        <f t="shared" si="64"/>
        <v>3</v>
      </c>
      <c r="BL30" s="43">
        <f t="shared" si="65"/>
        <v>0</v>
      </c>
      <c r="BM30" s="106">
        <f t="shared" si="66"/>
        <v>3</v>
      </c>
      <c r="BN30" s="75">
        <v>1</v>
      </c>
      <c r="BO30" s="107"/>
      <c r="BP30" s="107">
        <v>1</v>
      </c>
      <c r="BQ30" s="107"/>
      <c r="BR30" s="43">
        <f t="shared" si="67"/>
        <v>4</v>
      </c>
      <c r="BS30" s="43">
        <f t="shared" si="68"/>
        <v>0</v>
      </c>
      <c r="BT30" s="106">
        <f t="shared" si="69"/>
        <v>4</v>
      </c>
      <c r="BU30" s="75"/>
      <c r="BV30" s="107"/>
      <c r="BW30" s="107">
        <v>4</v>
      </c>
      <c r="BX30" s="107"/>
      <c r="BY30" s="43">
        <f t="shared" si="70"/>
        <v>4</v>
      </c>
      <c r="BZ30" s="43">
        <f t="shared" si="71"/>
        <v>0</v>
      </c>
      <c r="CA30" s="106">
        <f t="shared" si="72"/>
        <v>4</v>
      </c>
      <c r="CB30" s="75"/>
      <c r="CC30" s="107">
        <v>1</v>
      </c>
      <c r="CD30" s="107">
        <v>1</v>
      </c>
      <c r="CE30" s="192"/>
      <c r="CF30" s="43">
        <f t="shared" si="73"/>
        <v>1</v>
      </c>
      <c r="CG30" s="43">
        <f t="shared" si="74"/>
        <v>3</v>
      </c>
      <c r="CH30" s="106">
        <f t="shared" si="75"/>
        <v>4</v>
      </c>
      <c r="CI30" s="107"/>
      <c r="CJ30" s="107"/>
      <c r="CK30" s="107"/>
      <c r="CL30" s="202">
        <v>1</v>
      </c>
      <c r="CM30" s="43">
        <f t="shared" si="41"/>
        <v>0</v>
      </c>
      <c r="CN30" s="43">
        <f t="shared" si="42"/>
        <v>1</v>
      </c>
      <c r="CO30" s="106">
        <f t="shared" si="43"/>
        <v>1</v>
      </c>
      <c r="CP30" s="275">
        <v>1</v>
      </c>
      <c r="CQ30" s="107"/>
      <c r="CR30" s="107">
        <v>1</v>
      </c>
      <c r="CS30" s="107"/>
      <c r="CT30" s="43">
        <f t="shared" si="1"/>
        <v>4</v>
      </c>
      <c r="CU30" s="43">
        <f t="shared" si="2"/>
        <v>0</v>
      </c>
      <c r="CV30" s="106">
        <f t="shared" si="3"/>
        <v>4</v>
      </c>
      <c r="CW30" s="75"/>
      <c r="CX30" s="107"/>
      <c r="CY30" s="107">
        <v>3</v>
      </c>
      <c r="CZ30" s="107"/>
      <c r="DA30" s="43">
        <f t="shared" si="4"/>
        <v>3</v>
      </c>
      <c r="DB30" s="43">
        <f t="shared" si="5"/>
        <v>0</v>
      </c>
      <c r="DC30" s="106">
        <f t="shared" si="6"/>
        <v>3</v>
      </c>
      <c r="DD30" s="75">
        <v>1</v>
      </c>
      <c r="DE30" s="107"/>
      <c r="DF30" s="107"/>
      <c r="DG30" s="107"/>
      <c r="DH30" s="43">
        <f t="shared" si="7"/>
        <v>3</v>
      </c>
      <c r="DI30" s="43">
        <f t="shared" si="8"/>
        <v>0</v>
      </c>
      <c r="DJ30" s="106">
        <f t="shared" si="9"/>
        <v>3</v>
      </c>
      <c r="DK30" s="179">
        <f t="shared" si="10"/>
        <v>22</v>
      </c>
      <c r="DL30" s="180">
        <f t="shared" ca="1" si="11"/>
        <v>9.4827586206896547E-2</v>
      </c>
      <c r="DM30" s="181">
        <f t="shared" si="12"/>
        <v>4</v>
      </c>
      <c r="DN30" s="180">
        <f t="shared" ca="1" si="13"/>
        <v>1.7241379310344827E-2</v>
      </c>
      <c r="DO30" s="181">
        <f t="shared" si="14"/>
        <v>26</v>
      </c>
      <c r="DP30" s="180">
        <f t="shared" ca="1" si="15"/>
        <v>0.11206896551724138</v>
      </c>
      <c r="DQ30" s="181">
        <f t="shared" si="16"/>
        <v>4</v>
      </c>
      <c r="DR30" s="181">
        <f t="shared" si="17"/>
        <v>1</v>
      </c>
      <c r="DS30" s="181">
        <f t="shared" si="18"/>
        <v>5</v>
      </c>
    </row>
    <row r="31" spans="1:123" ht="15.75" thickBot="1" x14ac:dyDescent="0.3">
      <c r="A31" s="75" t="s">
        <v>76</v>
      </c>
      <c r="B31" s="62" t="s">
        <v>10</v>
      </c>
      <c r="C31" s="67" t="str">
        <f t="shared" si="0"/>
        <v>עדן אחודה</v>
      </c>
      <c r="D31" s="55" t="s">
        <v>7</v>
      </c>
      <c r="E31" s="55" t="s">
        <v>7</v>
      </c>
      <c r="F31" s="74" t="s">
        <v>207</v>
      </c>
      <c r="G31" s="72">
        <v>43160</v>
      </c>
      <c r="H31" s="74"/>
      <c r="I31" s="42"/>
      <c r="J31" s="133"/>
      <c r="K31" s="134"/>
      <c r="L31" s="134"/>
      <c r="M31" s="134"/>
      <c r="N31" s="135">
        <f t="shared" si="44"/>
        <v>0</v>
      </c>
      <c r="O31" s="135">
        <f t="shared" si="45"/>
        <v>0</v>
      </c>
      <c r="P31" s="44">
        <f t="shared" si="46"/>
        <v>0</v>
      </c>
      <c r="Q31" s="39"/>
      <c r="R31" s="41"/>
      <c r="S31" s="41"/>
      <c r="T31" s="41"/>
      <c r="U31" s="43">
        <f t="shared" si="47"/>
        <v>0</v>
      </c>
      <c r="V31" s="43">
        <f t="shared" si="48"/>
        <v>0</v>
      </c>
      <c r="W31" s="45">
        <f t="shared" si="76"/>
        <v>0</v>
      </c>
      <c r="X31" s="39"/>
      <c r="Y31" s="41"/>
      <c r="Z31" s="41"/>
      <c r="AA31" s="41"/>
      <c r="AB31" s="46">
        <f t="shared" si="49"/>
        <v>0</v>
      </c>
      <c r="AC31" s="46">
        <f t="shared" si="50"/>
        <v>0</v>
      </c>
      <c r="AD31" s="47">
        <f t="shared" si="51"/>
        <v>0</v>
      </c>
      <c r="AE31" s="39"/>
      <c r="AF31" s="41"/>
      <c r="AG31" s="41"/>
      <c r="AH31" s="41"/>
      <c r="AI31" s="43">
        <f t="shared" si="52"/>
        <v>0</v>
      </c>
      <c r="AJ31" s="43">
        <f t="shared" si="53"/>
        <v>0</v>
      </c>
      <c r="AK31" s="45">
        <f t="shared" si="54"/>
        <v>0</v>
      </c>
      <c r="AL31" s="39"/>
      <c r="AM31" s="41"/>
      <c r="AN31" s="41"/>
      <c r="AO31" s="41"/>
      <c r="AP31" s="43">
        <f t="shared" si="55"/>
        <v>0</v>
      </c>
      <c r="AQ31" s="43">
        <f t="shared" si="56"/>
        <v>0</v>
      </c>
      <c r="AR31" s="45">
        <f t="shared" si="57"/>
        <v>0</v>
      </c>
      <c r="AS31" s="39"/>
      <c r="AT31" s="41"/>
      <c r="AU31" s="41"/>
      <c r="AV31" s="41"/>
      <c r="AW31" s="43">
        <f t="shared" si="58"/>
        <v>0</v>
      </c>
      <c r="AX31" s="43">
        <f t="shared" si="59"/>
        <v>0</v>
      </c>
      <c r="AY31" s="45">
        <f t="shared" si="60"/>
        <v>0</v>
      </c>
      <c r="AZ31" s="39"/>
      <c r="BA31" s="41"/>
      <c r="BB31" s="41"/>
      <c r="BC31" s="41"/>
      <c r="BD31" s="43">
        <f t="shared" si="61"/>
        <v>0</v>
      </c>
      <c r="BE31" s="43">
        <f t="shared" si="62"/>
        <v>0</v>
      </c>
      <c r="BF31" s="45">
        <f t="shared" si="63"/>
        <v>0</v>
      </c>
      <c r="BG31" s="75"/>
      <c r="BH31" s="107"/>
      <c r="BI31" s="41"/>
      <c r="BJ31" s="41"/>
      <c r="BK31" s="43">
        <f t="shared" si="64"/>
        <v>0</v>
      </c>
      <c r="BL31" s="43">
        <f t="shared" si="65"/>
        <v>0</v>
      </c>
      <c r="BM31" s="106">
        <f t="shared" si="66"/>
        <v>0</v>
      </c>
      <c r="BN31" s="75"/>
      <c r="BO31" s="107"/>
      <c r="BP31" s="107"/>
      <c r="BQ31" s="107"/>
      <c r="BR31" s="43">
        <f t="shared" si="67"/>
        <v>0</v>
      </c>
      <c r="BS31" s="43">
        <f t="shared" si="68"/>
        <v>0</v>
      </c>
      <c r="BT31" s="106">
        <f t="shared" si="69"/>
        <v>0</v>
      </c>
      <c r="BU31" s="75"/>
      <c r="BV31" s="107"/>
      <c r="BW31" s="107"/>
      <c r="BX31" s="107">
        <v>1</v>
      </c>
      <c r="BY31" s="43">
        <f t="shared" si="70"/>
        <v>0</v>
      </c>
      <c r="BZ31" s="43">
        <f t="shared" si="71"/>
        <v>1</v>
      </c>
      <c r="CA31" s="106">
        <f t="shared" si="72"/>
        <v>1</v>
      </c>
      <c r="CB31" s="75"/>
      <c r="CC31" s="107"/>
      <c r="CD31" s="107">
        <v>1</v>
      </c>
      <c r="CE31" s="192"/>
      <c r="CF31" s="43">
        <f t="shared" si="73"/>
        <v>1</v>
      </c>
      <c r="CG31" s="43">
        <f t="shared" si="74"/>
        <v>0</v>
      </c>
      <c r="CH31" s="106">
        <f t="shared" si="75"/>
        <v>1</v>
      </c>
      <c r="CI31" s="107"/>
      <c r="CJ31" s="107"/>
      <c r="CK31" s="107">
        <v>2</v>
      </c>
      <c r="CL31" s="202"/>
      <c r="CM31" s="43">
        <f t="shared" si="41"/>
        <v>2</v>
      </c>
      <c r="CN31" s="43">
        <f t="shared" si="42"/>
        <v>0</v>
      </c>
      <c r="CO31" s="106">
        <f t="shared" si="43"/>
        <v>2</v>
      </c>
      <c r="CP31" s="275"/>
      <c r="CQ31" s="107"/>
      <c r="CR31" s="107">
        <v>1</v>
      </c>
      <c r="CS31" s="107">
        <v>1</v>
      </c>
      <c r="CT31" s="43">
        <f t="shared" si="1"/>
        <v>1</v>
      </c>
      <c r="CU31" s="43">
        <f t="shared" si="2"/>
        <v>1</v>
      </c>
      <c r="CV31" s="106">
        <f t="shared" si="3"/>
        <v>2</v>
      </c>
      <c r="CW31" s="75"/>
      <c r="CX31" s="107"/>
      <c r="CY31" s="107"/>
      <c r="CZ31" s="107">
        <v>2</v>
      </c>
      <c r="DA31" s="43">
        <f t="shared" si="4"/>
        <v>0</v>
      </c>
      <c r="DB31" s="43">
        <f t="shared" si="5"/>
        <v>2</v>
      </c>
      <c r="DC31" s="106">
        <f t="shared" si="6"/>
        <v>2</v>
      </c>
      <c r="DD31" s="75"/>
      <c r="DE31" s="107">
        <v>1</v>
      </c>
      <c r="DF31" s="107"/>
      <c r="DG31" s="107"/>
      <c r="DH31" s="43">
        <f t="shared" si="7"/>
        <v>0</v>
      </c>
      <c r="DI31" s="43">
        <f t="shared" si="8"/>
        <v>3</v>
      </c>
      <c r="DJ31" s="106">
        <f t="shared" si="9"/>
        <v>3</v>
      </c>
      <c r="DK31" s="179">
        <f t="shared" si="10"/>
        <v>4</v>
      </c>
      <c r="DL31" s="180">
        <f t="shared" ca="1" si="11"/>
        <v>2.3121387283236993E-2</v>
      </c>
      <c r="DM31" s="181">
        <f t="shared" si="12"/>
        <v>7</v>
      </c>
      <c r="DN31" s="180">
        <f t="shared" ca="1" si="13"/>
        <v>4.046242774566474E-2</v>
      </c>
      <c r="DO31" s="181">
        <f t="shared" si="14"/>
        <v>11</v>
      </c>
      <c r="DP31" s="180">
        <f t="shared" ca="1" si="15"/>
        <v>6.358381502890173E-2</v>
      </c>
      <c r="DQ31" s="181">
        <f t="shared" si="16"/>
        <v>0</v>
      </c>
      <c r="DR31" s="181">
        <f t="shared" si="17"/>
        <v>1</v>
      </c>
      <c r="DS31" s="181">
        <f t="shared" si="18"/>
        <v>1</v>
      </c>
    </row>
    <row r="32" spans="1:123" ht="15.75" thickBot="1" x14ac:dyDescent="0.3">
      <c r="A32" s="75" t="s">
        <v>76</v>
      </c>
      <c r="B32" s="62" t="s">
        <v>164</v>
      </c>
      <c r="C32" s="67" t="str">
        <f t="shared" si="0"/>
        <v>עמית אחודה</v>
      </c>
      <c r="D32" s="41" t="s">
        <v>6</v>
      </c>
      <c r="E32" s="55" t="s">
        <v>7</v>
      </c>
      <c r="F32" s="74" t="s">
        <v>193</v>
      </c>
      <c r="G32" s="72">
        <v>43101</v>
      </c>
      <c r="H32" s="74"/>
      <c r="I32" s="42"/>
      <c r="J32" s="133"/>
      <c r="K32" s="134"/>
      <c r="L32" s="134"/>
      <c r="M32" s="134"/>
      <c r="N32" s="135">
        <f t="shared" si="44"/>
        <v>0</v>
      </c>
      <c r="O32" s="135">
        <f t="shared" si="45"/>
        <v>0</v>
      </c>
      <c r="P32" s="44">
        <f t="shared" si="46"/>
        <v>0</v>
      </c>
      <c r="Q32" s="39"/>
      <c r="R32" s="41"/>
      <c r="S32" s="41"/>
      <c r="T32" s="41"/>
      <c r="U32" s="43">
        <f t="shared" si="47"/>
        <v>0</v>
      </c>
      <c r="V32" s="43">
        <f t="shared" si="48"/>
        <v>0</v>
      </c>
      <c r="W32" s="45">
        <f t="shared" si="76"/>
        <v>0</v>
      </c>
      <c r="X32" s="39"/>
      <c r="Y32" s="41"/>
      <c r="Z32" s="41"/>
      <c r="AA32" s="41"/>
      <c r="AB32" s="46">
        <f t="shared" si="49"/>
        <v>0</v>
      </c>
      <c r="AC32" s="46">
        <f t="shared" si="50"/>
        <v>0</v>
      </c>
      <c r="AD32" s="47">
        <f t="shared" si="51"/>
        <v>0</v>
      </c>
      <c r="AE32" s="39"/>
      <c r="AF32" s="41"/>
      <c r="AG32" s="41"/>
      <c r="AH32" s="41"/>
      <c r="AI32" s="43">
        <f t="shared" si="52"/>
        <v>0</v>
      </c>
      <c r="AJ32" s="43">
        <f t="shared" si="53"/>
        <v>0</v>
      </c>
      <c r="AK32" s="45">
        <f t="shared" si="54"/>
        <v>0</v>
      </c>
      <c r="AL32" s="39"/>
      <c r="AM32" s="41"/>
      <c r="AN32" s="41"/>
      <c r="AO32" s="41"/>
      <c r="AP32" s="43">
        <f t="shared" si="55"/>
        <v>0</v>
      </c>
      <c r="AQ32" s="43">
        <f t="shared" si="56"/>
        <v>0</v>
      </c>
      <c r="AR32" s="45">
        <f t="shared" si="57"/>
        <v>0</v>
      </c>
      <c r="AS32" s="39"/>
      <c r="AT32" s="41"/>
      <c r="AU32" s="41"/>
      <c r="AV32" s="41"/>
      <c r="AW32" s="43">
        <f t="shared" si="58"/>
        <v>0</v>
      </c>
      <c r="AX32" s="43">
        <f t="shared" si="59"/>
        <v>0</v>
      </c>
      <c r="AY32" s="45">
        <f t="shared" si="60"/>
        <v>0</v>
      </c>
      <c r="AZ32" s="39"/>
      <c r="BA32" s="41"/>
      <c r="BB32" s="41"/>
      <c r="BC32" s="41"/>
      <c r="BD32" s="43">
        <f t="shared" si="61"/>
        <v>0</v>
      </c>
      <c r="BE32" s="43">
        <f t="shared" si="62"/>
        <v>0</v>
      </c>
      <c r="BF32" s="45">
        <f t="shared" si="63"/>
        <v>0</v>
      </c>
      <c r="BG32" s="75">
        <v>1</v>
      </c>
      <c r="BH32" s="107"/>
      <c r="BI32" s="41"/>
      <c r="BJ32" s="41"/>
      <c r="BK32" s="43">
        <f t="shared" si="64"/>
        <v>3</v>
      </c>
      <c r="BL32" s="43">
        <f t="shared" si="65"/>
        <v>0</v>
      </c>
      <c r="BM32" s="106">
        <f t="shared" si="66"/>
        <v>3</v>
      </c>
      <c r="BN32" s="75"/>
      <c r="BO32" s="107">
        <v>1</v>
      </c>
      <c r="BP32" s="107">
        <v>2</v>
      </c>
      <c r="BQ32" s="107"/>
      <c r="BR32" s="43">
        <f t="shared" si="67"/>
        <v>2</v>
      </c>
      <c r="BS32" s="43">
        <f t="shared" si="68"/>
        <v>3</v>
      </c>
      <c r="BT32" s="106">
        <f t="shared" si="69"/>
        <v>5</v>
      </c>
      <c r="BU32" s="75"/>
      <c r="BV32" s="107"/>
      <c r="BW32" s="107">
        <v>3</v>
      </c>
      <c r="BX32" s="107"/>
      <c r="BY32" s="43">
        <f t="shared" si="70"/>
        <v>3</v>
      </c>
      <c r="BZ32" s="43">
        <f t="shared" si="71"/>
        <v>0</v>
      </c>
      <c r="CA32" s="106">
        <f t="shared" si="72"/>
        <v>3</v>
      </c>
      <c r="CB32" s="75">
        <v>1</v>
      </c>
      <c r="CC32" s="107"/>
      <c r="CD32" s="107"/>
      <c r="CE32" s="192"/>
      <c r="CF32" s="43">
        <f t="shared" si="73"/>
        <v>3</v>
      </c>
      <c r="CG32" s="43">
        <f t="shared" si="74"/>
        <v>0</v>
      </c>
      <c r="CH32" s="106">
        <f t="shared" si="75"/>
        <v>3</v>
      </c>
      <c r="CI32" s="107"/>
      <c r="CJ32" s="107"/>
      <c r="CK32" s="107">
        <v>1</v>
      </c>
      <c r="CL32" s="202"/>
      <c r="CM32" s="43">
        <f t="shared" si="41"/>
        <v>1</v>
      </c>
      <c r="CN32" s="43">
        <f t="shared" si="42"/>
        <v>0</v>
      </c>
      <c r="CO32" s="106">
        <f t="shared" si="43"/>
        <v>1</v>
      </c>
      <c r="CP32" s="275">
        <v>1</v>
      </c>
      <c r="CQ32" s="107">
        <v>1</v>
      </c>
      <c r="CR32" s="107"/>
      <c r="CS32" s="107"/>
      <c r="CT32" s="43">
        <f t="shared" si="1"/>
        <v>3</v>
      </c>
      <c r="CU32" s="43">
        <f t="shared" si="2"/>
        <v>3</v>
      </c>
      <c r="CV32" s="106">
        <f t="shared" si="3"/>
        <v>6</v>
      </c>
      <c r="CW32" s="75"/>
      <c r="CX32" s="107"/>
      <c r="CY32" s="107">
        <v>2</v>
      </c>
      <c r="CZ32" s="107"/>
      <c r="DA32" s="43">
        <f t="shared" si="4"/>
        <v>2</v>
      </c>
      <c r="DB32" s="43">
        <f t="shared" si="5"/>
        <v>0</v>
      </c>
      <c r="DC32" s="106">
        <f t="shared" si="6"/>
        <v>2</v>
      </c>
      <c r="DD32" s="75">
        <v>1</v>
      </c>
      <c r="DE32" s="107"/>
      <c r="DF32" s="107"/>
      <c r="DG32" s="107"/>
      <c r="DH32" s="43">
        <f t="shared" si="7"/>
        <v>3</v>
      </c>
      <c r="DI32" s="43">
        <f t="shared" si="8"/>
        <v>0</v>
      </c>
      <c r="DJ32" s="106">
        <f t="shared" si="9"/>
        <v>3</v>
      </c>
      <c r="DK32" s="179">
        <f t="shared" si="10"/>
        <v>20</v>
      </c>
      <c r="DL32" s="180">
        <f t="shared" ca="1" si="11"/>
        <v>8.6206896551724144E-2</v>
      </c>
      <c r="DM32" s="181">
        <f t="shared" si="12"/>
        <v>6</v>
      </c>
      <c r="DN32" s="180">
        <f t="shared" ca="1" si="13"/>
        <v>2.5862068965517241E-2</v>
      </c>
      <c r="DO32" s="181">
        <f t="shared" si="14"/>
        <v>26</v>
      </c>
      <c r="DP32" s="180">
        <f t="shared" ca="1" si="15"/>
        <v>0.11206896551724138</v>
      </c>
      <c r="DQ32" s="181">
        <f t="shared" si="16"/>
        <v>4</v>
      </c>
      <c r="DR32" s="181">
        <f t="shared" si="17"/>
        <v>2</v>
      </c>
      <c r="DS32" s="181">
        <f t="shared" si="18"/>
        <v>6</v>
      </c>
    </row>
    <row r="33" spans="1:123" ht="15.75" thickBot="1" x14ac:dyDescent="0.3">
      <c r="A33" s="278" t="s">
        <v>76</v>
      </c>
      <c r="B33" s="70" t="s">
        <v>219</v>
      </c>
      <c r="C33" s="236" t="str">
        <f t="shared" si="0"/>
        <v>רוני אחודה</v>
      </c>
      <c r="D33" s="95" t="s">
        <v>6</v>
      </c>
      <c r="E33" s="95" t="s">
        <v>6</v>
      </c>
      <c r="F33" s="74" t="s">
        <v>259</v>
      </c>
      <c r="G33" s="72">
        <v>43282</v>
      </c>
      <c r="H33" s="115"/>
      <c r="I33" s="176"/>
      <c r="J33" s="136"/>
      <c r="K33" s="137"/>
      <c r="L33" s="137"/>
      <c r="M33" s="137"/>
      <c r="N33" s="135"/>
      <c r="O33" s="135"/>
      <c r="P33" s="44"/>
      <c r="Q33" s="66"/>
      <c r="R33" s="68"/>
      <c r="S33" s="68"/>
      <c r="T33" s="68"/>
      <c r="U33" s="43"/>
      <c r="V33" s="43"/>
      <c r="W33" s="45"/>
      <c r="X33" s="39"/>
      <c r="Y33" s="41"/>
      <c r="Z33" s="41"/>
      <c r="AA33" s="41"/>
      <c r="AB33" s="46"/>
      <c r="AC33" s="46"/>
      <c r="AD33" s="47"/>
      <c r="AE33" s="66"/>
      <c r="AF33" s="68"/>
      <c r="AG33" s="68"/>
      <c r="AH33" s="68"/>
      <c r="AI33" s="43"/>
      <c r="AJ33" s="43"/>
      <c r="AK33" s="45"/>
      <c r="AL33" s="66"/>
      <c r="AM33" s="68"/>
      <c r="AN33" s="68"/>
      <c r="AO33" s="68"/>
      <c r="AP33" s="43"/>
      <c r="AQ33" s="43"/>
      <c r="AR33" s="45"/>
      <c r="AS33" s="66"/>
      <c r="AT33" s="68"/>
      <c r="AU33" s="68"/>
      <c r="AV33" s="68"/>
      <c r="AW33" s="43"/>
      <c r="AX33" s="43"/>
      <c r="AY33" s="45"/>
      <c r="AZ33" s="66"/>
      <c r="BA33" s="68"/>
      <c r="BB33" s="68"/>
      <c r="BC33" s="68"/>
      <c r="BD33" s="43"/>
      <c r="BE33" s="43"/>
      <c r="BF33" s="45"/>
      <c r="BG33" s="132"/>
      <c r="BH33" s="142"/>
      <c r="BI33" s="68"/>
      <c r="BJ33" s="68"/>
      <c r="BK33" s="43"/>
      <c r="BL33" s="43"/>
      <c r="BM33" s="106"/>
      <c r="BN33" s="75"/>
      <c r="BO33" s="107"/>
      <c r="BP33" s="107"/>
      <c r="BQ33" s="107"/>
      <c r="BR33" s="43"/>
      <c r="BS33" s="43"/>
      <c r="BT33" s="106"/>
      <c r="BU33" s="75"/>
      <c r="BV33" s="107"/>
      <c r="BW33" s="107"/>
      <c r="BX33" s="107"/>
      <c r="BY33" s="43"/>
      <c r="BZ33" s="43"/>
      <c r="CA33" s="106"/>
      <c r="CB33" s="75"/>
      <c r="CC33" s="107"/>
      <c r="CD33" s="107"/>
      <c r="CE33" s="192"/>
      <c r="CF33" s="43"/>
      <c r="CG33" s="43"/>
      <c r="CH33" s="106"/>
      <c r="CI33" s="107"/>
      <c r="CJ33" s="107"/>
      <c r="CK33" s="107"/>
      <c r="CL33" s="202"/>
      <c r="CM33" s="43">
        <f t="shared" si="41"/>
        <v>0</v>
      </c>
      <c r="CN33" s="43">
        <f t="shared" si="42"/>
        <v>0</v>
      </c>
      <c r="CO33" s="106">
        <f t="shared" si="43"/>
        <v>0</v>
      </c>
      <c r="CP33" s="275"/>
      <c r="CQ33" s="107"/>
      <c r="CR33" s="107"/>
      <c r="CS33" s="107"/>
      <c r="CT33" s="43">
        <f t="shared" si="1"/>
        <v>0</v>
      </c>
      <c r="CU33" s="43">
        <f t="shared" si="2"/>
        <v>0</v>
      </c>
      <c r="CV33" s="106">
        <f t="shared" si="3"/>
        <v>0</v>
      </c>
      <c r="CW33" s="75">
        <v>1</v>
      </c>
      <c r="CX33" s="107"/>
      <c r="CY33" s="107">
        <v>1</v>
      </c>
      <c r="CZ33" s="107"/>
      <c r="DA33" s="43">
        <f t="shared" si="4"/>
        <v>4</v>
      </c>
      <c r="DB33" s="43">
        <f t="shared" si="5"/>
        <v>0</v>
      </c>
      <c r="DC33" s="106">
        <f t="shared" si="6"/>
        <v>4</v>
      </c>
      <c r="DD33" s="75"/>
      <c r="DE33" s="107"/>
      <c r="DF33" s="107"/>
      <c r="DG33" s="107"/>
      <c r="DH33" s="43">
        <f t="shared" si="7"/>
        <v>0</v>
      </c>
      <c r="DI33" s="43">
        <f t="shared" si="8"/>
        <v>0</v>
      </c>
      <c r="DJ33" s="106">
        <f t="shared" si="9"/>
        <v>0</v>
      </c>
      <c r="DK33" s="179">
        <f t="shared" si="10"/>
        <v>4</v>
      </c>
      <c r="DL33" s="180">
        <f t="shared" ca="1" si="11"/>
        <v>7.8431372549019607E-2</v>
      </c>
      <c r="DM33" s="181">
        <f t="shared" si="12"/>
        <v>0</v>
      </c>
      <c r="DN33" s="180">
        <f t="shared" ca="1" si="13"/>
        <v>0</v>
      </c>
      <c r="DO33" s="181">
        <f t="shared" si="14"/>
        <v>4</v>
      </c>
      <c r="DP33" s="180">
        <f t="shared" ca="1" si="15"/>
        <v>7.8431372549019607E-2</v>
      </c>
      <c r="DQ33" s="181">
        <f t="shared" si="16"/>
        <v>1</v>
      </c>
      <c r="DR33" s="181">
        <f t="shared" si="17"/>
        <v>0</v>
      </c>
      <c r="DS33" s="181">
        <f t="shared" si="18"/>
        <v>1</v>
      </c>
    </row>
    <row r="34" spans="1:123" ht="15.75" thickBot="1" x14ac:dyDescent="0.3">
      <c r="A34" s="286" t="s">
        <v>76</v>
      </c>
      <c r="B34" s="124" t="s">
        <v>13</v>
      </c>
      <c r="C34" s="67" t="str">
        <f t="shared" si="0"/>
        <v>שיר אחודה</v>
      </c>
      <c r="D34" s="95" t="s">
        <v>6</v>
      </c>
      <c r="E34" s="95" t="s">
        <v>7</v>
      </c>
      <c r="F34" s="74" t="s">
        <v>255</v>
      </c>
      <c r="G34" s="72">
        <v>43252</v>
      </c>
      <c r="H34" s="115"/>
      <c r="I34" s="176"/>
      <c r="J34" s="136"/>
      <c r="K34" s="137"/>
      <c r="L34" s="137"/>
      <c r="M34" s="137"/>
      <c r="N34" s="135">
        <f>J34*3+L34</f>
        <v>0</v>
      </c>
      <c r="O34" s="135">
        <f>K34*3+M34</f>
        <v>0</v>
      </c>
      <c r="P34" s="44">
        <f>O34+N34</f>
        <v>0</v>
      </c>
      <c r="Q34" s="66"/>
      <c r="R34" s="68"/>
      <c r="S34" s="68"/>
      <c r="T34" s="68"/>
      <c r="U34" s="43">
        <f>Q34*3+S34</f>
        <v>0</v>
      </c>
      <c r="V34" s="43">
        <f>R34*3+T34</f>
        <v>0</v>
      </c>
      <c r="W34" s="45">
        <f>V34+U34</f>
        <v>0</v>
      </c>
      <c r="X34" s="39"/>
      <c r="Y34" s="41"/>
      <c r="Z34" s="41"/>
      <c r="AA34" s="41"/>
      <c r="AB34" s="46">
        <f>X34*3+Z34</f>
        <v>0</v>
      </c>
      <c r="AC34" s="46">
        <f>Y34*3+AA34</f>
        <v>0</v>
      </c>
      <c r="AD34" s="47">
        <f>AC34+AB34</f>
        <v>0</v>
      </c>
      <c r="AE34" s="66"/>
      <c r="AF34" s="68"/>
      <c r="AG34" s="68"/>
      <c r="AH34" s="68"/>
      <c r="AI34" s="43">
        <f>AE34*3+AG34</f>
        <v>0</v>
      </c>
      <c r="AJ34" s="43">
        <f>AF34*3+AH34</f>
        <v>0</v>
      </c>
      <c r="AK34" s="45">
        <f>AJ34+AI34</f>
        <v>0</v>
      </c>
      <c r="AL34" s="66"/>
      <c r="AM34" s="68"/>
      <c r="AN34" s="68"/>
      <c r="AO34" s="68"/>
      <c r="AP34" s="43">
        <f>AL34*3+AN34</f>
        <v>0</v>
      </c>
      <c r="AQ34" s="43">
        <f>AM34*3+AO34</f>
        <v>0</v>
      </c>
      <c r="AR34" s="45">
        <f>AQ34+AP34</f>
        <v>0</v>
      </c>
      <c r="AS34" s="66"/>
      <c r="AT34" s="68"/>
      <c r="AU34" s="68"/>
      <c r="AV34" s="68"/>
      <c r="AW34" s="43">
        <f>AS34*3+AU34</f>
        <v>0</v>
      </c>
      <c r="AX34" s="43">
        <f>AT34*3+AV34</f>
        <v>0</v>
      </c>
      <c r="AY34" s="45">
        <f>AX34+AW34</f>
        <v>0</v>
      </c>
      <c r="AZ34" s="66"/>
      <c r="BA34" s="68"/>
      <c r="BB34" s="68"/>
      <c r="BC34" s="68"/>
      <c r="BD34" s="43">
        <f>AZ34*3+BB34</f>
        <v>0</v>
      </c>
      <c r="BE34" s="43">
        <f>BA34*3+BC34</f>
        <v>0</v>
      </c>
      <c r="BF34" s="45">
        <f>BE34+BD34</f>
        <v>0</v>
      </c>
      <c r="BG34" s="132"/>
      <c r="BH34" s="142"/>
      <c r="BI34" s="68"/>
      <c r="BJ34" s="68"/>
      <c r="BK34" s="43">
        <f>BG34*3+BI34</f>
        <v>0</v>
      </c>
      <c r="BL34" s="43">
        <f>BH34*3+BJ34</f>
        <v>0</v>
      </c>
      <c r="BM34" s="106">
        <f>BL34+BK34</f>
        <v>0</v>
      </c>
      <c r="BN34" s="75"/>
      <c r="BO34" s="107"/>
      <c r="BP34" s="107"/>
      <c r="BQ34" s="107"/>
      <c r="BR34" s="43">
        <f>BN34*3+BP34</f>
        <v>0</v>
      </c>
      <c r="BS34" s="43">
        <f>BO34*3+BQ34</f>
        <v>0</v>
      </c>
      <c r="BT34" s="106">
        <f>BS34+BR34</f>
        <v>0</v>
      </c>
      <c r="BU34" s="75"/>
      <c r="BV34" s="107"/>
      <c r="BW34" s="107"/>
      <c r="BX34" s="107"/>
      <c r="BY34" s="43">
        <f>BU34*3+BW34</f>
        <v>0</v>
      </c>
      <c r="BZ34" s="43">
        <f>BV34*3+BX34</f>
        <v>0</v>
      </c>
      <c r="CA34" s="106">
        <f>BZ34+BY34</f>
        <v>0</v>
      </c>
      <c r="CB34" s="75"/>
      <c r="CC34" s="107"/>
      <c r="CD34" s="107"/>
      <c r="CE34" s="192"/>
      <c r="CF34" s="43">
        <f>CB34*3+CD34</f>
        <v>0</v>
      </c>
      <c r="CG34" s="43">
        <f>CC34*3+CE34</f>
        <v>0</v>
      </c>
      <c r="CH34" s="106">
        <f>CG34+CF34</f>
        <v>0</v>
      </c>
      <c r="CI34" s="107"/>
      <c r="CJ34" s="107"/>
      <c r="CK34" s="107"/>
      <c r="CL34" s="202"/>
      <c r="CM34" s="43">
        <f t="shared" si="41"/>
        <v>0</v>
      </c>
      <c r="CN34" s="43">
        <f t="shared" si="42"/>
        <v>0</v>
      </c>
      <c r="CO34" s="106">
        <f t="shared" si="43"/>
        <v>0</v>
      </c>
      <c r="CP34" s="275">
        <v>1</v>
      </c>
      <c r="CQ34" s="107"/>
      <c r="CR34" s="107">
        <v>1</v>
      </c>
      <c r="CS34" s="107"/>
      <c r="CT34" s="43">
        <f t="shared" si="1"/>
        <v>4</v>
      </c>
      <c r="CU34" s="43">
        <f t="shared" si="2"/>
        <v>0</v>
      </c>
      <c r="CV34" s="106">
        <f t="shared" si="3"/>
        <v>4</v>
      </c>
      <c r="CW34" s="75"/>
      <c r="CX34" s="107"/>
      <c r="CY34" s="107">
        <v>3</v>
      </c>
      <c r="CZ34" s="107"/>
      <c r="DA34" s="43">
        <f t="shared" si="4"/>
        <v>3</v>
      </c>
      <c r="DB34" s="43">
        <f t="shared" si="5"/>
        <v>0</v>
      </c>
      <c r="DC34" s="106">
        <f t="shared" si="6"/>
        <v>3</v>
      </c>
      <c r="DD34" s="75">
        <v>1</v>
      </c>
      <c r="DE34" s="107"/>
      <c r="DF34" s="107"/>
      <c r="DG34" s="107"/>
      <c r="DH34" s="43">
        <f t="shared" si="7"/>
        <v>3</v>
      </c>
      <c r="DI34" s="43">
        <f t="shared" si="8"/>
        <v>0</v>
      </c>
      <c r="DJ34" s="106">
        <f t="shared" si="9"/>
        <v>3</v>
      </c>
      <c r="DK34" s="179">
        <f t="shared" si="10"/>
        <v>10</v>
      </c>
      <c r="DL34" s="180">
        <f t="shared" ca="1" si="11"/>
        <v>0.12345679012345678</v>
      </c>
      <c r="DM34" s="181">
        <f t="shared" si="12"/>
        <v>0</v>
      </c>
      <c r="DN34" s="180">
        <f t="shared" ca="1" si="13"/>
        <v>0</v>
      </c>
      <c r="DO34" s="181">
        <f t="shared" si="14"/>
        <v>10</v>
      </c>
      <c r="DP34" s="180">
        <f t="shared" ca="1" si="15"/>
        <v>0.12345679012345678</v>
      </c>
      <c r="DQ34" s="181">
        <f t="shared" si="16"/>
        <v>2</v>
      </c>
      <c r="DR34" s="181">
        <f t="shared" si="17"/>
        <v>0</v>
      </c>
      <c r="DS34" s="181">
        <f t="shared" si="18"/>
        <v>2</v>
      </c>
    </row>
    <row r="35" spans="1:123" ht="15.75" thickBot="1" x14ac:dyDescent="0.3">
      <c r="A35" s="132" t="s">
        <v>76</v>
      </c>
      <c r="B35" s="124" t="s">
        <v>173</v>
      </c>
      <c r="C35" s="67" t="str">
        <f t="shared" si="0"/>
        <v>תאיר אחודה</v>
      </c>
      <c r="D35" s="95" t="s">
        <v>6</v>
      </c>
      <c r="E35" s="95" t="s">
        <v>7</v>
      </c>
      <c r="F35" s="74" t="s">
        <v>194</v>
      </c>
      <c r="G35" s="72">
        <v>43132</v>
      </c>
      <c r="H35" s="74"/>
      <c r="I35" s="147" t="s">
        <v>206</v>
      </c>
      <c r="J35" s="136"/>
      <c r="K35" s="137"/>
      <c r="L35" s="137"/>
      <c r="M35" s="137"/>
      <c r="N35" s="135">
        <f>J35*3+L35</f>
        <v>0</v>
      </c>
      <c r="O35" s="135">
        <f>K35*3+M35</f>
        <v>0</v>
      </c>
      <c r="P35" s="44">
        <f>O35+N35</f>
        <v>0</v>
      </c>
      <c r="Q35" s="66"/>
      <c r="R35" s="68"/>
      <c r="S35" s="68"/>
      <c r="T35" s="68"/>
      <c r="U35" s="43">
        <f>Q35*3+S35</f>
        <v>0</v>
      </c>
      <c r="V35" s="43">
        <f>R35*3+T35</f>
        <v>0</v>
      </c>
      <c r="W35" s="45">
        <f>V35+U35</f>
        <v>0</v>
      </c>
      <c r="X35" s="39"/>
      <c r="Y35" s="41"/>
      <c r="Z35" s="41"/>
      <c r="AA35" s="41"/>
      <c r="AB35" s="46">
        <f>X35*3+Z35</f>
        <v>0</v>
      </c>
      <c r="AC35" s="46">
        <f>Y35*3+AA35</f>
        <v>0</v>
      </c>
      <c r="AD35" s="47">
        <f>AC35+AB35</f>
        <v>0</v>
      </c>
      <c r="AE35" s="66"/>
      <c r="AF35" s="68"/>
      <c r="AG35" s="68"/>
      <c r="AH35" s="68"/>
      <c r="AI35" s="43">
        <f>AE35*3+AG35</f>
        <v>0</v>
      </c>
      <c r="AJ35" s="43">
        <f>AF35*3+AH35</f>
        <v>0</v>
      </c>
      <c r="AK35" s="45">
        <f>AJ35+AI35</f>
        <v>0</v>
      </c>
      <c r="AL35" s="66"/>
      <c r="AM35" s="68"/>
      <c r="AN35" s="68"/>
      <c r="AO35" s="68"/>
      <c r="AP35" s="43">
        <f>AL35*3+AN35</f>
        <v>0</v>
      </c>
      <c r="AQ35" s="43">
        <f>AM35*3+AO35</f>
        <v>0</v>
      </c>
      <c r="AR35" s="45">
        <f>AQ35+AP35</f>
        <v>0</v>
      </c>
      <c r="AS35" s="66"/>
      <c r="AT35" s="68"/>
      <c r="AU35" s="68"/>
      <c r="AV35" s="68"/>
      <c r="AW35" s="43">
        <f>AS35*3+AU35</f>
        <v>0</v>
      </c>
      <c r="AX35" s="43">
        <f>AT35*3+AV35</f>
        <v>0</v>
      </c>
      <c r="AY35" s="45">
        <f>AX35+AW35</f>
        <v>0</v>
      </c>
      <c r="AZ35" s="66"/>
      <c r="BA35" s="68"/>
      <c r="BB35" s="68"/>
      <c r="BC35" s="68"/>
      <c r="BD35" s="43">
        <f>AZ35*3+BB35</f>
        <v>0</v>
      </c>
      <c r="BE35" s="43">
        <f>BA35*3+BC35</f>
        <v>0</v>
      </c>
      <c r="BF35" s="45">
        <f>BE35+BD35</f>
        <v>0</v>
      </c>
      <c r="BG35" s="132"/>
      <c r="BH35" s="142"/>
      <c r="BI35" s="68"/>
      <c r="BJ35" s="68"/>
      <c r="BK35" s="43">
        <f>BG35*3+BI35</f>
        <v>0</v>
      </c>
      <c r="BL35" s="43">
        <f>BH35*3+BJ35</f>
        <v>0</v>
      </c>
      <c r="BM35" s="106">
        <f>BL35+BK35</f>
        <v>0</v>
      </c>
      <c r="BN35" s="75">
        <v>1</v>
      </c>
      <c r="BO35" s="107"/>
      <c r="BP35" s="107">
        <v>2</v>
      </c>
      <c r="BQ35" s="107"/>
      <c r="BR35" s="43">
        <f>BN35*3+BP35</f>
        <v>5</v>
      </c>
      <c r="BS35" s="43">
        <f>BO35*3+BQ35</f>
        <v>0</v>
      </c>
      <c r="BT35" s="106">
        <f>BS35+BR35</f>
        <v>5</v>
      </c>
      <c r="BU35" s="75"/>
      <c r="BV35" s="107"/>
      <c r="BW35" s="107">
        <v>3</v>
      </c>
      <c r="BX35" s="107"/>
      <c r="BY35" s="43">
        <f>BU35*3+BW35</f>
        <v>3</v>
      </c>
      <c r="BZ35" s="43">
        <f>BV35*3+BX35</f>
        <v>0</v>
      </c>
      <c r="CA35" s="106">
        <f>BZ35+BY35</f>
        <v>3</v>
      </c>
      <c r="CB35" s="75"/>
      <c r="CC35" s="107"/>
      <c r="CD35" s="107">
        <v>3</v>
      </c>
      <c r="CE35" s="192"/>
      <c r="CF35" s="43">
        <f>CB35*3+CD35</f>
        <v>3</v>
      </c>
      <c r="CG35" s="43">
        <f>CC35*3+CE35</f>
        <v>0</v>
      </c>
      <c r="CH35" s="106">
        <f>CG35+CF35</f>
        <v>3</v>
      </c>
      <c r="CI35" s="107"/>
      <c r="CJ35" s="107"/>
      <c r="CK35" s="107">
        <v>1</v>
      </c>
      <c r="CL35" s="202">
        <v>1</v>
      </c>
      <c r="CM35" s="43">
        <f t="shared" si="41"/>
        <v>1</v>
      </c>
      <c r="CN35" s="43">
        <f t="shared" si="42"/>
        <v>1</v>
      </c>
      <c r="CO35" s="106">
        <f t="shared" si="43"/>
        <v>2</v>
      </c>
      <c r="CP35" s="275"/>
      <c r="CQ35" s="107"/>
      <c r="CR35" s="107">
        <v>3</v>
      </c>
      <c r="CS35" s="107"/>
      <c r="CT35" s="43">
        <f t="shared" si="1"/>
        <v>3</v>
      </c>
      <c r="CU35" s="43">
        <f t="shared" si="2"/>
        <v>0</v>
      </c>
      <c r="CV35" s="106">
        <f t="shared" si="3"/>
        <v>3</v>
      </c>
      <c r="CW35" s="75"/>
      <c r="CX35" s="107"/>
      <c r="CY35" s="107">
        <v>3</v>
      </c>
      <c r="CZ35" s="107"/>
      <c r="DA35" s="43">
        <f t="shared" si="4"/>
        <v>3</v>
      </c>
      <c r="DB35" s="43">
        <f t="shared" si="5"/>
        <v>0</v>
      </c>
      <c r="DC35" s="106">
        <f t="shared" si="6"/>
        <v>3</v>
      </c>
      <c r="DD35" s="75"/>
      <c r="DE35" s="107"/>
      <c r="DF35" s="107"/>
      <c r="DG35" s="107"/>
      <c r="DH35" s="43">
        <f t="shared" si="7"/>
        <v>0</v>
      </c>
      <c r="DI35" s="43">
        <f t="shared" si="8"/>
        <v>0</v>
      </c>
      <c r="DJ35" s="106">
        <f t="shared" si="9"/>
        <v>0</v>
      </c>
      <c r="DK35" s="179">
        <f t="shared" si="10"/>
        <v>18</v>
      </c>
      <c r="DL35" s="180">
        <f t="shared" ca="1" si="11"/>
        <v>8.9552238805970144E-2</v>
      </c>
      <c r="DM35" s="181">
        <f t="shared" si="12"/>
        <v>1</v>
      </c>
      <c r="DN35" s="180">
        <f t="shared" ca="1" si="13"/>
        <v>4.9751243781094526E-3</v>
      </c>
      <c r="DO35" s="181">
        <f t="shared" si="14"/>
        <v>19</v>
      </c>
      <c r="DP35" s="180">
        <f t="shared" ca="1" si="15"/>
        <v>9.4527363184079602E-2</v>
      </c>
      <c r="DQ35" s="181">
        <f t="shared" si="16"/>
        <v>1</v>
      </c>
      <c r="DR35" s="181">
        <f t="shared" si="17"/>
        <v>0</v>
      </c>
      <c r="DS35" s="181">
        <f t="shared" si="18"/>
        <v>1</v>
      </c>
    </row>
    <row r="36" spans="1:123" ht="15.75" thickBot="1" x14ac:dyDescent="0.3">
      <c r="A36" s="278" t="s">
        <v>14</v>
      </c>
      <c r="B36" s="70" t="s">
        <v>294</v>
      </c>
      <c r="C36" s="236" t="str">
        <f t="shared" si="0"/>
        <v>טופז מפאוג</v>
      </c>
      <c r="D36" s="95" t="s">
        <v>6</v>
      </c>
      <c r="E36" s="55" t="s">
        <v>6</v>
      </c>
      <c r="F36" s="74" t="s">
        <v>295</v>
      </c>
      <c r="G36" s="72">
        <v>43326</v>
      </c>
      <c r="H36" s="74"/>
      <c r="I36" s="176"/>
      <c r="J36" s="136"/>
      <c r="K36" s="137"/>
      <c r="L36" s="137"/>
      <c r="M36" s="137"/>
      <c r="N36" s="135"/>
      <c r="O36" s="135"/>
      <c r="P36" s="44"/>
      <c r="Q36" s="66"/>
      <c r="R36" s="68"/>
      <c r="S36" s="68"/>
      <c r="T36" s="68"/>
      <c r="U36" s="43"/>
      <c r="V36" s="43"/>
      <c r="W36" s="45"/>
      <c r="X36" s="39"/>
      <c r="Y36" s="41"/>
      <c r="Z36" s="41"/>
      <c r="AA36" s="41"/>
      <c r="AB36" s="46"/>
      <c r="AC36" s="46"/>
      <c r="AD36" s="47"/>
      <c r="AE36" s="66"/>
      <c r="AF36" s="68"/>
      <c r="AG36" s="68"/>
      <c r="AH36" s="68"/>
      <c r="AI36" s="43"/>
      <c r="AJ36" s="43"/>
      <c r="AK36" s="45"/>
      <c r="AL36" s="66"/>
      <c r="AM36" s="68"/>
      <c r="AN36" s="68"/>
      <c r="AO36" s="68"/>
      <c r="AP36" s="43"/>
      <c r="AQ36" s="43"/>
      <c r="AR36" s="45"/>
      <c r="AS36" s="66"/>
      <c r="AT36" s="68"/>
      <c r="AU36" s="68"/>
      <c r="AV36" s="68"/>
      <c r="AW36" s="43"/>
      <c r="AX36" s="43"/>
      <c r="AY36" s="45"/>
      <c r="AZ36" s="66"/>
      <c r="BA36" s="68"/>
      <c r="BB36" s="68"/>
      <c r="BC36" s="68"/>
      <c r="BD36" s="43"/>
      <c r="BE36" s="43"/>
      <c r="BF36" s="45"/>
      <c r="BG36" s="132"/>
      <c r="BH36" s="142"/>
      <c r="BI36" s="142"/>
      <c r="BJ36" s="68"/>
      <c r="BK36" s="43"/>
      <c r="BL36" s="43"/>
      <c r="BM36" s="106"/>
      <c r="BN36" s="75"/>
      <c r="BO36" s="107"/>
      <c r="BP36" s="107"/>
      <c r="BQ36" s="107"/>
      <c r="BR36" s="43"/>
      <c r="BS36" s="43"/>
      <c r="BT36" s="106"/>
      <c r="BU36" s="75"/>
      <c r="BV36" s="107"/>
      <c r="BW36" s="107"/>
      <c r="BX36" s="107"/>
      <c r="BY36" s="43"/>
      <c r="BZ36" s="43"/>
      <c r="CA36" s="106"/>
      <c r="CB36" s="190"/>
      <c r="CC36" s="107"/>
      <c r="CD36" s="107"/>
      <c r="CE36" s="192"/>
      <c r="CF36" s="43"/>
      <c r="CG36" s="43"/>
      <c r="CH36" s="106"/>
      <c r="CI36" s="107"/>
      <c r="CJ36" s="107"/>
      <c r="CK36" s="107"/>
      <c r="CL36" s="202"/>
      <c r="CM36" s="43"/>
      <c r="CN36" s="43"/>
      <c r="CO36" s="106"/>
      <c r="CP36" s="275"/>
      <c r="CQ36" s="107"/>
      <c r="CR36" s="107"/>
      <c r="CS36" s="107"/>
      <c r="CT36" s="43">
        <f t="shared" si="1"/>
        <v>0</v>
      </c>
      <c r="CU36" s="43">
        <f t="shared" si="2"/>
        <v>0</v>
      </c>
      <c r="CV36" s="106">
        <f t="shared" si="3"/>
        <v>0</v>
      </c>
      <c r="CW36" s="75"/>
      <c r="CX36" s="107"/>
      <c r="CY36" s="107"/>
      <c r="CZ36" s="107"/>
      <c r="DA36" s="43">
        <f t="shared" si="4"/>
        <v>0</v>
      </c>
      <c r="DB36" s="43">
        <f t="shared" si="5"/>
        <v>0</v>
      </c>
      <c r="DC36" s="106">
        <f t="shared" si="6"/>
        <v>0</v>
      </c>
      <c r="DD36" s="75">
        <v>1</v>
      </c>
      <c r="DE36" s="107"/>
      <c r="DF36" s="107"/>
      <c r="DG36" s="107"/>
      <c r="DH36" s="43">
        <f t="shared" si="7"/>
        <v>3</v>
      </c>
      <c r="DI36" s="43">
        <f t="shared" si="8"/>
        <v>0</v>
      </c>
      <c r="DJ36" s="106">
        <f t="shared" si="9"/>
        <v>3</v>
      </c>
      <c r="DK36" s="179">
        <f t="shared" si="10"/>
        <v>3</v>
      </c>
      <c r="DL36" s="180">
        <f t="shared" ca="1" si="11"/>
        <v>0.42857142857142855</v>
      </c>
      <c r="DM36" s="181">
        <f t="shared" si="12"/>
        <v>0</v>
      </c>
      <c r="DN36" s="180">
        <f t="shared" ca="1" si="13"/>
        <v>0</v>
      </c>
      <c r="DO36" s="181">
        <f t="shared" si="14"/>
        <v>3</v>
      </c>
      <c r="DP36" s="180">
        <f t="shared" ca="1" si="15"/>
        <v>0.42857142857142855</v>
      </c>
      <c r="DQ36" s="181">
        <f t="shared" si="16"/>
        <v>1</v>
      </c>
      <c r="DR36" s="181">
        <f t="shared" si="17"/>
        <v>0</v>
      </c>
      <c r="DS36" s="181">
        <f t="shared" si="18"/>
        <v>1</v>
      </c>
    </row>
    <row r="37" spans="1:123" ht="15.75" thickBot="1" x14ac:dyDescent="0.3">
      <c r="A37" s="290" t="s">
        <v>14</v>
      </c>
      <c r="B37" s="235" t="s">
        <v>163</v>
      </c>
      <c r="C37" s="182" t="str">
        <f t="shared" si="0"/>
        <v>נועה מפאוג</v>
      </c>
      <c r="D37" s="95" t="s">
        <v>6</v>
      </c>
      <c r="E37" s="95" t="s">
        <v>7</v>
      </c>
      <c r="F37" s="74" t="s">
        <v>193</v>
      </c>
      <c r="G37" s="72">
        <v>43101</v>
      </c>
      <c r="H37" s="74"/>
      <c r="I37" s="176"/>
      <c r="J37" s="136"/>
      <c r="K37" s="137"/>
      <c r="L37" s="137"/>
      <c r="M37" s="137"/>
      <c r="N37" s="135">
        <f t="shared" ref="N37:O42" si="77">J37*3+L37</f>
        <v>0</v>
      </c>
      <c r="O37" s="135">
        <f t="shared" si="77"/>
        <v>0</v>
      </c>
      <c r="P37" s="44">
        <f t="shared" ref="P37:P42" si="78">O37+N37</f>
        <v>0</v>
      </c>
      <c r="Q37" s="66"/>
      <c r="R37" s="68"/>
      <c r="S37" s="68"/>
      <c r="T37" s="68"/>
      <c r="U37" s="43">
        <f t="shared" ref="U37:V42" si="79">Q37*3+S37</f>
        <v>0</v>
      </c>
      <c r="V37" s="43">
        <f t="shared" si="79"/>
        <v>0</v>
      </c>
      <c r="W37" s="45">
        <f t="shared" ref="W37:W42" si="80">V37+U37</f>
        <v>0</v>
      </c>
      <c r="X37" s="39"/>
      <c r="Y37" s="41"/>
      <c r="Z37" s="41"/>
      <c r="AA37" s="41"/>
      <c r="AB37" s="46">
        <f t="shared" ref="AB37:AC42" si="81">X37*3+Z37</f>
        <v>0</v>
      </c>
      <c r="AC37" s="46">
        <f t="shared" si="81"/>
        <v>0</v>
      </c>
      <c r="AD37" s="47">
        <f t="shared" ref="AD37:AD42" si="82">AC37+AB37</f>
        <v>0</v>
      </c>
      <c r="AE37" s="66"/>
      <c r="AF37" s="68"/>
      <c r="AG37" s="68"/>
      <c r="AH37" s="68"/>
      <c r="AI37" s="43">
        <f t="shared" ref="AI37:AJ42" si="83">AE37*3+AG37</f>
        <v>0</v>
      </c>
      <c r="AJ37" s="43">
        <f t="shared" si="83"/>
        <v>0</v>
      </c>
      <c r="AK37" s="45">
        <f t="shared" ref="AK37:AK42" si="84">AJ37+AI37</f>
        <v>0</v>
      </c>
      <c r="AL37" s="66"/>
      <c r="AM37" s="68"/>
      <c r="AN37" s="68"/>
      <c r="AO37" s="68"/>
      <c r="AP37" s="43">
        <f t="shared" ref="AP37:AQ42" si="85">AL37*3+AN37</f>
        <v>0</v>
      </c>
      <c r="AQ37" s="43">
        <f t="shared" si="85"/>
        <v>0</v>
      </c>
      <c r="AR37" s="45">
        <f t="shared" ref="AR37:AR42" si="86">AQ37+AP37</f>
        <v>0</v>
      </c>
      <c r="AS37" s="66"/>
      <c r="AT37" s="68"/>
      <c r="AU37" s="68"/>
      <c r="AV37" s="68"/>
      <c r="AW37" s="43">
        <f t="shared" ref="AW37:AX42" si="87">AS37*3+AU37</f>
        <v>0</v>
      </c>
      <c r="AX37" s="43">
        <f t="shared" si="87"/>
        <v>0</v>
      </c>
      <c r="AY37" s="45">
        <f t="shared" ref="AY37:AY42" si="88">AX37+AW37</f>
        <v>0</v>
      </c>
      <c r="AZ37" s="66"/>
      <c r="BA37" s="68"/>
      <c r="BB37" s="68"/>
      <c r="BC37" s="68"/>
      <c r="BD37" s="43">
        <f t="shared" ref="BD37:BE42" si="89">AZ37*3+BB37</f>
        <v>0</v>
      </c>
      <c r="BE37" s="43">
        <f t="shared" si="89"/>
        <v>0</v>
      </c>
      <c r="BF37" s="45">
        <f t="shared" ref="BF37:BF42" si="90">BE37+BD37</f>
        <v>0</v>
      </c>
      <c r="BG37" s="132"/>
      <c r="BH37" s="142"/>
      <c r="BI37" s="142">
        <v>2</v>
      </c>
      <c r="BJ37" s="68"/>
      <c r="BK37" s="43">
        <f t="shared" ref="BK37:BL42" si="91">BG37*3+BI37</f>
        <v>2</v>
      </c>
      <c r="BL37" s="43">
        <f t="shared" si="91"/>
        <v>0</v>
      </c>
      <c r="BM37" s="106">
        <f t="shared" ref="BM37:BM42" si="92">BL37+BK37</f>
        <v>2</v>
      </c>
      <c r="BN37" s="75">
        <v>1</v>
      </c>
      <c r="BO37" s="107"/>
      <c r="BP37" s="107">
        <v>2</v>
      </c>
      <c r="BQ37" s="107"/>
      <c r="BR37" s="43">
        <f t="shared" ref="BR37:BS42" si="93">BN37*3+BP37</f>
        <v>5</v>
      </c>
      <c r="BS37" s="43">
        <f t="shared" si="93"/>
        <v>0</v>
      </c>
      <c r="BT37" s="106">
        <f t="shared" ref="BT37:BT42" si="94">BS37+BR37</f>
        <v>5</v>
      </c>
      <c r="BU37" s="75"/>
      <c r="BV37" s="107"/>
      <c r="BW37" s="107">
        <v>2</v>
      </c>
      <c r="BX37" s="107"/>
      <c r="BY37" s="43">
        <f t="shared" ref="BY37:BZ42" si="95">BU37*3+BW37</f>
        <v>2</v>
      </c>
      <c r="BZ37" s="43">
        <f t="shared" si="95"/>
        <v>0</v>
      </c>
      <c r="CA37" s="106">
        <f t="shared" ref="CA37:CA42" si="96">BZ37+BY37</f>
        <v>2</v>
      </c>
      <c r="CB37" s="190"/>
      <c r="CC37" s="107"/>
      <c r="CD37" s="107">
        <v>1</v>
      </c>
      <c r="CE37" s="192"/>
      <c r="CF37" s="43">
        <f t="shared" ref="CF37:CG42" si="97">CB37*3+CD37</f>
        <v>1</v>
      </c>
      <c r="CG37" s="43">
        <f t="shared" si="97"/>
        <v>0</v>
      </c>
      <c r="CH37" s="106">
        <f t="shared" ref="CH37:CH42" si="98">CG37+CF37</f>
        <v>1</v>
      </c>
      <c r="CI37" s="107"/>
      <c r="CJ37" s="107"/>
      <c r="CK37" s="107">
        <v>3</v>
      </c>
      <c r="CL37" s="202">
        <v>2</v>
      </c>
      <c r="CM37" s="43">
        <f t="shared" ref="CM37:CN42" si="99">CI37*3+CK37</f>
        <v>3</v>
      </c>
      <c r="CN37" s="43">
        <f t="shared" si="99"/>
        <v>2</v>
      </c>
      <c r="CO37" s="106">
        <f t="shared" ref="CO37:CO42" si="100">CN37+CM37</f>
        <v>5</v>
      </c>
      <c r="CP37" s="275"/>
      <c r="CQ37" s="107"/>
      <c r="CR37" s="107"/>
      <c r="CS37" s="107"/>
      <c r="CT37" s="43">
        <f t="shared" si="1"/>
        <v>0</v>
      </c>
      <c r="CU37" s="43">
        <f t="shared" si="2"/>
        <v>0</v>
      </c>
      <c r="CV37" s="106">
        <f t="shared" si="3"/>
        <v>0</v>
      </c>
      <c r="CW37" s="75"/>
      <c r="CX37" s="107"/>
      <c r="CY37" s="107"/>
      <c r="CZ37" s="107"/>
      <c r="DA37" s="43">
        <f t="shared" si="4"/>
        <v>0</v>
      </c>
      <c r="DB37" s="43">
        <f t="shared" si="5"/>
        <v>0</v>
      </c>
      <c r="DC37" s="106">
        <f t="shared" si="6"/>
        <v>0</v>
      </c>
      <c r="DD37" s="75"/>
      <c r="DE37" s="107"/>
      <c r="DF37" s="107"/>
      <c r="DG37" s="107"/>
      <c r="DH37" s="43">
        <f t="shared" si="7"/>
        <v>0</v>
      </c>
      <c r="DI37" s="43">
        <f t="shared" si="8"/>
        <v>0</v>
      </c>
      <c r="DJ37" s="106">
        <f t="shared" si="9"/>
        <v>0</v>
      </c>
      <c r="DK37" s="179">
        <f t="shared" si="10"/>
        <v>13</v>
      </c>
      <c r="DL37" s="180">
        <f t="shared" ca="1" si="11"/>
        <v>5.6034482758620691E-2</v>
      </c>
      <c r="DM37" s="181">
        <f t="shared" si="12"/>
        <v>2</v>
      </c>
      <c r="DN37" s="180">
        <f t="shared" ca="1" si="13"/>
        <v>8.6206896551724137E-3</v>
      </c>
      <c r="DO37" s="181">
        <f t="shared" si="14"/>
        <v>15</v>
      </c>
      <c r="DP37" s="180">
        <f t="shared" ca="1" si="15"/>
        <v>6.4655172413793108E-2</v>
      </c>
      <c r="DQ37" s="181">
        <f t="shared" si="16"/>
        <v>1</v>
      </c>
      <c r="DR37" s="181">
        <f t="shared" si="17"/>
        <v>0</v>
      </c>
      <c r="DS37" s="181">
        <f t="shared" si="18"/>
        <v>1</v>
      </c>
    </row>
    <row r="38" spans="1:123" ht="15.75" thickBot="1" x14ac:dyDescent="0.3">
      <c r="A38" s="286" t="s">
        <v>14</v>
      </c>
      <c r="B38" s="124" t="s">
        <v>135</v>
      </c>
      <c r="C38" s="67" t="str">
        <f t="shared" si="0"/>
        <v>רבקה מפאוג</v>
      </c>
      <c r="D38" s="95" t="s">
        <v>6</v>
      </c>
      <c r="E38" s="95" t="s">
        <v>7</v>
      </c>
      <c r="F38" s="74" t="s">
        <v>192</v>
      </c>
      <c r="G38" s="72">
        <v>43040</v>
      </c>
      <c r="H38" s="74"/>
      <c r="I38" s="176"/>
      <c r="J38" s="136"/>
      <c r="K38" s="137"/>
      <c r="L38" s="137"/>
      <c r="M38" s="137"/>
      <c r="N38" s="135">
        <f t="shared" si="77"/>
        <v>0</v>
      </c>
      <c r="O38" s="135">
        <f t="shared" si="77"/>
        <v>0</v>
      </c>
      <c r="P38" s="44">
        <f t="shared" si="78"/>
        <v>0</v>
      </c>
      <c r="Q38" s="66"/>
      <c r="R38" s="68"/>
      <c r="S38" s="68"/>
      <c r="T38" s="68"/>
      <c r="U38" s="43">
        <f t="shared" si="79"/>
        <v>0</v>
      </c>
      <c r="V38" s="43">
        <f t="shared" si="79"/>
        <v>0</v>
      </c>
      <c r="W38" s="45">
        <f t="shared" si="80"/>
        <v>0</v>
      </c>
      <c r="X38" s="39"/>
      <c r="Y38" s="41"/>
      <c r="Z38" s="41"/>
      <c r="AA38" s="41"/>
      <c r="AB38" s="46">
        <f t="shared" si="81"/>
        <v>0</v>
      </c>
      <c r="AC38" s="46">
        <f t="shared" si="81"/>
        <v>0</v>
      </c>
      <c r="AD38" s="47">
        <f t="shared" si="82"/>
        <v>0</v>
      </c>
      <c r="AE38" s="66"/>
      <c r="AF38" s="68"/>
      <c r="AG38" s="68"/>
      <c r="AH38" s="68"/>
      <c r="AI38" s="43">
        <f t="shared" si="83"/>
        <v>0</v>
      </c>
      <c r="AJ38" s="43">
        <f t="shared" si="83"/>
        <v>0</v>
      </c>
      <c r="AK38" s="45">
        <f t="shared" si="84"/>
        <v>0</v>
      </c>
      <c r="AL38" s="66"/>
      <c r="AM38" s="68"/>
      <c r="AN38" s="68"/>
      <c r="AO38" s="68"/>
      <c r="AP38" s="43">
        <f t="shared" si="85"/>
        <v>0</v>
      </c>
      <c r="AQ38" s="43">
        <f t="shared" si="85"/>
        <v>0</v>
      </c>
      <c r="AR38" s="45">
        <f t="shared" si="86"/>
        <v>0</v>
      </c>
      <c r="AS38" s="66"/>
      <c r="AT38" s="68"/>
      <c r="AU38" s="68">
        <v>1</v>
      </c>
      <c r="AV38" s="68"/>
      <c r="AW38" s="43">
        <f t="shared" si="87"/>
        <v>1</v>
      </c>
      <c r="AX38" s="43">
        <f t="shared" si="87"/>
        <v>0</v>
      </c>
      <c r="AY38" s="45">
        <f t="shared" si="88"/>
        <v>1</v>
      </c>
      <c r="AZ38" s="66">
        <v>1</v>
      </c>
      <c r="BA38" s="68"/>
      <c r="BB38" s="68">
        <v>2</v>
      </c>
      <c r="BC38" s="68"/>
      <c r="BD38" s="43">
        <f t="shared" si="89"/>
        <v>5</v>
      </c>
      <c r="BE38" s="43">
        <f t="shared" si="89"/>
        <v>0</v>
      </c>
      <c r="BF38" s="45">
        <f t="shared" si="90"/>
        <v>5</v>
      </c>
      <c r="BG38" s="132"/>
      <c r="BH38" s="142"/>
      <c r="BI38" s="68">
        <v>3</v>
      </c>
      <c r="BJ38" s="68"/>
      <c r="BK38" s="43">
        <f t="shared" si="91"/>
        <v>3</v>
      </c>
      <c r="BL38" s="43">
        <f t="shared" si="91"/>
        <v>0</v>
      </c>
      <c r="BM38" s="106">
        <f t="shared" si="92"/>
        <v>3</v>
      </c>
      <c r="BN38" s="75"/>
      <c r="BO38" s="107"/>
      <c r="BP38" s="107">
        <v>4</v>
      </c>
      <c r="BQ38" s="107"/>
      <c r="BR38" s="43">
        <f t="shared" si="93"/>
        <v>4</v>
      </c>
      <c r="BS38" s="43">
        <f t="shared" si="93"/>
        <v>0</v>
      </c>
      <c r="BT38" s="106">
        <f t="shared" si="94"/>
        <v>4</v>
      </c>
      <c r="BU38" s="75">
        <v>1</v>
      </c>
      <c r="BV38" s="107"/>
      <c r="BW38" s="107">
        <v>1</v>
      </c>
      <c r="BX38" s="107">
        <v>1</v>
      </c>
      <c r="BY38" s="43">
        <f t="shared" si="95"/>
        <v>4</v>
      </c>
      <c r="BZ38" s="43">
        <f t="shared" si="95"/>
        <v>1</v>
      </c>
      <c r="CA38" s="106">
        <f t="shared" si="96"/>
        <v>5</v>
      </c>
      <c r="CB38" s="75">
        <v>1</v>
      </c>
      <c r="CC38" s="107"/>
      <c r="CD38" s="107"/>
      <c r="CE38" s="192"/>
      <c r="CF38" s="43">
        <f t="shared" si="97"/>
        <v>3</v>
      </c>
      <c r="CG38" s="43">
        <f t="shared" si="97"/>
        <v>0</v>
      </c>
      <c r="CH38" s="106">
        <f t="shared" si="98"/>
        <v>3</v>
      </c>
      <c r="CI38" s="107"/>
      <c r="CJ38" s="107"/>
      <c r="CK38" s="107"/>
      <c r="CL38" s="202"/>
      <c r="CM38" s="43">
        <f t="shared" si="99"/>
        <v>0</v>
      </c>
      <c r="CN38" s="43">
        <f t="shared" si="99"/>
        <v>0</v>
      </c>
      <c r="CO38" s="106">
        <f t="shared" si="100"/>
        <v>0</v>
      </c>
      <c r="CP38" s="275"/>
      <c r="CQ38" s="107"/>
      <c r="CR38" s="107">
        <v>2</v>
      </c>
      <c r="CS38" s="107">
        <v>1</v>
      </c>
      <c r="CT38" s="43">
        <f t="shared" si="1"/>
        <v>2</v>
      </c>
      <c r="CU38" s="43">
        <f t="shared" si="2"/>
        <v>1</v>
      </c>
      <c r="CV38" s="106">
        <f t="shared" si="3"/>
        <v>3</v>
      </c>
      <c r="CW38" s="75">
        <v>1</v>
      </c>
      <c r="CX38" s="107"/>
      <c r="CY38" s="107">
        <v>1</v>
      </c>
      <c r="CZ38" s="107"/>
      <c r="DA38" s="43">
        <f t="shared" si="4"/>
        <v>4</v>
      </c>
      <c r="DB38" s="43">
        <f t="shared" si="5"/>
        <v>0</v>
      </c>
      <c r="DC38" s="106">
        <f t="shared" si="6"/>
        <v>4</v>
      </c>
      <c r="DD38" s="75"/>
      <c r="DE38" s="107"/>
      <c r="DF38" s="107"/>
      <c r="DG38" s="107"/>
      <c r="DH38" s="43">
        <f t="shared" si="7"/>
        <v>0</v>
      </c>
      <c r="DI38" s="43">
        <f t="shared" si="8"/>
        <v>0</v>
      </c>
      <c r="DJ38" s="106">
        <f t="shared" si="9"/>
        <v>0</v>
      </c>
      <c r="DK38" s="179">
        <f t="shared" si="10"/>
        <v>26</v>
      </c>
      <c r="DL38" s="180">
        <f t="shared" ca="1" si="11"/>
        <v>8.8737201365187715E-2</v>
      </c>
      <c r="DM38" s="181">
        <f t="shared" si="12"/>
        <v>2</v>
      </c>
      <c r="DN38" s="180">
        <f t="shared" ca="1" si="13"/>
        <v>6.8259385665529011E-3</v>
      </c>
      <c r="DO38" s="181">
        <f t="shared" si="14"/>
        <v>28</v>
      </c>
      <c r="DP38" s="180">
        <f t="shared" ca="1" si="15"/>
        <v>9.556313993174062E-2</v>
      </c>
      <c r="DQ38" s="181">
        <f t="shared" si="16"/>
        <v>4</v>
      </c>
      <c r="DR38" s="181">
        <f t="shared" si="17"/>
        <v>0</v>
      </c>
      <c r="DS38" s="181">
        <f t="shared" si="18"/>
        <v>4</v>
      </c>
    </row>
    <row r="39" spans="1:123" ht="15.75" thickBot="1" x14ac:dyDescent="0.3">
      <c r="A39" s="290" t="s">
        <v>16</v>
      </c>
      <c r="B39" s="235" t="s">
        <v>217</v>
      </c>
      <c r="C39" s="182" t="str">
        <f t="shared" si="0"/>
        <v>דנה מרחבים</v>
      </c>
      <c r="D39" s="95" t="s">
        <v>6</v>
      </c>
      <c r="E39" s="95" t="s">
        <v>7</v>
      </c>
      <c r="F39" s="74" t="s">
        <v>221</v>
      </c>
      <c r="G39" s="72">
        <v>43191</v>
      </c>
      <c r="H39" s="115"/>
      <c r="I39" s="147" t="s">
        <v>293</v>
      </c>
      <c r="J39" s="136"/>
      <c r="K39" s="137"/>
      <c r="L39" s="137"/>
      <c r="M39" s="137"/>
      <c r="N39" s="135">
        <f t="shared" si="77"/>
        <v>0</v>
      </c>
      <c r="O39" s="135">
        <f t="shared" si="77"/>
        <v>0</v>
      </c>
      <c r="P39" s="44">
        <f t="shared" si="78"/>
        <v>0</v>
      </c>
      <c r="Q39" s="66"/>
      <c r="R39" s="68"/>
      <c r="S39" s="68"/>
      <c r="T39" s="68"/>
      <c r="U39" s="43">
        <f t="shared" si="79"/>
        <v>0</v>
      </c>
      <c r="V39" s="43">
        <f t="shared" si="79"/>
        <v>0</v>
      </c>
      <c r="W39" s="45">
        <f t="shared" si="80"/>
        <v>0</v>
      </c>
      <c r="X39" s="66"/>
      <c r="Y39" s="68"/>
      <c r="Z39" s="68"/>
      <c r="AA39" s="68"/>
      <c r="AB39" s="46">
        <f t="shared" si="81"/>
        <v>0</v>
      </c>
      <c r="AC39" s="46">
        <f t="shared" si="81"/>
        <v>0</v>
      </c>
      <c r="AD39" s="47">
        <f t="shared" si="82"/>
        <v>0</v>
      </c>
      <c r="AE39" s="66"/>
      <c r="AF39" s="68"/>
      <c r="AG39" s="68"/>
      <c r="AH39" s="68"/>
      <c r="AI39" s="43">
        <f t="shared" si="83"/>
        <v>0</v>
      </c>
      <c r="AJ39" s="43">
        <f t="shared" si="83"/>
        <v>0</v>
      </c>
      <c r="AK39" s="45">
        <f t="shared" si="84"/>
        <v>0</v>
      </c>
      <c r="AL39" s="66"/>
      <c r="AM39" s="68"/>
      <c r="AN39" s="68"/>
      <c r="AO39" s="68"/>
      <c r="AP39" s="43">
        <f t="shared" si="85"/>
        <v>0</v>
      </c>
      <c r="AQ39" s="43">
        <f t="shared" si="85"/>
        <v>0</v>
      </c>
      <c r="AR39" s="45">
        <f t="shared" si="86"/>
        <v>0</v>
      </c>
      <c r="AS39" s="66"/>
      <c r="AT39" s="68"/>
      <c r="AU39" s="68"/>
      <c r="AV39" s="68"/>
      <c r="AW39" s="43">
        <f t="shared" si="87"/>
        <v>0</v>
      </c>
      <c r="AX39" s="43">
        <f t="shared" si="87"/>
        <v>0</v>
      </c>
      <c r="AY39" s="45">
        <f t="shared" si="88"/>
        <v>0</v>
      </c>
      <c r="AZ39" s="66"/>
      <c r="BA39" s="68"/>
      <c r="BB39" s="68"/>
      <c r="BC39" s="68"/>
      <c r="BD39" s="43">
        <f t="shared" si="89"/>
        <v>0</v>
      </c>
      <c r="BE39" s="43">
        <f t="shared" si="89"/>
        <v>0</v>
      </c>
      <c r="BF39" s="45">
        <f t="shared" si="90"/>
        <v>0</v>
      </c>
      <c r="BG39" s="132"/>
      <c r="BH39" s="142"/>
      <c r="BI39" s="68"/>
      <c r="BJ39" s="68"/>
      <c r="BK39" s="43">
        <f t="shared" si="91"/>
        <v>0</v>
      </c>
      <c r="BL39" s="43">
        <f t="shared" si="91"/>
        <v>0</v>
      </c>
      <c r="BM39" s="106">
        <f t="shared" si="92"/>
        <v>0</v>
      </c>
      <c r="BN39" s="132"/>
      <c r="BO39" s="142"/>
      <c r="BP39" s="142"/>
      <c r="BQ39" s="142"/>
      <c r="BR39" s="43">
        <f t="shared" si="93"/>
        <v>0</v>
      </c>
      <c r="BS39" s="43">
        <f t="shared" si="93"/>
        <v>0</v>
      </c>
      <c r="BT39" s="106">
        <f t="shared" si="94"/>
        <v>0</v>
      </c>
      <c r="BU39" s="132"/>
      <c r="BV39" s="142"/>
      <c r="BW39" s="142"/>
      <c r="BX39" s="142"/>
      <c r="BY39" s="43">
        <f t="shared" si="95"/>
        <v>0</v>
      </c>
      <c r="BZ39" s="43">
        <f t="shared" si="95"/>
        <v>0</v>
      </c>
      <c r="CA39" s="106">
        <f t="shared" si="96"/>
        <v>0</v>
      </c>
      <c r="CB39" s="132"/>
      <c r="CC39" s="142"/>
      <c r="CD39" s="142"/>
      <c r="CE39" s="194"/>
      <c r="CF39" s="43">
        <f t="shared" si="97"/>
        <v>0</v>
      </c>
      <c r="CG39" s="43">
        <f t="shared" si="97"/>
        <v>0</v>
      </c>
      <c r="CH39" s="106">
        <f t="shared" si="98"/>
        <v>0</v>
      </c>
      <c r="CI39" s="107"/>
      <c r="CJ39" s="107"/>
      <c r="CK39" s="107"/>
      <c r="CL39" s="202"/>
      <c r="CM39" s="43">
        <f t="shared" si="99"/>
        <v>0</v>
      </c>
      <c r="CN39" s="43">
        <f t="shared" si="99"/>
        <v>0</v>
      </c>
      <c r="CO39" s="106">
        <f t="shared" si="100"/>
        <v>0</v>
      </c>
      <c r="CP39" s="276"/>
      <c r="CQ39" s="142"/>
      <c r="CR39" s="142"/>
      <c r="CS39" s="142"/>
      <c r="CT39" s="43">
        <f t="shared" si="1"/>
        <v>0</v>
      </c>
      <c r="CU39" s="43">
        <f t="shared" si="2"/>
        <v>0</v>
      </c>
      <c r="CV39" s="106">
        <f t="shared" si="3"/>
        <v>0</v>
      </c>
      <c r="CW39" s="132"/>
      <c r="CX39" s="142"/>
      <c r="CY39" s="142"/>
      <c r="CZ39" s="142"/>
      <c r="DA39" s="43">
        <f t="shared" si="4"/>
        <v>0</v>
      </c>
      <c r="DB39" s="43">
        <f t="shared" si="5"/>
        <v>0</v>
      </c>
      <c r="DC39" s="106">
        <f t="shared" si="6"/>
        <v>0</v>
      </c>
      <c r="DD39" s="132"/>
      <c r="DE39" s="142"/>
      <c r="DF39" s="142"/>
      <c r="DG39" s="142"/>
      <c r="DH39" s="43">
        <f t="shared" si="7"/>
        <v>0</v>
      </c>
      <c r="DI39" s="43">
        <f t="shared" si="8"/>
        <v>0</v>
      </c>
      <c r="DJ39" s="106">
        <f t="shared" si="9"/>
        <v>0</v>
      </c>
      <c r="DK39" s="179">
        <f t="shared" si="10"/>
        <v>0</v>
      </c>
      <c r="DL39" s="180">
        <f t="shared" ca="1" si="11"/>
        <v>0</v>
      </c>
      <c r="DM39" s="181">
        <f t="shared" si="12"/>
        <v>0</v>
      </c>
      <c r="DN39" s="180">
        <f t="shared" ca="1" si="13"/>
        <v>0</v>
      </c>
      <c r="DO39" s="181">
        <f t="shared" si="14"/>
        <v>0</v>
      </c>
      <c r="DP39" s="180">
        <f t="shared" ca="1" si="15"/>
        <v>0</v>
      </c>
      <c r="DQ39" s="181">
        <f t="shared" si="16"/>
        <v>0</v>
      </c>
      <c r="DR39" s="181">
        <f t="shared" si="17"/>
        <v>0</v>
      </c>
      <c r="DS39" s="181">
        <f t="shared" si="18"/>
        <v>0</v>
      </c>
    </row>
    <row r="40" spans="1:123" ht="15.75" thickBot="1" x14ac:dyDescent="0.3">
      <c r="A40" s="278" t="s">
        <v>16</v>
      </c>
      <c r="B40" s="70" t="s">
        <v>244</v>
      </c>
      <c r="C40" s="236" t="str">
        <f t="shared" si="0"/>
        <v>יונתן מרחבים</v>
      </c>
      <c r="D40" s="95" t="s">
        <v>6</v>
      </c>
      <c r="E40" s="95" t="s">
        <v>6</v>
      </c>
      <c r="F40" s="74" t="s">
        <v>243</v>
      </c>
      <c r="G40" s="72">
        <v>43221</v>
      </c>
      <c r="H40" s="115"/>
      <c r="I40" s="147" t="s">
        <v>245</v>
      </c>
      <c r="J40" s="136"/>
      <c r="K40" s="137"/>
      <c r="L40" s="137"/>
      <c r="M40" s="137"/>
      <c r="N40" s="135">
        <f t="shared" si="77"/>
        <v>0</v>
      </c>
      <c r="O40" s="135">
        <f t="shared" si="77"/>
        <v>0</v>
      </c>
      <c r="P40" s="44">
        <f t="shared" si="78"/>
        <v>0</v>
      </c>
      <c r="Q40" s="66"/>
      <c r="R40" s="68"/>
      <c r="S40" s="68"/>
      <c r="T40" s="68"/>
      <c r="U40" s="43">
        <f t="shared" si="79"/>
        <v>0</v>
      </c>
      <c r="V40" s="43">
        <f t="shared" si="79"/>
        <v>0</v>
      </c>
      <c r="W40" s="45">
        <f t="shared" si="80"/>
        <v>0</v>
      </c>
      <c r="X40" s="66"/>
      <c r="Y40" s="68"/>
      <c r="Z40" s="68"/>
      <c r="AA40" s="68"/>
      <c r="AB40" s="46">
        <f t="shared" si="81"/>
        <v>0</v>
      </c>
      <c r="AC40" s="46">
        <f t="shared" si="81"/>
        <v>0</v>
      </c>
      <c r="AD40" s="47">
        <f t="shared" si="82"/>
        <v>0</v>
      </c>
      <c r="AE40" s="66"/>
      <c r="AF40" s="68"/>
      <c r="AG40" s="68"/>
      <c r="AH40" s="68"/>
      <c r="AI40" s="43">
        <f t="shared" si="83"/>
        <v>0</v>
      </c>
      <c r="AJ40" s="43">
        <f t="shared" si="83"/>
        <v>0</v>
      </c>
      <c r="AK40" s="45">
        <f t="shared" si="84"/>
        <v>0</v>
      </c>
      <c r="AL40" s="66"/>
      <c r="AM40" s="68"/>
      <c r="AN40" s="68"/>
      <c r="AO40" s="68"/>
      <c r="AP40" s="43">
        <f t="shared" si="85"/>
        <v>0</v>
      </c>
      <c r="AQ40" s="43">
        <f t="shared" si="85"/>
        <v>0</v>
      </c>
      <c r="AR40" s="45">
        <f t="shared" si="86"/>
        <v>0</v>
      </c>
      <c r="AS40" s="66"/>
      <c r="AT40" s="68"/>
      <c r="AU40" s="68"/>
      <c r="AV40" s="68"/>
      <c r="AW40" s="43">
        <f t="shared" si="87"/>
        <v>0</v>
      </c>
      <c r="AX40" s="43">
        <f t="shared" si="87"/>
        <v>0</v>
      </c>
      <c r="AY40" s="45">
        <f t="shared" si="88"/>
        <v>0</v>
      </c>
      <c r="AZ40" s="66"/>
      <c r="BA40" s="68"/>
      <c r="BB40" s="68"/>
      <c r="BC40" s="68"/>
      <c r="BD40" s="43">
        <f t="shared" si="89"/>
        <v>0</v>
      </c>
      <c r="BE40" s="43">
        <f t="shared" si="89"/>
        <v>0</v>
      </c>
      <c r="BF40" s="45">
        <f t="shared" si="90"/>
        <v>0</v>
      </c>
      <c r="BG40" s="132"/>
      <c r="BH40" s="142"/>
      <c r="BI40" s="68"/>
      <c r="BJ40" s="68"/>
      <c r="BK40" s="43">
        <f t="shared" si="91"/>
        <v>0</v>
      </c>
      <c r="BL40" s="43">
        <f t="shared" si="91"/>
        <v>0</v>
      </c>
      <c r="BM40" s="106">
        <f t="shared" si="92"/>
        <v>0</v>
      </c>
      <c r="BN40" s="132"/>
      <c r="BO40" s="142"/>
      <c r="BP40" s="142"/>
      <c r="BQ40" s="142"/>
      <c r="BR40" s="43">
        <f t="shared" si="93"/>
        <v>0</v>
      </c>
      <c r="BS40" s="43">
        <f t="shared" si="93"/>
        <v>0</v>
      </c>
      <c r="BT40" s="106">
        <f t="shared" si="94"/>
        <v>0</v>
      </c>
      <c r="BU40" s="132"/>
      <c r="BV40" s="142"/>
      <c r="BW40" s="142"/>
      <c r="BX40" s="142"/>
      <c r="BY40" s="43">
        <f t="shared" si="95"/>
        <v>0</v>
      </c>
      <c r="BZ40" s="43">
        <f t="shared" si="95"/>
        <v>0</v>
      </c>
      <c r="CA40" s="106">
        <f t="shared" si="96"/>
        <v>0</v>
      </c>
      <c r="CB40" s="132"/>
      <c r="CC40" s="142"/>
      <c r="CD40" s="142"/>
      <c r="CE40" s="194"/>
      <c r="CF40" s="43">
        <f t="shared" si="97"/>
        <v>0</v>
      </c>
      <c r="CG40" s="43">
        <f t="shared" si="97"/>
        <v>0</v>
      </c>
      <c r="CH40" s="106">
        <f t="shared" si="98"/>
        <v>0</v>
      </c>
      <c r="CI40" s="107"/>
      <c r="CJ40" s="107"/>
      <c r="CK40" s="107">
        <v>1</v>
      </c>
      <c r="CL40" s="202"/>
      <c r="CM40" s="43">
        <f t="shared" si="99"/>
        <v>1</v>
      </c>
      <c r="CN40" s="43">
        <f t="shared" si="99"/>
        <v>0</v>
      </c>
      <c r="CO40" s="106">
        <f t="shared" si="100"/>
        <v>1</v>
      </c>
      <c r="CP40" s="276"/>
      <c r="CQ40" s="142"/>
      <c r="CR40" s="142">
        <v>3</v>
      </c>
      <c r="CS40" s="142"/>
      <c r="CT40" s="43">
        <f t="shared" si="1"/>
        <v>3</v>
      </c>
      <c r="CU40" s="43">
        <f t="shared" si="2"/>
        <v>0</v>
      </c>
      <c r="CV40" s="106">
        <f t="shared" si="3"/>
        <v>3</v>
      </c>
      <c r="CW40" s="132"/>
      <c r="CX40" s="142"/>
      <c r="CY40" s="142">
        <v>3</v>
      </c>
      <c r="CZ40" s="142"/>
      <c r="DA40" s="43">
        <f t="shared" si="4"/>
        <v>3</v>
      </c>
      <c r="DB40" s="43">
        <f t="shared" si="5"/>
        <v>0</v>
      </c>
      <c r="DC40" s="106">
        <f t="shared" si="6"/>
        <v>3</v>
      </c>
      <c r="DD40" s="132">
        <v>1</v>
      </c>
      <c r="DE40" s="142"/>
      <c r="DF40" s="142"/>
      <c r="DG40" s="142"/>
      <c r="DH40" s="43">
        <f t="shared" si="7"/>
        <v>3</v>
      </c>
      <c r="DI40" s="43">
        <f t="shared" si="8"/>
        <v>0</v>
      </c>
      <c r="DJ40" s="106">
        <f t="shared" si="9"/>
        <v>3</v>
      </c>
      <c r="DK40" s="179">
        <f t="shared" si="10"/>
        <v>10</v>
      </c>
      <c r="DL40" s="180">
        <f t="shared" ca="1" si="11"/>
        <v>8.9285714285714288E-2</v>
      </c>
      <c r="DM40" s="181">
        <f t="shared" si="12"/>
        <v>0</v>
      </c>
      <c r="DN40" s="180">
        <f t="shared" ca="1" si="13"/>
        <v>0</v>
      </c>
      <c r="DO40" s="181">
        <f t="shared" si="14"/>
        <v>10</v>
      </c>
      <c r="DP40" s="180">
        <f t="shared" ca="1" si="15"/>
        <v>8.9285714285714288E-2</v>
      </c>
      <c r="DQ40" s="181">
        <f t="shared" si="16"/>
        <v>1</v>
      </c>
      <c r="DR40" s="181">
        <f t="shared" si="17"/>
        <v>0</v>
      </c>
      <c r="DS40" s="181">
        <f t="shared" si="18"/>
        <v>1</v>
      </c>
    </row>
    <row r="41" spans="1:123" ht="15.75" thickBot="1" x14ac:dyDescent="0.3">
      <c r="A41" s="278" t="s">
        <v>16</v>
      </c>
      <c r="B41" s="70" t="s">
        <v>163</v>
      </c>
      <c r="C41" s="236" t="str">
        <f t="shared" si="0"/>
        <v>נועה מרחבים</v>
      </c>
      <c r="D41" s="95" t="s">
        <v>6</v>
      </c>
      <c r="E41" s="95" t="s">
        <v>7</v>
      </c>
      <c r="F41" s="141" t="s">
        <v>207</v>
      </c>
      <c r="G41" s="72">
        <v>43160</v>
      </c>
      <c r="H41" s="74"/>
      <c r="I41" s="147" t="s">
        <v>206</v>
      </c>
      <c r="J41" s="136"/>
      <c r="K41" s="137"/>
      <c r="L41" s="137"/>
      <c r="M41" s="137"/>
      <c r="N41" s="135">
        <f t="shared" si="77"/>
        <v>0</v>
      </c>
      <c r="O41" s="135">
        <f t="shared" si="77"/>
        <v>0</v>
      </c>
      <c r="P41" s="44">
        <f t="shared" si="78"/>
        <v>0</v>
      </c>
      <c r="Q41" s="66"/>
      <c r="R41" s="68"/>
      <c r="S41" s="68"/>
      <c r="T41" s="68"/>
      <c r="U41" s="43">
        <f t="shared" si="79"/>
        <v>0</v>
      </c>
      <c r="V41" s="43">
        <f t="shared" si="79"/>
        <v>0</v>
      </c>
      <c r="W41" s="45">
        <f t="shared" si="80"/>
        <v>0</v>
      </c>
      <c r="X41" s="66"/>
      <c r="Y41" s="68"/>
      <c r="Z41" s="68"/>
      <c r="AA41" s="68"/>
      <c r="AB41" s="46">
        <f t="shared" si="81"/>
        <v>0</v>
      </c>
      <c r="AC41" s="46">
        <f t="shared" si="81"/>
        <v>0</v>
      </c>
      <c r="AD41" s="47">
        <f t="shared" si="82"/>
        <v>0</v>
      </c>
      <c r="AE41" s="66"/>
      <c r="AF41" s="68"/>
      <c r="AG41" s="68"/>
      <c r="AH41" s="68"/>
      <c r="AI41" s="43">
        <f t="shared" si="83"/>
        <v>0</v>
      </c>
      <c r="AJ41" s="43">
        <f t="shared" si="83"/>
        <v>0</v>
      </c>
      <c r="AK41" s="45">
        <f t="shared" si="84"/>
        <v>0</v>
      </c>
      <c r="AL41" s="66"/>
      <c r="AM41" s="68"/>
      <c r="AN41" s="68"/>
      <c r="AO41" s="68"/>
      <c r="AP41" s="43">
        <f t="shared" si="85"/>
        <v>0</v>
      </c>
      <c r="AQ41" s="43">
        <f t="shared" si="85"/>
        <v>0</v>
      </c>
      <c r="AR41" s="45">
        <f t="shared" si="86"/>
        <v>0</v>
      </c>
      <c r="AS41" s="66"/>
      <c r="AT41" s="68"/>
      <c r="AU41" s="68"/>
      <c r="AV41" s="68"/>
      <c r="AW41" s="43">
        <f t="shared" si="87"/>
        <v>0</v>
      </c>
      <c r="AX41" s="43">
        <f t="shared" si="87"/>
        <v>0</v>
      </c>
      <c r="AY41" s="45">
        <f t="shared" si="88"/>
        <v>0</v>
      </c>
      <c r="AZ41" s="66"/>
      <c r="BA41" s="68"/>
      <c r="BB41" s="68"/>
      <c r="BC41" s="68"/>
      <c r="BD41" s="43">
        <f t="shared" si="89"/>
        <v>0</v>
      </c>
      <c r="BE41" s="43">
        <f t="shared" si="89"/>
        <v>0</v>
      </c>
      <c r="BF41" s="45">
        <f t="shared" si="90"/>
        <v>0</v>
      </c>
      <c r="BG41" s="132"/>
      <c r="BH41" s="142"/>
      <c r="BI41" s="68"/>
      <c r="BJ41" s="68"/>
      <c r="BK41" s="43">
        <f t="shared" si="91"/>
        <v>0</v>
      </c>
      <c r="BL41" s="43">
        <f t="shared" si="91"/>
        <v>0</v>
      </c>
      <c r="BM41" s="106">
        <f t="shared" si="92"/>
        <v>0</v>
      </c>
      <c r="BN41" s="132"/>
      <c r="BO41" s="142"/>
      <c r="BP41" s="142"/>
      <c r="BQ41" s="142"/>
      <c r="BR41" s="43">
        <f t="shared" si="93"/>
        <v>0</v>
      </c>
      <c r="BS41" s="43">
        <f t="shared" si="93"/>
        <v>0</v>
      </c>
      <c r="BT41" s="106">
        <f t="shared" si="94"/>
        <v>0</v>
      </c>
      <c r="BU41" s="132"/>
      <c r="BV41" s="142"/>
      <c r="BW41" s="142">
        <v>3</v>
      </c>
      <c r="BX41" s="142"/>
      <c r="BY41" s="43">
        <f t="shared" si="95"/>
        <v>3</v>
      </c>
      <c r="BZ41" s="43">
        <f t="shared" si="95"/>
        <v>0</v>
      </c>
      <c r="CA41" s="106">
        <f t="shared" si="96"/>
        <v>3</v>
      </c>
      <c r="CB41" s="132"/>
      <c r="CC41" s="142"/>
      <c r="CD41" s="142">
        <v>2</v>
      </c>
      <c r="CE41" s="194"/>
      <c r="CF41" s="43">
        <f t="shared" si="97"/>
        <v>2</v>
      </c>
      <c r="CG41" s="43">
        <f t="shared" si="97"/>
        <v>0</v>
      </c>
      <c r="CH41" s="106">
        <f t="shared" si="98"/>
        <v>2</v>
      </c>
      <c r="CI41" s="107"/>
      <c r="CJ41" s="107"/>
      <c r="CK41" s="107">
        <v>2</v>
      </c>
      <c r="CL41" s="202"/>
      <c r="CM41" s="43">
        <f t="shared" si="99"/>
        <v>2</v>
      </c>
      <c r="CN41" s="43">
        <f t="shared" si="99"/>
        <v>0</v>
      </c>
      <c r="CO41" s="106">
        <f t="shared" si="100"/>
        <v>2</v>
      </c>
      <c r="CP41" s="276"/>
      <c r="CQ41" s="142"/>
      <c r="CR41" s="142">
        <v>3</v>
      </c>
      <c r="CS41" s="142">
        <v>1</v>
      </c>
      <c r="CT41" s="43">
        <f t="shared" si="1"/>
        <v>3</v>
      </c>
      <c r="CU41" s="43">
        <f t="shared" si="2"/>
        <v>1</v>
      </c>
      <c r="CV41" s="106">
        <f t="shared" si="3"/>
        <v>4</v>
      </c>
      <c r="CW41" s="132"/>
      <c r="CX41" s="142"/>
      <c r="CY41" s="142">
        <v>2</v>
      </c>
      <c r="CZ41" s="142"/>
      <c r="DA41" s="43">
        <f t="shared" si="4"/>
        <v>2</v>
      </c>
      <c r="DB41" s="43">
        <f t="shared" si="5"/>
        <v>0</v>
      </c>
      <c r="DC41" s="106">
        <f t="shared" si="6"/>
        <v>2</v>
      </c>
      <c r="DD41" s="132"/>
      <c r="DE41" s="142"/>
      <c r="DF41" s="142"/>
      <c r="DG41" s="142"/>
      <c r="DH41" s="43">
        <f t="shared" si="7"/>
        <v>0</v>
      </c>
      <c r="DI41" s="43">
        <f t="shared" si="8"/>
        <v>0</v>
      </c>
      <c r="DJ41" s="106">
        <f t="shared" si="9"/>
        <v>0</v>
      </c>
      <c r="DK41" s="179">
        <f t="shared" si="10"/>
        <v>12</v>
      </c>
      <c r="DL41" s="180">
        <f t="shared" ca="1" si="11"/>
        <v>6.9364161849710976E-2</v>
      </c>
      <c r="DM41" s="181">
        <f t="shared" si="12"/>
        <v>1</v>
      </c>
      <c r="DN41" s="180">
        <f t="shared" ca="1" si="13"/>
        <v>5.7803468208092483E-3</v>
      </c>
      <c r="DO41" s="181">
        <f t="shared" si="14"/>
        <v>13</v>
      </c>
      <c r="DP41" s="180">
        <f t="shared" ca="1" si="15"/>
        <v>7.5144508670520221E-2</v>
      </c>
      <c r="DQ41" s="181">
        <f t="shared" si="16"/>
        <v>0</v>
      </c>
      <c r="DR41" s="181">
        <f t="shared" si="17"/>
        <v>0</v>
      </c>
      <c r="DS41" s="181">
        <f t="shared" si="18"/>
        <v>0</v>
      </c>
    </row>
    <row r="42" spans="1:123" ht="15.75" thickBot="1" x14ac:dyDescent="0.3">
      <c r="A42" s="129" t="s">
        <v>16</v>
      </c>
      <c r="B42" s="297" t="s">
        <v>126</v>
      </c>
      <c r="C42" s="291" t="str">
        <f t="shared" si="0"/>
        <v>רותם מרחבים</v>
      </c>
      <c r="D42" s="263" t="s">
        <v>7</v>
      </c>
      <c r="E42" s="263" t="s">
        <v>7</v>
      </c>
      <c r="F42" s="114" t="s">
        <v>192</v>
      </c>
      <c r="G42" s="96">
        <v>43101</v>
      </c>
      <c r="H42" s="283"/>
      <c r="I42" s="284"/>
      <c r="J42" s="138"/>
      <c r="K42" s="139"/>
      <c r="L42" s="139"/>
      <c r="M42" s="139"/>
      <c r="N42" s="140">
        <f t="shared" si="77"/>
        <v>0</v>
      </c>
      <c r="O42" s="140">
        <f t="shared" si="77"/>
        <v>0</v>
      </c>
      <c r="P42" s="98">
        <f t="shared" si="78"/>
        <v>0</v>
      </c>
      <c r="Q42" s="99"/>
      <c r="R42" s="100"/>
      <c r="S42" s="100"/>
      <c r="T42" s="100"/>
      <c r="U42" s="112">
        <f t="shared" si="79"/>
        <v>0</v>
      </c>
      <c r="V42" s="112">
        <f t="shared" si="79"/>
        <v>0</v>
      </c>
      <c r="W42" s="131">
        <f t="shared" si="80"/>
        <v>0</v>
      </c>
      <c r="X42" s="99"/>
      <c r="Y42" s="100"/>
      <c r="Z42" s="100"/>
      <c r="AA42" s="100"/>
      <c r="AB42" s="97">
        <f t="shared" si="81"/>
        <v>0</v>
      </c>
      <c r="AC42" s="97">
        <f t="shared" si="81"/>
        <v>0</v>
      </c>
      <c r="AD42" s="101">
        <f t="shared" si="82"/>
        <v>0</v>
      </c>
      <c r="AE42" s="99"/>
      <c r="AF42" s="100"/>
      <c r="AG42" s="100"/>
      <c r="AH42" s="100"/>
      <c r="AI42" s="112">
        <f t="shared" si="83"/>
        <v>0</v>
      </c>
      <c r="AJ42" s="112">
        <f t="shared" si="83"/>
        <v>0</v>
      </c>
      <c r="AK42" s="131">
        <f t="shared" si="84"/>
        <v>0</v>
      </c>
      <c r="AL42" s="99"/>
      <c r="AM42" s="100"/>
      <c r="AN42" s="100"/>
      <c r="AO42" s="100"/>
      <c r="AP42" s="112">
        <f t="shared" si="85"/>
        <v>0</v>
      </c>
      <c r="AQ42" s="112">
        <f t="shared" si="85"/>
        <v>0</v>
      </c>
      <c r="AR42" s="131">
        <f t="shared" si="86"/>
        <v>0</v>
      </c>
      <c r="AS42" s="99"/>
      <c r="AT42" s="100"/>
      <c r="AU42" s="100">
        <v>1</v>
      </c>
      <c r="AV42" s="100"/>
      <c r="AW42" s="112">
        <f t="shared" si="87"/>
        <v>1</v>
      </c>
      <c r="AX42" s="112">
        <f t="shared" si="87"/>
        <v>0</v>
      </c>
      <c r="AY42" s="131">
        <f t="shared" si="88"/>
        <v>1</v>
      </c>
      <c r="AZ42" s="99"/>
      <c r="BA42" s="100"/>
      <c r="BB42" s="100">
        <v>1</v>
      </c>
      <c r="BC42" s="100"/>
      <c r="BD42" s="112">
        <f t="shared" si="89"/>
        <v>1</v>
      </c>
      <c r="BE42" s="112">
        <f t="shared" si="89"/>
        <v>0</v>
      </c>
      <c r="BF42" s="131">
        <f t="shared" si="90"/>
        <v>1</v>
      </c>
      <c r="BG42" s="129"/>
      <c r="BH42" s="108"/>
      <c r="BI42" s="100">
        <v>2</v>
      </c>
      <c r="BJ42" s="100"/>
      <c r="BK42" s="112">
        <f t="shared" si="91"/>
        <v>2</v>
      </c>
      <c r="BL42" s="112">
        <f t="shared" si="91"/>
        <v>0</v>
      </c>
      <c r="BM42" s="113">
        <f t="shared" si="92"/>
        <v>2</v>
      </c>
      <c r="BN42" s="129"/>
      <c r="BO42" s="108"/>
      <c r="BP42" s="108">
        <v>2</v>
      </c>
      <c r="BQ42" s="108"/>
      <c r="BR42" s="112">
        <f t="shared" si="93"/>
        <v>2</v>
      </c>
      <c r="BS42" s="112">
        <f t="shared" si="93"/>
        <v>0</v>
      </c>
      <c r="BT42" s="113">
        <f t="shared" si="94"/>
        <v>2</v>
      </c>
      <c r="BU42" s="129"/>
      <c r="BV42" s="108"/>
      <c r="BW42" s="108"/>
      <c r="BX42" s="108"/>
      <c r="BY42" s="112">
        <f t="shared" si="95"/>
        <v>0</v>
      </c>
      <c r="BZ42" s="112">
        <f t="shared" si="95"/>
        <v>0</v>
      </c>
      <c r="CA42" s="113">
        <f t="shared" si="96"/>
        <v>0</v>
      </c>
      <c r="CB42" s="129"/>
      <c r="CC42" s="108">
        <v>1</v>
      </c>
      <c r="CD42" s="108"/>
      <c r="CE42" s="282">
        <v>1</v>
      </c>
      <c r="CF42" s="112">
        <f t="shared" si="97"/>
        <v>0</v>
      </c>
      <c r="CG42" s="112">
        <f t="shared" si="97"/>
        <v>4</v>
      </c>
      <c r="CH42" s="113">
        <f t="shared" si="98"/>
        <v>4</v>
      </c>
      <c r="CI42" s="108"/>
      <c r="CJ42" s="108"/>
      <c r="CK42" s="108"/>
      <c r="CL42" s="233">
        <v>3</v>
      </c>
      <c r="CM42" s="112">
        <f t="shared" si="99"/>
        <v>0</v>
      </c>
      <c r="CN42" s="112">
        <f t="shared" si="99"/>
        <v>3</v>
      </c>
      <c r="CO42" s="113">
        <f t="shared" si="100"/>
        <v>3</v>
      </c>
      <c r="CP42" s="277"/>
      <c r="CQ42" s="108">
        <v>1</v>
      </c>
      <c r="CR42" s="108"/>
      <c r="CS42" s="108"/>
      <c r="CT42" s="112">
        <f t="shared" si="1"/>
        <v>0</v>
      </c>
      <c r="CU42" s="112">
        <f t="shared" si="2"/>
        <v>3</v>
      </c>
      <c r="CV42" s="113">
        <f t="shared" si="3"/>
        <v>3</v>
      </c>
      <c r="CW42" s="129"/>
      <c r="CX42" s="108"/>
      <c r="CY42" s="108"/>
      <c r="CZ42" s="108">
        <v>3</v>
      </c>
      <c r="DA42" s="112">
        <f t="shared" si="4"/>
        <v>0</v>
      </c>
      <c r="DB42" s="112">
        <f t="shared" si="5"/>
        <v>3</v>
      </c>
      <c r="DC42" s="113">
        <f t="shared" si="6"/>
        <v>3</v>
      </c>
      <c r="DD42" s="129"/>
      <c r="DE42" s="108">
        <v>1</v>
      </c>
      <c r="DF42" s="108"/>
      <c r="DG42" s="108"/>
      <c r="DH42" s="112">
        <f t="shared" si="7"/>
        <v>0</v>
      </c>
      <c r="DI42" s="112">
        <f t="shared" si="8"/>
        <v>3</v>
      </c>
      <c r="DJ42" s="113">
        <f t="shared" si="9"/>
        <v>3</v>
      </c>
      <c r="DK42" s="179">
        <f t="shared" si="10"/>
        <v>6</v>
      </c>
      <c r="DL42" s="180">
        <f t="shared" ca="1" si="11"/>
        <v>2.5862068965517241E-2</v>
      </c>
      <c r="DM42" s="181">
        <f t="shared" si="12"/>
        <v>16</v>
      </c>
      <c r="DN42" s="180">
        <f t="shared" ca="1" si="13"/>
        <v>6.8965517241379309E-2</v>
      </c>
      <c r="DO42" s="181">
        <f t="shared" si="14"/>
        <v>22</v>
      </c>
      <c r="DP42" s="180">
        <f t="shared" ca="1" si="15"/>
        <v>9.4827586206896547E-2</v>
      </c>
      <c r="DQ42" s="181">
        <f t="shared" si="16"/>
        <v>0</v>
      </c>
      <c r="DR42" s="181">
        <f t="shared" si="17"/>
        <v>3</v>
      </c>
      <c r="DS42" s="181">
        <f t="shared" si="18"/>
        <v>3</v>
      </c>
    </row>
    <row r="43" spans="1:123" x14ac:dyDescent="0.25">
      <c r="A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104"/>
      <c r="BO43" s="104"/>
      <c r="BP43" s="104"/>
      <c r="BQ43" s="104"/>
      <c r="BR43" s="104"/>
      <c r="BS43" s="38"/>
      <c r="BT43" s="38"/>
      <c r="BU43" s="104"/>
      <c r="BV43" s="104"/>
      <c r="BW43" s="104"/>
      <c r="BY43" s="104"/>
      <c r="BZ43" s="38"/>
      <c r="CA43" s="38"/>
      <c r="CB43" s="104"/>
      <c r="CC43" s="104"/>
      <c r="CD43" s="104"/>
      <c r="CE43" s="104"/>
      <c r="CF43" s="104"/>
      <c r="CG43" s="38"/>
      <c r="CH43" s="38"/>
      <c r="CI43" s="104"/>
      <c r="CJ43" s="104"/>
      <c r="CK43" s="104"/>
      <c r="CM43" s="104"/>
      <c r="CN43" s="38"/>
      <c r="CO43" s="38"/>
      <c r="CP43" s="104"/>
      <c r="CQ43" s="104"/>
      <c r="CR43" s="104"/>
      <c r="CS43" s="104"/>
      <c r="CT43" s="104"/>
      <c r="CU43" s="38"/>
      <c r="CV43" s="38"/>
      <c r="CW43" s="104"/>
      <c r="CX43" s="104"/>
      <c r="CY43" s="104"/>
      <c r="CZ43" s="104"/>
      <c r="DA43" s="104"/>
      <c r="DB43" s="38"/>
      <c r="DC43" s="38"/>
      <c r="DD43" s="104"/>
      <c r="DE43" s="104"/>
      <c r="DF43" s="104"/>
      <c r="DG43" s="104"/>
      <c r="DH43" s="104"/>
      <c r="DI43" s="38"/>
      <c r="DJ43" s="38"/>
    </row>
    <row r="44" spans="1:123" x14ac:dyDescent="0.25">
      <c r="A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104"/>
      <c r="BO44" s="104"/>
      <c r="BP44" s="104"/>
      <c r="BQ44" s="104"/>
      <c r="BR44" s="104"/>
      <c r="BS44" s="38"/>
      <c r="BT44" s="38"/>
      <c r="BU44" s="104"/>
      <c r="BV44" s="104"/>
      <c r="BW44" s="104"/>
      <c r="BY44" s="104"/>
      <c r="BZ44" s="38"/>
      <c r="CA44" s="38"/>
      <c r="CB44" s="104"/>
      <c r="CC44" s="104"/>
      <c r="CD44" s="104"/>
      <c r="CE44" s="104"/>
      <c r="CF44" s="104"/>
      <c r="CG44" s="38"/>
      <c r="CH44" s="38"/>
      <c r="CI44" s="104"/>
      <c r="CJ44" s="104"/>
      <c r="CK44" s="104"/>
      <c r="CM44" s="104"/>
      <c r="CN44" s="38"/>
      <c r="CO44" s="38"/>
      <c r="CP44" s="104"/>
      <c r="CQ44" s="104"/>
      <c r="CR44" s="104"/>
      <c r="CS44" s="104"/>
      <c r="CT44" s="104"/>
      <c r="CU44" s="38"/>
      <c r="CV44" s="38"/>
      <c r="CW44" s="104"/>
      <c r="CX44" s="104"/>
      <c r="CY44" s="104"/>
      <c r="CZ44" s="104"/>
      <c r="DA44" s="104"/>
      <c r="DB44" s="38"/>
      <c r="DC44" s="38"/>
      <c r="DD44" s="104"/>
      <c r="DE44" s="104"/>
      <c r="DF44" s="104"/>
      <c r="DG44" s="104"/>
      <c r="DH44" s="104"/>
      <c r="DI44" s="38"/>
      <c r="DJ44" s="38"/>
    </row>
    <row r="45" spans="1:123" ht="21" x14ac:dyDescent="0.35">
      <c r="A45" s="38"/>
      <c r="D45" s="294" t="s">
        <v>297</v>
      </c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1:123" ht="33.75" x14ac:dyDescent="0.5">
      <c r="A46" s="38"/>
      <c r="C46" s="130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1:123" x14ac:dyDescent="0.25">
      <c r="A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1:123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4"/>
      <c r="BO48" s="104"/>
      <c r="BP48" s="104"/>
      <c r="BQ48" s="104"/>
      <c r="BR48" s="104"/>
      <c r="BS48" s="38"/>
      <c r="BT48" s="38"/>
      <c r="BU48" s="104"/>
      <c r="BV48" s="104"/>
      <c r="BW48" s="104"/>
      <c r="BY48" s="104"/>
      <c r="BZ48" s="38"/>
      <c r="CA48" s="38"/>
      <c r="CB48" s="104"/>
      <c r="CC48" s="104"/>
      <c r="CD48" s="104"/>
      <c r="CE48" s="104"/>
      <c r="CF48" s="104"/>
      <c r="CG48" s="38"/>
      <c r="CH48" s="38"/>
      <c r="CI48" s="104"/>
      <c r="CJ48" s="104"/>
      <c r="CK48" s="104"/>
      <c r="CM48" s="104"/>
      <c r="CN48" s="38"/>
      <c r="CO48" s="38"/>
      <c r="CP48" s="104"/>
      <c r="CQ48" s="104"/>
      <c r="CR48" s="104"/>
      <c r="CS48" s="104"/>
      <c r="CT48" s="104"/>
      <c r="CU48" s="38"/>
      <c r="CV48" s="38"/>
      <c r="CW48" s="104"/>
      <c r="CX48" s="104"/>
      <c r="CY48" s="104"/>
      <c r="CZ48" s="104"/>
      <c r="DA48" s="104"/>
      <c r="DB48" s="38"/>
      <c r="DC48" s="38"/>
      <c r="DD48" s="104"/>
      <c r="DE48" s="104"/>
      <c r="DF48" s="104"/>
      <c r="DG48" s="104"/>
      <c r="DH48" s="104"/>
      <c r="DI48" s="38"/>
      <c r="DJ48" s="38"/>
    </row>
    <row r="49" spans="1:114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4"/>
      <c r="BO49" s="104"/>
      <c r="BP49" s="104"/>
      <c r="BQ49" s="104"/>
      <c r="BR49" s="104"/>
      <c r="BS49" s="38"/>
      <c r="BT49" s="38"/>
      <c r="BU49" s="104"/>
      <c r="BV49" s="104"/>
      <c r="BW49" s="104"/>
      <c r="BY49" s="104"/>
      <c r="BZ49" s="38"/>
      <c r="CA49" s="38"/>
      <c r="CB49" s="104"/>
      <c r="CC49" s="104"/>
      <c r="CD49" s="104"/>
      <c r="CE49" s="104"/>
      <c r="CF49" s="104"/>
      <c r="CG49" s="38"/>
      <c r="CH49" s="38"/>
      <c r="CI49" s="104"/>
      <c r="CJ49" s="104"/>
      <c r="CK49" s="104"/>
      <c r="CM49" s="104"/>
      <c r="CN49" s="38"/>
      <c r="CO49" s="38"/>
      <c r="CP49" s="104"/>
      <c r="CQ49" s="104"/>
      <c r="CR49" s="104"/>
      <c r="CS49" s="104"/>
      <c r="CT49" s="104"/>
      <c r="CU49" s="38"/>
      <c r="CV49" s="38"/>
      <c r="CW49" s="104"/>
      <c r="CX49" s="104"/>
      <c r="CY49" s="104"/>
      <c r="CZ49" s="104"/>
      <c r="DA49" s="104"/>
      <c r="DB49" s="38"/>
      <c r="DC49" s="38"/>
      <c r="DD49" s="104"/>
      <c r="DE49" s="104"/>
      <c r="DF49" s="104"/>
      <c r="DG49" s="104"/>
      <c r="DH49" s="104"/>
      <c r="DI49" s="38"/>
      <c r="DJ49" s="38"/>
    </row>
    <row r="50" spans="1:114" x14ac:dyDescent="0.25">
      <c r="A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104"/>
      <c r="BO50" s="104"/>
      <c r="BP50" s="104"/>
      <c r="BQ50" s="104"/>
      <c r="BR50" s="104"/>
      <c r="BS50" s="38"/>
      <c r="BT50" s="38"/>
      <c r="BU50" s="104"/>
      <c r="BV50" s="104"/>
      <c r="BW50" s="104"/>
      <c r="BY50" s="104"/>
      <c r="BZ50" s="38"/>
      <c r="CA50" s="38"/>
      <c r="CB50" s="104"/>
      <c r="CC50" s="104"/>
      <c r="CD50" s="104"/>
      <c r="CE50" s="104"/>
      <c r="CF50" s="104"/>
      <c r="CG50" s="38"/>
      <c r="CH50" s="38"/>
      <c r="CI50" s="104"/>
      <c r="CJ50" s="104"/>
      <c r="CK50" s="104"/>
      <c r="CM50" s="104"/>
      <c r="CN50" s="38"/>
      <c r="CO50" s="38"/>
      <c r="CP50" s="104"/>
      <c r="CQ50" s="104"/>
      <c r="CR50" s="104"/>
      <c r="CS50" s="104"/>
      <c r="CT50" s="104"/>
      <c r="CU50" s="38"/>
      <c r="CV50" s="38"/>
      <c r="CW50" s="104"/>
      <c r="CX50" s="104"/>
      <c r="CY50" s="104"/>
      <c r="CZ50" s="104"/>
      <c r="DA50" s="104"/>
      <c r="DB50" s="38"/>
      <c r="DC50" s="38"/>
      <c r="DD50" s="104"/>
      <c r="DE50" s="104"/>
      <c r="DF50" s="104"/>
      <c r="DG50" s="104"/>
      <c r="DH50" s="104"/>
      <c r="DI50" s="38"/>
      <c r="DJ50" s="38"/>
    </row>
    <row r="51" spans="1:114" x14ac:dyDescent="0.25">
      <c r="A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104"/>
      <c r="BO51" s="104"/>
      <c r="BP51" s="104"/>
      <c r="BQ51" s="104"/>
      <c r="BR51" s="104"/>
      <c r="BS51" s="38"/>
      <c r="BT51" s="38"/>
      <c r="BU51" s="104"/>
      <c r="BV51" s="104"/>
      <c r="BW51" s="104"/>
      <c r="BY51" s="104"/>
      <c r="BZ51" s="38"/>
      <c r="CA51" s="38"/>
      <c r="CB51" s="104"/>
      <c r="CC51" s="104"/>
      <c r="CD51" s="104"/>
      <c r="CE51" s="104"/>
      <c r="CF51" s="104"/>
      <c r="CG51" s="38"/>
      <c r="CH51" s="38"/>
      <c r="CI51" s="104"/>
      <c r="CJ51" s="104"/>
      <c r="CK51" s="104"/>
      <c r="CM51" s="104"/>
      <c r="CN51" s="38"/>
      <c r="CO51" s="38"/>
      <c r="CP51" s="104"/>
      <c r="CQ51" s="104"/>
      <c r="CR51" s="104"/>
      <c r="CS51" s="104"/>
      <c r="CT51" s="104"/>
      <c r="CU51" s="38"/>
      <c r="CV51" s="38"/>
      <c r="CW51" s="104"/>
      <c r="CX51" s="104"/>
      <c r="CY51" s="104"/>
      <c r="CZ51" s="104"/>
      <c r="DA51" s="104"/>
      <c r="DB51" s="38"/>
      <c r="DC51" s="38"/>
      <c r="DD51" s="104"/>
      <c r="DE51" s="104"/>
      <c r="DF51" s="104"/>
      <c r="DG51" s="104"/>
      <c r="DH51" s="104"/>
      <c r="DI51" s="38"/>
      <c r="DJ51" s="38"/>
    </row>
    <row r="52" spans="1:114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104"/>
      <c r="BO52" s="104"/>
      <c r="BP52" s="104"/>
      <c r="BQ52" s="104"/>
      <c r="BR52" s="104"/>
      <c r="BS52" s="38"/>
      <c r="BT52" s="38"/>
      <c r="BU52" s="104"/>
      <c r="BV52" s="104"/>
      <c r="BW52" s="104"/>
      <c r="BY52" s="104"/>
      <c r="BZ52" s="38"/>
      <c r="CA52" s="38"/>
      <c r="CB52" s="104"/>
      <c r="CC52" s="104"/>
      <c r="CD52" s="104"/>
      <c r="CE52" s="104"/>
      <c r="CF52" s="104"/>
      <c r="CG52" s="38"/>
      <c r="CH52" s="38"/>
      <c r="CI52" s="104"/>
      <c r="CJ52" s="104"/>
      <c r="CK52" s="104"/>
      <c r="CM52" s="104"/>
      <c r="CN52" s="38"/>
      <c r="CO52" s="38"/>
      <c r="CP52" s="104"/>
      <c r="CQ52" s="104"/>
      <c r="CR52" s="104"/>
      <c r="CS52" s="104"/>
      <c r="CT52" s="104"/>
      <c r="CU52" s="38"/>
      <c r="CV52" s="38"/>
      <c r="CW52" s="104"/>
      <c r="CX52" s="104"/>
      <c r="CY52" s="104"/>
      <c r="CZ52" s="104"/>
      <c r="DA52" s="104"/>
      <c r="DB52" s="38"/>
      <c r="DC52" s="38"/>
      <c r="DD52" s="104"/>
      <c r="DE52" s="104"/>
      <c r="DF52" s="104"/>
      <c r="DG52" s="104"/>
      <c r="DH52" s="104"/>
      <c r="DI52" s="38"/>
      <c r="DJ52" s="38"/>
    </row>
    <row r="53" spans="1:114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4"/>
      <c r="BO53" s="104"/>
      <c r="BP53" s="104"/>
      <c r="BQ53" s="104"/>
      <c r="BR53" s="104"/>
      <c r="BS53" s="38"/>
      <c r="BT53" s="38"/>
      <c r="BU53" s="104"/>
      <c r="BV53" s="104"/>
      <c r="BW53" s="104"/>
      <c r="BY53" s="104"/>
      <c r="BZ53" s="38"/>
      <c r="CA53" s="38"/>
      <c r="CB53" s="104"/>
      <c r="CC53" s="104"/>
      <c r="CD53" s="104"/>
      <c r="CE53" s="104"/>
      <c r="CF53" s="104"/>
      <c r="CG53" s="38"/>
      <c r="CH53" s="38"/>
      <c r="CI53" s="104"/>
      <c r="CJ53" s="104"/>
      <c r="CK53" s="104"/>
      <c r="CM53" s="104"/>
      <c r="CN53" s="38"/>
      <c r="CO53" s="38"/>
      <c r="CP53" s="104"/>
      <c r="CQ53" s="104"/>
      <c r="CR53" s="104"/>
      <c r="CS53" s="104"/>
      <c r="CT53" s="104"/>
      <c r="CU53" s="38"/>
      <c r="CV53" s="38"/>
      <c r="CW53" s="104"/>
      <c r="CX53" s="104"/>
      <c r="CY53" s="104"/>
      <c r="CZ53" s="104"/>
      <c r="DA53" s="104"/>
      <c r="DB53" s="38"/>
      <c r="DC53" s="38"/>
      <c r="DD53" s="104"/>
      <c r="DE53" s="104"/>
      <c r="DF53" s="104"/>
      <c r="DG53" s="104"/>
      <c r="DH53" s="104"/>
      <c r="DI53" s="38"/>
      <c r="DJ53" s="38"/>
    </row>
    <row r="54" spans="1:114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4"/>
      <c r="BO54" s="104"/>
      <c r="BP54" s="104"/>
      <c r="BQ54" s="104"/>
      <c r="BR54" s="104"/>
      <c r="BS54" s="38"/>
      <c r="BT54" s="38"/>
      <c r="BU54" s="104"/>
      <c r="BV54" s="104"/>
      <c r="BW54" s="104"/>
      <c r="BY54" s="104"/>
      <c r="BZ54" s="38"/>
      <c r="CA54" s="38"/>
      <c r="CB54" s="104"/>
      <c r="CC54" s="104"/>
      <c r="CD54" s="104"/>
      <c r="CE54" s="104"/>
      <c r="CF54" s="104"/>
      <c r="CG54" s="38"/>
      <c r="CH54" s="38"/>
      <c r="CI54" s="104"/>
      <c r="CJ54" s="104"/>
      <c r="CK54" s="104"/>
      <c r="CM54" s="104"/>
      <c r="CN54" s="38"/>
      <c r="CO54" s="38"/>
      <c r="CP54" s="104"/>
      <c r="CQ54" s="104"/>
      <c r="CR54" s="104"/>
      <c r="CS54" s="104"/>
      <c r="CT54" s="104"/>
      <c r="CU54" s="38"/>
      <c r="CV54" s="38"/>
      <c r="CW54" s="104"/>
      <c r="CX54" s="104"/>
      <c r="CY54" s="104"/>
      <c r="CZ54" s="104"/>
      <c r="DA54" s="104"/>
      <c r="DB54" s="38"/>
      <c r="DC54" s="38"/>
      <c r="DD54" s="104"/>
      <c r="DE54" s="104"/>
      <c r="DF54" s="104"/>
      <c r="DG54" s="104"/>
      <c r="DH54" s="104"/>
      <c r="DI54" s="38"/>
      <c r="DJ54" s="38"/>
    </row>
    <row r="55" spans="1:114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4"/>
      <c r="BO55" s="104"/>
      <c r="BP55" s="104"/>
      <c r="BQ55" s="104"/>
      <c r="BR55" s="104"/>
      <c r="BS55" s="38"/>
      <c r="BT55" s="38"/>
      <c r="BU55" s="104"/>
      <c r="BV55" s="104"/>
      <c r="BW55" s="104"/>
      <c r="BY55" s="104"/>
      <c r="BZ55" s="38"/>
      <c r="CA55" s="38"/>
      <c r="CB55" s="104"/>
      <c r="CC55" s="104"/>
      <c r="CD55" s="104"/>
      <c r="CE55" s="104"/>
      <c r="CF55" s="104"/>
      <c r="CG55" s="38"/>
      <c r="CH55" s="38"/>
      <c r="CI55" s="104"/>
      <c r="CJ55" s="104"/>
      <c r="CK55" s="104"/>
      <c r="CM55" s="104"/>
      <c r="CN55" s="38"/>
      <c r="CO55" s="38"/>
      <c r="CP55" s="104"/>
      <c r="CQ55" s="104"/>
      <c r="CR55" s="104"/>
      <c r="CS55" s="104"/>
      <c r="CT55" s="104"/>
      <c r="CU55" s="38"/>
      <c r="CV55" s="38"/>
      <c r="CW55" s="104"/>
      <c r="CX55" s="104"/>
      <c r="CY55" s="104"/>
      <c r="CZ55" s="104"/>
      <c r="DA55" s="104"/>
      <c r="DB55" s="38"/>
      <c r="DC55" s="38"/>
      <c r="DD55" s="104"/>
      <c r="DE55" s="104"/>
      <c r="DF55" s="104"/>
      <c r="DG55" s="104"/>
      <c r="DH55" s="104"/>
      <c r="DI55" s="38"/>
      <c r="DJ55" s="38"/>
    </row>
    <row r="56" spans="1:114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4"/>
      <c r="BO56" s="104"/>
      <c r="BP56" s="104"/>
      <c r="BQ56" s="104"/>
      <c r="BR56" s="104"/>
      <c r="BS56" s="38"/>
      <c r="BT56" s="38"/>
      <c r="BU56" s="104"/>
      <c r="BV56" s="104"/>
      <c r="BW56" s="104"/>
      <c r="BY56" s="104"/>
      <c r="BZ56" s="38"/>
      <c r="CA56" s="38"/>
      <c r="CB56" s="104"/>
      <c r="CC56" s="104"/>
      <c r="CD56" s="104"/>
      <c r="CE56" s="104"/>
      <c r="CF56" s="104"/>
      <c r="CG56" s="38"/>
      <c r="CH56" s="38"/>
      <c r="CI56" s="104"/>
      <c r="CJ56" s="104"/>
      <c r="CK56" s="104"/>
      <c r="CM56" s="104"/>
      <c r="CN56" s="38"/>
      <c r="CO56" s="38"/>
      <c r="CP56" s="104"/>
      <c r="CQ56" s="104"/>
      <c r="CR56" s="104"/>
      <c r="CS56" s="104"/>
      <c r="CT56" s="104"/>
      <c r="CU56" s="38"/>
      <c r="CV56" s="38"/>
      <c r="CW56" s="104"/>
      <c r="CX56" s="104"/>
      <c r="CY56" s="104"/>
      <c r="CZ56" s="104"/>
      <c r="DA56" s="104"/>
      <c r="DB56" s="38"/>
      <c r="DC56" s="38"/>
      <c r="DD56" s="104"/>
      <c r="DE56" s="104"/>
      <c r="DF56" s="104"/>
      <c r="DG56" s="104"/>
      <c r="DH56" s="104"/>
      <c r="DI56" s="38"/>
      <c r="DJ56" s="38"/>
    </row>
    <row r="57" spans="1:114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4"/>
      <c r="BO57" s="104"/>
      <c r="BP57" s="104"/>
      <c r="BQ57" s="104"/>
      <c r="BR57" s="104"/>
      <c r="BS57" s="38"/>
      <c r="BT57" s="38"/>
      <c r="BU57" s="104"/>
      <c r="BV57" s="104"/>
      <c r="BW57" s="104"/>
      <c r="BY57" s="104"/>
      <c r="BZ57" s="38"/>
      <c r="CA57" s="38"/>
      <c r="CB57" s="104"/>
      <c r="CC57" s="104"/>
      <c r="CD57" s="104"/>
      <c r="CE57" s="104"/>
      <c r="CF57" s="104"/>
      <c r="CG57" s="38"/>
      <c r="CH57" s="38"/>
      <c r="CI57" s="104"/>
      <c r="CJ57" s="104"/>
      <c r="CK57" s="104"/>
      <c r="CM57" s="104"/>
      <c r="CN57" s="38"/>
      <c r="CO57" s="38"/>
      <c r="CP57" s="104"/>
      <c r="CQ57" s="104"/>
      <c r="CR57" s="104"/>
      <c r="CS57" s="104"/>
      <c r="CT57" s="104"/>
      <c r="CU57" s="38"/>
      <c r="CV57" s="38"/>
      <c r="CW57" s="104"/>
      <c r="CX57" s="104"/>
      <c r="CY57" s="104"/>
      <c r="CZ57" s="104"/>
      <c r="DA57" s="104"/>
      <c r="DB57" s="38"/>
      <c r="DC57" s="38"/>
      <c r="DD57" s="104"/>
      <c r="DE57" s="104"/>
      <c r="DF57" s="104"/>
      <c r="DG57" s="104"/>
      <c r="DH57" s="104"/>
      <c r="DI57" s="38"/>
      <c r="DJ57" s="38"/>
    </row>
    <row r="58" spans="1:114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4"/>
      <c r="BO58" s="104"/>
      <c r="BP58" s="104"/>
      <c r="BQ58" s="104"/>
      <c r="BR58" s="104"/>
      <c r="BS58" s="38"/>
      <c r="BT58" s="38"/>
      <c r="BU58" s="104"/>
      <c r="BV58" s="104"/>
      <c r="BW58" s="104"/>
      <c r="BY58" s="104"/>
      <c r="BZ58" s="38"/>
      <c r="CA58" s="38"/>
      <c r="CB58" s="104"/>
      <c r="CC58" s="104"/>
      <c r="CD58" s="104"/>
      <c r="CE58" s="104"/>
      <c r="CF58" s="104"/>
      <c r="CG58" s="38"/>
      <c r="CH58" s="38"/>
      <c r="CI58" s="104"/>
      <c r="CJ58" s="104"/>
      <c r="CK58" s="104"/>
      <c r="CM58" s="104"/>
      <c r="CN58" s="38"/>
      <c r="CO58" s="38"/>
      <c r="CP58" s="104"/>
      <c r="CQ58" s="104"/>
      <c r="CR58" s="104"/>
      <c r="CS58" s="104"/>
      <c r="CT58" s="104"/>
      <c r="CU58" s="38"/>
      <c r="CV58" s="38"/>
      <c r="CW58" s="104"/>
      <c r="CX58" s="104"/>
      <c r="CY58" s="104"/>
      <c r="CZ58" s="104"/>
      <c r="DA58" s="104"/>
      <c r="DB58" s="38"/>
      <c r="DC58" s="38"/>
      <c r="DD58" s="104"/>
      <c r="DE58" s="104"/>
      <c r="DF58" s="104"/>
      <c r="DG58" s="104"/>
      <c r="DH58" s="104"/>
      <c r="DI58" s="38"/>
      <c r="DJ58" s="38"/>
    </row>
    <row r="59" spans="1:114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4"/>
      <c r="BO59" s="104"/>
      <c r="BP59" s="104"/>
      <c r="BQ59" s="104"/>
      <c r="BR59" s="104"/>
      <c r="BS59" s="38"/>
      <c r="BT59" s="38"/>
      <c r="BU59" s="104"/>
      <c r="BV59" s="104"/>
      <c r="BW59" s="104"/>
      <c r="BY59" s="104"/>
      <c r="BZ59" s="38"/>
      <c r="CA59" s="38"/>
      <c r="CB59" s="104"/>
      <c r="CC59" s="104"/>
      <c r="CD59" s="104"/>
      <c r="CE59" s="104"/>
      <c r="CF59" s="104"/>
      <c r="CG59" s="38"/>
      <c r="CH59" s="38"/>
      <c r="CI59" s="104"/>
      <c r="CJ59" s="104"/>
      <c r="CK59" s="104"/>
      <c r="CM59" s="104"/>
      <c r="CN59" s="38"/>
      <c r="CO59" s="38"/>
      <c r="CP59" s="104"/>
      <c r="CQ59" s="104"/>
      <c r="CR59" s="104"/>
      <c r="CS59" s="104"/>
      <c r="CT59" s="104"/>
      <c r="CU59" s="38"/>
      <c r="CV59" s="38"/>
      <c r="CW59" s="104"/>
      <c r="CX59" s="104"/>
      <c r="CY59" s="104"/>
      <c r="CZ59" s="104"/>
      <c r="DA59" s="104"/>
      <c r="DB59" s="38"/>
      <c r="DC59" s="38"/>
      <c r="DD59" s="104"/>
      <c r="DE59" s="104"/>
      <c r="DF59" s="104"/>
      <c r="DG59" s="104"/>
      <c r="DH59" s="104"/>
      <c r="DI59" s="38"/>
      <c r="DJ59" s="38"/>
    </row>
    <row r="60" spans="1:114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4"/>
      <c r="BO60" s="104"/>
      <c r="BP60" s="104"/>
      <c r="BQ60" s="104"/>
      <c r="BR60" s="104"/>
      <c r="BS60" s="38"/>
      <c r="BT60" s="38"/>
      <c r="BU60" s="104"/>
      <c r="BV60" s="104"/>
      <c r="BW60" s="104"/>
      <c r="BY60" s="104"/>
      <c r="BZ60" s="38"/>
      <c r="CA60" s="38"/>
      <c r="CB60" s="104"/>
      <c r="CC60" s="104"/>
      <c r="CD60" s="104"/>
      <c r="CE60" s="104"/>
      <c r="CF60" s="104"/>
      <c r="CG60" s="38"/>
      <c r="CH60" s="38"/>
      <c r="CI60" s="104"/>
      <c r="CJ60" s="104"/>
      <c r="CK60" s="104"/>
      <c r="CM60" s="104"/>
      <c r="CN60" s="38"/>
      <c r="CO60" s="38"/>
      <c r="CP60" s="104"/>
      <c r="CQ60" s="104"/>
      <c r="CR60" s="104"/>
      <c r="CS60" s="104"/>
      <c r="CT60" s="104"/>
      <c r="CU60" s="38"/>
      <c r="CV60" s="38"/>
      <c r="CW60" s="104"/>
      <c r="CX60" s="104"/>
      <c r="CY60" s="104"/>
      <c r="CZ60" s="104"/>
      <c r="DA60" s="104"/>
      <c r="DB60" s="38"/>
      <c r="DC60" s="38"/>
      <c r="DD60" s="104"/>
      <c r="DE60" s="104"/>
      <c r="DF60" s="104"/>
      <c r="DG60" s="104"/>
      <c r="DH60" s="104"/>
      <c r="DI60" s="38"/>
      <c r="DJ60" s="38"/>
    </row>
    <row r="61" spans="1:114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4"/>
      <c r="BO61" s="104"/>
      <c r="BP61" s="104"/>
      <c r="BQ61" s="104"/>
      <c r="BR61" s="104"/>
      <c r="BS61" s="38"/>
      <c r="BT61" s="38"/>
      <c r="BU61" s="104"/>
      <c r="BV61" s="104"/>
      <c r="BW61" s="104"/>
      <c r="BY61" s="104"/>
      <c r="BZ61" s="38"/>
      <c r="CA61" s="38"/>
      <c r="CB61" s="104"/>
      <c r="CC61" s="104"/>
      <c r="CD61" s="104"/>
      <c r="CE61" s="104"/>
      <c r="CF61" s="104"/>
      <c r="CG61" s="38"/>
      <c r="CH61" s="38"/>
      <c r="CI61" s="104"/>
      <c r="CJ61" s="104"/>
      <c r="CK61" s="104"/>
      <c r="CM61" s="104"/>
      <c r="CN61" s="38"/>
      <c r="CO61" s="38"/>
      <c r="CP61" s="104"/>
      <c r="CQ61" s="104"/>
      <c r="CR61" s="104"/>
      <c r="CS61" s="104"/>
      <c r="CT61" s="104"/>
      <c r="CU61" s="38"/>
      <c r="CV61" s="38"/>
      <c r="CW61" s="104"/>
      <c r="CX61" s="104"/>
      <c r="CY61" s="104"/>
      <c r="CZ61" s="104"/>
      <c r="DA61" s="104"/>
      <c r="DB61" s="38"/>
      <c r="DC61" s="38"/>
      <c r="DD61" s="104"/>
      <c r="DE61" s="104"/>
      <c r="DF61" s="104"/>
      <c r="DG61" s="104"/>
      <c r="DH61" s="104"/>
      <c r="DI61" s="38"/>
      <c r="DJ61" s="38"/>
    </row>
    <row r="62" spans="1:114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4"/>
      <c r="BO62" s="104"/>
      <c r="BP62" s="104"/>
      <c r="BQ62" s="104"/>
      <c r="BR62" s="104"/>
      <c r="BS62" s="38"/>
      <c r="BT62" s="38"/>
      <c r="BU62" s="104"/>
      <c r="BV62" s="104"/>
      <c r="BW62" s="104"/>
      <c r="BY62" s="104"/>
      <c r="BZ62" s="38"/>
      <c r="CA62" s="38"/>
      <c r="CB62" s="104"/>
      <c r="CC62" s="104"/>
      <c r="CD62" s="104"/>
      <c r="CE62" s="104"/>
      <c r="CF62" s="104"/>
      <c r="CG62" s="38"/>
      <c r="CH62" s="38"/>
      <c r="CI62" s="104"/>
      <c r="CJ62" s="104"/>
      <c r="CK62" s="104"/>
      <c r="CM62" s="104"/>
      <c r="CN62" s="38"/>
      <c r="CO62" s="38"/>
      <c r="CP62" s="104"/>
      <c r="CQ62" s="104"/>
      <c r="CR62" s="104"/>
      <c r="CS62" s="104"/>
      <c r="CT62" s="104"/>
      <c r="CU62" s="38"/>
      <c r="CV62" s="38"/>
      <c r="CW62" s="104"/>
      <c r="CX62" s="104"/>
      <c r="CY62" s="104"/>
      <c r="CZ62" s="104"/>
      <c r="DA62" s="104"/>
      <c r="DB62" s="38"/>
      <c r="DC62" s="38"/>
      <c r="DD62" s="104"/>
      <c r="DE62" s="104"/>
      <c r="DF62" s="104"/>
      <c r="DG62" s="104"/>
      <c r="DH62" s="104"/>
      <c r="DI62" s="38"/>
      <c r="DJ62" s="38"/>
    </row>
    <row r="63" spans="1:114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4"/>
      <c r="BO63" s="104"/>
      <c r="BP63" s="104"/>
      <c r="BQ63" s="104"/>
      <c r="BR63" s="104"/>
      <c r="BS63" s="38"/>
      <c r="BT63" s="38"/>
      <c r="BU63" s="104"/>
      <c r="BV63" s="104"/>
      <c r="BW63" s="104"/>
      <c r="BY63" s="104"/>
      <c r="BZ63" s="38"/>
      <c r="CA63" s="38"/>
      <c r="CB63" s="104"/>
      <c r="CC63" s="104"/>
      <c r="CD63" s="104"/>
      <c r="CE63" s="104"/>
      <c r="CF63" s="104"/>
      <c r="CG63" s="38"/>
      <c r="CH63" s="38"/>
      <c r="CI63" s="104"/>
      <c r="CJ63" s="104"/>
      <c r="CK63" s="104"/>
      <c r="CM63" s="104"/>
      <c r="CN63" s="38"/>
      <c r="CO63" s="38"/>
      <c r="CP63" s="104"/>
      <c r="CQ63" s="104"/>
      <c r="CR63" s="104"/>
      <c r="CS63" s="104"/>
      <c r="CT63" s="104"/>
      <c r="CU63" s="38"/>
      <c r="CV63" s="38"/>
      <c r="CW63" s="104"/>
      <c r="CX63" s="104"/>
      <c r="CY63" s="104"/>
      <c r="CZ63" s="104"/>
      <c r="DA63" s="104"/>
      <c r="DB63" s="38"/>
      <c r="DC63" s="38"/>
      <c r="DD63" s="104"/>
      <c r="DE63" s="104"/>
      <c r="DF63" s="104"/>
      <c r="DG63" s="104"/>
      <c r="DH63" s="104"/>
      <c r="DI63" s="38"/>
      <c r="DJ63" s="38"/>
    </row>
    <row r="64" spans="1:114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4"/>
      <c r="BO64" s="104"/>
      <c r="BP64" s="104"/>
      <c r="BQ64" s="104"/>
      <c r="BR64" s="104"/>
      <c r="BS64" s="38"/>
      <c r="BT64" s="38"/>
      <c r="BU64" s="104"/>
      <c r="BV64" s="104"/>
      <c r="BW64" s="104"/>
      <c r="BY64" s="104"/>
      <c r="BZ64" s="38"/>
      <c r="CA64" s="38"/>
      <c r="CB64" s="104"/>
      <c r="CC64" s="104"/>
      <c r="CD64" s="104"/>
      <c r="CE64" s="104"/>
      <c r="CF64" s="104"/>
      <c r="CG64" s="38"/>
      <c r="CH64" s="38"/>
      <c r="CI64" s="104"/>
      <c r="CJ64" s="104"/>
      <c r="CK64" s="104"/>
      <c r="CM64" s="104"/>
      <c r="CN64" s="38"/>
      <c r="CO64" s="38"/>
      <c r="CP64" s="104"/>
      <c r="CQ64" s="104"/>
      <c r="CR64" s="104"/>
      <c r="CS64" s="104"/>
      <c r="CT64" s="104"/>
      <c r="CU64" s="38"/>
      <c r="CV64" s="38"/>
      <c r="CW64" s="104"/>
      <c r="CX64" s="104"/>
      <c r="CY64" s="104"/>
      <c r="CZ64" s="104"/>
      <c r="DA64" s="104"/>
      <c r="DB64" s="38"/>
      <c r="DC64" s="38"/>
      <c r="DD64" s="104"/>
      <c r="DE64" s="104"/>
      <c r="DF64" s="104"/>
      <c r="DG64" s="104"/>
      <c r="DH64" s="104"/>
      <c r="DI64" s="38"/>
      <c r="DJ64" s="38"/>
    </row>
    <row r="65" spans="1:114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4"/>
      <c r="BO65" s="104"/>
      <c r="BP65" s="104"/>
      <c r="BQ65" s="104"/>
      <c r="BR65" s="104"/>
      <c r="BS65" s="38"/>
      <c r="BT65" s="38"/>
      <c r="BU65" s="104"/>
      <c r="BV65" s="104"/>
      <c r="BW65" s="104"/>
      <c r="BY65" s="104"/>
      <c r="BZ65" s="38"/>
      <c r="CA65" s="38"/>
      <c r="CB65" s="104"/>
      <c r="CC65" s="104"/>
      <c r="CD65" s="104"/>
      <c r="CE65" s="104"/>
      <c r="CF65" s="104"/>
      <c r="CG65" s="38"/>
      <c r="CH65" s="38"/>
      <c r="CI65" s="104"/>
      <c r="CJ65" s="104"/>
      <c r="CK65" s="104"/>
      <c r="CM65" s="104"/>
      <c r="CN65" s="38"/>
      <c r="CO65" s="38"/>
      <c r="CP65" s="104"/>
      <c r="CQ65" s="104"/>
      <c r="CR65" s="104"/>
      <c r="CS65" s="104"/>
      <c r="CT65" s="104"/>
      <c r="CU65" s="38"/>
      <c r="CV65" s="38"/>
      <c r="CW65" s="104"/>
      <c r="CX65" s="104"/>
      <c r="CY65" s="104"/>
      <c r="CZ65" s="104"/>
      <c r="DA65" s="104"/>
      <c r="DB65" s="38"/>
      <c r="DC65" s="38"/>
      <c r="DD65" s="104"/>
      <c r="DE65" s="104"/>
      <c r="DF65" s="104"/>
      <c r="DG65" s="104"/>
      <c r="DH65" s="104"/>
      <c r="DI65" s="38"/>
      <c r="DJ65" s="38"/>
    </row>
    <row r="66" spans="1:114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4"/>
      <c r="BO66" s="104"/>
      <c r="BP66" s="104"/>
      <c r="BQ66" s="104"/>
      <c r="BR66" s="104"/>
      <c r="BS66" s="38"/>
      <c r="BT66" s="38"/>
      <c r="BU66" s="104"/>
      <c r="BV66" s="104"/>
      <c r="BW66" s="104"/>
      <c r="BY66" s="104"/>
      <c r="BZ66" s="38"/>
      <c r="CA66" s="38"/>
      <c r="CB66" s="104"/>
      <c r="CC66" s="104"/>
      <c r="CD66" s="104"/>
      <c r="CE66" s="104"/>
      <c r="CF66" s="104"/>
      <c r="CG66" s="38"/>
      <c r="CH66" s="38"/>
      <c r="CI66" s="104"/>
      <c r="CJ66" s="104"/>
      <c r="CK66" s="104"/>
      <c r="CM66" s="104"/>
      <c r="CN66" s="38"/>
      <c r="CO66" s="38"/>
      <c r="CP66" s="104"/>
      <c r="CQ66" s="104"/>
      <c r="CR66" s="104"/>
      <c r="CS66" s="104"/>
      <c r="CT66" s="104"/>
      <c r="CU66" s="38"/>
      <c r="CV66" s="38"/>
      <c r="CW66" s="104"/>
      <c r="CX66" s="104"/>
      <c r="CY66" s="104"/>
      <c r="CZ66" s="104"/>
      <c r="DA66" s="104"/>
      <c r="DB66" s="38"/>
      <c r="DC66" s="38"/>
      <c r="DD66" s="104"/>
      <c r="DE66" s="104"/>
      <c r="DF66" s="104"/>
      <c r="DG66" s="104"/>
      <c r="DH66" s="104"/>
      <c r="DI66" s="38"/>
      <c r="DJ66" s="38"/>
    </row>
    <row r="67" spans="1:114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4"/>
      <c r="BO67" s="104"/>
      <c r="BP67" s="104"/>
      <c r="BQ67" s="104"/>
      <c r="BR67" s="104"/>
      <c r="BS67" s="38"/>
      <c r="BT67" s="38"/>
      <c r="BU67" s="104"/>
      <c r="BV67" s="104"/>
      <c r="BW67" s="104"/>
      <c r="BY67" s="104"/>
      <c r="BZ67" s="38"/>
      <c r="CA67" s="38"/>
      <c r="CB67" s="104"/>
      <c r="CC67" s="104"/>
      <c r="CD67" s="104"/>
      <c r="CE67" s="104"/>
      <c r="CF67" s="104"/>
      <c r="CG67" s="38"/>
      <c r="CH67" s="38"/>
      <c r="CI67" s="104"/>
      <c r="CJ67" s="104"/>
      <c r="CK67" s="104"/>
      <c r="CM67" s="104"/>
      <c r="CN67" s="38"/>
      <c r="CO67" s="38"/>
      <c r="CP67" s="104"/>
      <c r="CQ67" s="104"/>
      <c r="CR67" s="104"/>
      <c r="CS67" s="104"/>
      <c r="CT67" s="104"/>
      <c r="CU67" s="38"/>
      <c r="CV67" s="38"/>
      <c r="CW67" s="104"/>
      <c r="CX67" s="104"/>
      <c r="CY67" s="104"/>
      <c r="CZ67" s="104"/>
      <c r="DA67" s="104"/>
      <c r="DB67" s="38"/>
      <c r="DC67" s="38"/>
      <c r="DD67" s="104"/>
      <c r="DE67" s="104"/>
      <c r="DF67" s="104"/>
      <c r="DG67" s="104"/>
      <c r="DH67" s="104"/>
      <c r="DI67" s="38"/>
      <c r="DJ67" s="38"/>
    </row>
    <row r="68" spans="1:114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4"/>
      <c r="BO68" s="104"/>
      <c r="BP68" s="104"/>
      <c r="BQ68" s="104"/>
      <c r="BR68" s="104"/>
      <c r="BS68" s="38"/>
      <c r="BT68" s="38"/>
      <c r="BU68" s="104"/>
      <c r="BV68" s="104"/>
      <c r="BW68" s="104"/>
      <c r="BY68" s="104"/>
      <c r="BZ68" s="38"/>
      <c r="CA68" s="38"/>
      <c r="CB68" s="104"/>
      <c r="CC68" s="104"/>
      <c r="CD68" s="104"/>
      <c r="CE68" s="104"/>
      <c r="CF68" s="104"/>
      <c r="CG68" s="38"/>
      <c r="CH68" s="38"/>
      <c r="CI68" s="104"/>
      <c r="CJ68" s="104"/>
      <c r="CK68" s="104"/>
      <c r="CM68" s="104"/>
      <c r="CN68" s="38"/>
      <c r="CO68" s="38"/>
      <c r="CP68" s="104"/>
      <c r="CQ68" s="104"/>
      <c r="CR68" s="104"/>
      <c r="CS68" s="104"/>
      <c r="CT68" s="104"/>
      <c r="CU68" s="38"/>
      <c r="CV68" s="38"/>
      <c r="CW68" s="104"/>
      <c r="CX68" s="104"/>
      <c r="CY68" s="104"/>
      <c r="CZ68" s="104"/>
      <c r="DA68" s="104"/>
      <c r="DB68" s="38"/>
      <c r="DC68" s="38"/>
      <c r="DD68" s="104"/>
      <c r="DE68" s="104"/>
      <c r="DF68" s="104"/>
      <c r="DG68" s="104"/>
      <c r="DH68" s="104"/>
      <c r="DI68" s="38"/>
      <c r="DJ68" s="38"/>
    </row>
    <row r="69" spans="1:114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4"/>
      <c r="BO69" s="104"/>
      <c r="BP69" s="104"/>
      <c r="BQ69" s="104"/>
      <c r="BR69" s="104"/>
      <c r="BS69" s="38"/>
      <c r="BT69" s="38"/>
      <c r="BU69" s="104"/>
      <c r="BV69" s="104"/>
      <c r="BW69" s="104"/>
      <c r="BY69" s="104"/>
      <c r="BZ69" s="38"/>
      <c r="CA69" s="38"/>
      <c r="CB69" s="104"/>
      <c r="CC69" s="104"/>
      <c r="CD69" s="104"/>
      <c r="CE69" s="104"/>
      <c r="CF69" s="104"/>
      <c r="CG69" s="38"/>
      <c r="CH69" s="38"/>
      <c r="CI69" s="104"/>
      <c r="CJ69" s="104"/>
      <c r="CK69" s="104"/>
      <c r="CM69" s="104"/>
      <c r="CN69" s="38"/>
      <c r="CO69" s="38"/>
      <c r="CP69" s="104"/>
      <c r="CQ69" s="104"/>
      <c r="CR69" s="104"/>
      <c r="CS69" s="104"/>
      <c r="CT69" s="104"/>
      <c r="CU69" s="38"/>
      <c r="CV69" s="38"/>
      <c r="CW69" s="104"/>
      <c r="CX69" s="104"/>
      <c r="CY69" s="104"/>
      <c r="CZ69" s="104"/>
      <c r="DA69" s="104"/>
      <c r="DB69" s="38"/>
      <c r="DC69" s="38"/>
      <c r="DD69" s="104"/>
      <c r="DE69" s="104"/>
      <c r="DF69" s="104"/>
      <c r="DG69" s="104"/>
      <c r="DH69" s="104"/>
      <c r="DI69" s="38"/>
      <c r="DJ69" s="38"/>
    </row>
    <row r="70" spans="1:114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4"/>
      <c r="BO70" s="104"/>
      <c r="BP70" s="104"/>
      <c r="BQ70" s="104"/>
      <c r="BR70" s="104"/>
      <c r="BS70" s="38"/>
      <c r="BT70" s="38"/>
      <c r="BU70" s="104"/>
      <c r="BV70" s="104"/>
      <c r="BW70" s="104"/>
      <c r="BY70" s="104"/>
      <c r="BZ70" s="38"/>
      <c r="CA70" s="38"/>
      <c r="CB70" s="104"/>
      <c r="CC70" s="104"/>
      <c r="CD70" s="104"/>
      <c r="CE70" s="104"/>
      <c r="CF70" s="104"/>
      <c r="CG70" s="38"/>
      <c r="CH70" s="38"/>
      <c r="CI70" s="104"/>
      <c r="CJ70" s="104"/>
      <c r="CK70" s="104"/>
      <c r="CM70" s="104"/>
      <c r="CN70" s="38"/>
      <c r="CO70" s="38"/>
      <c r="CP70" s="104"/>
      <c r="CQ70" s="104"/>
      <c r="CR70" s="104"/>
      <c r="CS70" s="104"/>
      <c r="CT70" s="104"/>
      <c r="CU70" s="38"/>
      <c r="CV70" s="38"/>
      <c r="CW70" s="104"/>
      <c r="CX70" s="104"/>
      <c r="CY70" s="104"/>
      <c r="CZ70" s="104"/>
      <c r="DA70" s="104"/>
      <c r="DB70" s="38"/>
      <c r="DC70" s="38"/>
      <c r="DD70" s="104"/>
      <c r="DE70" s="104"/>
      <c r="DF70" s="104"/>
      <c r="DG70" s="104"/>
      <c r="DH70" s="104"/>
      <c r="DI70" s="38"/>
      <c r="DJ70" s="38"/>
    </row>
    <row r="71" spans="1:114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4"/>
      <c r="BO71" s="104"/>
      <c r="BP71" s="104"/>
      <c r="BQ71" s="104"/>
      <c r="BR71" s="104"/>
      <c r="BS71" s="38"/>
      <c r="BT71" s="38"/>
      <c r="BU71" s="104"/>
      <c r="BV71" s="104"/>
      <c r="BW71" s="104"/>
      <c r="BY71" s="104"/>
      <c r="BZ71" s="38"/>
      <c r="CA71" s="38"/>
      <c r="CB71" s="104"/>
      <c r="CC71" s="104"/>
      <c r="CD71" s="104"/>
      <c r="CE71" s="104"/>
      <c r="CF71" s="104"/>
      <c r="CG71" s="38"/>
      <c r="CH71" s="38"/>
      <c r="CI71" s="104"/>
      <c r="CJ71" s="104"/>
      <c r="CK71" s="104"/>
      <c r="CM71" s="104"/>
      <c r="CN71" s="38"/>
      <c r="CO71" s="38"/>
      <c r="CP71" s="104"/>
      <c r="CQ71" s="104"/>
      <c r="CR71" s="104"/>
      <c r="CS71" s="104"/>
      <c r="CT71" s="104"/>
      <c r="CU71" s="38"/>
      <c r="CV71" s="38"/>
      <c r="CW71" s="104"/>
      <c r="CX71" s="104"/>
      <c r="CY71" s="104"/>
      <c r="CZ71" s="104"/>
      <c r="DA71" s="104"/>
      <c r="DB71" s="38"/>
      <c r="DC71" s="38"/>
      <c r="DD71" s="104"/>
      <c r="DE71" s="104"/>
      <c r="DF71" s="104"/>
      <c r="DG71" s="104"/>
      <c r="DH71" s="104"/>
      <c r="DI71" s="38"/>
      <c r="DJ71" s="38"/>
    </row>
    <row r="72" spans="1:114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4"/>
      <c r="BO72" s="104"/>
      <c r="BP72" s="104"/>
      <c r="BQ72" s="104"/>
      <c r="BR72" s="104"/>
      <c r="BS72" s="38"/>
      <c r="BT72" s="38"/>
      <c r="BU72" s="104"/>
      <c r="BV72" s="104"/>
      <c r="BW72" s="104"/>
      <c r="BY72" s="104"/>
      <c r="BZ72" s="38"/>
      <c r="CA72" s="38"/>
      <c r="CB72" s="104"/>
      <c r="CC72" s="104"/>
      <c r="CD72" s="104"/>
      <c r="CE72" s="104"/>
      <c r="CF72" s="104"/>
      <c r="CG72" s="38"/>
      <c r="CH72" s="38"/>
      <c r="CI72" s="104"/>
      <c r="CJ72" s="104"/>
      <c r="CK72" s="104"/>
      <c r="CM72" s="104"/>
      <c r="CN72" s="38"/>
      <c r="CO72" s="38"/>
      <c r="CP72" s="104"/>
      <c r="CQ72" s="104"/>
      <c r="CR72" s="104"/>
      <c r="CS72" s="104"/>
      <c r="CT72" s="104"/>
      <c r="CU72" s="38"/>
      <c r="CV72" s="38"/>
      <c r="CW72" s="104"/>
      <c r="CX72" s="104"/>
      <c r="CY72" s="104"/>
      <c r="CZ72" s="104"/>
      <c r="DA72" s="104"/>
      <c r="DB72" s="38"/>
      <c r="DC72" s="38"/>
      <c r="DD72" s="104"/>
      <c r="DE72" s="104"/>
      <c r="DF72" s="104"/>
      <c r="DG72" s="104"/>
      <c r="DH72" s="104"/>
      <c r="DI72" s="38"/>
      <c r="DJ72" s="38"/>
    </row>
    <row r="73" spans="1:114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4"/>
      <c r="BO73" s="104"/>
      <c r="BP73" s="104"/>
      <c r="BQ73" s="104"/>
      <c r="BR73" s="104"/>
      <c r="BS73" s="38"/>
      <c r="BT73" s="38"/>
      <c r="BU73" s="104"/>
      <c r="BV73" s="104"/>
      <c r="BW73" s="104"/>
      <c r="BY73" s="104"/>
      <c r="BZ73" s="38"/>
      <c r="CA73" s="38"/>
      <c r="CB73" s="104"/>
      <c r="CC73" s="104"/>
      <c r="CD73" s="104"/>
      <c r="CE73" s="104"/>
      <c r="CF73" s="104"/>
      <c r="CG73" s="38"/>
      <c r="CH73" s="38"/>
      <c r="CI73" s="104"/>
      <c r="CJ73" s="104"/>
      <c r="CK73" s="104"/>
      <c r="CM73" s="104"/>
      <c r="CN73" s="38"/>
      <c r="CO73" s="38"/>
      <c r="CP73" s="104"/>
      <c r="CQ73" s="104"/>
      <c r="CR73" s="104"/>
      <c r="CS73" s="104"/>
      <c r="CT73" s="104"/>
      <c r="CU73" s="38"/>
      <c r="CV73" s="38"/>
      <c r="CW73" s="104"/>
      <c r="CX73" s="104"/>
      <c r="CY73" s="104"/>
      <c r="CZ73" s="104"/>
      <c r="DA73" s="104"/>
      <c r="DB73" s="38"/>
      <c r="DC73" s="38"/>
      <c r="DD73" s="104"/>
      <c r="DE73" s="104"/>
      <c r="DF73" s="104"/>
      <c r="DG73" s="104"/>
      <c r="DH73" s="104"/>
      <c r="DI73" s="38"/>
      <c r="DJ73" s="38"/>
    </row>
    <row r="74" spans="1:114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4"/>
      <c r="BO74" s="104"/>
      <c r="BP74" s="104"/>
      <c r="BQ74" s="104"/>
      <c r="BR74" s="104"/>
      <c r="BS74" s="38"/>
      <c r="BT74" s="38"/>
      <c r="BU74" s="104"/>
      <c r="BV74" s="104"/>
      <c r="BW74" s="104"/>
      <c r="BY74" s="104"/>
      <c r="BZ74" s="38"/>
      <c r="CA74" s="38"/>
      <c r="CB74" s="104"/>
      <c r="CC74" s="104"/>
      <c r="CD74" s="104"/>
      <c r="CE74" s="104"/>
      <c r="CF74" s="104"/>
      <c r="CG74" s="38"/>
      <c r="CH74" s="38"/>
      <c r="CI74" s="104"/>
      <c r="CJ74" s="104"/>
      <c r="CK74" s="104"/>
      <c r="CM74" s="104"/>
      <c r="CN74" s="38"/>
      <c r="CO74" s="38"/>
      <c r="CP74" s="104"/>
      <c r="CQ74" s="104"/>
      <c r="CR74" s="104"/>
      <c r="CS74" s="104"/>
      <c r="CT74" s="104"/>
      <c r="CU74" s="38"/>
      <c r="CV74" s="38"/>
      <c r="CW74" s="104"/>
      <c r="CX74" s="104"/>
      <c r="CY74" s="104"/>
      <c r="CZ74" s="104"/>
      <c r="DA74" s="104"/>
      <c r="DB74" s="38"/>
      <c r="DC74" s="38"/>
      <c r="DD74" s="104"/>
      <c r="DE74" s="104"/>
      <c r="DF74" s="104"/>
      <c r="DG74" s="104"/>
      <c r="DH74" s="104"/>
      <c r="DI74" s="38"/>
      <c r="DJ74" s="38"/>
    </row>
    <row r="75" spans="1:114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4"/>
      <c r="BO75" s="104"/>
      <c r="BP75" s="104"/>
      <c r="BQ75" s="104"/>
      <c r="BR75" s="104"/>
      <c r="BS75" s="38"/>
      <c r="BT75" s="38"/>
      <c r="BU75" s="104"/>
      <c r="BV75" s="104"/>
      <c r="BW75" s="104"/>
      <c r="BY75" s="104"/>
      <c r="BZ75" s="38"/>
      <c r="CA75" s="38"/>
      <c r="CB75" s="104"/>
      <c r="CC75" s="104"/>
      <c r="CD75" s="104"/>
      <c r="CE75" s="104"/>
      <c r="CF75" s="104"/>
      <c r="CG75" s="38"/>
      <c r="CH75" s="38"/>
      <c r="CI75" s="104"/>
      <c r="CJ75" s="104"/>
      <c r="CK75" s="104"/>
      <c r="CM75" s="104"/>
      <c r="CN75" s="38"/>
      <c r="CO75" s="38"/>
      <c r="CP75" s="104"/>
      <c r="CQ75" s="104"/>
      <c r="CR75" s="104"/>
      <c r="CS75" s="104"/>
      <c r="CT75" s="104"/>
      <c r="CU75" s="38"/>
      <c r="CV75" s="38"/>
      <c r="CW75" s="104"/>
      <c r="CX75" s="104"/>
      <c r="CY75" s="104"/>
      <c r="CZ75" s="104"/>
      <c r="DA75" s="104"/>
      <c r="DB75" s="38"/>
      <c r="DC75" s="38"/>
      <c r="DD75" s="104"/>
      <c r="DE75" s="104"/>
      <c r="DF75" s="104"/>
      <c r="DG75" s="104"/>
      <c r="DH75" s="104"/>
      <c r="DI75" s="38"/>
      <c r="DJ75" s="38"/>
    </row>
    <row r="76" spans="1:114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4"/>
      <c r="BO76" s="104"/>
      <c r="BP76" s="104"/>
      <c r="BQ76" s="104"/>
      <c r="BR76" s="104"/>
      <c r="BS76" s="38"/>
      <c r="BT76" s="38"/>
      <c r="BU76" s="104"/>
      <c r="BV76" s="104"/>
      <c r="BW76" s="104"/>
      <c r="BY76" s="104"/>
      <c r="BZ76" s="38"/>
      <c r="CA76" s="38"/>
      <c r="CB76" s="104"/>
      <c r="CC76" s="104"/>
      <c r="CD76" s="104"/>
      <c r="CE76" s="104"/>
      <c r="CF76" s="104"/>
      <c r="CG76" s="38"/>
      <c r="CH76" s="38"/>
      <c r="CI76" s="104"/>
      <c r="CJ76" s="104"/>
      <c r="CK76" s="104"/>
      <c r="CM76" s="104"/>
      <c r="CN76" s="38"/>
      <c r="CO76" s="38"/>
      <c r="CP76" s="104"/>
      <c r="CQ76" s="104"/>
      <c r="CR76" s="104"/>
      <c r="CS76" s="104"/>
      <c r="CT76" s="104"/>
      <c r="CU76" s="38"/>
      <c r="CV76" s="38"/>
      <c r="CW76" s="104"/>
      <c r="CX76" s="104"/>
      <c r="CY76" s="104"/>
      <c r="CZ76" s="104"/>
      <c r="DA76" s="104"/>
      <c r="DB76" s="38"/>
      <c r="DC76" s="38"/>
      <c r="DD76" s="104"/>
      <c r="DE76" s="104"/>
      <c r="DF76" s="104"/>
      <c r="DG76" s="104"/>
      <c r="DH76" s="104"/>
      <c r="DI76" s="38"/>
      <c r="DJ76" s="38"/>
    </row>
    <row r="77" spans="1:114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4"/>
      <c r="BO77" s="104"/>
      <c r="BP77" s="104"/>
      <c r="BQ77" s="104"/>
      <c r="BR77" s="104"/>
      <c r="BS77" s="38"/>
      <c r="BT77" s="38"/>
      <c r="BU77" s="104"/>
      <c r="BV77" s="104"/>
      <c r="BW77" s="104"/>
      <c r="BY77" s="104"/>
      <c r="BZ77" s="38"/>
      <c r="CA77" s="38"/>
      <c r="CB77" s="104"/>
      <c r="CC77" s="104"/>
      <c r="CD77" s="104"/>
      <c r="CE77" s="104"/>
      <c r="CF77" s="104"/>
      <c r="CG77" s="38"/>
      <c r="CH77" s="38"/>
      <c r="CI77" s="104"/>
      <c r="CJ77" s="104"/>
      <c r="CK77" s="104"/>
      <c r="CM77" s="104"/>
      <c r="CN77" s="38"/>
      <c r="CO77" s="38"/>
      <c r="CP77" s="104"/>
      <c r="CQ77" s="104"/>
      <c r="CR77" s="104"/>
      <c r="CS77" s="104"/>
      <c r="CT77" s="104"/>
      <c r="CU77" s="38"/>
      <c r="CV77" s="38"/>
      <c r="CW77" s="104"/>
      <c r="CX77" s="104"/>
      <c r="CY77" s="104"/>
      <c r="CZ77" s="104"/>
      <c r="DA77" s="104"/>
      <c r="DB77" s="38"/>
      <c r="DC77" s="38"/>
      <c r="DD77" s="104"/>
      <c r="DE77" s="104"/>
      <c r="DF77" s="104"/>
      <c r="DG77" s="104"/>
      <c r="DH77" s="104"/>
      <c r="DI77" s="38"/>
      <c r="DJ77" s="38"/>
    </row>
  </sheetData>
  <conditionalFormatting sqref="E106:H1048576 H24 G14:G16 E42:H42 E41:F41 E40:G40 H38:H41 E10:E13 E29:G38 E25:H28 H19 G20:H21 E2:H8 E14:F24 H9:H17">
    <cfRule type="cellIs" dxfId="28" priority="81" operator="equal">
      <formula>"לא"</formula>
    </cfRule>
  </conditionalFormatting>
  <conditionalFormatting sqref="D106:D1048576 D40:D42 D32:D38 D2:D8 D10:D27">
    <cfRule type="cellIs" dxfId="27" priority="80" operator="equal">
      <formula>"כן"</formula>
    </cfRule>
  </conditionalFormatting>
  <conditionalFormatting sqref="Q43:W63">
    <cfRule type="cellIs" dxfId="26" priority="74" operator="notEqual">
      <formula>0</formula>
    </cfRule>
  </conditionalFormatting>
  <conditionalFormatting sqref="E9">
    <cfRule type="cellIs" dxfId="25" priority="66" operator="equal">
      <formula>"לא"</formula>
    </cfRule>
  </conditionalFormatting>
  <conditionalFormatting sqref="D9">
    <cfRule type="cellIs" dxfId="24" priority="65" operator="equal">
      <formula>"כן"</formula>
    </cfRule>
  </conditionalFormatting>
  <conditionalFormatting sqref="H18 H23">
    <cfRule type="cellIs" dxfId="23" priority="62" operator="equal">
      <formula>"לא"</formula>
    </cfRule>
  </conditionalFormatting>
  <conditionalFormatting sqref="H22">
    <cfRule type="cellIs" dxfId="22" priority="60" operator="equal">
      <formula>"לא"</formula>
    </cfRule>
  </conditionalFormatting>
  <conditionalFormatting sqref="G22 G17:G19">
    <cfRule type="cellIs" dxfId="21" priority="49" operator="equal">
      <formula>"לא"</formula>
    </cfRule>
  </conditionalFormatting>
  <conditionalFormatting sqref="D30:D31">
    <cfRule type="cellIs" dxfId="20" priority="43" operator="equal">
      <formula>"כן"</formula>
    </cfRule>
  </conditionalFormatting>
  <conditionalFormatting sqref="D28:D29">
    <cfRule type="cellIs" dxfId="19" priority="44" operator="equal">
      <formula>"כן"</formula>
    </cfRule>
  </conditionalFormatting>
  <conditionalFormatting sqref="G9">
    <cfRule type="cellIs" dxfId="18" priority="34" operator="equal">
      <formula>"לא"</formula>
    </cfRule>
  </conditionalFormatting>
  <conditionalFormatting sqref="G10">
    <cfRule type="cellIs" dxfId="17" priority="32" operator="equal">
      <formula>"לא"</formula>
    </cfRule>
  </conditionalFormatting>
  <conditionalFormatting sqref="G11:G13">
    <cfRule type="cellIs" dxfId="16" priority="31" operator="equal">
      <formula>"לא"</formula>
    </cfRule>
  </conditionalFormatting>
  <conditionalFormatting sqref="G23">
    <cfRule type="cellIs" dxfId="15" priority="24" operator="equal">
      <formula>"לא"</formula>
    </cfRule>
  </conditionalFormatting>
  <conditionalFormatting sqref="G24">
    <cfRule type="cellIs" dxfId="14" priority="23" operator="equal">
      <formula>"לא"</formula>
    </cfRule>
  </conditionalFormatting>
  <conditionalFormatting sqref="H29">
    <cfRule type="cellIs" dxfId="13" priority="21" operator="equal">
      <formula>"לא"</formula>
    </cfRule>
  </conditionalFormatting>
  <conditionalFormatting sqref="H30:H31">
    <cfRule type="cellIs" dxfId="12" priority="20" operator="equal">
      <formula>"לא"</formula>
    </cfRule>
  </conditionalFormatting>
  <conditionalFormatting sqref="H32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0">
    <cfRule type="cellIs" dxfId="9" priority="12" operator="equal">
      <formula>"לא"</formula>
    </cfRule>
  </conditionalFormatting>
  <conditionalFormatting sqref="F11:F13">
    <cfRule type="cellIs" dxfId="8" priority="11" operator="equal">
      <formula>"לא"</formula>
    </cfRule>
  </conditionalFormatting>
  <conditionalFormatting sqref="H33:H34">
    <cfRule type="cellIs" dxfId="7" priority="9" operator="equal">
      <formula>"לא"</formula>
    </cfRule>
  </conditionalFormatting>
  <conditionalFormatting sqref="H35">
    <cfRule type="cellIs" dxfId="6" priority="8" operator="equal">
      <formula>"לא"</formula>
    </cfRule>
  </conditionalFormatting>
  <conditionalFormatting sqref="H36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abSelected="1" zoomScale="130" zoomScaleNormal="130" workbookViewId="0">
      <selection activeCell="F24" sqref="F24:H24"/>
    </sheetView>
  </sheetViews>
  <sheetFormatPr defaultRowHeight="15" x14ac:dyDescent="0.25"/>
  <cols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5"/>
      <c r="B1" s="116"/>
      <c r="C1" s="116"/>
      <c r="D1" s="116"/>
      <c r="E1" s="116"/>
      <c r="F1" s="6">
        <v>30</v>
      </c>
      <c r="G1" s="6">
        <v>31</v>
      </c>
      <c r="H1" s="7">
        <v>1</v>
      </c>
    </row>
    <row r="2" spans="1:18" ht="15.75" thickBot="1" x14ac:dyDescent="0.3">
      <c r="A2" s="8" t="s">
        <v>26</v>
      </c>
      <c r="B2" s="249"/>
      <c r="C2" s="252"/>
      <c r="D2" s="249"/>
      <c r="E2" s="252"/>
      <c r="F2" s="325">
        <v>3</v>
      </c>
      <c r="G2" s="325"/>
      <c r="H2" s="326"/>
    </row>
    <row r="3" spans="1:18" ht="15.75" thickBot="1" x14ac:dyDescent="0.3">
      <c r="A3" s="8" t="s">
        <v>23</v>
      </c>
      <c r="B3" s="148"/>
      <c r="C3" s="148"/>
      <c r="D3" s="149"/>
      <c r="E3" s="149"/>
      <c r="F3" s="327" t="s">
        <v>231</v>
      </c>
      <c r="G3" s="328"/>
      <c r="H3" s="329"/>
      <c r="J3" s="320"/>
      <c r="K3" s="321" t="s">
        <v>280</v>
      </c>
      <c r="L3" s="322" t="s">
        <v>285</v>
      </c>
      <c r="M3" s="323" t="s">
        <v>284</v>
      </c>
      <c r="N3" s="324" t="s">
        <v>286</v>
      </c>
      <c r="O3" s="321" t="s">
        <v>282</v>
      </c>
      <c r="P3" s="322" t="s">
        <v>287</v>
      </c>
      <c r="Q3" s="321" t="s">
        <v>283</v>
      </c>
      <c r="R3" s="322" t="s">
        <v>288</v>
      </c>
    </row>
    <row r="4" spans="1:18" x14ac:dyDescent="0.25">
      <c r="A4" s="8" t="s">
        <v>24</v>
      </c>
      <c r="B4" s="148"/>
      <c r="C4" s="149"/>
      <c r="D4" s="149"/>
      <c r="E4" s="148"/>
      <c r="F4" s="325" t="s">
        <v>151</v>
      </c>
      <c r="G4" s="325"/>
      <c r="H4" s="326"/>
      <c r="J4" s="315" t="s">
        <v>23</v>
      </c>
      <c r="K4" s="316" t="s">
        <v>150</v>
      </c>
      <c r="L4" s="317" t="s">
        <v>170</v>
      </c>
      <c r="M4" s="318" t="s">
        <v>257</v>
      </c>
      <c r="N4" s="319" t="s">
        <v>291</v>
      </c>
      <c r="O4" s="316" t="s">
        <v>166</v>
      </c>
      <c r="P4" s="317" t="s">
        <v>231</v>
      </c>
      <c r="Q4" s="316" t="s">
        <v>291</v>
      </c>
      <c r="R4" s="317" t="s">
        <v>257</v>
      </c>
    </row>
    <row r="5" spans="1:18" x14ac:dyDescent="0.25">
      <c r="A5" s="8" t="s">
        <v>25</v>
      </c>
      <c r="B5" s="149"/>
      <c r="C5" s="148"/>
      <c r="D5" s="148"/>
      <c r="E5" s="149"/>
      <c r="F5" s="330" t="s">
        <v>67</v>
      </c>
      <c r="G5" s="331"/>
      <c r="H5" s="332"/>
      <c r="J5" s="308" t="s">
        <v>289</v>
      </c>
      <c r="K5" s="304" t="s">
        <v>149</v>
      </c>
      <c r="L5" s="305" t="s">
        <v>298</v>
      </c>
      <c r="M5" s="300" t="s">
        <v>115</v>
      </c>
      <c r="N5" s="299" t="s">
        <v>170</v>
      </c>
      <c r="O5" s="314" t="s">
        <v>98</v>
      </c>
      <c r="P5" s="309" t="s">
        <v>212</v>
      </c>
      <c r="Q5" s="314" t="s">
        <v>80</v>
      </c>
      <c r="R5" s="309" t="s">
        <v>70</v>
      </c>
    </row>
    <row r="6" spans="1:18" ht="15.75" thickBot="1" x14ac:dyDescent="0.3">
      <c r="A6" s="8" t="s">
        <v>113</v>
      </c>
      <c r="B6" s="150"/>
      <c r="C6" s="150"/>
      <c r="D6" s="150"/>
      <c r="E6" s="151"/>
      <c r="F6" s="333" t="s">
        <v>105</v>
      </c>
      <c r="G6" s="333"/>
      <c r="H6" s="334"/>
      <c r="J6" s="308" t="s">
        <v>290</v>
      </c>
      <c r="K6" s="302" t="s">
        <v>151</v>
      </c>
      <c r="L6" s="303" t="s">
        <v>105</v>
      </c>
      <c r="M6" s="301" t="s">
        <v>229</v>
      </c>
      <c r="N6" s="319" t="s">
        <v>291</v>
      </c>
      <c r="O6" s="302" t="s">
        <v>116</v>
      </c>
      <c r="P6" s="303" t="s">
        <v>291</v>
      </c>
      <c r="Q6" s="302" t="s">
        <v>215</v>
      </c>
      <c r="R6" s="303" t="s">
        <v>249</v>
      </c>
    </row>
    <row r="7" spans="1:18" ht="15.75" thickBot="1" x14ac:dyDescent="0.3">
      <c r="A7" s="5"/>
      <c r="B7" s="116">
        <v>2</v>
      </c>
      <c r="C7" s="116">
        <f>B7+1</f>
        <v>3</v>
      </c>
      <c r="D7" s="116">
        <f t="shared" ref="D7:H7" si="0">C7+1</f>
        <v>4</v>
      </c>
      <c r="E7" s="116">
        <f t="shared" si="0"/>
        <v>5</v>
      </c>
      <c r="F7" s="116">
        <f t="shared" si="0"/>
        <v>6</v>
      </c>
      <c r="G7" s="116">
        <f t="shared" si="0"/>
        <v>7</v>
      </c>
      <c r="H7" s="117">
        <f t="shared" si="0"/>
        <v>8</v>
      </c>
      <c r="J7" s="310" t="s">
        <v>113</v>
      </c>
      <c r="K7" s="306" t="s">
        <v>292</v>
      </c>
      <c r="L7" s="307" t="s">
        <v>256</v>
      </c>
      <c r="M7" s="311" t="s">
        <v>230</v>
      </c>
      <c r="N7" s="313" t="s">
        <v>152</v>
      </c>
      <c r="O7" s="306" t="s">
        <v>186</v>
      </c>
      <c r="P7" s="312" t="s">
        <v>168</v>
      </c>
      <c r="Q7" s="306" t="s">
        <v>256</v>
      </c>
      <c r="R7" s="312" t="s">
        <v>169</v>
      </c>
    </row>
    <row r="8" spans="1:18" x14ac:dyDescent="0.25">
      <c r="A8" s="8" t="s">
        <v>26</v>
      </c>
      <c r="B8" s="249">
        <v>3</v>
      </c>
      <c r="C8" s="252">
        <v>3</v>
      </c>
      <c r="D8" s="249">
        <v>3</v>
      </c>
      <c r="E8" s="252">
        <v>3</v>
      </c>
      <c r="F8" s="325">
        <v>3</v>
      </c>
      <c r="G8" s="325"/>
      <c r="H8" s="326"/>
    </row>
    <row r="9" spans="1:18" x14ac:dyDescent="0.25">
      <c r="A9" s="8" t="s">
        <v>23</v>
      </c>
      <c r="B9" s="295" t="s">
        <v>185</v>
      </c>
      <c r="C9" s="250"/>
      <c r="D9" s="252"/>
      <c r="E9" s="251"/>
      <c r="F9" s="335" t="s">
        <v>65</v>
      </c>
      <c r="G9" s="335"/>
      <c r="H9" s="336"/>
    </row>
    <row r="10" spans="1:18" x14ac:dyDescent="0.25">
      <c r="A10" s="8" t="s">
        <v>24</v>
      </c>
      <c r="B10" s="295"/>
      <c r="C10" s="249"/>
      <c r="D10" s="249"/>
      <c r="E10" s="249"/>
      <c r="F10" s="325" t="s">
        <v>166</v>
      </c>
      <c r="G10" s="325"/>
      <c r="H10" s="326"/>
      <c r="J10" s="81" t="s">
        <v>299</v>
      </c>
    </row>
    <row r="11" spans="1:18" x14ac:dyDescent="0.25">
      <c r="A11" s="8" t="s">
        <v>25</v>
      </c>
      <c r="B11" s="249"/>
      <c r="C11" s="249"/>
      <c r="D11" s="250"/>
      <c r="E11" s="252"/>
      <c r="F11" s="325" t="s">
        <v>168</v>
      </c>
      <c r="G11" s="325"/>
      <c r="H11" s="326"/>
    </row>
    <row r="12" spans="1:18" ht="15.75" thickBot="1" x14ac:dyDescent="0.3">
      <c r="A12" s="8" t="s">
        <v>113</v>
      </c>
      <c r="B12" s="249"/>
      <c r="C12" s="249"/>
      <c r="D12" s="70"/>
      <c r="E12" s="249"/>
      <c r="F12" s="325" t="s">
        <v>169</v>
      </c>
      <c r="G12" s="325"/>
      <c r="H12" s="326"/>
    </row>
    <row r="13" spans="1:18" x14ac:dyDescent="0.25">
      <c r="A13" s="5"/>
      <c r="B13" s="116">
        <f>B7+7</f>
        <v>9</v>
      </c>
      <c r="C13" s="116">
        <f>B13+1</f>
        <v>10</v>
      </c>
      <c r="D13" s="116">
        <f t="shared" ref="D13:H13" si="1">C13+1</f>
        <v>11</v>
      </c>
      <c r="E13" s="116">
        <f t="shared" si="1"/>
        <v>12</v>
      </c>
      <c r="F13" s="116">
        <f t="shared" si="1"/>
        <v>13</v>
      </c>
      <c r="G13" s="116">
        <f>F13+1</f>
        <v>14</v>
      </c>
      <c r="H13" s="117">
        <f t="shared" si="1"/>
        <v>15</v>
      </c>
    </row>
    <row r="14" spans="1:18" x14ac:dyDescent="0.25">
      <c r="A14" s="8" t="s">
        <v>26</v>
      </c>
      <c r="B14" s="327" t="s">
        <v>280</v>
      </c>
      <c r="C14" s="328"/>
      <c r="D14" s="337"/>
      <c r="E14" s="252">
        <v>3</v>
      </c>
      <c r="F14" s="325">
        <v>3</v>
      </c>
      <c r="G14" s="325"/>
      <c r="H14" s="326"/>
    </row>
    <row r="15" spans="1:18" x14ac:dyDescent="0.25">
      <c r="A15" s="8" t="s">
        <v>23</v>
      </c>
      <c r="B15" s="327" t="s">
        <v>150</v>
      </c>
      <c r="C15" s="328"/>
      <c r="D15" s="337"/>
      <c r="E15" s="249"/>
      <c r="F15" s="325" t="s">
        <v>72</v>
      </c>
      <c r="G15" s="325"/>
      <c r="H15" s="326"/>
    </row>
    <row r="16" spans="1:18" x14ac:dyDescent="0.25">
      <c r="A16" s="8" t="s">
        <v>24</v>
      </c>
      <c r="B16" s="330" t="s">
        <v>149</v>
      </c>
      <c r="C16" s="331"/>
      <c r="D16" s="338"/>
      <c r="E16" s="251"/>
      <c r="F16" s="335" t="s">
        <v>70</v>
      </c>
      <c r="G16" s="335"/>
      <c r="H16" s="336"/>
    </row>
    <row r="17" spans="1:8" x14ac:dyDescent="0.25">
      <c r="A17" s="8" t="s">
        <v>25</v>
      </c>
      <c r="B17" s="327" t="s">
        <v>151</v>
      </c>
      <c r="C17" s="328"/>
      <c r="D17" s="337"/>
      <c r="E17" s="252"/>
      <c r="F17" s="325" t="s">
        <v>152</v>
      </c>
      <c r="G17" s="325"/>
      <c r="H17" s="326"/>
    </row>
    <row r="18" spans="1:8" ht="15.75" thickBot="1" x14ac:dyDescent="0.3">
      <c r="A18" s="8" t="s">
        <v>113</v>
      </c>
      <c r="B18" s="327" t="s">
        <v>292</v>
      </c>
      <c r="C18" s="328"/>
      <c r="D18" s="337"/>
      <c r="E18" s="252"/>
      <c r="F18" s="325" t="s">
        <v>116</v>
      </c>
      <c r="G18" s="325"/>
      <c r="H18" s="326"/>
    </row>
    <row r="19" spans="1:8" x14ac:dyDescent="0.25">
      <c r="A19" s="5"/>
      <c r="B19" s="116">
        <f>B13+7</f>
        <v>16</v>
      </c>
      <c r="C19" s="116">
        <f>B19+1</f>
        <v>17</v>
      </c>
      <c r="D19" s="116">
        <f t="shared" ref="D19:E19" si="2">C19+1</f>
        <v>18</v>
      </c>
      <c r="E19" s="116">
        <f t="shared" si="2"/>
        <v>19</v>
      </c>
      <c r="F19" s="6">
        <f>E19+1</f>
        <v>20</v>
      </c>
      <c r="G19" s="6">
        <f>F19+1</f>
        <v>21</v>
      </c>
      <c r="H19" s="7">
        <f>G19+1</f>
        <v>22</v>
      </c>
    </row>
    <row r="20" spans="1:8" x14ac:dyDescent="0.25">
      <c r="A20" s="8" t="s">
        <v>26</v>
      </c>
      <c r="B20" s="249">
        <v>3</v>
      </c>
      <c r="C20" s="252">
        <v>3</v>
      </c>
      <c r="D20" s="327" t="s">
        <v>281</v>
      </c>
      <c r="E20" s="337"/>
      <c r="F20" s="325">
        <v>2</v>
      </c>
      <c r="G20" s="325"/>
      <c r="H20" s="326"/>
    </row>
    <row r="21" spans="1:8" x14ac:dyDescent="0.25">
      <c r="A21" s="71" t="s">
        <v>23</v>
      </c>
      <c r="B21" s="249"/>
      <c r="C21" s="252"/>
      <c r="D21" s="327" t="s">
        <v>257</v>
      </c>
      <c r="E21" s="337"/>
      <c r="F21" s="327" t="s">
        <v>212</v>
      </c>
      <c r="G21" s="328"/>
      <c r="H21" s="329"/>
    </row>
    <row r="22" spans="1:8" x14ac:dyDescent="0.25">
      <c r="A22" s="8" t="s">
        <v>24</v>
      </c>
      <c r="B22" s="252"/>
      <c r="C22" s="249"/>
      <c r="D22" s="330" t="s">
        <v>115</v>
      </c>
      <c r="E22" s="338"/>
      <c r="F22" s="330" t="s">
        <v>128</v>
      </c>
      <c r="G22" s="331"/>
      <c r="H22" s="332"/>
    </row>
    <row r="23" spans="1:8" x14ac:dyDescent="0.25">
      <c r="A23" s="8" t="s">
        <v>25</v>
      </c>
      <c r="B23" s="250"/>
      <c r="C23" s="250"/>
      <c r="D23" s="327" t="s">
        <v>229</v>
      </c>
      <c r="E23" s="337"/>
      <c r="F23" s="325" t="s">
        <v>256</v>
      </c>
      <c r="G23" s="325"/>
      <c r="H23" s="326"/>
    </row>
    <row r="24" spans="1:8" ht="15.75" thickBot="1" x14ac:dyDescent="0.3">
      <c r="A24" s="15" t="s">
        <v>113</v>
      </c>
      <c r="B24" s="253"/>
      <c r="C24" s="253"/>
      <c r="D24" s="327" t="s">
        <v>230</v>
      </c>
      <c r="E24" s="337"/>
      <c r="F24" s="333" t="s">
        <v>298</v>
      </c>
      <c r="G24" s="333"/>
      <c r="H24" s="334"/>
    </row>
    <row r="25" spans="1:8" x14ac:dyDescent="0.25">
      <c r="A25" s="5"/>
      <c r="B25" s="116">
        <f>B19+7</f>
        <v>23</v>
      </c>
      <c r="C25" s="116">
        <f>B25+1</f>
        <v>24</v>
      </c>
      <c r="D25" s="116">
        <f t="shared" ref="D25:E25" si="3">C25+1</f>
        <v>25</v>
      </c>
      <c r="E25" s="116">
        <f t="shared" si="3"/>
        <v>26</v>
      </c>
      <c r="F25" s="6">
        <f>E25+1</f>
        <v>27</v>
      </c>
      <c r="G25" s="6">
        <f t="shared" ref="G25:H25" si="4">F25+1</f>
        <v>28</v>
      </c>
      <c r="H25" s="7">
        <f t="shared" si="4"/>
        <v>29</v>
      </c>
    </row>
    <row r="26" spans="1:8" x14ac:dyDescent="0.25">
      <c r="A26" s="8" t="s">
        <v>26</v>
      </c>
      <c r="B26" s="327" t="s">
        <v>282</v>
      </c>
      <c r="C26" s="337"/>
      <c r="D26" s="249">
        <v>3</v>
      </c>
      <c r="E26" s="252">
        <v>3</v>
      </c>
      <c r="F26" s="325">
        <v>3</v>
      </c>
      <c r="G26" s="325"/>
      <c r="H26" s="326"/>
    </row>
    <row r="27" spans="1:8" x14ac:dyDescent="0.25">
      <c r="A27" s="8" t="s">
        <v>23</v>
      </c>
      <c r="B27" s="327" t="s">
        <v>166</v>
      </c>
      <c r="C27" s="337"/>
      <c r="D27" s="252"/>
      <c r="E27" s="251"/>
      <c r="F27" s="327" t="s">
        <v>93</v>
      </c>
      <c r="G27" s="328"/>
      <c r="H27" s="329"/>
    </row>
    <row r="28" spans="1:8" x14ac:dyDescent="0.25">
      <c r="A28" s="8" t="s">
        <v>24</v>
      </c>
      <c r="B28" s="330" t="s">
        <v>98</v>
      </c>
      <c r="C28" s="338"/>
      <c r="D28" s="251"/>
      <c r="E28" s="249"/>
      <c r="F28" s="330" t="s">
        <v>129</v>
      </c>
      <c r="G28" s="331"/>
      <c r="H28" s="332"/>
    </row>
    <row r="29" spans="1:8" x14ac:dyDescent="0.25">
      <c r="A29" s="8" t="s">
        <v>25</v>
      </c>
      <c r="B29" s="327" t="s">
        <v>116</v>
      </c>
      <c r="C29" s="337"/>
      <c r="D29" s="249"/>
      <c r="E29" s="252"/>
      <c r="F29" s="325" t="s">
        <v>249</v>
      </c>
      <c r="G29" s="325"/>
      <c r="H29" s="326"/>
    </row>
    <row r="30" spans="1:8" ht="15.75" thickBot="1" x14ac:dyDescent="0.3">
      <c r="A30" s="15" t="s">
        <v>113</v>
      </c>
      <c r="B30" s="327" t="s">
        <v>186</v>
      </c>
      <c r="C30" s="337"/>
      <c r="D30" s="254"/>
      <c r="E30" s="253"/>
      <c r="F30" s="333" t="s">
        <v>301</v>
      </c>
      <c r="G30" s="333"/>
      <c r="H30" s="334"/>
    </row>
    <row r="31" spans="1:8" x14ac:dyDescent="0.25">
      <c r="A31" s="5"/>
      <c r="B31" s="116">
        <f>B25+7</f>
        <v>30</v>
      </c>
      <c r="C31" s="116">
        <v>1</v>
      </c>
      <c r="D31" s="116">
        <f t="shared" ref="D31" si="5">C31+1</f>
        <v>2</v>
      </c>
      <c r="E31" s="116">
        <f t="shared" ref="E31" si="6">D31+1</f>
        <v>3</v>
      </c>
      <c r="F31" s="6">
        <f>E31+1</f>
        <v>4</v>
      </c>
      <c r="G31" s="6">
        <f t="shared" ref="G31:H31" si="7">F31+1</f>
        <v>5</v>
      </c>
      <c r="H31" s="7">
        <f t="shared" si="7"/>
        <v>6</v>
      </c>
    </row>
    <row r="32" spans="1:8" x14ac:dyDescent="0.25">
      <c r="A32" s="8" t="s">
        <v>26</v>
      </c>
      <c r="B32" s="327" t="s">
        <v>283</v>
      </c>
      <c r="C32" s="337"/>
      <c r="D32" s="249">
        <v>3</v>
      </c>
      <c r="E32" s="252">
        <v>3</v>
      </c>
      <c r="F32" s="325">
        <v>2</v>
      </c>
      <c r="G32" s="325"/>
      <c r="H32" s="326"/>
    </row>
    <row r="33" spans="1:8" x14ac:dyDescent="0.25">
      <c r="A33" s="8" t="s">
        <v>23</v>
      </c>
      <c r="B33" s="327" t="s">
        <v>291</v>
      </c>
      <c r="C33" s="337"/>
      <c r="D33" s="252"/>
      <c r="E33" s="251"/>
      <c r="F33" s="327" t="s">
        <v>185</v>
      </c>
      <c r="G33" s="328"/>
      <c r="H33" s="329"/>
    </row>
    <row r="34" spans="1:8" x14ac:dyDescent="0.25">
      <c r="A34" s="8" t="s">
        <v>24</v>
      </c>
      <c r="B34" s="330" t="s">
        <v>80</v>
      </c>
      <c r="C34" s="338"/>
      <c r="D34" s="251"/>
      <c r="E34" s="249"/>
      <c r="F34" s="330" t="s">
        <v>214</v>
      </c>
      <c r="G34" s="331"/>
      <c r="H34" s="332"/>
    </row>
    <row r="35" spans="1:8" x14ac:dyDescent="0.25">
      <c r="A35" s="8" t="s">
        <v>25</v>
      </c>
      <c r="B35" s="327" t="s">
        <v>215</v>
      </c>
      <c r="C35" s="337"/>
      <c r="D35" s="249"/>
      <c r="E35" s="252"/>
      <c r="F35" s="335" t="s">
        <v>115</v>
      </c>
      <c r="G35" s="335"/>
      <c r="H35" s="336"/>
    </row>
    <row r="36" spans="1:8" ht="15.75" thickBot="1" x14ac:dyDescent="0.3">
      <c r="A36" s="15" t="s">
        <v>113</v>
      </c>
      <c r="B36" s="339" t="s">
        <v>256</v>
      </c>
      <c r="C36" s="340"/>
      <c r="D36" s="254"/>
      <c r="E36" s="253"/>
      <c r="F36" s="333" t="s">
        <v>257</v>
      </c>
      <c r="G36" s="333"/>
      <c r="H36" s="334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1"/>
  <sheetViews>
    <sheetView rightToLeft="1" zoomScale="130" zoomScaleNormal="130" workbookViewId="0">
      <selection activeCell="F1" sqref="C1:F1048576"/>
    </sheetView>
  </sheetViews>
  <sheetFormatPr defaultRowHeight="15" x14ac:dyDescent="0.25"/>
  <cols>
    <col min="1" max="1" width="7.140625" style="50" customWidth="1"/>
    <col min="2" max="2" width="8" style="38" bestFit="1" customWidth="1"/>
    <col min="3" max="6" width="7.7109375" style="105" customWidth="1"/>
    <col min="7" max="10" width="7.7109375" customWidth="1"/>
  </cols>
  <sheetData>
    <row r="1" spans="1:6" ht="60.75" thickBot="1" x14ac:dyDescent="0.3">
      <c r="A1" s="204" t="s">
        <v>0</v>
      </c>
      <c r="B1" s="205" t="s">
        <v>1</v>
      </c>
      <c r="C1" s="109" t="s">
        <v>27</v>
      </c>
      <c r="D1" s="110" t="s">
        <v>28</v>
      </c>
      <c r="E1" s="110" t="s">
        <v>29</v>
      </c>
      <c r="F1" s="111" t="s">
        <v>30</v>
      </c>
    </row>
    <row r="2" spans="1:6" x14ac:dyDescent="0.25">
      <c r="A2" s="219">
        <v>9</v>
      </c>
      <c r="B2" s="287" t="s">
        <v>11</v>
      </c>
      <c r="C2" s="229"/>
      <c r="D2" s="230">
        <v>1</v>
      </c>
      <c r="E2" s="230">
        <v>2</v>
      </c>
      <c r="F2" s="230"/>
    </row>
    <row r="3" spans="1:6" x14ac:dyDescent="0.25">
      <c r="A3" s="39">
        <v>9</v>
      </c>
      <c r="B3" s="62" t="s">
        <v>300</v>
      </c>
      <c r="C3" s="75"/>
      <c r="D3" s="107"/>
      <c r="E3" s="107"/>
      <c r="F3" s="107"/>
    </row>
    <row r="4" spans="1:6" x14ac:dyDescent="0.25">
      <c r="A4" s="255">
        <v>9</v>
      </c>
      <c r="B4" s="285" t="s">
        <v>153</v>
      </c>
      <c r="C4" s="75"/>
      <c r="D4" s="107"/>
      <c r="E4" s="107"/>
      <c r="F4" s="107"/>
    </row>
    <row r="5" spans="1:6" x14ac:dyDescent="0.25">
      <c r="A5" s="39">
        <v>9</v>
      </c>
      <c r="B5" s="62" t="s">
        <v>133</v>
      </c>
      <c r="C5" s="75">
        <v>1</v>
      </c>
      <c r="D5" s="107"/>
      <c r="E5" s="107"/>
      <c r="F5" s="107">
        <v>1</v>
      </c>
    </row>
    <row r="6" spans="1:6" x14ac:dyDescent="0.25">
      <c r="A6" s="75">
        <v>9</v>
      </c>
      <c r="B6" s="76" t="s">
        <v>53</v>
      </c>
      <c r="C6" s="75"/>
      <c r="D6" s="107"/>
      <c r="E6" s="107">
        <v>1</v>
      </c>
      <c r="F6" s="107"/>
    </row>
    <row r="7" spans="1:6" x14ac:dyDescent="0.25">
      <c r="A7" s="255">
        <v>9</v>
      </c>
      <c r="B7" s="285" t="s">
        <v>5</v>
      </c>
      <c r="C7" s="75"/>
      <c r="D7" s="107"/>
      <c r="E7" s="107"/>
      <c r="F7" s="107"/>
    </row>
    <row r="8" spans="1:6" x14ac:dyDescent="0.25">
      <c r="A8" s="75">
        <v>9</v>
      </c>
      <c r="B8" s="76" t="s">
        <v>12</v>
      </c>
      <c r="C8" s="75">
        <v>1</v>
      </c>
      <c r="D8" s="107"/>
      <c r="E8" s="107"/>
      <c r="F8" s="107"/>
    </row>
    <row r="9" spans="1:6" x14ac:dyDescent="0.25">
      <c r="A9" s="39">
        <v>11</v>
      </c>
      <c r="B9" s="62" t="s">
        <v>161</v>
      </c>
      <c r="C9" s="75">
        <v>1</v>
      </c>
      <c r="D9" s="107"/>
      <c r="E9" s="107">
        <v>1</v>
      </c>
      <c r="F9" s="107"/>
    </row>
    <row r="10" spans="1:6" x14ac:dyDescent="0.25">
      <c r="A10" s="39">
        <v>11</v>
      </c>
      <c r="B10" s="62" t="s">
        <v>218</v>
      </c>
      <c r="C10" s="75">
        <v>1</v>
      </c>
      <c r="D10" s="107"/>
      <c r="E10" s="107">
        <v>2</v>
      </c>
      <c r="F10" s="107"/>
    </row>
    <row r="11" spans="1:6" x14ac:dyDescent="0.25">
      <c r="A11" s="255">
        <v>11</v>
      </c>
      <c r="B11" s="189" t="s">
        <v>8</v>
      </c>
      <c r="C11" s="75"/>
      <c r="D11" s="107"/>
      <c r="E11" s="107">
        <v>3</v>
      </c>
      <c r="F11" s="107"/>
    </row>
    <row r="12" spans="1:6" x14ac:dyDescent="0.25">
      <c r="A12" s="75">
        <v>11</v>
      </c>
      <c r="B12" s="296" t="s">
        <v>258</v>
      </c>
      <c r="C12" s="75">
        <v>1</v>
      </c>
      <c r="D12" s="107"/>
      <c r="E12" s="107">
        <v>1</v>
      </c>
      <c r="F12" s="107"/>
    </row>
    <row r="13" spans="1:6" x14ac:dyDescent="0.25">
      <c r="A13" s="255">
        <v>11</v>
      </c>
      <c r="B13" s="285" t="s">
        <v>208</v>
      </c>
      <c r="C13" s="75"/>
      <c r="D13" s="107"/>
      <c r="E13" s="107">
        <v>4</v>
      </c>
      <c r="F13" s="107"/>
    </row>
    <row r="14" spans="1:6" x14ac:dyDescent="0.25">
      <c r="A14" s="255">
        <v>11</v>
      </c>
      <c r="B14" s="285" t="s">
        <v>174</v>
      </c>
      <c r="C14" s="75"/>
      <c r="D14" s="107"/>
      <c r="E14" s="107">
        <v>4</v>
      </c>
      <c r="F14" s="107"/>
    </row>
    <row r="15" spans="1:6" x14ac:dyDescent="0.25">
      <c r="A15" s="39">
        <v>11</v>
      </c>
      <c r="B15" s="40" t="s">
        <v>10</v>
      </c>
      <c r="C15" s="75">
        <v>1</v>
      </c>
      <c r="D15" s="107"/>
      <c r="E15" s="107"/>
      <c r="F15" s="107">
        <v>1</v>
      </c>
    </row>
    <row r="16" spans="1:6" x14ac:dyDescent="0.25">
      <c r="A16" s="39">
        <v>209</v>
      </c>
      <c r="B16" s="62" t="s">
        <v>154</v>
      </c>
      <c r="C16" s="75">
        <v>1</v>
      </c>
      <c r="D16" s="107"/>
      <c r="E16" s="107">
        <v>1</v>
      </c>
      <c r="F16" s="107"/>
    </row>
    <row r="17" spans="1:6" x14ac:dyDescent="0.25">
      <c r="A17" s="39">
        <v>209</v>
      </c>
      <c r="B17" s="40" t="s">
        <v>103</v>
      </c>
      <c r="C17" s="75"/>
      <c r="D17" s="107"/>
      <c r="E17" s="107"/>
      <c r="F17" s="107">
        <v>2</v>
      </c>
    </row>
    <row r="18" spans="1:6" x14ac:dyDescent="0.25">
      <c r="A18" s="39">
        <v>209</v>
      </c>
      <c r="B18" s="62" t="s">
        <v>134</v>
      </c>
      <c r="C18" s="75"/>
      <c r="D18" s="107"/>
      <c r="E18" s="107">
        <v>2</v>
      </c>
      <c r="F18" s="107"/>
    </row>
    <row r="19" spans="1:6" x14ac:dyDescent="0.25">
      <c r="A19" s="255">
        <v>209</v>
      </c>
      <c r="B19" s="285" t="s">
        <v>205</v>
      </c>
      <c r="C19" s="75"/>
      <c r="D19" s="107"/>
      <c r="E19" s="107"/>
      <c r="F19" s="107"/>
    </row>
    <row r="20" spans="1:6" x14ac:dyDescent="0.25">
      <c r="A20" s="39">
        <v>474</v>
      </c>
      <c r="B20" s="62" t="s">
        <v>161</v>
      </c>
      <c r="C20" s="75"/>
      <c r="D20" s="107"/>
      <c r="E20" s="107">
        <v>2</v>
      </c>
      <c r="F20" s="107"/>
    </row>
    <row r="21" spans="1:6" x14ac:dyDescent="0.25">
      <c r="A21" s="39">
        <v>474</v>
      </c>
      <c r="B21" s="62" t="s">
        <v>96</v>
      </c>
      <c r="C21" s="75"/>
      <c r="D21" s="107"/>
      <c r="E21" s="107">
        <v>2</v>
      </c>
      <c r="F21" s="107"/>
    </row>
    <row r="22" spans="1:6" x14ac:dyDescent="0.25">
      <c r="A22" s="39">
        <v>474</v>
      </c>
      <c r="B22" s="62" t="s">
        <v>220</v>
      </c>
      <c r="C22" s="75">
        <v>1</v>
      </c>
      <c r="D22" s="107"/>
      <c r="E22" s="107"/>
      <c r="F22" s="107"/>
    </row>
    <row r="23" spans="1:6" x14ac:dyDescent="0.25">
      <c r="A23" s="39">
        <v>474</v>
      </c>
      <c r="B23" s="40" t="s">
        <v>5</v>
      </c>
      <c r="C23" s="75"/>
      <c r="D23" s="107">
        <v>1</v>
      </c>
      <c r="E23" s="107"/>
      <c r="F23" s="107"/>
    </row>
    <row r="24" spans="1:6" x14ac:dyDescent="0.25">
      <c r="A24" s="39">
        <v>474</v>
      </c>
      <c r="B24" s="62" t="s">
        <v>219</v>
      </c>
      <c r="C24" s="75">
        <v>1</v>
      </c>
      <c r="D24" s="107"/>
      <c r="E24" s="107"/>
      <c r="F24" s="107"/>
    </row>
    <row r="25" spans="1:6" x14ac:dyDescent="0.25">
      <c r="A25" s="39">
        <v>474</v>
      </c>
      <c r="B25" s="62" t="s">
        <v>162</v>
      </c>
      <c r="C25" s="75"/>
      <c r="D25" s="107">
        <v>1</v>
      </c>
      <c r="E25" s="107"/>
      <c r="F25" s="107">
        <v>1</v>
      </c>
    </row>
    <row r="26" spans="1:6" x14ac:dyDescent="0.25">
      <c r="A26" s="75">
        <v>679</v>
      </c>
      <c r="B26" s="76" t="s">
        <v>15</v>
      </c>
      <c r="C26" s="75"/>
      <c r="D26" s="107"/>
      <c r="E26" s="107">
        <v>2</v>
      </c>
      <c r="F26" s="107"/>
    </row>
    <row r="27" spans="1:6" x14ac:dyDescent="0.25">
      <c r="A27" s="75">
        <v>679</v>
      </c>
      <c r="B27" s="296" t="s">
        <v>54</v>
      </c>
      <c r="C27" s="75">
        <v>1</v>
      </c>
      <c r="D27" s="107"/>
      <c r="E27" s="107"/>
      <c r="F27" s="107"/>
    </row>
    <row r="28" spans="1:6" x14ac:dyDescent="0.25">
      <c r="A28" s="255">
        <v>679</v>
      </c>
      <c r="B28" s="189" t="s">
        <v>17</v>
      </c>
      <c r="C28" s="75"/>
      <c r="D28" s="107"/>
      <c r="E28" s="107"/>
      <c r="F28" s="107">
        <v>3</v>
      </c>
    </row>
    <row r="29" spans="1:6" x14ac:dyDescent="0.25">
      <c r="A29" s="75">
        <v>679</v>
      </c>
      <c r="B29" s="296" t="s">
        <v>204</v>
      </c>
      <c r="C29" s="75"/>
      <c r="D29" s="107"/>
      <c r="E29" s="107"/>
      <c r="F29" s="107"/>
    </row>
    <row r="30" spans="1:6" x14ac:dyDescent="0.25">
      <c r="A30" s="39">
        <v>679</v>
      </c>
      <c r="B30" s="62" t="s">
        <v>9</v>
      </c>
      <c r="C30" s="75"/>
      <c r="D30" s="107"/>
      <c r="E30" s="107">
        <v>2</v>
      </c>
      <c r="F30" s="107">
        <v>1</v>
      </c>
    </row>
    <row r="31" spans="1:6" x14ac:dyDescent="0.25">
      <c r="A31" s="75">
        <v>679</v>
      </c>
      <c r="B31" s="76" t="s">
        <v>13</v>
      </c>
      <c r="C31" s="75"/>
      <c r="D31" s="107"/>
      <c r="E31" s="107"/>
      <c r="F31" s="107">
        <v>1</v>
      </c>
    </row>
    <row r="32" spans="1:6" x14ac:dyDescent="0.25">
      <c r="A32" s="75" t="s">
        <v>76</v>
      </c>
      <c r="B32" s="76" t="s">
        <v>52</v>
      </c>
      <c r="C32" s="75"/>
      <c r="D32" s="107">
        <v>1</v>
      </c>
      <c r="E32" s="107"/>
      <c r="F32" s="107">
        <v>2</v>
      </c>
    </row>
    <row r="33" spans="1:6" x14ac:dyDescent="0.25">
      <c r="A33" s="187" t="s">
        <v>76</v>
      </c>
      <c r="B33" s="62" t="s">
        <v>246</v>
      </c>
      <c r="C33" s="75"/>
      <c r="D33" s="107"/>
      <c r="E33" s="107">
        <v>1</v>
      </c>
      <c r="F33" s="107"/>
    </row>
    <row r="34" spans="1:6" x14ac:dyDescent="0.25">
      <c r="A34" s="75" t="s">
        <v>76</v>
      </c>
      <c r="B34" s="62" t="s">
        <v>163</v>
      </c>
      <c r="C34" s="75"/>
      <c r="D34" s="107"/>
      <c r="E34" s="107">
        <v>3</v>
      </c>
      <c r="F34" s="107"/>
    </row>
    <row r="35" spans="1:6" x14ac:dyDescent="0.25">
      <c r="A35" s="75" t="s">
        <v>76</v>
      </c>
      <c r="B35" s="62" t="s">
        <v>10</v>
      </c>
      <c r="C35" s="75"/>
      <c r="D35" s="107"/>
      <c r="E35" s="107"/>
      <c r="F35" s="107">
        <v>2</v>
      </c>
    </row>
    <row r="36" spans="1:6" x14ac:dyDescent="0.25">
      <c r="A36" s="75" t="s">
        <v>76</v>
      </c>
      <c r="B36" s="62" t="s">
        <v>164</v>
      </c>
      <c r="C36" s="75"/>
      <c r="D36" s="107"/>
      <c r="E36" s="107">
        <v>2</v>
      </c>
      <c r="F36" s="107"/>
    </row>
    <row r="37" spans="1:6" x14ac:dyDescent="0.25">
      <c r="A37" s="278" t="s">
        <v>76</v>
      </c>
      <c r="B37" s="70" t="s">
        <v>219</v>
      </c>
      <c r="C37" s="75">
        <v>1</v>
      </c>
      <c r="D37" s="107"/>
      <c r="E37" s="107">
        <v>1</v>
      </c>
      <c r="F37" s="107"/>
    </row>
    <row r="38" spans="1:6" x14ac:dyDescent="0.25">
      <c r="A38" s="286" t="s">
        <v>76</v>
      </c>
      <c r="B38" s="124" t="s">
        <v>13</v>
      </c>
      <c r="C38" s="75"/>
      <c r="D38" s="107"/>
      <c r="E38" s="107">
        <v>3</v>
      </c>
      <c r="F38" s="107"/>
    </row>
    <row r="39" spans="1:6" x14ac:dyDescent="0.25">
      <c r="A39" s="132" t="s">
        <v>76</v>
      </c>
      <c r="B39" s="124" t="s">
        <v>173</v>
      </c>
      <c r="C39" s="75"/>
      <c r="D39" s="107"/>
      <c r="E39" s="107">
        <v>3</v>
      </c>
      <c r="F39" s="107"/>
    </row>
    <row r="40" spans="1:6" x14ac:dyDescent="0.25">
      <c r="A40" s="278" t="s">
        <v>14</v>
      </c>
      <c r="B40" s="70" t="s">
        <v>294</v>
      </c>
      <c r="C40" s="75"/>
      <c r="D40" s="107"/>
      <c r="E40" s="107"/>
      <c r="F40" s="107"/>
    </row>
    <row r="41" spans="1:6" x14ac:dyDescent="0.25">
      <c r="A41" s="290" t="s">
        <v>14</v>
      </c>
      <c r="B41" s="235" t="s">
        <v>163</v>
      </c>
      <c r="C41" s="75"/>
      <c r="D41" s="107"/>
      <c r="E41" s="107"/>
      <c r="F41" s="107"/>
    </row>
    <row r="42" spans="1:6" x14ac:dyDescent="0.25">
      <c r="A42" s="286" t="s">
        <v>14</v>
      </c>
      <c r="B42" s="124" t="s">
        <v>135</v>
      </c>
      <c r="C42" s="75">
        <v>1</v>
      </c>
      <c r="D42" s="107"/>
      <c r="E42" s="107">
        <v>1</v>
      </c>
      <c r="F42" s="107"/>
    </row>
    <row r="43" spans="1:6" x14ac:dyDescent="0.25">
      <c r="A43" s="290" t="s">
        <v>16</v>
      </c>
      <c r="B43" s="235" t="s">
        <v>217</v>
      </c>
      <c r="C43" s="132"/>
      <c r="D43" s="142"/>
      <c r="E43" s="142"/>
      <c r="F43" s="142"/>
    </row>
    <row r="44" spans="1:6" x14ac:dyDescent="0.25">
      <c r="A44" s="278" t="s">
        <v>16</v>
      </c>
      <c r="B44" s="70" t="s">
        <v>244</v>
      </c>
      <c r="C44" s="132"/>
      <c r="D44" s="142"/>
      <c r="E44" s="142">
        <v>3</v>
      </c>
      <c r="F44" s="142"/>
    </row>
    <row r="45" spans="1:6" x14ac:dyDescent="0.25">
      <c r="A45" s="278" t="s">
        <v>16</v>
      </c>
      <c r="B45" s="70" t="s">
        <v>163</v>
      </c>
      <c r="C45" s="132"/>
      <c r="D45" s="142"/>
      <c r="E45" s="142">
        <v>2</v>
      </c>
      <c r="F45" s="142"/>
    </row>
    <row r="46" spans="1:6" ht="15.75" thickBot="1" x14ac:dyDescent="0.3">
      <c r="A46" s="129" t="s">
        <v>16</v>
      </c>
      <c r="B46" s="297" t="s">
        <v>126</v>
      </c>
      <c r="C46" s="129"/>
      <c r="D46" s="108"/>
      <c r="E46" s="108"/>
      <c r="F46" s="108">
        <v>3</v>
      </c>
    </row>
    <row r="47" spans="1:6" x14ac:dyDescent="0.25">
      <c r="A47" s="38"/>
      <c r="C47" s="104"/>
      <c r="D47" s="104"/>
      <c r="E47" s="104"/>
      <c r="F47" s="104"/>
    </row>
    <row r="48" spans="1:6" x14ac:dyDescent="0.25">
      <c r="A48" s="38"/>
      <c r="C48" s="104"/>
      <c r="D48" s="104"/>
      <c r="E48" s="104"/>
      <c r="F48" s="104"/>
    </row>
    <row r="49" spans="1:6" x14ac:dyDescent="0.25">
      <c r="A49" s="38"/>
    </row>
    <row r="50" spans="1:6" x14ac:dyDescent="0.25">
      <c r="A50" s="38"/>
    </row>
    <row r="51" spans="1:6" x14ac:dyDescent="0.25">
      <c r="A51" s="38"/>
    </row>
    <row r="52" spans="1:6" x14ac:dyDescent="0.25">
      <c r="A52" s="38"/>
      <c r="C52" s="104"/>
      <c r="D52" s="104"/>
      <c r="E52" s="104"/>
      <c r="F52" s="104"/>
    </row>
    <row r="53" spans="1:6" x14ac:dyDescent="0.25">
      <c r="A53" s="38"/>
      <c r="C53" s="104"/>
      <c r="D53" s="104"/>
      <c r="E53" s="104"/>
      <c r="F53" s="104"/>
    </row>
    <row r="54" spans="1:6" x14ac:dyDescent="0.25">
      <c r="A54" s="38"/>
      <c r="C54" s="104"/>
      <c r="D54" s="104"/>
      <c r="E54" s="104"/>
      <c r="F54" s="104"/>
    </row>
    <row r="55" spans="1:6" x14ac:dyDescent="0.25">
      <c r="A55" s="38"/>
      <c r="C55" s="104"/>
      <c r="D55" s="104"/>
      <c r="E55" s="104"/>
      <c r="F55" s="104"/>
    </row>
    <row r="56" spans="1:6" x14ac:dyDescent="0.25">
      <c r="A56" s="38"/>
      <c r="C56" s="104"/>
      <c r="D56" s="104"/>
      <c r="E56" s="104"/>
      <c r="F56" s="104"/>
    </row>
    <row r="57" spans="1:6" x14ac:dyDescent="0.25">
      <c r="A57" s="38"/>
      <c r="C57" s="104"/>
      <c r="D57" s="104"/>
      <c r="E57" s="104"/>
      <c r="F57" s="104"/>
    </row>
    <row r="58" spans="1:6" x14ac:dyDescent="0.25">
      <c r="A58" s="38"/>
      <c r="C58" s="104"/>
      <c r="D58" s="104"/>
      <c r="E58" s="104"/>
      <c r="F58" s="104"/>
    </row>
    <row r="59" spans="1:6" x14ac:dyDescent="0.25">
      <c r="A59" s="38"/>
      <c r="C59" s="104"/>
      <c r="D59" s="104"/>
      <c r="E59" s="104"/>
      <c r="F59" s="104"/>
    </row>
    <row r="60" spans="1:6" x14ac:dyDescent="0.25">
      <c r="A60" s="38"/>
      <c r="C60" s="104"/>
      <c r="D60" s="104"/>
      <c r="E60" s="104"/>
      <c r="F60" s="104"/>
    </row>
    <row r="61" spans="1:6" x14ac:dyDescent="0.25">
      <c r="A61" s="38"/>
      <c r="C61" s="104"/>
      <c r="D61" s="104"/>
      <c r="E61" s="104"/>
      <c r="F61" s="104"/>
    </row>
    <row r="62" spans="1:6" x14ac:dyDescent="0.25">
      <c r="A62" s="38"/>
      <c r="C62" s="104"/>
      <c r="D62" s="104"/>
      <c r="E62" s="104"/>
      <c r="F62" s="104"/>
    </row>
    <row r="63" spans="1:6" x14ac:dyDescent="0.25">
      <c r="A63" s="38"/>
      <c r="C63" s="104"/>
      <c r="D63" s="104"/>
      <c r="E63" s="104"/>
      <c r="F63" s="104"/>
    </row>
    <row r="64" spans="1:6" x14ac:dyDescent="0.25">
      <c r="A64" s="38"/>
      <c r="C64" s="104"/>
      <c r="D64" s="104"/>
      <c r="E64" s="104"/>
      <c r="F64" s="104"/>
    </row>
    <row r="65" spans="1:6" x14ac:dyDescent="0.25">
      <c r="A65" s="38"/>
      <c r="C65" s="104"/>
      <c r="D65" s="104"/>
      <c r="E65" s="104"/>
      <c r="F65" s="104"/>
    </row>
    <row r="66" spans="1:6" x14ac:dyDescent="0.25">
      <c r="A66" s="38"/>
      <c r="C66" s="104"/>
      <c r="D66" s="104"/>
      <c r="E66" s="104"/>
      <c r="F66" s="104"/>
    </row>
    <row r="67" spans="1:6" x14ac:dyDescent="0.25">
      <c r="A67" s="38"/>
      <c r="C67" s="104"/>
      <c r="D67" s="104"/>
      <c r="E67" s="104"/>
      <c r="F67" s="104"/>
    </row>
    <row r="68" spans="1:6" x14ac:dyDescent="0.25">
      <c r="A68" s="38"/>
      <c r="C68" s="104"/>
      <c r="D68" s="104"/>
      <c r="E68" s="104"/>
      <c r="F68" s="104"/>
    </row>
    <row r="69" spans="1:6" x14ac:dyDescent="0.25">
      <c r="A69" s="38"/>
      <c r="C69" s="104"/>
      <c r="D69" s="104"/>
      <c r="E69" s="104"/>
      <c r="F69" s="104"/>
    </row>
    <row r="70" spans="1:6" x14ac:dyDescent="0.25">
      <c r="A70" s="38"/>
      <c r="C70" s="104"/>
      <c r="D70" s="104"/>
      <c r="E70" s="104"/>
      <c r="F70" s="104"/>
    </row>
    <row r="71" spans="1:6" x14ac:dyDescent="0.25">
      <c r="A71" s="38"/>
      <c r="C71" s="104"/>
      <c r="D71" s="104"/>
      <c r="E71" s="104"/>
      <c r="F71" s="104"/>
    </row>
    <row r="72" spans="1:6" x14ac:dyDescent="0.25">
      <c r="A72" s="38"/>
      <c r="C72" s="104"/>
      <c r="D72" s="104"/>
      <c r="E72" s="104"/>
      <c r="F72" s="104"/>
    </row>
    <row r="73" spans="1:6" x14ac:dyDescent="0.25">
      <c r="A73" s="38"/>
      <c r="C73" s="104"/>
      <c r="D73" s="104"/>
      <c r="E73" s="104"/>
      <c r="F73" s="104"/>
    </row>
    <row r="74" spans="1:6" x14ac:dyDescent="0.25">
      <c r="A74" s="38"/>
      <c r="C74" s="104"/>
      <c r="D74" s="104"/>
      <c r="E74" s="104"/>
      <c r="F74" s="104"/>
    </row>
    <row r="75" spans="1:6" x14ac:dyDescent="0.25">
      <c r="A75" s="38"/>
      <c r="C75" s="104"/>
      <c r="D75" s="104"/>
      <c r="E75" s="104"/>
      <c r="F75" s="104"/>
    </row>
    <row r="76" spans="1:6" x14ac:dyDescent="0.25">
      <c r="A76" s="38"/>
      <c r="C76" s="104"/>
      <c r="D76" s="104"/>
      <c r="E76" s="104"/>
      <c r="F76" s="104"/>
    </row>
    <row r="77" spans="1:6" x14ac:dyDescent="0.25">
      <c r="A77" s="38"/>
      <c r="C77" s="104"/>
      <c r="D77" s="104"/>
      <c r="E77" s="104"/>
      <c r="F77" s="104"/>
    </row>
    <row r="78" spans="1:6" x14ac:dyDescent="0.25">
      <c r="A78" s="38"/>
      <c r="C78" s="104"/>
      <c r="D78" s="104"/>
      <c r="E78" s="104"/>
      <c r="F78" s="104"/>
    </row>
    <row r="79" spans="1:6" x14ac:dyDescent="0.25">
      <c r="A79" s="38"/>
      <c r="C79" s="104"/>
      <c r="D79" s="104"/>
      <c r="E79" s="104"/>
      <c r="F79" s="104"/>
    </row>
    <row r="80" spans="1:6" x14ac:dyDescent="0.25">
      <c r="A80" s="38"/>
      <c r="C80" s="104"/>
      <c r="D80" s="104"/>
      <c r="E80" s="104"/>
      <c r="F80" s="104"/>
    </row>
    <row r="81" spans="1:6" x14ac:dyDescent="0.25">
      <c r="A81" s="38"/>
      <c r="C81" s="104"/>
      <c r="D81" s="104"/>
      <c r="E81" s="104"/>
      <c r="F81" s="104"/>
    </row>
  </sheetData>
  <autoFilter ref="A1:F46" xr:uid="{6DCB3A48-6899-4E14-9B82-7F39A420ACDA}">
    <sortState ref="A2:F46">
      <sortCondition ref="A1:A4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C19" sqref="C16:C19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20</v>
      </c>
      <c r="C2" s="3">
        <f>COUNTIF(חיילים!D:D,"=כן")</f>
        <v>7</v>
      </c>
    </row>
    <row r="3" spans="2:10" ht="17.25" customHeight="1" thickBot="1" x14ac:dyDescent="0.3">
      <c r="B3" s="1" t="s">
        <v>19</v>
      </c>
      <c r="C3" s="1">
        <f>COUNTIF(חיילים!$D:D,"=לא")</f>
        <v>34</v>
      </c>
      <c r="F3" s="170"/>
      <c r="G3" s="246" t="s">
        <v>239</v>
      </c>
      <c r="H3" s="110" t="s">
        <v>240</v>
      </c>
      <c r="I3" s="110" t="s">
        <v>241</v>
      </c>
      <c r="J3" s="247" t="s">
        <v>242</v>
      </c>
    </row>
    <row r="4" spans="2:10" x14ac:dyDescent="0.25">
      <c r="B4" s="1" t="s">
        <v>18</v>
      </c>
      <c r="C4" s="2">
        <f>C3+C2</f>
        <v>41</v>
      </c>
      <c r="F4" s="243" t="s">
        <v>33</v>
      </c>
      <c r="G4" s="152">
        <f>SUM(חיילים!DD:DD)</f>
        <v>18</v>
      </c>
      <c r="H4" s="153">
        <f>SUM(חיילים!DE:DE)</f>
        <v>6</v>
      </c>
      <c r="I4" s="153">
        <f>SUM(חיילים!DF:DF)</f>
        <v>0</v>
      </c>
      <c r="J4" s="154">
        <f>SUM(חיילים!DG:DG)</f>
        <v>0</v>
      </c>
    </row>
    <row r="5" spans="2:10" x14ac:dyDescent="0.25">
      <c r="F5" s="244" t="s">
        <v>34</v>
      </c>
      <c r="G5" s="155">
        <f>G6-G4</f>
        <v>-2</v>
      </c>
      <c r="H5" s="156">
        <f t="shared" ref="H5:I5" si="0">H6-H4</f>
        <v>2</v>
      </c>
      <c r="I5" s="156">
        <f t="shared" si="0"/>
        <v>51</v>
      </c>
      <c r="J5" s="157">
        <f>J6-J4</f>
        <v>17</v>
      </c>
    </row>
    <row r="6" spans="2:10" ht="15.75" thickBot="1" x14ac:dyDescent="0.3">
      <c r="F6" s="245" t="s">
        <v>35</v>
      </c>
      <c r="G6" s="158">
        <f>3*5-2+3</f>
        <v>16</v>
      </c>
      <c r="H6" s="159">
        <f>5*1+2+1</f>
        <v>8</v>
      </c>
      <c r="I6" s="159">
        <f>5*4*3-3*3</f>
        <v>51</v>
      </c>
      <c r="J6" s="160">
        <f>5*4*1-3</f>
        <v>17</v>
      </c>
    </row>
    <row r="7" spans="2:10" x14ac:dyDescent="0.25">
      <c r="B7" s="1" t="s">
        <v>21</v>
      </c>
      <c r="C7" s="1">
        <f>COUNTIF(חיילים!E:E,"=כן")</f>
        <v>36</v>
      </c>
    </row>
    <row r="8" spans="2:10" x14ac:dyDescent="0.25">
      <c r="B8" s="3" t="s">
        <v>22</v>
      </c>
      <c r="C8" s="3">
        <f>COUNTIF(חיילים!E:E,"=לא")</f>
        <v>5</v>
      </c>
    </row>
    <row r="9" spans="2:10" x14ac:dyDescent="0.25">
      <c r="B9" s="1" t="s">
        <v>18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" sqref="E1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1</v>
      </c>
      <c r="G1" s="116">
        <v>2</v>
      </c>
      <c r="H1" s="117">
        <v>3</v>
      </c>
    </row>
    <row r="2" spans="1:8" x14ac:dyDescent="0.25">
      <c r="A2" s="8" t="s">
        <v>26</v>
      </c>
      <c r="B2" s="260"/>
      <c r="C2" s="257"/>
      <c r="D2" s="260"/>
      <c r="E2" s="257"/>
      <c r="F2" s="325">
        <v>3</v>
      </c>
      <c r="G2" s="325"/>
      <c r="H2" s="326"/>
    </row>
    <row r="3" spans="1:8" x14ac:dyDescent="0.25">
      <c r="A3" s="8" t="s">
        <v>23</v>
      </c>
      <c r="B3" s="148"/>
      <c r="C3" s="148"/>
      <c r="D3" s="149"/>
      <c r="E3" s="149"/>
      <c r="F3" s="335"/>
      <c r="G3" s="335"/>
      <c r="H3" s="336"/>
    </row>
    <row r="4" spans="1:8" x14ac:dyDescent="0.25">
      <c r="A4" s="8" t="s">
        <v>24</v>
      </c>
      <c r="B4" s="148"/>
      <c r="C4" s="149"/>
      <c r="D4" s="149"/>
      <c r="E4" s="148"/>
      <c r="F4" s="325"/>
      <c r="G4" s="325"/>
      <c r="H4" s="326"/>
    </row>
    <row r="5" spans="1:8" x14ac:dyDescent="0.25">
      <c r="A5" s="8" t="s">
        <v>25</v>
      </c>
      <c r="B5" s="149"/>
      <c r="C5" s="148"/>
      <c r="D5" s="148"/>
      <c r="E5" s="149"/>
      <c r="F5" s="335"/>
      <c r="G5" s="335"/>
      <c r="H5" s="336"/>
    </row>
    <row r="6" spans="1:8" ht="15.75" thickBot="1" x14ac:dyDescent="0.3">
      <c r="A6" s="8" t="s">
        <v>113</v>
      </c>
      <c r="B6" s="150"/>
      <c r="C6" s="150"/>
      <c r="D6" s="150"/>
      <c r="E6" s="151"/>
      <c r="F6" s="325"/>
      <c r="G6" s="325"/>
      <c r="H6" s="326"/>
    </row>
    <row r="7" spans="1:8" x14ac:dyDescent="0.25">
      <c r="A7" s="5"/>
      <c r="B7" s="116">
        <v>4</v>
      </c>
      <c r="C7" s="116">
        <f>B7+1</f>
        <v>5</v>
      </c>
      <c r="D7" s="116">
        <f t="shared" ref="D7:H7" si="0">C7+1</f>
        <v>6</v>
      </c>
      <c r="E7" s="116">
        <f t="shared" si="0"/>
        <v>7</v>
      </c>
      <c r="F7" s="116">
        <f t="shared" si="0"/>
        <v>8</v>
      </c>
      <c r="G7" s="116">
        <f t="shared" si="0"/>
        <v>9</v>
      </c>
      <c r="H7" s="117">
        <f t="shared" si="0"/>
        <v>10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25">
        <v>3</v>
      </c>
      <c r="G8" s="325"/>
      <c r="H8" s="326"/>
    </row>
    <row r="9" spans="1:8" x14ac:dyDescent="0.25">
      <c r="A9" s="8" t="s">
        <v>23</v>
      </c>
      <c r="B9" s="261"/>
      <c r="C9" s="262"/>
      <c r="D9" s="257"/>
      <c r="E9" s="261"/>
      <c r="F9" s="325"/>
      <c r="G9" s="325"/>
      <c r="H9" s="326"/>
    </row>
    <row r="10" spans="1:8" x14ac:dyDescent="0.25">
      <c r="A10" s="8" t="s">
        <v>24</v>
      </c>
      <c r="B10" s="260"/>
      <c r="C10" s="260"/>
      <c r="D10" s="260"/>
      <c r="E10" s="260"/>
      <c r="F10" s="325"/>
      <c r="G10" s="325"/>
      <c r="H10" s="326"/>
    </row>
    <row r="11" spans="1:8" x14ac:dyDescent="0.25">
      <c r="A11" s="8" t="s">
        <v>25</v>
      </c>
      <c r="B11" s="260"/>
      <c r="C11" s="260"/>
      <c r="D11" s="262"/>
      <c r="E11" s="257"/>
      <c r="F11" s="335"/>
      <c r="G11" s="335"/>
      <c r="H11" s="336"/>
    </row>
    <row r="12" spans="1:8" ht="15.75" thickBot="1" x14ac:dyDescent="0.3">
      <c r="A12" s="8" t="s">
        <v>113</v>
      </c>
      <c r="B12" s="260"/>
      <c r="C12" s="260"/>
      <c r="D12" s="70"/>
      <c r="E12" s="260"/>
      <c r="F12" s="325"/>
      <c r="G12" s="325"/>
      <c r="H12" s="326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1">C13+1</f>
        <v>13</v>
      </c>
      <c r="E13" s="116">
        <f t="shared" si="1"/>
        <v>14</v>
      </c>
      <c r="F13" s="116">
        <f t="shared" si="1"/>
        <v>15</v>
      </c>
      <c r="G13" s="116">
        <f>F13+1</f>
        <v>16</v>
      </c>
      <c r="H13" s="117">
        <f t="shared" si="1"/>
        <v>17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25">
        <v>3</v>
      </c>
      <c r="G14" s="325"/>
      <c r="H14" s="326"/>
    </row>
    <row r="15" spans="1:8" x14ac:dyDescent="0.25">
      <c r="A15" s="8" t="s">
        <v>23</v>
      </c>
      <c r="B15" s="257"/>
      <c r="C15" s="260"/>
      <c r="D15" s="261"/>
      <c r="E15" s="260"/>
      <c r="F15" s="325"/>
      <c r="G15" s="325"/>
      <c r="H15" s="326"/>
    </row>
    <row r="16" spans="1:8" x14ac:dyDescent="0.25">
      <c r="A16" s="8" t="s">
        <v>24</v>
      </c>
      <c r="B16" s="261"/>
      <c r="C16" s="257"/>
      <c r="D16" s="260"/>
      <c r="E16" s="261"/>
      <c r="F16" s="335"/>
      <c r="G16" s="335"/>
      <c r="H16" s="336"/>
    </row>
    <row r="17" spans="1:8" x14ac:dyDescent="0.25">
      <c r="A17" s="8" t="s">
        <v>25</v>
      </c>
      <c r="B17" s="257"/>
      <c r="C17" s="261"/>
      <c r="D17" s="260"/>
      <c r="E17" s="257"/>
      <c r="F17" s="325"/>
      <c r="G17" s="325"/>
      <c r="H17" s="326"/>
    </row>
    <row r="18" spans="1:8" ht="15.75" thickBot="1" x14ac:dyDescent="0.3">
      <c r="A18" s="8" t="s">
        <v>113</v>
      </c>
      <c r="B18" s="260"/>
      <c r="C18" s="260"/>
      <c r="D18" s="260"/>
      <c r="E18" s="257"/>
      <c r="F18" s="325"/>
      <c r="G18" s="325"/>
      <c r="H18" s="326"/>
    </row>
    <row r="19" spans="1:8" x14ac:dyDescent="0.25">
      <c r="A19" s="5"/>
      <c r="B19" s="116">
        <f>B13+7</f>
        <v>18</v>
      </c>
      <c r="C19" s="116">
        <f>B19+1</f>
        <v>19</v>
      </c>
      <c r="D19" s="116">
        <f t="shared" ref="D19:E19" si="2">C19+1</f>
        <v>20</v>
      </c>
      <c r="E19" s="116">
        <f t="shared" si="2"/>
        <v>21</v>
      </c>
      <c r="F19" s="6">
        <f>E19+1</f>
        <v>22</v>
      </c>
      <c r="G19" s="6">
        <f>F19+1</f>
        <v>23</v>
      </c>
      <c r="H19" s="7">
        <f>G19+1</f>
        <v>24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25">
        <v>3</v>
      </c>
      <c r="G20" s="325"/>
      <c r="H20" s="326"/>
    </row>
    <row r="21" spans="1:8" x14ac:dyDescent="0.25">
      <c r="A21" s="8" t="s">
        <v>23</v>
      </c>
      <c r="B21" s="260"/>
      <c r="C21" s="257"/>
      <c r="D21" s="257"/>
      <c r="E21" s="261"/>
      <c r="F21" s="327"/>
      <c r="G21" s="328"/>
      <c r="H21" s="329"/>
    </row>
    <row r="22" spans="1:8" x14ac:dyDescent="0.25">
      <c r="A22" s="8" t="s">
        <v>24</v>
      </c>
      <c r="B22" s="257"/>
      <c r="C22" s="260"/>
      <c r="D22" s="261"/>
      <c r="E22" s="260"/>
      <c r="F22" s="330"/>
      <c r="G22" s="331"/>
      <c r="H22" s="332"/>
    </row>
    <row r="23" spans="1:8" x14ac:dyDescent="0.25">
      <c r="A23" s="8" t="s">
        <v>25</v>
      </c>
      <c r="B23" s="262"/>
      <c r="C23" s="262"/>
      <c r="D23" s="260"/>
      <c r="E23" s="257"/>
      <c r="F23" s="335"/>
      <c r="G23" s="335"/>
      <c r="H23" s="336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33"/>
      <c r="G24" s="333"/>
      <c r="H24" s="334"/>
    </row>
    <row r="25" spans="1:8" x14ac:dyDescent="0.25">
      <c r="A25" s="5"/>
      <c r="B25" s="116">
        <f>B19+7</f>
        <v>25</v>
      </c>
      <c r="C25" s="116">
        <f>B25+1</f>
        <v>26</v>
      </c>
      <c r="D25" s="116">
        <f t="shared" ref="D25:E25" si="3">C25+1</f>
        <v>27</v>
      </c>
      <c r="E25" s="116">
        <f t="shared" si="3"/>
        <v>28</v>
      </c>
      <c r="F25" s="6">
        <v>29</v>
      </c>
      <c r="G25" s="6">
        <v>30</v>
      </c>
      <c r="H25" s="7">
        <v>1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25">
        <v>3</v>
      </c>
      <c r="G26" s="325"/>
      <c r="H26" s="326"/>
    </row>
    <row r="27" spans="1:8" x14ac:dyDescent="0.25">
      <c r="A27" s="8" t="s">
        <v>23</v>
      </c>
      <c r="B27" s="260"/>
      <c r="C27" s="257"/>
      <c r="D27" s="257"/>
      <c r="E27" s="261"/>
      <c r="F27" s="327"/>
      <c r="G27" s="328"/>
      <c r="H27" s="329"/>
    </row>
    <row r="28" spans="1:8" x14ac:dyDescent="0.25">
      <c r="A28" s="8" t="s">
        <v>24</v>
      </c>
      <c r="B28" s="257"/>
      <c r="C28" s="260"/>
      <c r="D28" s="261"/>
      <c r="E28" s="260"/>
      <c r="F28" s="330"/>
      <c r="G28" s="331"/>
      <c r="H28" s="332"/>
    </row>
    <row r="29" spans="1:8" x14ac:dyDescent="0.25">
      <c r="A29" s="8" t="s">
        <v>25</v>
      </c>
      <c r="B29" s="262"/>
      <c r="C29" s="262"/>
      <c r="D29" s="260"/>
      <c r="E29" s="257"/>
      <c r="F29" s="335"/>
      <c r="G29" s="335"/>
      <c r="H29" s="336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33"/>
      <c r="G30" s="333"/>
      <c r="H30" s="33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F18" sqref="F18:H18"/>
    </sheetView>
  </sheetViews>
  <sheetFormatPr defaultRowHeight="15" x14ac:dyDescent="0.25"/>
  <cols>
    <col min="1" max="8" width="10.7109375" customWidth="1"/>
  </cols>
  <sheetData>
    <row r="1" spans="1:8" x14ac:dyDescent="0.25">
      <c r="A1" s="5"/>
      <c r="B1" s="116"/>
      <c r="C1" s="116"/>
      <c r="D1" s="116"/>
      <c r="E1" s="116"/>
      <c r="F1" s="116">
        <v>2</v>
      </c>
      <c r="G1" s="116">
        <v>3</v>
      </c>
      <c r="H1" s="117">
        <f>G1+1</f>
        <v>4</v>
      </c>
    </row>
    <row r="2" spans="1:8" x14ac:dyDescent="0.25">
      <c r="A2" s="8" t="s">
        <v>26</v>
      </c>
      <c r="B2" s="172"/>
      <c r="C2" s="173"/>
      <c r="D2" s="172"/>
      <c r="E2" s="173"/>
      <c r="F2" s="325">
        <v>3</v>
      </c>
      <c r="G2" s="325"/>
      <c r="H2" s="326"/>
    </row>
    <row r="3" spans="1:8" x14ac:dyDescent="0.25">
      <c r="A3" s="8" t="s">
        <v>23</v>
      </c>
      <c r="B3" s="148"/>
      <c r="C3" s="148"/>
      <c r="D3" s="149"/>
      <c r="E3" s="149"/>
      <c r="F3" s="325" t="s">
        <v>129</v>
      </c>
      <c r="G3" s="325"/>
      <c r="H3" s="326"/>
    </row>
    <row r="4" spans="1:8" x14ac:dyDescent="0.25">
      <c r="A4" s="8" t="s">
        <v>24</v>
      </c>
      <c r="B4" s="148"/>
      <c r="C4" s="149"/>
      <c r="D4" s="149"/>
      <c r="E4" s="148"/>
      <c r="F4" s="335" t="s">
        <v>169</v>
      </c>
      <c r="G4" s="335"/>
      <c r="H4" s="336"/>
    </row>
    <row r="5" spans="1:8" x14ac:dyDescent="0.25">
      <c r="A5" s="8" t="s">
        <v>25</v>
      </c>
      <c r="B5" s="149"/>
      <c r="C5" s="148"/>
      <c r="D5" s="148"/>
      <c r="E5" s="149"/>
      <c r="F5" s="325" t="s">
        <v>168</v>
      </c>
      <c r="G5" s="325"/>
      <c r="H5" s="326"/>
    </row>
    <row r="6" spans="1:8" ht="15.75" thickBot="1" x14ac:dyDescent="0.3">
      <c r="A6" s="8" t="s">
        <v>113</v>
      </c>
      <c r="B6" s="150"/>
      <c r="C6" s="150"/>
      <c r="D6" s="150"/>
      <c r="E6" s="151"/>
      <c r="F6" s="325" t="s">
        <v>185</v>
      </c>
      <c r="G6" s="325"/>
      <c r="H6" s="326"/>
    </row>
    <row r="7" spans="1:8" x14ac:dyDescent="0.25">
      <c r="A7" s="5"/>
      <c r="B7" s="116">
        <v>5</v>
      </c>
      <c r="C7" s="116">
        <f>B7+1</f>
        <v>6</v>
      </c>
      <c r="D7" s="116">
        <f t="shared" ref="D7:H7" si="0">C7+1</f>
        <v>7</v>
      </c>
      <c r="E7" s="116">
        <f t="shared" si="0"/>
        <v>8</v>
      </c>
      <c r="F7" s="116">
        <f t="shared" si="0"/>
        <v>9</v>
      </c>
      <c r="G7" s="116">
        <f t="shared" si="0"/>
        <v>10</v>
      </c>
      <c r="H7" s="117">
        <f t="shared" si="0"/>
        <v>11</v>
      </c>
    </row>
    <row r="8" spans="1:8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25">
        <v>3</v>
      </c>
      <c r="G8" s="325"/>
      <c r="H8" s="326"/>
    </row>
    <row r="9" spans="1:8" x14ac:dyDescent="0.25">
      <c r="A9" s="8" t="s">
        <v>23</v>
      </c>
      <c r="B9" s="271" t="s">
        <v>128</v>
      </c>
      <c r="C9" s="272" t="s">
        <v>92</v>
      </c>
      <c r="D9" s="173" t="s">
        <v>90</v>
      </c>
      <c r="E9" s="273" t="s">
        <v>171</v>
      </c>
      <c r="F9" s="327" t="s">
        <v>170</v>
      </c>
      <c r="G9" s="328"/>
      <c r="H9" s="329"/>
    </row>
    <row r="10" spans="1:8" x14ac:dyDescent="0.25">
      <c r="A10" s="8" t="s">
        <v>24</v>
      </c>
      <c r="B10" s="279" t="s">
        <v>152</v>
      </c>
      <c r="C10" s="270" t="s">
        <v>186</v>
      </c>
      <c r="D10" s="271" t="s">
        <v>167</v>
      </c>
      <c r="E10" s="271" t="s">
        <v>214</v>
      </c>
      <c r="F10" s="335" t="s">
        <v>65</v>
      </c>
      <c r="G10" s="335"/>
      <c r="H10" s="336"/>
    </row>
    <row r="11" spans="1:8" x14ac:dyDescent="0.25">
      <c r="A11" s="8" t="s">
        <v>25</v>
      </c>
      <c r="B11" s="172" t="s">
        <v>65</v>
      </c>
      <c r="C11" s="270" t="s">
        <v>98</v>
      </c>
      <c r="D11" s="270" t="s">
        <v>215</v>
      </c>
      <c r="E11" s="173" t="s">
        <v>150</v>
      </c>
      <c r="F11" s="325" t="s">
        <v>70</v>
      </c>
      <c r="G11" s="325"/>
      <c r="H11" s="326"/>
    </row>
    <row r="12" spans="1:8" ht="15.75" thickBot="1" x14ac:dyDescent="0.3">
      <c r="A12" s="8" t="s">
        <v>113</v>
      </c>
      <c r="B12" s="172" t="s">
        <v>249</v>
      </c>
      <c r="C12" s="172" t="s">
        <v>291</v>
      </c>
      <c r="D12" s="70" t="s">
        <v>211</v>
      </c>
      <c r="E12" s="172" t="s">
        <v>256</v>
      </c>
      <c r="F12" s="325" t="s">
        <v>292</v>
      </c>
      <c r="G12" s="325"/>
      <c r="H12" s="326"/>
    </row>
    <row r="13" spans="1:8" x14ac:dyDescent="0.25">
      <c r="A13" s="5"/>
      <c r="B13" s="116">
        <f>B7+7</f>
        <v>12</v>
      </c>
      <c r="C13" s="116">
        <f>B13+1</f>
        <v>13</v>
      </c>
      <c r="D13" s="116">
        <f t="shared" ref="D13:H13" si="1">C13+1</f>
        <v>14</v>
      </c>
      <c r="E13" s="116">
        <f t="shared" si="1"/>
        <v>15</v>
      </c>
      <c r="F13" s="116">
        <f t="shared" si="1"/>
        <v>16</v>
      </c>
      <c r="G13" s="116">
        <f>F13+1</f>
        <v>17</v>
      </c>
      <c r="H13" s="117">
        <f t="shared" si="1"/>
        <v>18</v>
      </c>
    </row>
    <row r="14" spans="1:8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25">
        <v>3</v>
      </c>
      <c r="G14" s="325"/>
      <c r="H14" s="326"/>
    </row>
    <row r="15" spans="1:8" x14ac:dyDescent="0.25">
      <c r="A15" s="8" t="s">
        <v>23</v>
      </c>
      <c r="B15" s="267" t="s">
        <v>93</v>
      </c>
      <c r="C15" s="269" t="s">
        <v>92</v>
      </c>
      <c r="D15" s="273" t="s">
        <v>90</v>
      </c>
      <c r="E15" s="270" t="s">
        <v>185</v>
      </c>
      <c r="F15" s="325" t="s">
        <v>149</v>
      </c>
      <c r="G15" s="325"/>
      <c r="H15" s="326"/>
    </row>
    <row r="16" spans="1:8" x14ac:dyDescent="0.25">
      <c r="A16" s="8" t="s">
        <v>24</v>
      </c>
      <c r="B16" s="271" t="s">
        <v>151</v>
      </c>
      <c r="C16" s="268" t="s">
        <v>152</v>
      </c>
      <c r="D16" s="172" t="s">
        <v>186</v>
      </c>
      <c r="E16" s="271" t="s">
        <v>128</v>
      </c>
      <c r="F16" s="335" t="s">
        <v>69</v>
      </c>
      <c r="G16" s="335"/>
      <c r="H16" s="336"/>
    </row>
    <row r="17" spans="1:8" x14ac:dyDescent="0.25">
      <c r="A17" s="8" t="s">
        <v>25</v>
      </c>
      <c r="B17" s="270" t="s">
        <v>67</v>
      </c>
      <c r="C17" s="269" t="s">
        <v>116</v>
      </c>
      <c r="D17" s="271" t="s">
        <v>80</v>
      </c>
      <c r="E17" s="270" t="s">
        <v>98</v>
      </c>
      <c r="F17" s="325" t="s">
        <v>229</v>
      </c>
      <c r="G17" s="325"/>
      <c r="H17" s="326"/>
    </row>
    <row r="18" spans="1:8" x14ac:dyDescent="0.25">
      <c r="A18" s="8" t="s">
        <v>113</v>
      </c>
      <c r="B18" s="265" t="s">
        <v>291</v>
      </c>
      <c r="C18" s="265" t="s">
        <v>169</v>
      </c>
      <c r="D18" s="273" t="s">
        <v>249</v>
      </c>
      <c r="E18" s="264" t="s">
        <v>129</v>
      </c>
      <c r="F18" s="325" t="s">
        <v>257</v>
      </c>
      <c r="G18" s="325"/>
      <c r="H18" s="326"/>
    </row>
    <row r="19" spans="1:8" ht="15.75" thickBot="1" x14ac:dyDescent="0.3">
      <c r="A19" s="8" t="s">
        <v>113</v>
      </c>
      <c r="B19" s="264" t="s">
        <v>211</v>
      </c>
      <c r="C19" s="264" t="s">
        <v>256</v>
      </c>
      <c r="D19" s="264" t="str">
        <f>"-"</f>
        <v>-</v>
      </c>
      <c r="E19" s="173" t="str">
        <f>"-"</f>
        <v>-</v>
      </c>
      <c r="F19" s="325" t="str">
        <f>"-"</f>
        <v>-</v>
      </c>
      <c r="G19" s="325"/>
      <c r="H19" s="326"/>
    </row>
    <row r="20" spans="1:8" x14ac:dyDescent="0.25">
      <c r="A20" s="5"/>
      <c r="B20" s="116">
        <f>B13+7</f>
        <v>19</v>
      </c>
      <c r="C20" s="116">
        <f>B20+1</f>
        <v>20</v>
      </c>
      <c r="D20" s="116">
        <f t="shared" ref="D20:E20" si="2">C20+1</f>
        <v>21</v>
      </c>
      <c r="E20" s="116">
        <f t="shared" si="2"/>
        <v>22</v>
      </c>
      <c r="F20" s="6">
        <f>E20+1</f>
        <v>23</v>
      </c>
      <c r="G20" s="6">
        <f>F20+1</f>
        <v>24</v>
      </c>
      <c r="H20" s="7">
        <f>G20+1</f>
        <v>25</v>
      </c>
    </row>
    <row r="21" spans="1:8" x14ac:dyDescent="0.25">
      <c r="A21" s="8" t="s">
        <v>26</v>
      </c>
      <c r="B21" s="172">
        <v>3</v>
      </c>
      <c r="C21" s="173">
        <v>3</v>
      </c>
      <c r="D21" s="172">
        <v>3</v>
      </c>
      <c r="E21" s="173">
        <v>3</v>
      </c>
      <c r="F21" s="325">
        <v>3</v>
      </c>
      <c r="G21" s="325"/>
      <c r="H21" s="326"/>
    </row>
    <row r="22" spans="1:8" x14ac:dyDescent="0.25">
      <c r="A22" s="8" t="s">
        <v>23</v>
      </c>
      <c r="B22" s="279" t="s">
        <v>166</v>
      </c>
      <c r="C22" s="280" t="s">
        <v>170</v>
      </c>
      <c r="D22" s="273" t="s">
        <v>150</v>
      </c>
      <c r="E22" s="270" t="s">
        <v>185</v>
      </c>
      <c r="F22" s="327" t="s">
        <v>230</v>
      </c>
      <c r="G22" s="328"/>
      <c r="H22" s="329"/>
    </row>
    <row r="23" spans="1:8" x14ac:dyDescent="0.25">
      <c r="A23" s="8" t="s">
        <v>24</v>
      </c>
      <c r="B23" s="281" t="s">
        <v>128</v>
      </c>
      <c r="C23" s="271" t="s">
        <v>115</v>
      </c>
      <c r="D23" s="174" t="s">
        <v>92</v>
      </c>
      <c r="E23" s="271" t="s">
        <v>214</v>
      </c>
      <c r="F23" s="330" t="s">
        <v>167</v>
      </c>
      <c r="G23" s="331"/>
      <c r="H23" s="332"/>
    </row>
    <row r="24" spans="1:8" x14ac:dyDescent="0.25">
      <c r="A24" s="8" t="s">
        <v>25</v>
      </c>
      <c r="B24" s="270" t="s">
        <v>186</v>
      </c>
      <c r="C24" s="273" t="s">
        <v>90</v>
      </c>
      <c r="D24" s="172" t="s">
        <v>215</v>
      </c>
      <c r="E24" s="273" t="s">
        <v>129</v>
      </c>
      <c r="F24" s="325" t="s">
        <v>116</v>
      </c>
      <c r="G24" s="325"/>
      <c r="H24" s="326"/>
    </row>
    <row r="25" spans="1:8" ht="15.75" thickBot="1" x14ac:dyDescent="0.3">
      <c r="A25" s="15" t="s">
        <v>113</v>
      </c>
      <c r="B25" s="171" t="s">
        <v>292</v>
      </c>
      <c r="C25" s="171" t="s">
        <v>211</v>
      </c>
      <c r="D25" s="83" t="s">
        <v>256</v>
      </c>
      <c r="E25" s="171" t="s">
        <v>249</v>
      </c>
      <c r="F25" s="333" t="s">
        <v>291</v>
      </c>
      <c r="G25" s="333"/>
      <c r="H25" s="334"/>
    </row>
    <row r="26" spans="1:8" x14ac:dyDescent="0.25">
      <c r="A26" s="5"/>
      <c r="B26" s="116">
        <f>B20+7</f>
        <v>26</v>
      </c>
      <c r="C26" s="116">
        <f>B26+1</f>
        <v>27</v>
      </c>
      <c r="D26" s="116">
        <f t="shared" ref="D26:E26" si="3">C26+1</f>
        <v>28</v>
      </c>
      <c r="E26" s="116">
        <f t="shared" si="3"/>
        <v>29</v>
      </c>
      <c r="F26" s="6">
        <v>30</v>
      </c>
      <c r="G26" s="6">
        <v>31</v>
      </c>
      <c r="H26" s="7">
        <v>1</v>
      </c>
    </row>
    <row r="27" spans="1:8" x14ac:dyDescent="0.25">
      <c r="A27" s="8" t="s">
        <v>26</v>
      </c>
      <c r="B27" s="172">
        <v>3</v>
      </c>
      <c r="C27" s="173">
        <v>3</v>
      </c>
      <c r="D27" s="172">
        <v>3</v>
      </c>
      <c r="E27" s="173">
        <v>3</v>
      </c>
      <c r="F27" s="325">
        <v>3</v>
      </c>
      <c r="G27" s="325"/>
      <c r="H27" s="326"/>
    </row>
    <row r="28" spans="1:8" x14ac:dyDescent="0.25">
      <c r="A28" s="8" t="s">
        <v>23</v>
      </c>
      <c r="B28" s="279" t="s">
        <v>93</v>
      </c>
      <c r="C28" s="270" t="s">
        <v>185</v>
      </c>
      <c r="D28" s="272" t="s">
        <v>115</v>
      </c>
      <c r="E28" s="174" t="s">
        <v>166</v>
      </c>
      <c r="F28" s="327" t="s">
        <v>231</v>
      </c>
      <c r="G28" s="328"/>
      <c r="H28" s="329"/>
    </row>
    <row r="29" spans="1:8" x14ac:dyDescent="0.25">
      <c r="A29" s="8" t="s">
        <v>24</v>
      </c>
      <c r="B29" s="281" t="s">
        <v>80</v>
      </c>
      <c r="C29" s="271" t="s">
        <v>214</v>
      </c>
      <c r="D29" s="273" t="s">
        <v>229</v>
      </c>
      <c r="E29" s="270" t="s">
        <v>93</v>
      </c>
      <c r="F29" s="325" t="s">
        <v>151</v>
      </c>
      <c r="G29" s="325"/>
      <c r="H29" s="326"/>
    </row>
    <row r="30" spans="1:8" x14ac:dyDescent="0.25">
      <c r="A30" s="8" t="s">
        <v>25</v>
      </c>
      <c r="B30" s="270" t="s">
        <v>168</v>
      </c>
      <c r="C30" s="270" t="s">
        <v>149</v>
      </c>
      <c r="D30" s="270" t="s">
        <v>168</v>
      </c>
      <c r="E30" s="173" t="s">
        <v>129</v>
      </c>
      <c r="F30" s="330" t="s">
        <v>67</v>
      </c>
      <c r="G30" s="331"/>
      <c r="H30" s="332"/>
    </row>
    <row r="31" spans="1:8" ht="15.75" thickBot="1" x14ac:dyDescent="0.3">
      <c r="A31" s="15" t="s">
        <v>113</v>
      </c>
      <c r="B31" s="171" t="s">
        <v>166</v>
      </c>
      <c r="C31" s="171" t="s">
        <v>292</v>
      </c>
      <c r="D31" s="83" t="s">
        <v>257</v>
      </c>
      <c r="E31" s="171" t="s">
        <v>211</v>
      </c>
      <c r="F31" s="333" t="s">
        <v>171</v>
      </c>
      <c r="G31" s="333"/>
      <c r="H31" s="334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activeCell="E12" sqref="E12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4</v>
      </c>
      <c r="G1" s="116">
        <v>5</v>
      </c>
      <c r="H1" s="117">
        <v>6</v>
      </c>
    </row>
    <row r="2" spans="1:8" x14ac:dyDescent="0.25">
      <c r="A2" s="8" t="s">
        <v>26</v>
      </c>
      <c r="B2" s="260"/>
      <c r="C2" s="257"/>
      <c r="D2" s="260"/>
      <c r="E2" s="257"/>
      <c r="F2" s="325">
        <v>3</v>
      </c>
      <c r="G2" s="325"/>
      <c r="H2" s="326"/>
    </row>
    <row r="3" spans="1:8" x14ac:dyDescent="0.25">
      <c r="A3" s="8" t="s">
        <v>23</v>
      </c>
      <c r="B3" s="148"/>
      <c r="C3" s="148"/>
      <c r="D3" s="149"/>
      <c r="E3" s="149"/>
      <c r="F3" s="335"/>
      <c r="G3" s="335"/>
      <c r="H3" s="336"/>
    </row>
    <row r="4" spans="1:8" x14ac:dyDescent="0.25">
      <c r="A4" s="8" t="s">
        <v>24</v>
      </c>
      <c r="B4" s="148"/>
      <c r="C4" s="149"/>
      <c r="D4" s="149"/>
      <c r="E4" s="148"/>
      <c r="F4" s="325"/>
      <c r="G4" s="325"/>
      <c r="H4" s="326"/>
    </row>
    <row r="5" spans="1:8" x14ac:dyDescent="0.25">
      <c r="A5" s="8" t="s">
        <v>25</v>
      </c>
      <c r="B5" s="149"/>
      <c r="C5" s="148"/>
      <c r="D5" s="148"/>
      <c r="E5" s="149"/>
      <c r="F5" s="335"/>
      <c r="G5" s="335"/>
      <c r="H5" s="336"/>
    </row>
    <row r="6" spans="1:8" ht="15.75" thickBot="1" x14ac:dyDescent="0.3">
      <c r="A6" s="8" t="s">
        <v>113</v>
      </c>
      <c r="B6" s="150"/>
      <c r="C6" s="150"/>
      <c r="D6" s="150"/>
      <c r="E6" s="151"/>
      <c r="F6" s="325"/>
      <c r="G6" s="325"/>
      <c r="H6" s="326"/>
    </row>
    <row r="7" spans="1:8" x14ac:dyDescent="0.25">
      <c r="A7" s="5"/>
      <c r="B7" s="116">
        <v>7</v>
      </c>
      <c r="C7" s="116">
        <f>B7+1</f>
        <v>8</v>
      </c>
      <c r="D7" s="116">
        <f t="shared" ref="D7:H7" si="0">C7+1</f>
        <v>9</v>
      </c>
      <c r="E7" s="116">
        <f t="shared" si="0"/>
        <v>10</v>
      </c>
      <c r="F7" s="116">
        <f t="shared" si="0"/>
        <v>11</v>
      </c>
      <c r="G7" s="116">
        <f t="shared" si="0"/>
        <v>12</v>
      </c>
      <c r="H7" s="117">
        <f t="shared" si="0"/>
        <v>13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25">
        <v>3</v>
      </c>
      <c r="G8" s="325"/>
      <c r="H8" s="326"/>
    </row>
    <row r="9" spans="1:8" x14ac:dyDescent="0.25">
      <c r="A9" s="8" t="s">
        <v>23</v>
      </c>
      <c r="B9" s="261"/>
      <c r="C9" s="262"/>
      <c r="D9" s="257"/>
      <c r="E9" s="261"/>
      <c r="F9" s="325"/>
      <c r="G9" s="325"/>
      <c r="H9" s="326"/>
    </row>
    <row r="10" spans="1:8" x14ac:dyDescent="0.25">
      <c r="A10" s="8" t="s">
        <v>24</v>
      </c>
      <c r="B10" s="260"/>
      <c r="C10" s="260"/>
      <c r="D10" s="260"/>
      <c r="E10" s="260"/>
      <c r="F10" s="325"/>
      <c r="G10" s="325"/>
      <c r="H10" s="326"/>
    </row>
    <row r="11" spans="1:8" x14ac:dyDescent="0.25">
      <c r="A11" s="8" t="s">
        <v>25</v>
      </c>
      <c r="B11" s="260"/>
      <c r="C11" s="260"/>
      <c r="D11" s="262"/>
      <c r="E11" s="257"/>
      <c r="F11" s="335"/>
      <c r="G11" s="335"/>
      <c r="H11" s="336"/>
    </row>
    <row r="12" spans="1:8" ht="15.75" thickBot="1" x14ac:dyDescent="0.3">
      <c r="A12" s="8" t="s">
        <v>113</v>
      </c>
      <c r="B12" s="260"/>
      <c r="C12" s="260"/>
      <c r="D12" s="70"/>
      <c r="E12" s="260"/>
      <c r="F12" s="325"/>
      <c r="G12" s="325"/>
      <c r="H12" s="326"/>
    </row>
    <row r="13" spans="1:8" x14ac:dyDescent="0.25">
      <c r="A13" s="5"/>
      <c r="B13" s="116">
        <f>B7+7</f>
        <v>14</v>
      </c>
      <c r="C13" s="116">
        <f>B13+1</f>
        <v>15</v>
      </c>
      <c r="D13" s="116">
        <f t="shared" ref="D13:H13" si="1">C13+1</f>
        <v>16</v>
      </c>
      <c r="E13" s="116">
        <f t="shared" si="1"/>
        <v>17</v>
      </c>
      <c r="F13" s="116">
        <f t="shared" si="1"/>
        <v>18</v>
      </c>
      <c r="G13" s="116">
        <f>F13+1</f>
        <v>19</v>
      </c>
      <c r="H13" s="117">
        <f t="shared" si="1"/>
        <v>20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25">
        <v>2</v>
      </c>
      <c r="G14" s="325"/>
      <c r="H14" s="326"/>
    </row>
    <row r="15" spans="1:8" x14ac:dyDescent="0.25">
      <c r="A15" s="8" t="s">
        <v>23</v>
      </c>
      <c r="B15" s="257"/>
      <c r="C15" s="260"/>
      <c r="D15" s="261"/>
      <c r="E15" s="260"/>
      <c r="F15" s="325"/>
      <c r="G15" s="325"/>
      <c r="H15" s="326"/>
    </row>
    <row r="16" spans="1:8" x14ac:dyDescent="0.25">
      <c r="A16" s="8" t="s">
        <v>24</v>
      </c>
      <c r="B16" s="261"/>
      <c r="C16" s="257"/>
      <c r="D16" s="260"/>
      <c r="E16" s="261"/>
      <c r="F16" s="335"/>
      <c r="G16" s="335"/>
      <c r="H16" s="336"/>
    </row>
    <row r="17" spans="1:8" x14ac:dyDescent="0.25">
      <c r="A17" s="8" t="s">
        <v>25</v>
      </c>
      <c r="B17" s="257"/>
      <c r="C17" s="261"/>
      <c r="D17" s="260"/>
      <c r="E17" s="257"/>
      <c r="F17" s="325"/>
      <c r="G17" s="325"/>
      <c r="H17" s="326"/>
    </row>
    <row r="18" spans="1:8" ht="15.75" thickBot="1" x14ac:dyDescent="0.3">
      <c r="A18" s="8" t="s">
        <v>113</v>
      </c>
      <c r="B18" s="260"/>
      <c r="C18" s="260"/>
      <c r="D18" s="260"/>
      <c r="E18" s="257"/>
      <c r="F18" s="325"/>
      <c r="G18" s="325"/>
      <c r="H18" s="326"/>
    </row>
    <row r="19" spans="1:8" x14ac:dyDescent="0.25">
      <c r="A19" s="5"/>
      <c r="B19" s="116">
        <f>B13+7</f>
        <v>21</v>
      </c>
      <c r="C19" s="116">
        <f>B19+1</f>
        <v>22</v>
      </c>
      <c r="D19" s="116">
        <f t="shared" ref="D19:E19" si="2">C19+1</f>
        <v>23</v>
      </c>
      <c r="E19" s="116">
        <f t="shared" si="2"/>
        <v>24</v>
      </c>
      <c r="F19" s="6">
        <f>E19+1</f>
        <v>25</v>
      </c>
      <c r="G19" s="6">
        <f>F19+1</f>
        <v>26</v>
      </c>
      <c r="H19" s="7">
        <f>G19+1</f>
        <v>27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25">
        <v>3</v>
      </c>
      <c r="G20" s="325"/>
      <c r="H20" s="326"/>
    </row>
    <row r="21" spans="1:8" x14ac:dyDescent="0.25">
      <c r="A21" s="8" t="s">
        <v>23</v>
      </c>
      <c r="B21" s="260"/>
      <c r="C21" s="257"/>
      <c r="D21" s="257"/>
      <c r="E21" s="261"/>
      <c r="F21" s="327"/>
      <c r="G21" s="328"/>
      <c r="H21" s="329"/>
    </row>
    <row r="22" spans="1:8" x14ac:dyDescent="0.25">
      <c r="A22" s="8" t="s">
        <v>24</v>
      </c>
      <c r="B22" s="257"/>
      <c r="C22" s="260"/>
      <c r="D22" s="261"/>
      <c r="E22" s="260"/>
      <c r="F22" s="330"/>
      <c r="G22" s="331"/>
      <c r="H22" s="332"/>
    </row>
    <row r="23" spans="1:8" x14ac:dyDescent="0.25">
      <c r="A23" s="8" t="s">
        <v>25</v>
      </c>
      <c r="B23" s="262"/>
      <c r="C23" s="262"/>
      <c r="D23" s="260"/>
      <c r="E23" s="257"/>
      <c r="F23" s="335"/>
      <c r="G23" s="335"/>
      <c r="H23" s="336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33"/>
      <c r="G24" s="333"/>
      <c r="H24" s="334"/>
    </row>
    <row r="25" spans="1:8" x14ac:dyDescent="0.25">
      <c r="A25" s="5"/>
      <c r="B25" s="116">
        <f>B19+7</f>
        <v>28</v>
      </c>
      <c r="C25" s="116">
        <f>B25+1</f>
        <v>29</v>
      </c>
      <c r="D25" s="116">
        <f t="shared" ref="D25:E25" si="3">C25+1</f>
        <v>30</v>
      </c>
      <c r="E25" s="116">
        <f t="shared" si="3"/>
        <v>31</v>
      </c>
      <c r="F25" s="6">
        <v>1</v>
      </c>
      <c r="G25" s="6">
        <v>2</v>
      </c>
      <c r="H25" s="7">
        <v>3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25">
        <v>2</v>
      </c>
      <c r="G26" s="325"/>
      <c r="H26" s="326"/>
    </row>
    <row r="27" spans="1:8" x14ac:dyDescent="0.25">
      <c r="A27" s="8" t="s">
        <v>23</v>
      </c>
      <c r="B27" s="260"/>
      <c r="C27" s="257"/>
      <c r="D27" s="257"/>
      <c r="E27" s="261"/>
      <c r="F27" s="327"/>
      <c r="G27" s="328"/>
      <c r="H27" s="329"/>
    </row>
    <row r="28" spans="1:8" x14ac:dyDescent="0.25">
      <c r="A28" s="8" t="s">
        <v>24</v>
      </c>
      <c r="B28" s="257"/>
      <c r="C28" s="260"/>
      <c r="D28" s="261"/>
      <c r="E28" s="260"/>
      <c r="F28" s="330"/>
      <c r="G28" s="331"/>
      <c r="H28" s="332"/>
    </row>
    <row r="29" spans="1:8" x14ac:dyDescent="0.25">
      <c r="A29" s="8" t="s">
        <v>25</v>
      </c>
      <c r="B29" s="262"/>
      <c r="C29" s="262"/>
      <c r="D29" s="260"/>
      <c r="E29" s="257"/>
      <c r="F29" s="335"/>
      <c r="G29" s="335"/>
      <c r="H29" s="336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33"/>
      <c r="G30" s="333"/>
      <c r="H30" s="33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6" zoomScale="130" zoomScaleNormal="130" workbookViewId="0">
      <selection activeCell="E16" sqref="E16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26</v>
      </c>
      <c r="B2" s="172"/>
      <c r="C2" s="173"/>
      <c r="D2" s="172"/>
      <c r="E2" s="173"/>
      <c r="F2" s="327">
        <v>3</v>
      </c>
      <c r="G2" s="328"/>
      <c r="H2" s="329"/>
    </row>
    <row r="3" spans="1:10" x14ac:dyDescent="0.25">
      <c r="A3" s="8" t="s">
        <v>23</v>
      </c>
      <c r="B3" s="148"/>
      <c r="C3" s="148"/>
      <c r="D3" s="149"/>
      <c r="E3" s="149"/>
      <c r="F3" s="327" t="s">
        <v>230</v>
      </c>
      <c r="G3" s="328"/>
      <c r="H3" s="329"/>
    </row>
    <row r="4" spans="1:10" x14ac:dyDescent="0.25">
      <c r="A4" s="8" t="s">
        <v>24</v>
      </c>
      <c r="B4" s="148"/>
      <c r="C4" s="149"/>
      <c r="D4" s="149"/>
      <c r="E4" s="148"/>
      <c r="F4" s="330" t="s">
        <v>167</v>
      </c>
      <c r="G4" s="331"/>
      <c r="H4" s="332"/>
    </row>
    <row r="5" spans="1:10" x14ac:dyDescent="0.25">
      <c r="A5" s="8" t="s">
        <v>25</v>
      </c>
      <c r="B5" s="149"/>
      <c r="C5" s="148"/>
      <c r="D5" s="148"/>
      <c r="E5" s="149"/>
      <c r="F5" s="327" t="s">
        <v>129</v>
      </c>
      <c r="G5" s="328"/>
      <c r="H5" s="329"/>
    </row>
    <row r="6" spans="1:10" ht="15.75" thickBot="1" x14ac:dyDescent="0.3">
      <c r="A6" s="15" t="s">
        <v>113</v>
      </c>
      <c r="B6" s="150"/>
      <c r="C6" s="150"/>
      <c r="D6" s="150"/>
      <c r="E6" s="151"/>
      <c r="F6" s="339" t="s">
        <v>229</v>
      </c>
      <c r="G6" s="341"/>
      <c r="H6" s="342"/>
    </row>
    <row r="7" spans="1:10" x14ac:dyDescent="0.25">
      <c r="A7" s="5"/>
      <c r="B7" s="116">
        <v>1</v>
      </c>
      <c r="C7" s="116">
        <f>B7+1</f>
        <v>2</v>
      </c>
      <c r="D7" s="116">
        <f t="shared" ref="D7:G7" si="0">C7+1</f>
        <v>3</v>
      </c>
      <c r="E7" s="116">
        <f t="shared" si="0"/>
        <v>4</v>
      </c>
      <c r="F7" s="116">
        <f t="shared" si="0"/>
        <v>5</v>
      </c>
      <c r="G7" s="116">
        <f t="shared" si="0"/>
        <v>6</v>
      </c>
      <c r="H7" s="117">
        <f>G7+1</f>
        <v>7</v>
      </c>
    </row>
    <row r="8" spans="1:10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25">
        <v>2</v>
      </c>
      <c r="G8" s="325"/>
      <c r="H8" s="326"/>
    </row>
    <row r="9" spans="1:10" x14ac:dyDescent="0.25">
      <c r="A9" s="8" t="s">
        <v>23</v>
      </c>
      <c r="B9" s="199" t="s">
        <v>69</v>
      </c>
      <c r="C9" s="172" t="s">
        <v>65</v>
      </c>
      <c r="D9" s="174" t="s">
        <v>92</v>
      </c>
      <c r="E9" s="240" t="s">
        <v>149</v>
      </c>
      <c r="F9" s="325" t="s">
        <v>166</v>
      </c>
      <c r="G9" s="325"/>
      <c r="H9" s="326"/>
    </row>
    <row r="10" spans="1:10" x14ac:dyDescent="0.25">
      <c r="A10" s="8" t="s">
        <v>24</v>
      </c>
      <c r="B10" s="173" t="s">
        <v>247</v>
      </c>
      <c r="C10" s="234" t="s">
        <v>214</v>
      </c>
      <c r="D10" s="198" t="s">
        <v>90</v>
      </c>
      <c r="E10" s="172" t="s">
        <v>213</v>
      </c>
      <c r="F10" s="335" t="s">
        <v>151</v>
      </c>
      <c r="G10" s="335"/>
      <c r="H10" s="336"/>
      <c r="J10" s="188"/>
    </row>
    <row r="11" spans="1:10" x14ac:dyDescent="0.25">
      <c r="A11" s="8" t="s">
        <v>25</v>
      </c>
      <c r="B11" s="196" t="s">
        <v>165</v>
      </c>
      <c r="C11" s="200" t="s">
        <v>165</v>
      </c>
      <c r="D11" s="172" t="s">
        <v>215</v>
      </c>
      <c r="E11" s="198" t="s">
        <v>93</v>
      </c>
      <c r="F11" s="335" t="s">
        <v>80</v>
      </c>
      <c r="G11" s="335"/>
      <c r="H11" s="336"/>
    </row>
    <row r="12" spans="1:10" ht="15.75" thickBot="1" x14ac:dyDescent="0.3">
      <c r="A12" s="8" t="s">
        <v>113</v>
      </c>
      <c r="B12" s="172" t="s">
        <v>249</v>
      </c>
      <c r="C12" s="172" t="s">
        <v>231</v>
      </c>
      <c r="D12" s="197" t="s">
        <v>211</v>
      </c>
      <c r="E12" s="173" t="s">
        <v>186</v>
      </c>
      <c r="F12" s="325" t="s">
        <v>171</v>
      </c>
      <c r="G12" s="325"/>
      <c r="H12" s="326"/>
    </row>
    <row r="13" spans="1:10" x14ac:dyDescent="0.25">
      <c r="A13" s="5"/>
      <c r="B13" s="116">
        <f>B7+7</f>
        <v>8</v>
      </c>
      <c r="C13" s="116">
        <f>B13+1</f>
        <v>9</v>
      </c>
      <c r="D13" s="116">
        <f t="shared" ref="D13:H13" si="1">C13+1</f>
        <v>10</v>
      </c>
      <c r="E13" s="116">
        <f t="shared" si="1"/>
        <v>11</v>
      </c>
      <c r="F13" s="116">
        <f t="shared" si="1"/>
        <v>12</v>
      </c>
      <c r="G13" s="116">
        <f t="shared" si="1"/>
        <v>13</v>
      </c>
      <c r="H13" s="117">
        <f t="shared" si="1"/>
        <v>14</v>
      </c>
    </row>
    <row r="14" spans="1:10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25">
        <v>3</v>
      </c>
      <c r="G14" s="325"/>
      <c r="H14" s="326"/>
    </row>
    <row r="15" spans="1:10" x14ac:dyDescent="0.25">
      <c r="A15" s="8" t="s">
        <v>23</v>
      </c>
      <c r="B15" s="196" t="s">
        <v>165</v>
      </c>
      <c r="C15" s="198" t="s">
        <v>186</v>
      </c>
      <c r="D15" s="200" t="s">
        <v>129</v>
      </c>
      <c r="E15" s="196" t="s">
        <v>165</v>
      </c>
      <c r="F15" s="325" t="s">
        <v>212</v>
      </c>
      <c r="G15" s="325"/>
      <c r="H15" s="326"/>
    </row>
    <row r="16" spans="1:10" x14ac:dyDescent="0.25">
      <c r="A16" s="8" t="s">
        <v>24</v>
      </c>
      <c r="B16" s="200" t="s">
        <v>229</v>
      </c>
      <c r="C16" s="172" t="s">
        <v>101</v>
      </c>
      <c r="D16" s="172" t="s">
        <v>230</v>
      </c>
      <c r="E16" s="200" t="s">
        <v>98</v>
      </c>
      <c r="F16" s="335" t="s">
        <v>128</v>
      </c>
      <c r="G16" s="335"/>
      <c r="H16" s="336"/>
    </row>
    <row r="17" spans="1:8" x14ac:dyDescent="0.25">
      <c r="A17" s="8" t="s">
        <v>25</v>
      </c>
      <c r="B17" s="172" t="s">
        <v>105</v>
      </c>
      <c r="C17" s="200" t="s">
        <v>115</v>
      </c>
      <c r="D17" s="197" t="s">
        <v>72</v>
      </c>
      <c r="E17" s="195" t="s">
        <v>105</v>
      </c>
      <c r="F17" s="325" t="s">
        <v>152</v>
      </c>
      <c r="G17" s="325"/>
      <c r="H17" s="326"/>
    </row>
    <row r="18" spans="1:8" ht="15.75" thickBot="1" x14ac:dyDescent="0.3">
      <c r="A18" s="8" t="s">
        <v>113</v>
      </c>
      <c r="B18" s="172" t="s">
        <v>212</v>
      </c>
      <c r="C18" s="70" t="s">
        <v>256</v>
      </c>
      <c r="D18" s="70" t="s">
        <v>257</v>
      </c>
      <c r="E18" s="172" t="s">
        <v>65</v>
      </c>
      <c r="F18" s="325" t="s">
        <v>150</v>
      </c>
      <c r="G18" s="325"/>
      <c r="H18" s="326"/>
    </row>
    <row r="19" spans="1:8" x14ac:dyDescent="0.25">
      <c r="A19" s="5"/>
      <c r="B19" s="116">
        <f>B13+7</f>
        <v>15</v>
      </c>
      <c r="C19" s="116">
        <f>B19+1</f>
        <v>16</v>
      </c>
      <c r="D19" s="116">
        <f t="shared" ref="D19:H19" si="2">C19+1</f>
        <v>17</v>
      </c>
      <c r="E19" s="116">
        <f t="shared" si="2"/>
        <v>18</v>
      </c>
      <c r="F19" s="116">
        <f t="shared" si="2"/>
        <v>19</v>
      </c>
      <c r="G19" s="116">
        <f>F19+1</f>
        <v>20</v>
      </c>
      <c r="H19" s="117">
        <f t="shared" si="2"/>
        <v>21</v>
      </c>
    </row>
    <row r="20" spans="1:8" x14ac:dyDescent="0.25">
      <c r="A20" s="8" t="s">
        <v>26</v>
      </c>
      <c r="B20" s="172">
        <v>3</v>
      </c>
      <c r="C20" s="173">
        <v>3</v>
      </c>
      <c r="D20" s="172">
        <v>3</v>
      </c>
      <c r="E20" s="173">
        <v>3</v>
      </c>
      <c r="F20" s="325">
        <v>3</v>
      </c>
      <c r="G20" s="325"/>
      <c r="H20" s="326"/>
    </row>
    <row r="21" spans="1:8" x14ac:dyDescent="0.25">
      <c r="A21" s="8" t="s">
        <v>23</v>
      </c>
      <c r="B21" s="197" t="s">
        <v>247</v>
      </c>
      <c r="C21" s="242" t="s">
        <v>65</v>
      </c>
      <c r="D21" s="200" t="s">
        <v>214</v>
      </c>
      <c r="E21" s="200" t="s">
        <v>167</v>
      </c>
      <c r="F21" s="325" t="s">
        <v>88</v>
      </c>
      <c r="G21" s="325"/>
      <c r="H21" s="326"/>
    </row>
    <row r="22" spans="1:8" x14ac:dyDescent="0.25">
      <c r="A22" s="8" t="s">
        <v>24</v>
      </c>
      <c r="B22" s="174" t="s">
        <v>215</v>
      </c>
      <c r="C22" s="241" t="s">
        <v>129</v>
      </c>
      <c r="D22" s="239" t="s">
        <v>170</v>
      </c>
      <c r="E22" s="198" t="s">
        <v>186</v>
      </c>
      <c r="F22" s="335" t="s">
        <v>92</v>
      </c>
      <c r="G22" s="335"/>
      <c r="H22" s="336"/>
    </row>
    <row r="23" spans="1:8" x14ac:dyDescent="0.25">
      <c r="A23" s="8" t="s">
        <v>25</v>
      </c>
      <c r="B23" s="173" t="s">
        <v>230</v>
      </c>
      <c r="C23" s="198" t="s">
        <v>231</v>
      </c>
      <c r="D23" s="197" t="s">
        <v>72</v>
      </c>
      <c r="E23" s="173" t="s">
        <v>101</v>
      </c>
      <c r="F23" s="325" t="s">
        <v>67</v>
      </c>
      <c r="G23" s="325"/>
      <c r="H23" s="326"/>
    </row>
    <row r="24" spans="1:8" ht="15.75" thickBot="1" x14ac:dyDescent="0.3">
      <c r="A24" s="8" t="s">
        <v>113</v>
      </c>
      <c r="B24" s="172" t="s">
        <v>151</v>
      </c>
      <c r="C24" s="172" t="s">
        <v>213</v>
      </c>
      <c r="D24" s="172" t="s">
        <v>168</v>
      </c>
      <c r="E24" s="173" t="s">
        <v>230</v>
      </c>
      <c r="F24" s="325" t="s">
        <v>256</v>
      </c>
      <c r="G24" s="325"/>
      <c r="H24" s="326"/>
    </row>
    <row r="25" spans="1:8" x14ac:dyDescent="0.25">
      <c r="A25" s="5"/>
      <c r="B25" s="116">
        <f>B19+7</f>
        <v>22</v>
      </c>
      <c r="C25" s="116">
        <f>B25+1</f>
        <v>23</v>
      </c>
      <c r="D25" s="116">
        <f t="shared" ref="D25:E25" si="3">C25+1</f>
        <v>24</v>
      </c>
      <c r="E25" s="11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26</v>
      </c>
      <c r="B26" s="172">
        <v>3</v>
      </c>
      <c r="C26" s="173">
        <v>3</v>
      </c>
      <c r="D26" s="172">
        <v>3</v>
      </c>
      <c r="E26" s="173">
        <v>3</v>
      </c>
      <c r="F26" s="325">
        <v>3</v>
      </c>
      <c r="G26" s="325"/>
      <c r="H26" s="326"/>
    </row>
    <row r="27" spans="1:8" x14ac:dyDescent="0.25">
      <c r="A27" s="8" t="s">
        <v>23</v>
      </c>
      <c r="B27" s="197" t="s">
        <v>65</v>
      </c>
      <c r="C27" s="173" t="s">
        <v>70</v>
      </c>
      <c r="D27" s="173" t="s">
        <v>149</v>
      </c>
      <c r="E27" s="198" t="s">
        <v>93</v>
      </c>
      <c r="F27" s="327" t="s">
        <v>90</v>
      </c>
      <c r="G27" s="328"/>
      <c r="H27" s="329"/>
    </row>
    <row r="28" spans="1:8" x14ac:dyDescent="0.25">
      <c r="A28" s="8" t="s">
        <v>24</v>
      </c>
      <c r="B28" s="199" t="s">
        <v>231</v>
      </c>
      <c r="C28" s="200" t="s">
        <v>185</v>
      </c>
      <c r="D28" s="240" t="s">
        <v>230</v>
      </c>
      <c r="E28" s="199" t="s">
        <v>69</v>
      </c>
      <c r="F28" s="330" t="s">
        <v>115</v>
      </c>
      <c r="G28" s="331"/>
      <c r="H28" s="332"/>
    </row>
    <row r="29" spans="1:8" x14ac:dyDescent="0.25">
      <c r="A29" s="8" t="s">
        <v>25</v>
      </c>
      <c r="B29" s="197" t="s">
        <v>152</v>
      </c>
      <c r="C29" s="197" t="s">
        <v>166</v>
      </c>
      <c r="D29" s="172" t="s">
        <v>116</v>
      </c>
      <c r="E29" s="173" t="s">
        <v>229</v>
      </c>
      <c r="F29" s="325" t="s">
        <v>98</v>
      </c>
      <c r="G29" s="325"/>
      <c r="H29" s="326"/>
    </row>
    <row r="30" spans="1:8" ht="15.75" thickBot="1" x14ac:dyDescent="0.3">
      <c r="A30" s="15" t="s">
        <v>113</v>
      </c>
      <c r="B30" s="70" t="s">
        <v>249</v>
      </c>
      <c r="C30" s="171" t="s">
        <v>215</v>
      </c>
      <c r="D30" s="70" t="s">
        <v>257</v>
      </c>
      <c r="E30" s="171" t="s">
        <v>101</v>
      </c>
      <c r="F30" s="333" t="s">
        <v>211</v>
      </c>
      <c r="G30" s="333"/>
      <c r="H30" s="334"/>
    </row>
    <row r="31" spans="1:8" x14ac:dyDescent="0.25">
      <c r="A31" s="5"/>
      <c r="B31" s="116">
        <f>B25+7</f>
        <v>29</v>
      </c>
      <c r="C31" s="116">
        <f>B31+1</f>
        <v>30</v>
      </c>
      <c r="D31" s="116">
        <f t="shared" ref="D31" si="4">C31+1</f>
        <v>31</v>
      </c>
      <c r="E31" s="11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26</v>
      </c>
      <c r="B32" s="172">
        <v>3</v>
      </c>
      <c r="C32" s="173">
        <v>3</v>
      </c>
      <c r="D32" s="172">
        <v>3</v>
      </c>
      <c r="E32" s="173">
        <v>3</v>
      </c>
      <c r="F32" s="325">
        <v>3</v>
      </c>
      <c r="G32" s="325"/>
      <c r="H32" s="326"/>
    </row>
    <row r="33" spans="1:8" x14ac:dyDescent="0.25">
      <c r="A33" s="8" t="s">
        <v>23</v>
      </c>
      <c r="B33" s="200" t="s">
        <v>128</v>
      </c>
      <c r="C33" s="173" t="s">
        <v>171</v>
      </c>
      <c r="D33" s="237" t="s">
        <v>80</v>
      </c>
      <c r="E33" s="198" t="s">
        <v>150</v>
      </c>
      <c r="F33" s="327" t="s">
        <v>129</v>
      </c>
      <c r="G33" s="328"/>
      <c r="H33" s="329"/>
    </row>
    <row r="34" spans="1:8" x14ac:dyDescent="0.25">
      <c r="A34" s="8" t="s">
        <v>24</v>
      </c>
      <c r="B34" s="173" t="s">
        <v>229</v>
      </c>
      <c r="C34" s="172" t="s">
        <v>151</v>
      </c>
      <c r="D34" s="198" t="s">
        <v>149</v>
      </c>
      <c r="E34" s="200" t="s">
        <v>167</v>
      </c>
      <c r="F34" s="330" t="s">
        <v>169</v>
      </c>
      <c r="G34" s="331"/>
      <c r="H34" s="332"/>
    </row>
    <row r="35" spans="1:8" x14ac:dyDescent="0.25">
      <c r="A35" s="8" t="s">
        <v>25</v>
      </c>
      <c r="B35" s="195" t="s">
        <v>215</v>
      </c>
      <c r="C35" s="175" t="s">
        <v>101</v>
      </c>
      <c r="D35" s="238" t="s">
        <v>92</v>
      </c>
      <c r="E35" s="173" t="s">
        <v>67</v>
      </c>
      <c r="F35" s="325" t="s">
        <v>168</v>
      </c>
      <c r="G35" s="325"/>
      <c r="H35" s="326"/>
    </row>
    <row r="36" spans="1:8" ht="15.75" thickBot="1" x14ac:dyDescent="0.3">
      <c r="A36" s="15" t="s">
        <v>113</v>
      </c>
      <c r="B36" s="171" t="s">
        <v>231</v>
      </c>
      <c r="C36" s="171" t="s">
        <v>247</v>
      </c>
      <c r="D36" s="83" t="s">
        <v>249</v>
      </c>
      <c r="E36" s="171" t="s">
        <v>257</v>
      </c>
      <c r="F36" s="333" t="s">
        <v>185</v>
      </c>
      <c r="G36" s="333"/>
      <c r="H36" s="334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52" t="s">
        <v>279</v>
      </c>
      <c r="B1" s="153" t="s">
        <v>278</v>
      </c>
    </row>
    <row r="2" spans="1:2" x14ac:dyDescent="0.25">
      <c r="A2" s="155" t="s">
        <v>268</v>
      </c>
      <c r="B2" s="156" t="s">
        <v>273</v>
      </c>
    </row>
    <row r="3" spans="1:2" x14ac:dyDescent="0.25">
      <c r="A3" s="155" t="s">
        <v>269</v>
      </c>
      <c r="B3" s="156" t="s">
        <v>274</v>
      </c>
    </row>
    <row r="4" spans="1:2" x14ac:dyDescent="0.25">
      <c r="A4" s="155" t="s">
        <v>270</v>
      </c>
      <c r="B4" s="156" t="s">
        <v>275</v>
      </c>
    </row>
    <row r="5" spans="1:2" x14ac:dyDescent="0.25">
      <c r="A5" s="155" t="s">
        <v>271</v>
      </c>
      <c r="B5" s="156" t="s">
        <v>277</v>
      </c>
    </row>
    <row r="6" spans="1:2" ht="15.75" thickBot="1" x14ac:dyDescent="0.3">
      <c r="A6" s="158" t="s">
        <v>272</v>
      </c>
      <c r="B6" s="159" t="s">
        <v>276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26</v>
      </c>
      <c r="B2" s="167"/>
      <c r="C2" s="168"/>
      <c r="D2" s="167"/>
      <c r="E2" s="168"/>
      <c r="F2" s="325">
        <v>2</v>
      </c>
      <c r="G2" s="325"/>
      <c r="H2" s="326"/>
    </row>
    <row r="3" spans="1:10" x14ac:dyDescent="0.25">
      <c r="A3" s="8" t="s">
        <v>23</v>
      </c>
      <c r="B3" s="148"/>
      <c r="C3" s="148"/>
      <c r="D3" s="149"/>
      <c r="E3" s="149"/>
      <c r="F3" s="327" t="s">
        <v>166</v>
      </c>
      <c r="G3" s="328"/>
      <c r="H3" s="329"/>
    </row>
    <row r="4" spans="1:10" x14ac:dyDescent="0.25">
      <c r="A4" s="8" t="s">
        <v>24</v>
      </c>
      <c r="B4" s="148"/>
      <c r="C4" s="149"/>
      <c r="D4" s="149"/>
      <c r="E4" s="148"/>
      <c r="F4" s="330" t="s">
        <v>80</v>
      </c>
      <c r="G4" s="331"/>
      <c r="H4" s="332"/>
    </row>
    <row r="5" spans="1:10" x14ac:dyDescent="0.25">
      <c r="A5" s="8" t="s">
        <v>25</v>
      </c>
      <c r="B5" s="149"/>
      <c r="C5" s="148"/>
      <c r="D5" s="148"/>
      <c r="E5" s="149"/>
      <c r="F5" s="335" t="s">
        <v>92</v>
      </c>
      <c r="G5" s="335"/>
      <c r="H5" s="336"/>
    </row>
    <row r="6" spans="1:10" ht="15.75" thickBot="1" x14ac:dyDescent="0.3">
      <c r="A6" s="15" t="s">
        <v>113</v>
      </c>
      <c r="B6" s="150"/>
      <c r="C6" s="150"/>
      <c r="D6" s="150"/>
      <c r="E6" s="151"/>
      <c r="F6" s="333" t="s">
        <v>203</v>
      </c>
      <c r="G6" s="333"/>
      <c r="H6" s="334"/>
    </row>
    <row r="7" spans="1:10" x14ac:dyDescent="0.25">
      <c r="A7" s="5"/>
      <c r="B7" s="116">
        <f>H1+1</f>
        <v>3</v>
      </c>
      <c r="C7" s="116">
        <f>B7+1</f>
        <v>4</v>
      </c>
      <c r="D7" s="116">
        <f t="shared" ref="D7:G7" si="0">C7+1</f>
        <v>5</v>
      </c>
      <c r="E7" s="116">
        <f t="shared" si="0"/>
        <v>6</v>
      </c>
      <c r="F7" s="116">
        <f t="shared" si="0"/>
        <v>7</v>
      </c>
      <c r="G7" s="116">
        <f t="shared" si="0"/>
        <v>8</v>
      </c>
      <c r="H7" s="117">
        <f>G7+1</f>
        <v>9</v>
      </c>
    </row>
    <row r="8" spans="1:10" x14ac:dyDescent="0.25">
      <c r="A8" s="8" t="s">
        <v>26</v>
      </c>
      <c r="B8" s="167">
        <v>3</v>
      </c>
      <c r="C8" s="168">
        <v>3</v>
      </c>
      <c r="D8" s="167">
        <v>3</v>
      </c>
      <c r="E8" s="168">
        <v>3</v>
      </c>
      <c r="F8" s="325">
        <v>3</v>
      </c>
      <c r="G8" s="325"/>
      <c r="H8" s="326"/>
    </row>
    <row r="9" spans="1:10" x14ac:dyDescent="0.25">
      <c r="A9" s="8" t="s">
        <v>23</v>
      </c>
      <c r="B9" s="183" t="s">
        <v>129</v>
      </c>
      <c r="C9" s="167" t="s">
        <v>186</v>
      </c>
      <c r="D9" s="186" t="s">
        <v>85</v>
      </c>
      <c r="E9" s="168" t="s">
        <v>167</v>
      </c>
      <c r="F9" s="325" t="s">
        <v>114</v>
      </c>
      <c r="G9" s="325"/>
      <c r="H9" s="326"/>
      <c r="J9" s="188" t="s">
        <v>250</v>
      </c>
    </row>
    <row r="10" spans="1:10" x14ac:dyDescent="0.25">
      <c r="A10" s="8" t="s">
        <v>24</v>
      </c>
      <c r="B10" s="168" t="s">
        <v>83</v>
      </c>
      <c r="C10" s="186" t="s">
        <v>149</v>
      </c>
      <c r="D10" s="184" t="s">
        <v>72</v>
      </c>
      <c r="E10" s="184" t="s">
        <v>185</v>
      </c>
      <c r="F10" s="325" t="s">
        <v>65</v>
      </c>
      <c r="G10" s="325"/>
      <c r="H10" s="326"/>
    </row>
    <row r="11" spans="1:10" x14ac:dyDescent="0.25">
      <c r="A11" s="8" t="s">
        <v>25</v>
      </c>
      <c r="B11" s="185" t="s">
        <v>128</v>
      </c>
      <c r="C11" s="167" t="s">
        <v>165</v>
      </c>
      <c r="D11" s="184" t="s">
        <v>90</v>
      </c>
      <c r="E11" s="185" t="s">
        <v>215</v>
      </c>
      <c r="F11" s="335" t="s">
        <v>69</v>
      </c>
      <c r="G11" s="335"/>
      <c r="H11" s="336"/>
    </row>
    <row r="12" spans="1:10" ht="15.75" thickBot="1" x14ac:dyDescent="0.3">
      <c r="A12" s="8" t="s">
        <v>113</v>
      </c>
      <c r="B12" s="167" t="s">
        <v>228</v>
      </c>
      <c r="C12" s="167" t="s">
        <v>247</v>
      </c>
      <c r="D12" s="70" t="s">
        <v>211</v>
      </c>
      <c r="E12" s="70" t="s">
        <v>248</v>
      </c>
      <c r="F12" s="325" t="s">
        <v>70</v>
      </c>
      <c r="G12" s="325"/>
      <c r="H12" s="326"/>
    </row>
    <row r="13" spans="1:10" x14ac:dyDescent="0.25">
      <c r="A13" s="5"/>
      <c r="B13" s="116">
        <f>B7+7</f>
        <v>10</v>
      </c>
      <c r="C13" s="116">
        <f>B13+1</f>
        <v>11</v>
      </c>
      <c r="D13" s="116">
        <f t="shared" ref="D13:H13" si="1">C13+1</f>
        <v>12</v>
      </c>
      <c r="E13" s="116">
        <f t="shared" si="1"/>
        <v>13</v>
      </c>
      <c r="F13" s="116">
        <f t="shared" si="1"/>
        <v>14</v>
      </c>
      <c r="G13" s="116">
        <f t="shared" si="1"/>
        <v>15</v>
      </c>
      <c r="H13" s="117">
        <f t="shared" si="1"/>
        <v>16</v>
      </c>
    </row>
    <row r="14" spans="1:10" x14ac:dyDescent="0.25">
      <c r="A14" s="8" t="s">
        <v>26</v>
      </c>
      <c r="B14" s="167">
        <v>3</v>
      </c>
      <c r="C14" s="168">
        <v>3</v>
      </c>
      <c r="D14" s="167">
        <v>3</v>
      </c>
      <c r="E14" s="168">
        <v>3</v>
      </c>
      <c r="F14" s="325">
        <v>3</v>
      </c>
      <c r="G14" s="325"/>
      <c r="H14" s="326"/>
    </row>
    <row r="15" spans="1:10" x14ac:dyDescent="0.25">
      <c r="A15" s="8" t="s">
        <v>23</v>
      </c>
      <c r="B15" s="169" t="s">
        <v>210</v>
      </c>
      <c r="C15" s="186" t="s">
        <v>92</v>
      </c>
      <c r="D15" s="186" t="s">
        <v>128</v>
      </c>
      <c r="E15" s="184" t="s">
        <v>212</v>
      </c>
      <c r="F15" s="325" t="s">
        <v>98</v>
      </c>
      <c r="G15" s="325"/>
      <c r="H15" s="326"/>
      <c r="J15" t="s">
        <v>252</v>
      </c>
    </row>
    <row r="16" spans="1:10" x14ac:dyDescent="0.25">
      <c r="A16" s="8" t="s">
        <v>24</v>
      </c>
      <c r="B16" s="184" t="s">
        <v>149</v>
      </c>
      <c r="C16" s="167" t="s">
        <v>101</v>
      </c>
      <c r="D16" s="183" t="s">
        <v>67</v>
      </c>
      <c r="E16" s="167" t="s">
        <v>80</v>
      </c>
      <c r="F16" s="325" t="s">
        <v>116</v>
      </c>
      <c r="G16" s="325"/>
      <c r="H16" s="326"/>
      <c r="J16" s="188" t="s">
        <v>253</v>
      </c>
    </row>
    <row r="17" spans="1:10" x14ac:dyDescent="0.25">
      <c r="A17" s="8" t="s">
        <v>25</v>
      </c>
      <c r="B17" s="184" t="s">
        <v>214</v>
      </c>
      <c r="C17" s="167" t="s">
        <v>171</v>
      </c>
      <c r="D17" s="183" t="s">
        <v>213</v>
      </c>
      <c r="E17" s="186" t="s">
        <v>115</v>
      </c>
      <c r="F17" s="335" t="s">
        <v>151</v>
      </c>
      <c r="G17" s="335"/>
      <c r="H17" s="336"/>
    </row>
    <row r="18" spans="1:10" ht="15.75" thickBot="1" x14ac:dyDescent="0.3">
      <c r="A18" s="8" t="s">
        <v>113</v>
      </c>
      <c r="B18" s="167" t="s">
        <v>231</v>
      </c>
      <c r="C18" s="167" t="s">
        <v>228</v>
      </c>
      <c r="D18" s="70" t="s">
        <v>211</v>
      </c>
      <c r="E18" s="167" t="s">
        <v>166</v>
      </c>
      <c r="F18" s="325" t="s">
        <v>72</v>
      </c>
      <c r="G18" s="325"/>
      <c r="H18" s="326"/>
    </row>
    <row r="19" spans="1:10" x14ac:dyDescent="0.25">
      <c r="A19" s="5"/>
      <c r="B19" s="116">
        <f>B13+7</f>
        <v>17</v>
      </c>
      <c r="C19" s="116">
        <f>B19+1</f>
        <v>18</v>
      </c>
      <c r="D19" s="116">
        <f t="shared" ref="D19:H19" si="2">C19+1</f>
        <v>19</v>
      </c>
      <c r="E19" s="116">
        <f t="shared" si="2"/>
        <v>20</v>
      </c>
      <c r="F19" s="116">
        <f t="shared" si="2"/>
        <v>21</v>
      </c>
      <c r="G19" s="116">
        <f>F19+1</f>
        <v>22</v>
      </c>
      <c r="H19" s="117">
        <f t="shared" si="2"/>
        <v>23</v>
      </c>
    </row>
    <row r="20" spans="1:10" x14ac:dyDescent="0.25">
      <c r="A20" s="8" t="s">
        <v>26</v>
      </c>
      <c r="B20" s="167">
        <v>3</v>
      </c>
      <c r="C20" s="168">
        <v>3</v>
      </c>
      <c r="D20" s="167">
        <v>3</v>
      </c>
      <c r="E20" s="168">
        <v>3</v>
      </c>
      <c r="F20" s="325">
        <v>3</v>
      </c>
      <c r="G20" s="325"/>
      <c r="H20" s="326"/>
    </row>
    <row r="21" spans="1:10" x14ac:dyDescent="0.25">
      <c r="A21" s="8" t="s">
        <v>23</v>
      </c>
      <c r="B21" s="183" t="s">
        <v>203</v>
      </c>
      <c r="C21" s="167" t="s">
        <v>212</v>
      </c>
      <c r="D21" s="184" t="s">
        <v>169</v>
      </c>
      <c r="E21" s="185" t="s">
        <v>166</v>
      </c>
      <c r="F21" s="325" t="s">
        <v>101</v>
      </c>
      <c r="G21" s="325"/>
      <c r="H21" s="326"/>
    </row>
    <row r="22" spans="1:10" x14ac:dyDescent="0.25">
      <c r="A22" s="8" t="s">
        <v>24</v>
      </c>
      <c r="B22" s="186" t="s">
        <v>186</v>
      </c>
      <c r="C22" s="186" t="s">
        <v>92</v>
      </c>
      <c r="D22" s="186" t="s">
        <v>128</v>
      </c>
      <c r="E22" s="184" t="s">
        <v>65</v>
      </c>
      <c r="F22" s="335" t="s">
        <v>79</v>
      </c>
      <c r="G22" s="335"/>
      <c r="H22" s="336"/>
    </row>
    <row r="23" spans="1:10" x14ac:dyDescent="0.25">
      <c r="A23" s="8" t="s">
        <v>25</v>
      </c>
      <c r="B23" s="183" t="s">
        <v>213</v>
      </c>
      <c r="C23" s="184" t="s">
        <v>215</v>
      </c>
      <c r="D23" s="184" t="s">
        <v>105</v>
      </c>
      <c r="E23" s="184" t="s">
        <v>214</v>
      </c>
      <c r="F23" s="325" t="s">
        <v>129</v>
      </c>
      <c r="G23" s="325"/>
      <c r="H23" s="326"/>
    </row>
    <row r="24" spans="1:10" ht="15.75" thickBot="1" x14ac:dyDescent="0.3">
      <c r="A24" s="8" t="s">
        <v>113</v>
      </c>
      <c r="B24" s="184" t="s">
        <v>249</v>
      </c>
      <c r="C24" s="167" t="s">
        <v>248</v>
      </c>
      <c r="D24" s="167" t="s">
        <v>168</v>
      </c>
      <c r="E24" s="168" t="s">
        <v>247</v>
      </c>
      <c r="F24" s="325" t="s">
        <v>93</v>
      </c>
      <c r="G24" s="325"/>
      <c r="H24" s="326"/>
    </row>
    <row r="25" spans="1:10" x14ac:dyDescent="0.25">
      <c r="A25" s="5"/>
      <c r="B25" s="116">
        <f>B19+7</f>
        <v>24</v>
      </c>
      <c r="C25" s="116">
        <f>B25+1</f>
        <v>25</v>
      </c>
      <c r="D25" s="116">
        <f t="shared" ref="D25:E25" si="3">C25+1</f>
        <v>26</v>
      </c>
      <c r="E25" s="11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26</v>
      </c>
      <c r="B26" s="167">
        <v>3</v>
      </c>
      <c r="C26" s="168">
        <v>3</v>
      </c>
      <c r="D26" s="167">
        <v>3</v>
      </c>
      <c r="E26" s="168">
        <v>3</v>
      </c>
      <c r="F26" s="325">
        <v>3</v>
      </c>
      <c r="G26" s="325"/>
      <c r="H26" s="326"/>
    </row>
    <row r="27" spans="1:10" x14ac:dyDescent="0.25">
      <c r="A27" s="8" t="s">
        <v>23</v>
      </c>
      <c r="B27" s="184" t="s">
        <v>212</v>
      </c>
      <c r="C27" s="183" t="s">
        <v>231</v>
      </c>
      <c r="D27" s="183" t="s">
        <v>203</v>
      </c>
      <c r="E27" s="184" t="s">
        <v>170</v>
      </c>
      <c r="F27" s="327" t="s">
        <v>230</v>
      </c>
      <c r="G27" s="328"/>
      <c r="H27" s="329"/>
    </row>
    <row r="28" spans="1:10" x14ac:dyDescent="0.25">
      <c r="A28" s="8" t="s">
        <v>24</v>
      </c>
      <c r="B28" s="184" t="s">
        <v>167</v>
      </c>
      <c r="C28" s="185" t="s">
        <v>185</v>
      </c>
      <c r="D28" s="186" t="s">
        <v>171</v>
      </c>
      <c r="E28" s="184" t="s">
        <v>149</v>
      </c>
      <c r="F28" s="330" t="s">
        <v>210</v>
      </c>
      <c r="G28" s="331"/>
      <c r="H28" s="332"/>
      <c r="J28" s="81" t="s">
        <v>251</v>
      </c>
    </row>
    <row r="29" spans="1:10" x14ac:dyDescent="0.25">
      <c r="A29" s="8" t="s">
        <v>25</v>
      </c>
      <c r="B29" s="186" t="s">
        <v>115</v>
      </c>
      <c r="C29" s="183" t="s">
        <v>213</v>
      </c>
      <c r="D29" s="184" t="s">
        <v>90</v>
      </c>
      <c r="E29" s="186" t="s">
        <v>165</v>
      </c>
      <c r="F29" s="325" t="s">
        <v>229</v>
      </c>
      <c r="G29" s="325"/>
      <c r="H29" s="326"/>
    </row>
    <row r="30" spans="1:10" ht="15.75" thickBot="1" x14ac:dyDescent="0.3">
      <c r="A30" s="15" t="s">
        <v>113</v>
      </c>
      <c r="B30" s="166" t="s">
        <v>228</v>
      </c>
      <c r="C30" s="166" t="s">
        <v>152</v>
      </c>
      <c r="D30" s="83" t="s">
        <v>211</v>
      </c>
      <c r="E30" s="166" t="s">
        <v>150</v>
      </c>
      <c r="F30" s="333" t="s">
        <v>83</v>
      </c>
      <c r="G30" s="333"/>
      <c r="H30" s="33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26</v>
      </c>
      <c r="B2" s="162">
        <v>3</v>
      </c>
      <c r="C2" s="163">
        <v>3</v>
      </c>
      <c r="D2" s="162">
        <v>3</v>
      </c>
      <c r="E2" s="163">
        <v>3</v>
      </c>
      <c r="F2" s="343">
        <v>3</v>
      </c>
      <c r="G2" s="343"/>
      <c r="H2" s="344"/>
    </row>
    <row r="3" spans="1:8" x14ac:dyDescent="0.25">
      <c r="A3" s="8" t="s">
        <v>23</v>
      </c>
      <c r="B3" s="148"/>
      <c r="C3" s="148"/>
      <c r="D3" s="149"/>
      <c r="E3" s="149"/>
      <c r="F3" s="335" t="s">
        <v>80</v>
      </c>
      <c r="G3" s="335"/>
      <c r="H3" s="336"/>
    </row>
    <row r="4" spans="1:8" x14ac:dyDescent="0.25">
      <c r="A4" s="8" t="s">
        <v>24</v>
      </c>
      <c r="B4" s="148"/>
      <c r="C4" s="149"/>
      <c r="D4" s="149"/>
      <c r="E4" s="148"/>
      <c r="F4" s="325" t="s">
        <v>150</v>
      </c>
      <c r="G4" s="325"/>
      <c r="H4" s="326"/>
    </row>
    <row r="5" spans="1:8" x14ac:dyDescent="0.25">
      <c r="A5" s="8" t="s">
        <v>25</v>
      </c>
      <c r="B5" s="149"/>
      <c r="C5" s="148"/>
      <c r="D5" s="148"/>
      <c r="E5" s="149"/>
      <c r="F5" s="325" t="s">
        <v>67</v>
      </c>
      <c r="G5" s="325"/>
      <c r="H5" s="326"/>
    </row>
    <row r="6" spans="1:8" ht="15.75" thickBot="1" x14ac:dyDescent="0.3">
      <c r="A6" s="15" t="s">
        <v>113</v>
      </c>
      <c r="B6" s="150"/>
      <c r="C6" s="150"/>
      <c r="D6" s="150"/>
      <c r="E6" s="151"/>
      <c r="F6" s="333" t="s">
        <v>211</v>
      </c>
      <c r="G6" s="333"/>
      <c r="H6" s="334"/>
    </row>
    <row r="7" spans="1:8" x14ac:dyDescent="0.25">
      <c r="A7" s="5"/>
      <c r="B7" s="116">
        <f>H1+1</f>
        <v>6</v>
      </c>
      <c r="C7" s="116">
        <f>B7+1</f>
        <v>7</v>
      </c>
      <c r="D7" s="116">
        <f t="shared" ref="D7:G7" si="1">C7+1</f>
        <v>8</v>
      </c>
      <c r="E7" s="116">
        <f t="shared" si="1"/>
        <v>9</v>
      </c>
      <c r="F7" s="116">
        <f t="shared" si="1"/>
        <v>10</v>
      </c>
      <c r="G7" s="116">
        <f t="shared" si="1"/>
        <v>11</v>
      </c>
      <c r="H7" s="117">
        <f>G7+1</f>
        <v>12</v>
      </c>
    </row>
    <row r="8" spans="1:8" x14ac:dyDescent="0.25">
      <c r="A8" s="8" t="s">
        <v>26</v>
      </c>
      <c r="B8" s="162">
        <v>3</v>
      </c>
      <c r="C8" s="163">
        <v>3</v>
      </c>
      <c r="D8" s="162">
        <v>3</v>
      </c>
      <c r="E8" s="163">
        <v>3</v>
      </c>
      <c r="F8" s="325">
        <v>2</v>
      </c>
      <c r="G8" s="325"/>
      <c r="H8" s="326"/>
    </row>
    <row r="9" spans="1:8" x14ac:dyDescent="0.25">
      <c r="A9" s="8" t="s">
        <v>23</v>
      </c>
      <c r="B9" s="162" t="s">
        <v>151</v>
      </c>
      <c r="C9" s="162" t="s">
        <v>166</v>
      </c>
      <c r="D9" s="164" t="s">
        <v>85</v>
      </c>
      <c r="E9" s="163" t="s">
        <v>214</v>
      </c>
      <c r="F9" s="335" t="s">
        <v>128</v>
      </c>
      <c r="G9" s="335"/>
      <c r="H9" s="336"/>
    </row>
    <row r="10" spans="1:8" x14ac:dyDescent="0.25">
      <c r="A10" s="8" t="s">
        <v>24</v>
      </c>
      <c r="B10" s="163" t="s">
        <v>149</v>
      </c>
      <c r="C10" s="164" t="s">
        <v>79</v>
      </c>
      <c r="D10" s="163" t="s">
        <v>167</v>
      </c>
      <c r="E10" s="162" t="s">
        <v>215</v>
      </c>
      <c r="F10" s="325" t="s">
        <v>169</v>
      </c>
      <c r="G10" s="325"/>
      <c r="H10" s="326"/>
    </row>
    <row r="11" spans="1:8" x14ac:dyDescent="0.25">
      <c r="A11" s="8" t="s">
        <v>25</v>
      </c>
      <c r="B11" s="164" t="s">
        <v>115</v>
      </c>
      <c r="C11" s="162" t="s">
        <v>116</v>
      </c>
      <c r="D11" s="162" t="s">
        <v>230</v>
      </c>
      <c r="E11" s="164" t="s">
        <v>92</v>
      </c>
      <c r="F11" s="335" t="s">
        <v>168</v>
      </c>
      <c r="G11" s="335"/>
      <c r="H11" s="336"/>
    </row>
    <row r="12" spans="1:8" ht="15.75" thickBot="1" x14ac:dyDescent="0.3">
      <c r="A12" s="8" t="s">
        <v>113</v>
      </c>
      <c r="B12" s="162" t="s">
        <v>186</v>
      </c>
      <c r="C12" s="162" t="s">
        <v>114</v>
      </c>
      <c r="D12" s="70" t="s">
        <v>212</v>
      </c>
      <c r="E12" s="163" t="s">
        <v>185</v>
      </c>
      <c r="F12" s="325" t="s">
        <v>213</v>
      </c>
      <c r="G12" s="325"/>
      <c r="H12" s="326"/>
    </row>
    <row r="13" spans="1:8" x14ac:dyDescent="0.25">
      <c r="A13" s="5"/>
      <c r="B13" s="116">
        <f>B7+7</f>
        <v>13</v>
      </c>
      <c r="C13" s="116">
        <f>B13+1</f>
        <v>14</v>
      </c>
      <c r="D13" s="116">
        <f t="shared" ref="D13:H13" si="2">C13+1</f>
        <v>15</v>
      </c>
      <c r="E13" s="116">
        <f t="shared" si="2"/>
        <v>16</v>
      </c>
      <c r="F13" s="116">
        <f t="shared" si="2"/>
        <v>17</v>
      </c>
      <c r="G13" s="116">
        <f t="shared" si="2"/>
        <v>18</v>
      </c>
      <c r="H13" s="117">
        <f t="shared" si="2"/>
        <v>19</v>
      </c>
    </row>
    <row r="14" spans="1:8" x14ac:dyDescent="0.25">
      <c r="A14" s="8" t="s">
        <v>26</v>
      </c>
      <c r="B14" s="162">
        <v>3</v>
      </c>
      <c r="C14" s="163">
        <v>3</v>
      </c>
      <c r="D14" s="162">
        <v>3</v>
      </c>
      <c r="E14" s="163">
        <v>3</v>
      </c>
      <c r="F14" s="325" t="s">
        <v>216</v>
      </c>
      <c r="G14" s="325"/>
      <c r="H14" s="326"/>
    </row>
    <row r="15" spans="1:8" x14ac:dyDescent="0.25">
      <c r="A15" s="8" t="s">
        <v>23</v>
      </c>
      <c r="B15" s="164" t="s">
        <v>67</v>
      </c>
      <c r="C15" s="165" t="s">
        <v>69</v>
      </c>
      <c r="D15" s="163" t="s">
        <v>90</v>
      </c>
      <c r="E15" s="164" t="s">
        <v>115</v>
      </c>
      <c r="F15" s="325" t="s">
        <v>231</v>
      </c>
      <c r="G15" s="325"/>
      <c r="H15" s="326"/>
    </row>
    <row r="16" spans="1:8" x14ac:dyDescent="0.25">
      <c r="A16" s="8" t="s">
        <v>24</v>
      </c>
      <c r="B16" s="162" t="s">
        <v>170</v>
      </c>
      <c r="C16" s="162" t="s">
        <v>101</v>
      </c>
      <c r="D16" s="162" t="s">
        <v>74</v>
      </c>
      <c r="E16" s="162" t="s">
        <v>116</v>
      </c>
      <c r="F16" s="325" t="s">
        <v>228</v>
      </c>
      <c r="G16" s="325"/>
      <c r="H16" s="326"/>
    </row>
    <row r="17" spans="1:8" x14ac:dyDescent="0.25">
      <c r="A17" s="8" t="s">
        <v>25</v>
      </c>
      <c r="B17" s="162" t="s">
        <v>171</v>
      </c>
      <c r="C17" s="162" t="s">
        <v>70</v>
      </c>
      <c r="D17" s="165" t="s">
        <v>85</v>
      </c>
      <c r="E17" s="163" t="s">
        <v>93</v>
      </c>
      <c r="F17" s="335" t="s">
        <v>129</v>
      </c>
      <c r="G17" s="335"/>
      <c r="H17" s="336"/>
    </row>
    <row r="18" spans="1:8" ht="15.75" thickBot="1" x14ac:dyDescent="0.3">
      <c r="A18" s="8" t="s">
        <v>113</v>
      </c>
      <c r="B18" s="162" t="s">
        <v>98</v>
      </c>
      <c r="C18" s="162" t="s">
        <v>100</v>
      </c>
      <c r="D18" s="70" t="s">
        <v>211</v>
      </c>
      <c r="E18" s="162" t="s">
        <v>186</v>
      </c>
      <c r="F18" s="325" t="s">
        <v>212</v>
      </c>
      <c r="G18" s="325"/>
      <c r="H18" s="326"/>
    </row>
    <row r="19" spans="1:8" x14ac:dyDescent="0.25">
      <c r="A19" s="5"/>
      <c r="B19" s="116">
        <f>B13+7</f>
        <v>20</v>
      </c>
      <c r="C19" s="116">
        <f>B19+1</f>
        <v>21</v>
      </c>
      <c r="D19" s="116">
        <f t="shared" ref="D19:H19" si="3">C19+1</f>
        <v>22</v>
      </c>
      <c r="E19" s="116">
        <f t="shared" si="3"/>
        <v>23</v>
      </c>
      <c r="F19" s="116">
        <f t="shared" si="3"/>
        <v>24</v>
      </c>
      <c r="G19" s="116">
        <f>F19+1</f>
        <v>25</v>
      </c>
      <c r="H19" s="117">
        <f t="shared" si="3"/>
        <v>26</v>
      </c>
    </row>
    <row r="20" spans="1:8" x14ac:dyDescent="0.25">
      <c r="A20" s="8" t="s">
        <v>26</v>
      </c>
      <c r="B20" s="162" t="s">
        <v>216</v>
      </c>
      <c r="C20" s="163">
        <v>3</v>
      </c>
      <c r="D20" s="162">
        <v>3</v>
      </c>
      <c r="E20" s="163">
        <v>3</v>
      </c>
      <c r="F20" s="325">
        <v>3</v>
      </c>
      <c r="G20" s="325"/>
      <c r="H20" s="326"/>
    </row>
    <row r="21" spans="1:8" x14ac:dyDescent="0.25">
      <c r="A21" s="8" t="s">
        <v>23</v>
      </c>
      <c r="B21" s="163" t="s">
        <v>231</v>
      </c>
      <c r="C21" s="162" t="s">
        <v>88</v>
      </c>
      <c r="D21" s="164" t="s">
        <v>128</v>
      </c>
      <c r="E21" s="162" t="s">
        <v>230</v>
      </c>
      <c r="F21" s="325" t="s">
        <v>171</v>
      </c>
      <c r="G21" s="325"/>
      <c r="H21" s="326"/>
    </row>
    <row r="22" spans="1:8" x14ac:dyDescent="0.25">
      <c r="A22" s="8" t="s">
        <v>24</v>
      </c>
      <c r="B22" s="177" t="s">
        <v>228</v>
      </c>
      <c r="C22" s="163" t="s">
        <v>100</v>
      </c>
      <c r="D22" s="162" t="s">
        <v>170</v>
      </c>
      <c r="E22" s="164" t="s">
        <v>79</v>
      </c>
      <c r="F22" s="335" t="s">
        <v>214</v>
      </c>
      <c r="G22" s="335"/>
      <c r="H22" s="336"/>
    </row>
    <row r="23" spans="1:8" x14ac:dyDescent="0.25">
      <c r="A23" s="8" t="s">
        <v>25</v>
      </c>
      <c r="B23" s="178" t="s">
        <v>129</v>
      </c>
      <c r="C23" s="164" t="s">
        <v>69</v>
      </c>
      <c r="D23" s="162" t="s">
        <v>70</v>
      </c>
      <c r="E23" s="163" t="s">
        <v>229</v>
      </c>
      <c r="F23" s="325" t="s">
        <v>165</v>
      </c>
      <c r="G23" s="325"/>
      <c r="H23" s="326"/>
    </row>
    <row r="24" spans="1:8" ht="15.75" thickBot="1" x14ac:dyDescent="0.3">
      <c r="A24" s="8" t="s">
        <v>113</v>
      </c>
      <c r="B24" s="162" t="s">
        <v>212</v>
      </c>
      <c r="C24" s="162" t="s">
        <v>114</v>
      </c>
      <c r="D24" s="162" t="s">
        <v>152</v>
      </c>
      <c r="E24" s="163" t="s">
        <v>211</v>
      </c>
      <c r="F24" s="325" t="s">
        <v>74</v>
      </c>
      <c r="G24" s="325"/>
      <c r="H24" s="326"/>
    </row>
    <row r="25" spans="1:8" x14ac:dyDescent="0.25">
      <c r="A25" s="5"/>
      <c r="B25" s="116">
        <f>B19+7</f>
        <v>27</v>
      </c>
      <c r="C25" s="116">
        <f>B25+1</f>
        <v>28</v>
      </c>
      <c r="D25" s="116">
        <f t="shared" ref="D25:E25" si="4">C25+1</f>
        <v>29</v>
      </c>
      <c r="E25" s="11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26</v>
      </c>
      <c r="B26" s="162">
        <v>3</v>
      </c>
      <c r="C26" s="163">
        <v>3</v>
      </c>
      <c r="D26" s="162">
        <v>3</v>
      </c>
      <c r="E26" s="163">
        <v>3</v>
      </c>
      <c r="F26" s="325">
        <v>2</v>
      </c>
      <c r="G26" s="325"/>
      <c r="H26" s="326"/>
    </row>
    <row r="27" spans="1:8" x14ac:dyDescent="0.25">
      <c r="A27" s="8" t="s">
        <v>23</v>
      </c>
      <c r="B27" s="162" t="s">
        <v>67</v>
      </c>
      <c r="C27" s="163" t="s">
        <v>129</v>
      </c>
      <c r="D27" s="163" t="s">
        <v>90</v>
      </c>
      <c r="E27" s="164" t="s">
        <v>85</v>
      </c>
      <c r="F27" s="327" t="s">
        <v>166</v>
      </c>
      <c r="G27" s="328"/>
      <c r="H27" s="329"/>
    </row>
    <row r="28" spans="1:8" x14ac:dyDescent="0.25">
      <c r="A28" s="8" t="s">
        <v>24</v>
      </c>
      <c r="B28" s="163" t="s">
        <v>167</v>
      </c>
      <c r="C28" s="162" t="s">
        <v>215</v>
      </c>
      <c r="D28" s="164" t="s">
        <v>79</v>
      </c>
      <c r="E28" s="162" t="s">
        <v>101</v>
      </c>
      <c r="F28" s="330" t="s">
        <v>80</v>
      </c>
      <c r="G28" s="331"/>
      <c r="H28" s="332"/>
    </row>
    <row r="29" spans="1:8" x14ac:dyDescent="0.25">
      <c r="A29" s="8" t="s">
        <v>25</v>
      </c>
      <c r="B29" s="165" t="s">
        <v>151</v>
      </c>
      <c r="C29" s="165" t="s">
        <v>115</v>
      </c>
      <c r="D29" s="162" t="s">
        <v>165</v>
      </c>
      <c r="E29" s="163" t="s">
        <v>229</v>
      </c>
      <c r="F29" s="335" t="s">
        <v>92</v>
      </c>
      <c r="G29" s="335"/>
      <c r="H29" s="336"/>
    </row>
    <row r="30" spans="1:8" ht="15.75" thickBot="1" x14ac:dyDescent="0.3">
      <c r="A30" s="15" t="s">
        <v>113</v>
      </c>
      <c r="B30" s="161" t="s">
        <v>186</v>
      </c>
      <c r="C30" s="161" t="s">
        <v>150</v>
      </c>
      <c r="D30" s="83" t="s">
        <v>185</v>
      </c>
      <c r="E30" s="161" t="s">
        <v>98</v>
      </c>
      <c r="F30" s="333" t="s">
        <v>203</v>
      </c>
      <c r="G30" s="333"/>
      <c r="H30" s="33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6">
        <v>1</v>
      </c>
      <c r="C1" s="116">
        <f>B1+1</f>
        <v>2</v>
      </c>
      <c r="D1" s="116">
        <f t="shared" ref="D1:G1" si="0">C1+1</f>
        <v>3</v>
      </c>
      <c r="E1" s="116">
        <f t="shared" si="0"/>
        <v>4</v>
      </c>
      <c r="F1" s="116">
        <f t="shared" si="0"/>
        <v>5</v>
      </c>
      <c r="G1" s="116">
        <f t="shared" si="0"/>
        <v>6</v>
      </c>
      <c r="H1" s="117">
        <f>G1+1</f>
        <v>7</v>
      </c>
    </row>
    <row r="2" spans="1:11" x14ac:dyDescent="0.25">
      <c r="A2" s="8" t="s">
        <v>26</v>
      </c>
      <c r="B2" s="125">
        <v>3</v>
      </c>
      <c r="C2" s="53">
        <v>3</v>
      </c>
      <c r="D2" s="125">
        <v>3</v>
      </c>
      <c r="E2" s="53">
        <v>3</v>
      </c>
      <c r="F2" s="325" t="s">
        <v>183</v>
      </c>
      <c r="G2" s="325"/>
      <c r="H2" s="326"/>
    </row>
    <row r="3" spans="1:11" x14ac:dyDescent="0.25">
      <c r="A3" s="8" t="s">
        <v>23</v>
      </c>
      <c r="B3" s="126"/>
      <c r="C3" s="126"/>
      <c r="D3" s="128"/>
      <c r="E3" s="53"/>
      <c r="F3" s="335" t="s">
        <v>69</v>
      </c>
      <c r="G3" s="335"/>
      <c r="H3" s="336"/>
    </row>
    <row r="4" spans="1:11" x14ac:dyDescent="0.25">
      <c r="A4" s="8" t="s">
        <v>24</v>
      </c>
      <c r="B4" s="125"/>
      <c r="C4" s="53"/>
      <c r="D4" s="125"/>
      <c r="E4" s="125"/>
      <c r="F4" s="325" t="s">
        <v>165</v>
      </c>
      <c r="G4" s="325"/>
      <c r="H4" s="326"/>
    </row>
    <row r="5" spans="1:11" x14ac:dyDescent="0.25">
      <c r="A5" s="8" t="s">
        <v>25</v>
      </c>
      <c r="B5" s="53"/>
      <c r="C5" s="125"/>
      <c r="D5" s="53"/>
      <c r="E5" s="128"/>
      <c r="F5" s="325" t="s">
        <v>105</v>
      </c>
      <c r="G5" s="325"/>
      <c r="H5" s="326"/>
    </row>
    <row r="6" spans="1:11" ht="15.75" thickBot="1" x14ac:dyDescent="0.3">
      <c r="A6" s="8" t="s">
        <v>113</v>
      </c>
      <c r="B6" s="83"/>
      <c r="C6" s="127"/>
      <c r="D6" s="127"/>
      <c r="E6" s="83"/>
      <c r="F6" s="333" t="s">
        <v>70</v>
      </c>
      <c r="G6" s="333"/>
      <c r="H6" s="334"/>
    </row>
    <row r="7" spans="1:11" x14ac:dyDescent="0.25">
      <c r="A7" s="5"/>
      <c r="B7" s="116">
        <f>B1+7</f>
        <v>8</v>
      </c>
      <c r="C7" s="116">
        <f>B7+1</f>
        <v>9</v>
      </c>
      <c r="D7" s="116">
        <f t="shared" ref="D7:H7" si="1">C7+1</f>
        <v>10</v>
      </c>
      <c r="E7" s="116">
        <f t="shared" si="1"/>
        <v>11</v>
      </c>
      <c r="F7" s="116">
        <f t="shared" si="1"/>
        <v>12</v>
      </c>
      <c r="G7" s="116">
        <f t="shared" si="1"/>
        <v>13</v>
      </c>
      <c r="H7" s="117">
        <f t="shared" si="1"/>
        <v>14</v>
      </c>
    </row>
    <row r="8" spans="1:11" x14ac:dyDescent="0.25">
      <c r="A8" s="8" t="s">
        <v>26</v>
      </c>
      <c r="B8" s="125">
        <v>3</v>
      </c>
      <c r="C8" s="53">
        <v>3</v>
      </c>
      <c r="D8" s="125">
        <v>3</v>
      </c>
      <c r="E8" s="53">
        <v>3</v>
      </c>
      <c r="F8" s="325">
        <v>3</v>
      </c>
      <c r="G8" s="325"/>
      <c r="H8" s="326"/>
    </row>
    <row r="9" spans="1:11" x14ac:dyDescent="0.25">
      <c r="A9" s="8" t="s">
        <v>23</v>
      </c>
      <c r="B9" s="145" t="s">
        <v>166</v>
      </c>
      <c r="C9" s="145" t="s">
        <v>171</v>
      </c>
      <c r="D9" s="53" t="s">
        <v>83</v>
      </c>
      <c r="E9" s="145" t="s">
        <v>70</v>
      </c>
      <c r="F9" s="325" t="s">
        <v>114</v>
      </c>
      <c r="G9" s="325"/>
      <c r="H9" s="326"/>
    </row>
    <row r="10" spans="1:11" x14ac:dyDescent="0.25">
      <c r="A10" s="8" t="s">
        <v>24</v>
      </c>
      <c r="B10" s="143" t="s">
        <v>98</v>
      </c>
      <c r="C10" s="144" t="s">
        <v>115</v>
      </c>
      <c r="D10" s="126" t="s">
        <v>82</v>
      </c>
      <c r="E10" s="146" t="s">
        <v>210</v>
      </c>
      <c r="F10" s="325" t="s">
        <v>151</v>
      </c>
      <c r="G10" s="325"/>
      <c r="H10" s="326"/>
    </row>
    <row r="11" spans="1:11" x14ac:dyDescent="0.25">
      <c r="A11" s="8" t="s">
        <v>25</v>
      </c>
      <c r="B11" s="144" t="s">
        <v>114</v>
      </c>
      <c r="C11" s="143" t="s">
        <v>169</v>
      </c>
      <c r="D11" s="125" t="s">
        <v>150</v>
      </c>
      <c r="E11" s="125" t="s">
        <v>129</v>
      </c>
      <c r="F11" s="335" t="s">
        <v>79</v>
      </c>
      <c r="G11" s="335"/>
      <c r="H11" s="336"/>
    </row>
    <row r="12" spans="1:11" ht="15.75" thickBot="1" x14ac:dyDescent="0.3">
      <c r="A12" s="8" t="s">
        <v>113</v>
      </c>
      <c r="B12" s="125" t="s">
        <v>100</v>
      </c>
      <c r="C12" s="125" t="s">
        <v>215</v>
      </c>
      <c r="D12" s="70" t="s">
        <v>100</v>
      </c>
      <c r="E12" s="143" t="s">
        <v>101</v>
      </c>
      <c r="F12" s="325" t="s">
        <v>149</v>
      </c>
      <c r="G12" s="325"/>
      <c r="H12" s="326"/>
    </row>
    <row r="13" spans="1:11" x14ac:dyDescent="0.25">
      <c r="A13" s="5"/>
      <c r="B13" s="116">
        <f>B7+7</f>
        <v>15</v>
      </c>
      <c r="C13" s="116">
        <f>B13+1</f>
        <v>16</v>
      </c>
      <c r="D13" s="116">
        <f t="shared" ref="D13:H13" si="2">C13+1</f>
        <v>17</v>
      </c>
      <c r="E13" s="116">
        <f t="shared" si="2"/>
        <v>18</v>
      </c>
      <c r="F13" s="116">
        <f t="shared" si="2"/>
        <v>19</v>
      </c>
      <c r="G13" s="116">
        <f>F13+1</f>
        <v>20</v>
      </c>
      <c r="H13" s="117">
        <f t="shared" si="2"/>
        <v>21</v>
      </c>
    </row>
    <row r="14" spans="1:11" x14ac:dyDescent="0.25">
      <c r="A14" s="8" t="s">
        <v>26</v>
      </c>
      <c r="B14" s="125">
        <v>3</v>
      </c>
      <c r="C14" s="53">
        <v>3</v>
      </c>
      <c r="D14" s="125">
        <v>3</v>
      </c>
      <c r="E14" s="327">
        <v>2</v>
      </c>
      <c r="F14" s="328"/>
      <c r="G14" s="328"/>
      <c r="H14" s="329"/>
    </row>
    <row r="15" spans="1:11" x14ac:dyDescent="0.25">
      <c r="A15" s="8" t="s">
        <v>23</v>
      </c>
      <c r="B15" s="128" t="s">
        <v>85</v>
      </c>
      <c r="C15" s="144" t="s">
        <v>80</v>
      </c>
      <c r="D15" s="125" t="s">
        <v>105</v>
      </c>
      <c r="E15" s="327" t="s">
        <v>167</v>
      </c>
      <c r="F15" s="328"/>
      <c r="G15" s="328"/>
      <c r="H15" s="329"/>
      <c r="I15" s="81" t="s">
        <v>166</v>
      </c>
    </row>
    <row r="16" spans="1:11" x14ac:dyDescent="0.25">
      <c r="A16" s="8" t="s">
        <v>24</v>
      </c>
      <c r="B16" s="53" t="s">
        <v>116</v>
      </c>
      <c r="C16" s="143" t="s">
        <v>215</v>
      </c>
      <c r="D16" s="144" t="s">
        <v>214</v>
      </c>
      <c r="E16" s="330" t="s">
        <v>72</v>
      </c>
      <c r="F16" s="331"/>
      <c r="G16" s="331"/>
      <c r="H16" s="332"/>
      <c r="I16" s="69" t="s">
        <v>105</v>
      </c>
      <c r="K16" s="81"/>
    </row>
    <row r="17" spans="1:9" x14ac:dyDescent="0.25">
      <c r="A17" s="71" t="s">
        <v>25</v>
      </c>
      <c r="B17" s="145" t="s">
        <v>165</v>
      </c>
      <c r="C17" s="145" t="s">
        <v>168</v>
      </c>
      <c r="D17" s="145" t="s">
        <v>165</v>
      </c>
      <c r="E17" s="330" t="s">
        <v>88</v>
      </c>
      <c r="F17" s="331"/>
      <c r="G17" s="331"/>
      <c r="H17" s="332"/>
      <c r="I17" s="69" t="s">
        <v>101</v>
      </c>
    </row>
    <row r="18" spans="1:9" ht="15.75" thickBot="1" x14ac:dyDescent="0.3">
      <c r="A18" s="8" t="s">
        <v>113</v>
      </c>
      <c r="B18" s="125" t="s">
        <v>186</v>
      </c>
      <c r="C18" s="125" t="s">
        <v>129</v>
      </c>
      <c r="D18" s="125" t="s">
        <v>186</v>
      </c>
      <c r="E18" s="327" t="s">
        <v>185</v>
      </c>
      <c r="F18" s="328"/>
      <c r="G18" s="328"/>
      <c r="H18" s="329"/>
      <c r="I18" s="81" t="s">
        <v>94</v>
      </c>
    </row>
    <row r="19" spans="1:9" x14ac:dyDescent="0.25">
      <c r="A19" s="5"/>
      <c r="B19" s="116">
        <f>B13+7</f>
        <v>22</v>
      </c>
      <c r="C19" s="116">
        <f>B19+1</f>
        <v>23</v>
      </c>
      <c r="D19" s="116">
        <f t="shared" ref="D19:E19" si="3">C19+1</f>
        <v>24</v>
      </c>
      <c r="E19" s="11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26</v>
      </c>
      <c r="B20" s="125">
        <v>3</v>
      </c>
      <c r="C20" s="53">
        <v>3</v>
      </c>
      <c r="D20" s="125">
        <v>3</v>
      </c>
      <c r="E20" s="53">
        <v>3</v>
      </c>
      <c r="F20" s="325">
        <v>3</v>
      </c>
      <c r="G20" s="343"/>
      <c r="H20" s="344"/>
    </row>
    <row r="21" spans="1:9" x14ac:dyDescent="0.25">
      <c r="A21" s="8" t="s">
        <v>23</v>
      </c>
      <c r="B21" s="145" t="s">
        <v>166</v>
      </c>
      <c r="C21" s="144" t="s">
        <v>69</v>
      </c>
      <c r="D21" s="145" t="s">
        <v>100</v>
      </c>
      <c r="E21" s="144" t="s">
        <v>80</v>
      </c>
      <c r="F21" s="325" t="s">
        <v>94</v>
      </c>
      <c r="G21" s="325"/>
      <c r="H21" s="326"/>
    </row>
    <row r="22" spans="1:9" x14ac:dyDescent="0.25">
      <c r="A22" s="8" t="s">
        <v>24</v>
      </c>
      <c r="B22" s="144" t="s">
        <v>214</v>
      </c>
      <c r="C22" s="53" t="s">
        <v>101</v>
      </c>
      <c r="D22" s="144" t="s">
        <v>83</v>
      </c>
      <c r="E22" s="143" t="s">
        <v>215</v>
      </c>
      <c r="F22" s="327" t="s">
        <v>170</v>
      </c>
      <c r="G22" s="328"/>
      <c r="H22" s="329"/>
    </row>
    <row r="23" spans="1:9" x14ac:dyDescent="0.25">
      <c r="A23" s="8" t="s">
        <v>25</v>
      </c>
      <c r="B23" s="145" t="s">
        <v>168</v>
      </c>
      <c r="C23" s="145" t="s">
        <v>116</v>
      </c>
      <c r="D23" s="125" t="s">
        <v>93</v>
      </c>
      <c r="E23" s="53" t="s">
        <v>171</v>
      </c>
      <c r="F23" s="330" t="s">
        <v>115</v>
      </c>
      <c r="G23" s="331"/>
      <c r="H23" s="332"/>
    </row>
    <row r="24" spans="1:9" ht="15.75" thickBot="1" x14ac:dyDescent="0.3">
      <c r="A24" s="8" t="s">
        <v>113</v>
      </c>
      <c r="B24" s="91" t="s">
        <v>203</v>
      </c>
      <c r="C24" s="70" t="s">
        <v>213</v>
      </c>
      <c r="D24" s="70" t="s">
        <v>186</v>
      </c>
      <c r="E24" s="91" t="s">
        <v>203</v>
      </c>
      <c r="F24" s="325" t="s">
        <v>90</v>
      </c>
      <c r="G24" s="325"/>
      <c r="H24" s="326"/>
    </row>
    <row r="25" spans="1:9" x14ac:dyDescent="0.25">
      <c r="A25" s="5"/>
      <c r="B25" s="116">
        <v>29</v>
      </c>
      <c r="C25" s="116">
        <f>B25+1</f>
        <v>30</v>
      </c>
      <c r="D25" s="116">
        <v>1</v>
      </c>
      <c r="E25" s="11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26</v>
      </c>
      <c r="B26" s="125">
        <v>3</v>
      </c>
      <c r="C26" s="53">
        <v>3</v>
      </c>
      <c r="D26" s="125">
        <v>3</v>
      </c>
      <c r="E26" s="53">
        <v>3</v>
      </c>
      <c r="F26" s="325">
        <v>3</v>
      </c>
      <c r="G26" s="343"/>
      <c r="H26" s="344"/>
    </row>
    <row r="27" spans="1:9" x14ac:dyDescent="0.25">
      <c r="A27" s="8" t="s">
        <v>23</v>
      </c>
      <c r="B27" s="143" t="s">
        <v>93</v>
      </c>
      <c r="C27" s="143" t="s">
        <v>129</v>
      </c>
      <c r="D27" s="144" t="s">
        <v>69</v>
      </c>
      <c r="E27" s="145" t="s">
        <v>166</v>
      </c>
      <c r="F27" s="335" t="s">
        <v>210</v>
      </c>
      <c r="G27" s="335"/>
      <c r="H27" s="336"/>
    </row>
    <row r="28" spans="1:9" x14ac:dyDescent="0.25">
      <c r="A28" s="8" t="s">
        <v>24</v>
      </c>
      <c r="B28" s="145" t="s">
        <v>116</v>
      </c>
      <c r="C28" s="144" t="s">
        <v>149</v>
      </c>
      <c r="D28" s="145" t="s">
        <v>171</v>
      </c>
      <c r="E28" s="144" t="s">
        <v>214</v>
      </c>
      <c r="F28" s="325" t="s">
        <v>150</v>
      </c>
      <c r="G28" s="325"/>
      <c r="H28" s="326"/>
    </row>
    <row r="29" spans="1:9" x14ac:dyDescent="0.25">
      <c r="A29" s="8" t="s">
        <v>25</v>
      </c>
      <c r="B29" s="146" t="s">
        <v>79</v>
      </c>
      <c r="C29" s="143" t="s">
        <v>169</v>
      </c>
      <c r="D29" s="145" t="s">
        <v>98</v>
      </c>
      <c r="E29" s="145" t="s">
        <v>168</v>
      </c>
      <c r="F29" s="325" t="s">
        <v>67</v>
      </c>
      <c r="G29" s="325"/>
      <c r="H29" s="326"/>
    </row>
    <row r="30" spans="1:9" ht="15.75" thickBot="1" x14ac:dyDescent="0.3">
      <c r="A30" s="15" t="s">
        <v>113</v>
      </c>
      <c r="B30" s="83" t="s">
        <v>212</v>
      </c>
      <c r="C30" s="127" t="s">
        <v>213</v>
      </c>
      <c r="D30" s="127" t="s">
        <v>212</v>
      </c>
      <c r="E30" s="83" t="s">
        <v>203</v>
      </c>
      <c r="F30" s="333" t="s">
        <v>211</v>
      </c>
      <c r="G30" s="333"/>
      <c r="H30" s="334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92"/>
      <c r="C2" s="92"/>
      <c r="D2" s="92"/>
      <c r="E2" s="10"/>
      <c r="F2" s="343">
        <v>3</v>
      </c>
      <c r="G2" s="343"/>
      <c r="H2" s="344"/>
    </row>
    <row r="3" spans="1:8" x14ac:dyDescent="0.25">
      <c r="A3" s="8" t="s">
        <v>23</v>
      </c>
      <c r="B3" s="94"/>
      <c r="C3" s="94"/>
      <c r="D3" s="12"/>
      <c r="E3" s="12"/>
      <c r="F3" s="335" t="s">
        <v>69</v>
      </c>
      <c r="G3" s="335"/>
      <c r="H3" s="336"/>
    </row>
    <row r="4" spans="1:8" x14ac:dyDescent="0.25">
      <c r="A4" s="8" t="s">
        <v>24</v>
      </c>
      <c r="B4" s="94"/>
      <c r="C4" s="10"/>
      <c r="D4" s="10"/>
      <c r="E4" s="92"/>
      <c r="F4" s="325" t="s">
        <v>169</v>
      </c>
      <c r="G4" s="325"/>
      <c r="H4" s="326"/>
    </row>
    <row r="5" spans="1:8" x14ac:dyDescent="0.25">
      <c r="A5" s="8" t="s">
        <v>25</v>
      </c>
      <c r="B5" s="10"/>
      <c r="C5" s="94"/>
      <c r="D5" s="92"/>
      <c r="E5" s="10"/>
      <c r="F5" s="325" t="s">
        <v>72</v>
      </c>
      <c r="G5" s="325"/>
      <c r="H5" s="326"/>
    </row>
    <row r="6" spans="1:8" ht="15.75" thickBot="1" x14ac:dyDescent="0.3">
      <c r="A6" s="15" t="s">
        <v>113</v>
      </c>
      <c r="B6" s="93"/>
      <c r="C6" s="93"/>
      <c r="D6" s="93"/>
      <c r="E6" s="14"/>
      <c r="F6" s="333" t="s">
        <v>167</v>
      </c>
      <c r="G6" s="345"/>
      <c r="H6" s="346"/>
    </row>
    <row r="7" spans="1:8" x14ac:dyDescent="0.25">
      <c r="A7" s="5"/>
      <c r="B7" s="116">
        <v>4</v>
      </c>
      <c r="C7" s="116">
        <f>B7+1</f>
        <v>5</v>
      </c>
      <c r="D7" s="116">
        <f t="shared" ref="D7:G7" si="1">C7+1</f>
        <v>6</v>
      </c>
      <c r="E7" s="116">
        <f t="shared" si="1"/>
        <v>7</v>
      </c>
      <c r="F7" s="116">
        <f t="shared" si="1"/>
        <v>8</v>
      </c>
      <c r="G7" s="116">
        <f t="shared" si="1"/>
        <v>9</v>
      </c>
      <c r="H7" s="117">
        <f>G7+1</f>
        <v>10</v>
      </c>
    </row>
    <row r="8" spans="1:8" x14ac:dyDescent="0.25">
      <c r="A8" s="8" t="s">
        <v>26</v>
      </c>
      <c r="B8" s="103">
        <v>3</v>
      </c>
      <c r="C8" s="53">
        <v>3</v>
      </c>
      <c r="D8" s="103">
        <v>3</v>
      </c>
      <c r="E8" s="53">
        <v>3</v>
      </c>
      <c r="F8" s="325">
        <v>3</v>
      </c>
      <c r="G8" s="325"/>
      <c r="H8" s="326"/>
    </row>
    <row r="9" spans="1:8" x14ac:dyDescent="0.25">
      <c r="A9" s="8" t="s">
        <v>23</v>
      </c>
      <c r="B9" s="118" t="s">
        <v>166</v>
      </c>
      <c r="C9" s="118" t="s">
        <v>98</v>
      </c>
      <c r="D9" s="120" t="s">
        <v>80</v>
      </c>
      <c r="E9" s="120" t="s">
        <v>92</v>
      </c>
      <c r="F9" s="325" t="s">
        <v>116</v>
      </c>
      <c r="G9" s="325"/>
      <c r="H9" s="326"/>
    </row>
    <row r="10" spans="1:8" x14ac:dyDescent="0.25">
      <c r="A10" s="8" t="s">
        <v>24</v>
      </c>
      <c r="B10" s="53" t="s">
        <v>125</v>
      </c>
      <c r="C10" s="120" t="s">
        <v>79</v>
      </c>
      <c r="D10" s="53" t="s">
        <v>90</v>
      </c>
      <c r="E10" s="121" t="s">
        <v>72</v>
      </c>
      <c r="F10" s="335" t="s">
        <v>129</v>
      </c>
      <c r="G10" s="335"/>
      <c r="H10" s="336"/>
    </row>
    <row r="11" spans="1:8" x14ac:dyDescent="0.25">
      <c r="A11" s="8" t="s">
        <v>25</v>
      </c>
      <c r="B11" s="120" t="s">
        <v>85</v>
      </c>
      <c r="C11" s="103" t="s">
        <v>168</v>
      </c>
      <c r="D11" s="103" t="s">
        <v>94</v>
      </c>
      <c r="E11" s="53" t="s">
        <v>151</v>
      </c>
      <c r="F11" s="325" t="s">
        <v>100</v>
      </c>
      <c r="G11" s="325"/>
      <c r="H11" s="326"/>
    </row>
    <row r="12" spans="1:8" ht="15.75" thickBot="1" x14ac:dyDescent="0.3">
      <c r="A12" s="8" t="s">
        <v>113</v>
      </c>
      <c r="B12" s="103" t="s">
        <v>150</v>
      </c>
      <c r="C12" s="103" t="s">
        <v>83</v>
      </c>
      <c r="D12" s="70" t="s">
        <v>114</v>
      </c>
      <c r="E12" s="53" t="s">
        <v>149</v>
      </c>
      <c r="F12" s="325" t="s">
        <v>185</v>
      </c>
      <c r="G12" s="325"/>
      <c r="H12" s="326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2">C13+1</f>
        <v>13</v>
      </c>
      <c r="E13" s="116">
        <f t="shared" si="2"/>
        <v>14</v>
      </c>
      <c r="F13" s="116">
        <f t="shared" si="2"/>
        <v>15</v>
      </c>
      <c r="G13" s="116">
        <f t="shared" si="2"/>
        <v>16</v>
      </c>
      <c r="H13" s="117">
        <f t="shared" si="2"/>
        <v>17</v>
      </c>
    </row>
    <row r="14" spans="1:8" x14ac:dyDescent="0.25">
      <c r="A14" s="8" t="s">
        <v>26</v>
      </c>
      <c r="B14" s="103">
        <v>3</v>
      </c>
      <c r="C14" s="53">
        <v>3</v>
      </c>
      <c r="D14" s="103">
        <v>3</v>
      </c>
      <c r="E14" s="53">
        <v>3</v>
      </c>
      <c r="F14" s="325">
        <v>3</v>
      </c>
      <c r="G14" s="325"/>
      <c r="H14" s="326"/>
    </row>
    <row r="15" spans="1:8" x14ac:dyDescent="0.25">
      <c r="A15" s="8" t="s">
        <v>23</v>
      </c>
      <c r="B15" s="120" t="s">
        <v>115</v>
      </c>
      <c r="C15" s="103" t="s">
        <v>152</v>
      </c>
      <c r="D15" s="53" t="s">
        <v>150</v>
      </c>
      <c r="E15" s="53" t="s">
        <v>151</v>
      </c>
      <c r="F15" s="325" t="s">
        <v>98</v>
      </c>
      <c r="G15" s="325"/>
      <c r="H15" s="326"/>
    </row>
    <row r="16" spans="1:8" x14ac:dyDescent="0.25">
      <c r="A16" s="8" t="s">
        <v>24</v>
      </c>
      <c r="B16" s="103" t="s">
        <v>167</v>
      </c>
      <c r="C16" s="118" t="s">
        <v>166</v>
      </c>
      <c r="D16" s="122" t="s">
        <v>125</v>
      </c>
      <c r="E16" s="103" t="s">
        <v>169</v>
      </c>
      <c r="F16" s="335" t="s">
        <v>83</v>
      </c>
      <c r="G16" s="335"/>
      <c r="H16" s="336"/>
    </row>
    <row r="17" spans="1:9" x14ac:dyDescent="0.25">
      <c r="A17" s="8" t="s">
        <v>25</v>
      </c>
      <c r="B17" s="121" t="s">
        <v>70</v>
      </c>
      <c r="C17" s="119" t="s">
        <v>79</v>
      </c>
      <c r="D17" s="103" t="s">
        <v>172</v>
      </c>
      <c r="E17" s="103" t="s">
        <v>72</v>
      </c>
      <c r="F17" s="325" t="s">
        <v>101</v>
      </c>
      <c r="G17" s="325"/>
      <c r="H17" s="326"/>
    </row>
    <row r="18" spans="1:9" ht="15.75" thickBot="1" x14ac:dyDescent="0.3">
      <c r="A18" s="8" t="s">
        <v>113</v>
      </c>
      <c r="B18" s="103" t="s">
        <v>186</v>
      </c>
      <c r="C18" s="103" t="s">
        <v>149</v>
      </c>
      <c r="D18" s="70" t="s">
        <v>171</v>
      </c>
      <c r="E18" s="119" t="s">
        <v>69</v>
      </c>
      <c r="F18" s="325" t="s">
        <v>128</v>
      </c>
      <c r="G18" s="325"/>
      <c r="H18" s="326"/>
    </row>
    <row r="19" spans="1:9" x14ac:dyDescent="0.25">
      <c r="A19" s="5"/>
      <c r="B19" s="116">
        <f>B13+7</f>
        <v>18</v>
      </c>
      <c r="C19" s="116">
        <f>B19+1</f>
        <v>19</v>
      </c>
      <c r="D19" s="116">
        <f t="shared" ref="D19:H19" si="3">C19+1</f>
        <v>20</v>
      </c>
      <c r="E19" s="116">
        <f t="shared" si="3"/>
        <v>21</v>
      </c>
      <c r="F19" s="116">
        <f t="shared" si="3"/>
        <v>22</v>
      </c>
      <c r="G19" s="116">
        <f>F19+1</f>
        <v>23</v>
      </c>
      <c r="H19" s="117">
        <f t="shared" si="3"/>
        <v>24</v>
      </c>
    </row>
    <row r="20" spans="1:9" x14ac:dyDescent="0.25">
      <c r="A20" s="8" t="s">
        <v>26</v>
      </c>
      <c r="B20" s="103">
        <v>3</v>
      </c>
      <c r="C20" s="53">
        <v>3</v>
      </c>
      <c r="D20" s="103">
        <v>3</v>
      </c>
      <c r="E20" s="53">
        <v>3</v>
      </c>
      <c r="F20" s="325">
        <v>3</v>
      </c>
      <c r="G20" s="325"/>
      <c r="H20" s="326"/>
    </row>
    <row r="21" spans="1:9" x14ac:dyDescent="0.25">
      <c r="A21" s="8" t="s">
        <v>23</v>
      </c>
      <c r="B21" s="120" t="s">
        <v>79</v>
      </c>
      <c r="C21" s="118" t="s">
        <v>152</v>
      </c>
      <c r="D21" s="118" t="s">
        <v>167</v>
      </c>
      <c r="E21" s="53" t="s">
        <v>94</v>
      </c>
      <c r="F21" s="325" t="s">
        <v>172</v>
      </c>
      <c r="G21" s="325"/>
      <c r="H21" s="326"/>
    </row>
    <row r="22" spans="1:9" x14ac:dyDescent="0.25">
      <c r="A22" s="8" t="s">
        <v>24</v>
      </c>
      <c r="B22" s="53" t="s">
        <v>166</v>
      </c>
      <c r="C22" s="53" t="s">
        <v>171</v>
      </c>
      <c r="D22" s="53" t="s">
        <v>151</v>
      </c>
      <c r="E22" s="118" t="s">
        <v>101</v>
      </c>
      <c r="F22" s="335" t="s">
        <v>115</v>
      </c>
      <c r="G22" s="335"/>
      <c r="H22" s="336"/>
    </row>
    <row r="23" spans="1:9" x14ac:dyDescent="0.25">
      <c r="A23" s="8" t="s">
        <v>25</v>
      </c>
      <c r="B23" s="118" t="s">
        <v>114</v>
      </c>
      <c r="C23" s="120" t="s">
        <v>72</v>
      </c>
      <c r="D23" s="120" t="s">
        <v>85</v>
      </c>
      <c r="E23" s="120" t="s">
        <v>67</v>
      </c>
      <c r="F23" s="325" t="s">
        <v>93</v>
      </c>
      <c r="G23" s="325"/>
      <c r="H23" s="326"/>
    </row>
    <row r="24" spans="1:9" ht="15.75" thickBot="1" x14ac:dyDescent="0.3">
      <c r="A24" s="8" t="s">
        <v>113</v>
      </c>
      <c r="B24" s="103" t="s">
        <v>125</v>
      </c>
      <c r="C24" s="103" t="s">
        <v>185</v>
      </c>
      <c r="D24" s="103" t="s">
        <v>150</v>
      </c>
      <c r="E24" s="53" t="s">
        <v>90</v>
      </c>
      <c r="F24" s="325" t="s">
        <v>186</v>
      </c>
      <c r="G24" s="325"/>
      <c r="H24" s="326"/>
    </row>
    <row r="25" spans="1:9" x14ac:dyDescent="0.25">
      <c r="A25" s="5"/>
      <c r="B25" s="116">
        <f>B19+7</f>
        <v>25</v>
      </c>
      <c r="C25" s="116">
        <f>B25+1</f>
        <v>26</v>
      </c>
      <c r="D25" s="116">
        <f t="shared" ref="D25:E25" si="4">C25+1</f>
        <v>27</v>
      </c>
      <c r="E25" s="11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26</v>
      </c>
      <c r="B26" s="103">
        <v>3</v>
      </c>
      <c r="C26" s="53">
        <v>3</v>
      </c>
      <c r="D26" s="103">
        <v>3</v>
      </c>
      <c r="E26" s="53">
        <v>3</v>
      </c>
      <c r="F26" s="325" t="s">
        <v>182</v>
      </c>
      <c r="G26" s="343"/>
      <c r="H26" s="344"/>
    </row>
    <row r="27" spans="1:9" x14ac:dyDescent="0.25">
      <c r="A27" s="8" t="s">
        <v>23</v>
      </c>
      <c r="B27" s="118" t="s">
        <v>167</v>
      </c>
      <c r="C27" s="118" t="s">
        <v>152</v>
      </c>
      <c r="D27" s="120" t="s">
        <v>114</v>
      </c>
      <c r="E27" s="120" t="s">
        <v>151</v>
      </c>
      <c r="F27" s="325" t="s">
        <v>88</v>
      </c>
      <c r="G27" s="325"/>
      <c r="H27" s="326"/>
      <c r="I27" s="81" t="s">
        <v>150</v>
      </c>
    </row>
    <row r="28" spans="1:9" x14ac:dyDescent="0.25">
      <c r="A28" s="8" t="s">
        <v>24</v>
      </c>
      <c r="B28" s="53" t="s">
        <v>67</v>
      </c>
      <c r="C28" s="53" t="s">
        <v>100</v>
      </c>
      <c r="D28" s="118" t="s">
        <v>90</v>
      </c>
      <c r="E28" s="121" t="s">
        <v>101</v>
      </c>
      <c r="F28" s="330" t="s">
        <v>169</v>
      </c>
      <c r="G28" s="331"/>
      <c r="H28" s="332"/>
      <c r="I28" s="69" t="s">
        <v>129</v>
      </c>
    </row>
    <row r="29" spans="1:9" x14ac:dyDescent="0.25">
      <c r="A29" s="8" t="s">
        <v>25</v>
      </c>
      <c r="B29" s="120" t="s">
        <v>150</v>
      </c>
      <c r="C29" s="119" t="s">
        <v>70</v>
      </c>
      <c r="D29" s="103" t="s">
        <v>165</v>
      </c>
      <c r="E29" s="53" t="s">
        <v>67</v>
      </c>
      <c r="F29" s="325" t="s">
        <v>171</v>
      </c>
      <c r="G29" s="325"/>
      <c r="H29" s="326"/>
      <c r="I29" s="81" t="s">
        <v>83</v>
      </c>
    </row>
    <row r="30" spans="1:9" ht="15.75" thickBot="1" x14ac:dyDescent="0.3">
      <c r="A30" s="8" t="s">
        <v>113</v>
      </c>
      <c r="B30" s="91" t="s">
        <v>169</v>
      </c>
      <c r="C30" s="70" t="s">
        <v>185</v>
      </c>
      <c r="D30" s="70" t="s">
        <v>149</v>
      </c>
      <c r="E30" s="91" t="s">
        <v>83</v>
      </c>
      <c r="F30" s="325" t="s">
        <v>168</v>
      </c>
      <c r="G30" s="325"/>
      <c r="H30" s="326"/>
      <c r="I30" s="81" t="s">
        <v>186</v>
      </c>
    </row>
    <row r="31" spans="1:9" x14ac:dyDescent="0.25">
      <c r="A31" s="5"/>
      <c r="B31" s="116">
        <v>1</v>
      </c>
      <c r="C31" s="116">
        <f>B31+1</f>
        <v>2</v>
      </c>
      <c r="D31" s="116">
        <f t="shared" ref="D31" si="6">C31+1</f>
        <v>3</v>
      </c>
      <c r="E31" s="11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26</v>
      </c>
      <c r="B32" s="103">
        <v>3</v>
      </c>
      <c r="C32" s="53">
        <v>3</v>
      </c>
      <c r="D32" s="103">
        <v>3</v>
      </c>
      <c r="E32" s="53">
        <v>3</v>
      </c>
      <c r="F32" s="325" t="s">
        <v>183</v>
      </c>
      <c r="G32" s="343"/>
      <c r="H32" s="344"/>
    </row>
    <row r="33" spans="1:9" x14ac:dyDescent="0.25">
      <c r="A33" s="8" t="s">
        <v>23</v>
      </c>
      <c r="B33" s="119" t="s">
        <v>80</v>
      </c>
      <c r="C33" s="119" t="s">
        <v>129</v>
      </c>
      <c r="D33" s="120" t="s">
        <v>79</v>
      </c>
      <c r="E33" s="53" t="s">
        <v>90</v>
      </c>
      <c r="F33" s="335" t="s">
        <v>69</v>
      </c>
      <c r="G33" s="335"/>
      <c r="H33" s="336"/>
      <c r="I33" s="69" t="s">
        <v>152</v>
      </c>
    </row>
    <row r="34" spans="1:9" x14ac:dyDescent="0.25">
      <c r="A34" s="8" t="s">
        <v>24</v>
      </c>
      <c r="B34" s="118" t="s">
        <v>72</v>
      </c>
      <c r="C34" s="53" t="s">
        <v>152</v>
      </c>
      <c r="D34" s="118" t="s">
        <v>167</v>
      </c>
      <c r="E34" s="103" t="s">
        <v>94</v>
      </c>
      <c r="F34" s="325" t="s">
        <v>165</v>
      </c>
      <c r="G34" s="325"/>
      <c r="H34" s="326"/>
      <c r="I34" s="81" t="s">
        <v>151</v>
      </c>
    </row>
    <row r="35" spans="1:9" x14ac:dyDescent="0.25">
      <c r="A35" s="8" t="s">
        <v>25</v>
      </c>
      <c r="B35" s="53" t="s">
        <v>93</v>
      </c>
      <c r="C35" s="118" t="s">
        <v>166</v>
      </c>
      <c r="D35" s="53" t="s">
        <v>93</v>
      </c>
      <c r="E35" s="120" t="s">
        <v>85</v>
      </c>
      <c r="F35" s="325" t="s">
        <v>105</v>
      </c>
      <c r="G35" s="325"/>
      <c r="H35" s="326"/>
      <c r="I35" s="81" t="s">
        <v>67</v>
      </c>
    </row>
    <row r="36" spans="1:9" ht="15.75" thickBot="1" x14ac:dyDescent="0.3">
      <c r="A36" s="15" t="s">
        <v>113</v>
      </c>
      <c r="B36" s="83" t="s">
        <v>186</v>
      </c>
      <c r="C36" s="123" t="s">
        <v>128</v>
      </c>
      <c r="D36" s="102" t="s">
        <v>149</v>
      </c>
      <c r="E36" s="83" t="s">
        <v>172</v>
      </c>
      <c r="F36" s="333" t="s">
        <v>70</v>
      </c>
      <c r="G36" s="333"/>
      <c r="H36" s="334"/>
      <c r="I36" s="81" t="s">
        <v>98</v>
      </c>
    </row>
    <row r="38" spans="1:9" x14ac:dyDescent="0.25">
      <c r="F38" s="325" t="s">
        <v>184</v>
      </c>
      <c r="G38" s="343"/>
      <c r="H38" s="344"/>
    </row>
    <row r="39" spans="1:9" x14ac:dyDescent="0.25">
      <c r="F39" s="325" t="s">
        <v>167</v>
      </c>
      <c r="G39" s="325"/>
      <c r="H39" s="326"/>
      <c r="I39" s="81" t="s">
        <v>166</v>
      </c>
    </row>
    <row r="40" spans="1:9" x14ac:dyDescent="0.25">
      <c r="F40" s="325" t="s">
        <v>172</v>
      </c>
      <c r="G40" s="325"/>
      <c r="H40" s="326"/>
      <c r="I40" s="81" t="s">
        <v>72</v>
      </c>
    </row>
    <row r="41" spans="1:9" x14ac:dyDescent="0.25">
      <c r="F41" s="335" t="s">
        <v>88</v>
      </c>
      <c r="G41" s="335"/>
      <c r="H41" s="336"/>
      <c r="I41" s="69" t="s">
        <v>101</v>
      </c>
    </row>
    <row r="42" spans="1:9" ht="15.75" thickBot="1" x14ac:dyDescent="0.3">
      <c r="F42" s="333" t="s">
        <v>185</v>
      </c>
      <c r="G42" s="333"/>
      <c r="H42" s="334"/>
      <c r="I42" s="81" t="s">
        <v>94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56"/>
      <c r="C2" s="56"/>
      <c r="D2" s="56"/>
      <c r="E2" s="10"/>
      <c r="F2" s="343">
        <v>2</v>
      </c>
      <c r="G2" s="343"/>
      <c r="H2" s="344"/>
    </row>
    <row r="3" spans="1:8" x14ac:dyDescent="0.25">
      <c r="A3" s="8" t="s">
        <v>23</v>
      </c>
      <c r="B3" s="57"/>
      <c r="C3" s="57"/>
      <c r="D3" s="12"/>
      <c r="E3" s="12"/>
      <c r="F3" s="325" t="s">
        <v>80</v>
      </c>
      <c r="G3" s="343"/>
      <c r="H3" s="344"/>
    </row>
    <row r="4" spans="1:8" x14ac:dyDescent="0.25">
      <c r="A4" s="8" t="s">
        <v>24</v>
      </c>
      <c r="B4" s="57"/>
      <c r="C4" s="10"/>
      <c r="D4" s="10"/>
      <c r="E4" s="56"/>
      <c r="F4" s="335" t="s">
        <v>129</v>
      </c>
      <c r="G4" s="335"/>
      <c r="H4" s="336"/>
    </row>
    <row r="5" spans="1:8" x14ac:dyDescent="0.25">
      <c r="A5" s="8" t="s">
        <v>25</v>
      </c>
      <c r="B5" s="10"/>
      <c r="C5" s="57"/>
      <c r="D5" s="56"/>
      <c r="E5" s="10"/>
      <c r="F5" s="335" t="s">
        <v>92</v>
      </c>
      <c r="G5" s="347"/>
      <c r="H5" s="348"/>
    </row>
    <row r="6" spans="1:8" ht="15.75" thickBot="1" x14ac:dyDescent="0.3">
      <c r="A6" s="15" t="s">
        <v>113</v>
      </c>
      <c r="B6" s="58"/>
      <c r="C6" s="58"/>
      <c r="D6" s="58"/>
      <c r="E6" s="14"/>
      <c r="F6" s="333" t="s">
        <v>114</v>
      </c>
      <c r="G6" s="345"/>
      <c r="H6" s="346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43">
        <v>3</v>
      </c>
      <c r="G8" s="343"/>
      <c r="H8" s="344"/>
    </row>
    <row r="9" spans="1:8" x14ac:dyDescent="0.25">
      <c r="A9" s="8" t="s">
        <v>23</v>
      </c>
      <c r="B9" s="87" t="s">
        <v>98</v>
      </c>
      <c r="C9" s="85" t="s">
        <v>94</v>
      </c>
      <c r="D9" s="53" t="s">
        <v>93</v>
      </c>
      <c r="E9" s="53" t="s">
        <v>101</v>
      </c>
      <c r="F9" s="325" t="s">
        <v>67</v>
      </c>
      <c r="G9" s="343"/>
      <c r="H9" s="344"/>
    </row>
    <row r="10" spans="1:8" x14ac:dyDescent="0.25">
      <c r="A10" s="8" t="s">
        <v>24</v>
      </c>
      <c r="B10" s="53" t="s">
        <v>100</v>
      </c>
      <c r="C10" s="53" t="s">
        <v>83</v>
      </c>
      <c r="D10" s="87" t="s">
        <v>92</v>
      </c>
      <c r="E10" s="86" t="s">
        <v>170</v>
      </c>
      <c r="F10" s="325" t="s">
        <v>151</v>
      </c>
      <c r="G10" s="343"/>
      <c r="H10" s="344"/>
    </row>
    <row r="11" spans="1:8" x14ac:dyDescent="0.25">
      <c r="A11" s="8" t="s">
        <v>25</v>
      </c>
      <c r="B11" s="85" t="s">
        <v>85</v>
      </c>
      <c r="C11" s="85" t="s">
        <v>70</v>
      </c>
      <c r="D11" s="86" t="s">
        <v>150</v>
      </c>
      <c r="E11" s="85" t="s">
        <v>85</v>
      </c>
      <c r="F11" s="335" t="s">
        <v>115</v>
      </c>
      <c r="G11" s="347"/>
      <c r="H11" s="348"/>
    </row>
    <row r="12" spans="1:8" ht="15.75" thickBot="1" x14ac:dyDescent="0.3">
      <c r="A12" s="8" t="s">
        <v>113</v>
      </c>
      <c r="B12" s="86" t="s">
        <v>128</v>
      </c>
      <c r="C12" s="86" t="s">
        <v>149</v>
      </c>
      <c r="D12" s="70" t="s">
        <v>88</v>
      </c>
      <c r="E12" s="53" t="s">
        <v>98</v>
      </c>
      <c r="F12" s="325" t="s">
        <v>82</v>
      </c>
      <c r="G12" s="343"/>
      <c r="H12" s="344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43">
        <v>2</v>
      </c>
      <c r="G14" s="343"/>
      <c r="H14" s="344"/>
    </row>
    <row r="15" spans="1:8" x14ac:dyDescent="0.25">
      <c r="A15" s="8" t="s">
        <v>23</v>
      </c>
      <c r="B15" s="53" t="s">
        <v>98</v>
      </c>
      <c r="C15" s="86" t="s">
        <v>72</v>
      </c>
      <c r="D15" s="87" t="s">
        <v>69</v>
      </c>
      <c r="E15" s="53" t="s">
        <v>83</v>
      </c>
      <c r="F15" s="335" t="s">
        <v>116</v>
      </c>
      <c r="G15" s="347"/>
      <c r="H15" s="348"/>
    </row>
    <row r="16" spans="1:8" x14ac:dyDescent="0.25">
      <c r="A16" s="8" t="s">
        <v>24</v>
      </c>
      <c r="B16" s="85" t="s">
        <v>129</v>
      </c>
      <c r="C16" s="87" t="s">
        <v>100</v>
      </c>
      <c r="D16" s="53" t="s">
        <v>125</v>
      </c>
      <c r="E16" s="85" t="s">
        <v>129</v>
      </c>
      <c r="F16" s="325" t="s">
        <v>101</v>
      </c>
      <c r="G16" s="343"/>
      <c r="H16" s="344"/>
    </row>
    <row r="17" spans="1:8" x14ac:dyDescent="0.25">
      <c r="A17" s="8" t="s">
        <v>25</v>
      </c>
      <c r="B17" s="87" t="s">
        <v>79</v>
      </c>
      <c r="C17" s="85" t="s">
        <v>85</v>
      </c>
      <c r="D17" s="86" t="s">
        <v>70</v>
      </c>
      <c r="E17" s="86" t="s">
        <v>90</v>
      </c>
      <c r="F17" s="335" t="s">
        <v>88</v>
      </c>
      <c r="G17" s="347"/>
      <c r="H17" s="348"/>
    </row>
    <row r="18" spans="1:8" ht="15.75" thickBot="1" x14ac:dyDescent="0.3">
      <c r="A18" s="8" t="s">
        <v>113</v>
      </c>
      <c r="B18" s="86" t="s">
        <v>114</v>
      </c>
      <c r="C18" s="86" t="s">
        <v>150</v>
      </c>
      <c r="D18" s="70" t="s">
        <v>149</v>
      </c>
      <c r="E18" s="86" t="s">
        <v>94</v>
      </c>
      <c r="F18" s="325" t="s">
        <v>165</v>
      </c>
      <c r="G18" s="343"/>
      <c r="H18" s="344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43">
        <v>3</v>
      </c>
      <c r="G20" s="343"/>
      <c r="H20" s="344"/>
    </row>
    <row r="21" spans="1:8" x14ac:dyDescent="0.25">
      <c r="A21" s="8" t="s">
        <v>23</v>
      </c>
      <c r="B21" s="87" t="s">
        <v>92</v>
      </c>
      <c r="C21" s="87" t="s">
        <v>79</v>
      </c>
      <c r="D21" s="87" t="s">
        <v>83</v>
      </c>
      <c r="E21" s="87" t="s">
        <v>94</v>
      </c>
      <c r="F21" s="325" t="s">
        <v>105</v>
      </c>
      <c r="G21" s="343"/>
      <c r="H21" s="344"/>
    </row>
    <row r="22" spans="1:8" x14ac:dyDescent="0.25">
      <c r="A22" s="8" t="s">
        <v>24</v>
      </c>
      <c r="B22" s="85" t="s">
        <v>67</v>
      </c>
      <c r="C22" s="86" t="s">
        <v>129</v>
      </c>
      <c r="D22" s="53" t="s">
        <v>70</v>
      </c>
      <c r="E22" s="86" t="s">
        <v>67</v>
      </c>
      <c r="F22" s="335" t="s">
        <v>170</v>
      </c>
      <c r="G22" s="335"/>
      <c r="H22" s="336"/>
    </row>
    <row r="23" spans="1:8" x14ac:dyDescent="0.25">
      <c r="A23" s="8" t="s">
        <v>25</v>
      </c>
      <c r="B23" s="53" t="s">
        <v>80</v>
      </c>
      <c r="C23" s="87" t="s">
        <v>115</v>
      </c>
      <c r="D23" s="53" t="s">
        <v>98</v>
      </c>
      <c r="E23" s="87" t="s">
        <v>90</v>
      </c>
      <c r="F23" s="335" t="s">
        <v>80</v>
      </c>
      <c r="G23" s="347"/>
      <c r="H23" s="348"/>
    </row>
    <row r="24" spans="1:8" x14ac:dyDescent="0.25">
      <c r="A24" s="71" t="s">
        <v>63</v>
      </c>
      <c r="B24" s="86" t="s">
        <v>128</v>
      </c>
      <c r="C24" s="86" t="s">
        <v>114</v>
      </c>
      <c r="D24" s="86" t="s">
        <v>171</v>
      </c>
      <c r="E24" s="53" t="s">
        <v>172</v>
      </c>
      <c r="F24" s="325" t="s">
        <v>166</v>
      </c>
      <c r="G24" s="325"/>
      <c r="H24" s="326"/>
    </row>
    <row r="25" spans="1:8" ht="15.75" thickBot="1" x14ac:dyDescent="0.3">
      <c r="A25" s="71" t="s">
        <v>62</v>
      </c>
      <c r="B25" s="88" t="s">
        <v>64</v>
      </c>
      <c r="C25" s="88" t="s">
        <v>64</v>
      </c>
      <c r="D25" s="88" t="s">
        <v>64</v>
      </c>
      <c r="E25" s="88" t="s">
        <v>149</v>
      </c>
      <c r="F25" s="333" t="s">
        <v>168</v>
      </c>
      <c r="G25" s="345"/>
      <c r="H25" s="346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26</v>
      </c>
      <c r="B27" s="56">
        <v>2</v>
      </c>
      <c r="C27" s="56">
        <v>2</v>
      </c>
      <c r="D27" s="56">
        <v>3</v>
      </c>
      <c r="E27" s="10">
        <v>3</v>
      </c>
      <c r="F27" s="343">
        <v>2</v>
      </c>
      <c r="G27" s="343"/>
      <c r="H27" s="344"/>
    </row>
    <row r="28" spans="1:8" x14ac:dyDescent="0.25">
      <c r="A28" s="8" t="s">
        <v>23</v>
      </c>
      <c r="B28" s="85" t="s">
        <v>151</v>
      </c>
      <c r="C28" s="85" t="s">
        <v>125</v>
      </c>
      <c r="D28" s="86" t="s">
        <v>93</v>
      </c>
      <c r="E28" s="87" t="s">
        <v>105</v>
      </c>
      <c r="F28" s="335" t="s">
        <v>69</v>
      </c>
      <c r="G28" s="335"/>
      <c r="H28" s="336"/>
    </row>
    <row r="29" spans="1:8" x14ac:dyDescent="0.25">
      <c r="A29" s="8" t="s">
        <v>24</v>
      </c>
      <c r="B29" s="86" t="s">
        <v>129</v>
      </c>
      <c r="C29" s="53" t="s">
        <v>80</v>
      </c>
      <c r="D29" s="53" t="s">
        <v>100</v>
      </c>
      <c r="E29" s="85" t="s">
        <v>82</v>
      </c>
      <c r="F29" s="335" t="s">
        <v>79</v>
      </c>
      <c r="G29" s="335"/>
      <c r="H29" s="336"/>
    </row>
    <row r="30" spans="1:8" x14ac:dyDescent="0.25">
      <c r="A30" s="8" t="s">
        <v>25</v>
      </c>
      <c r="B30" s="87" t="s">
        <v>150</v>
      </c>
      <c r="C30" s="87" t="s">
        <v>115</v>
      </c>
      <c r="D30" s="85" t="s">
        <v>98</v>
      </c>
      <c r="E30" s="53" t="s">
        <v>101</v>
      </c>
      <c r="F30" s="335" t="s">
        <v>72</v>
      </c>
      <c r="G30" s="347"/>
      <c r="H30" s="348"/>
    </row>
    <row r="31" spans="1:8" x14ac:dyDescent="0.25">
      <c r="A31" s="90" t="s">
        <v>63</v>
      </c>
      <c r="B31" s="91" t="s">
        <v>171</v>
      </c>
      <c r="C31" s="70" t="s">
        <v>128</v>
      </c>
      <c r="D31" s="70" t="s">
        <v>165</v>
      </c>
      <c r="E31" s="91" t="s">
        <v>172</v>
      </c>
      <c r="F31" s="325" t="s">
        <v>167</v>
      </c>
      <c r="G31" s="325"/>
      <c r="H31" s="326"/>
    </row>
    <row r="32" spans="1:8" ht="15.75" thickBot="1" x14ac:dyDescent="0.3">
      <c r="A32" s="89" t="s">
        <v>62</v>
      </c>
      <c r="B32" s="88" t="s">
        <v>64</v>
      </c>
      <c r="C32" s="88" t="s">
        <v>64</v>
      </c>
      <c r="D32" s="88" t="s">
        <v>64</v>
      </c>
      <c r="E32" s="88" t="s">
        <v>114</v>
      </c>
      <c r="F32" s="333" t="s">
        <v>169</v>
      </c>
      <c r="G32" s="345"/>
      <c r="H32" s="346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26</v>
      </c>
      <c r="B2" s="56">
        <v>2</v>
      </c>
      <c r="C2" s="56">
        <v>2</v>
      </c>
      <c r="D2" s="56">
        <v>3</v>
      </c>
      <c r="E2" s="10">
        <v>3</v>
      </c>
      <c r="F2" s="343">
        <v>2</v>
      </c>
      <c r="G2" s="343"/>
      <c r="H2" s="344"/>
    </row>
    <row r="3" spans="1:8" x14ac:dyDescent="0.25">
      <c r="A3" s="8" t="s">
        <v>23</v>
      </c>
      <c r="B3" s="57"/>
      <c r="C3" s="57"/>
      <c r="D3" s="12"/>
      <c r="E3" s="12"/>
      <c r="F3" s="335" t="s">
        <v>84</v>
      </c>
      <c r="G3" s="347"/>
      <c r="H3" s="348"/>
    </row>
    <row r="4" spans="1:8" x14ac:dyDescent="0.25">
      <c r="A4" s="8" t="s">
        <v>24</v>
      </c>
      <c r="B4" s="57"/>
      <c r="C4" s="10"/>
      <c r="D4" s="10"/>
      <c r="E4" s="56"/>
      <c r="F4" s="335" t="s">
        <v>115</v>
      </c>
      <c r="G4" s="347"/>
      <c r="H4" s="348"/>
    </row>
    <row r="5" spans="1:8" x14ac:dyDescent="0.25">
      <c r="A5" s="8" t="s">
        <v>25</v>
      </c>
      <c r="B5" s="10"/>
      <c r="C5" s="57"/>
      <c r="D5" s="56"/>
      <c r="E5" s="10"/>
      <c r="F5" s="325" t="s">
        <v>68</v>
      </c>
      <c r="G5" s="343"/>
      <c r="H5" s="344"/>
    </row>
    <row r="6" spans="1:8" ht="15.75" thickBot="1" x14ac:dyDescent="0.3">
      <c r="A6" s="8" t="s">
        <v>113</v>
      </c>
      <c r="B6" s="56"/>
      <c r="C6" s="56"/>
      <c r="D6" s="70" t="s">
        <v>150</v>
      </c>
      <c r="E6" s="10"/>
      <c r="F6" s="325" t="s">
        <v>100</v>
      </c>
      <c r="G6" s="343"/>
      <c r="H6" s="344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43">
        <v>3</v>
      </c>
      <c r="G8" s="343"/>
      <c r="H8" s="344"/>
    </row>
    <row r="9" spans="1:8" x14ac:dyDescent="0.25">
      <c r="A9" s="8" t="s">
        <v>23</v>
      </c>
      <c r="B9" s="78" t="s">
        <v>78</v>
      </c>
      <c r="C9" s="78" t="s">
        <v>129</v>
      </c>
      <c r="D9" s="53" t="s">
        <v>72</v>
      </c>
      <c r="E9" s="79" t="s">
        <v>95</v>
      </c>
      <c r="F9" s="325" t="s">
        <v>94</v>
      </c>
      <c r="G9" s="325"/>
      <c r="H9" s="326"/>
    </row>
    <row r="10" spans="1:8" x14ac:dyDescent="0.25">
      <c r="A10" s="8" t="s">
        <v>24</v>
      </c>
      <c r="B10" s="79" t="s">
        <v>95</v>
      </c>
      <c r="C10" s="78" t="s">
        <v>70</v>
      </c>
      <c r="D10" s="79" t="s">
        <v>93</v>
      </c>
      <c r="E10" s="78" t="s">
        <v>99</v>
      </c>
      <c r="F10" s="335" t="s">
        <v>78</v>
      </c>
      <c r="G10" s="335"/>
      <c r="H10" s="336"/>
    </row>
    <row r="11" spans="1:8" x14ac:dyDescent="0.25">
      <c r="A11" s="8" t="s">
        <v>25</v>
      </c>
      <c r="B11" s="54" t="s">
        <v>99</v>
      </c>
      <c r="C11" s="79" t="s">
        <v>105</v>
      </c>
      <c r="D11" s="80" t="s">
        <v>69</v>
      </c>
      <c r="E11" s="79" t="s">
        <v>105</v>
      </c>
      <c r="F11" s="325" t="s">
        <v>101</v>
      </c>
      <c r="G11" s="325"/>
      <c r="H11" s="326"/>
    </row>
    <row r="12" spans="1:8" ht="15.75" thickBot="1" x14ac:dyDescent="0.3">
      <c r="A12" s="8" t="s">
        <v>113</v>
      </c>
      <c r="B12" s="82" t="s">
        <v>128</v>
      </c>
      <c r="C12" s="73" t="s">
        <v>125</v>
      </c>
      <c r="D12" s="70" t="s">
        <v>151</v>
      </c>
      <c r="E12" s="53" t="s">
        <v>150</v>
      </c>
      <c r="F12" s="325" t="s">
        <v>90</v>
      </c>
      <c r="G12" s="343"/>
      <c r="H12" s="344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43">
        <v>2</v>
      </c>
      <c r="G14" s="343"/>
      <c r="H14" s="344"/>
    </row>
    <row r="15" spans="1:8" x14ac:dyDescent="0.25">
      <c r="A15" s="8" t="s">
        <v>23</v>
      </c>
      <c r="B15" s="78" t="s">
        <v>87</v>
      </c>
      <c r="C15" s="79" t="s">
        <v>80</v>
      </c>
      <c r="D15" s="53" t="s">
        <v>100</v>
      </c>
      <c r="E15" s="78" t="s">
        <v>87</v>
      </c>
      <c r="F15" s="335" t="s">
        <v>69</v>
      </c>
      <c r="G15" s="347"/>
      <c r="H15" s="348"/>
    </row>
    <row r="16" spans="1:8" x14ac:dyDescent="0.25">
      <c r="A16" s="8" t="s">
        <v>24</v>
      </c>
      <c r="B16" s="79" t="s">
        <v>152</v>
      </c>
      <c r="C16" s="80" t="s">
        <v>79</v>
      </c>
      <c r="D16" s="78" t="s">
        <v>78</v>
      </c>
      <c r="E16" s="79" t="s">
        <v>88</v>
      </c>
      <c r="F16" s="325" t="s">
        <v>67</v>
      </c>
      <c r="G16" s="325"/>
      <c r="H16" s="326"/>
    </row>
    <row r="17" spans="1:9" x14ac:dyDescent="0.25">
      <c r="A17" s="8" t="s">
        <v>25</v>
      </c>
      <c r="B17" s="78" t="s">
        <v>93</v>
      </c>
      <c r="C17" s="54" t="s">
        <v>99</v>
      </c>
      <c r="D17" s="79" t="s">
        <v>93</v>
      </c>
      <c r="E17" s="53" t="s">
        <v>102</v>
      </c>
      <c r="F17" s="330" t="s">
        <v>127</v>
      </c>
      <c r="G17" s="331"/>
      <c r="H17" s="332"/>
    </row>
    <row r="18" spans="1:9" ht="15.75" thickBot="1" x14ac:dyDescent="0.3">
      <c r="A18" s="8" t="s">
        <v>113</v>
      </c>
      <c r="B18" s="79" t="s">
        <v>128</v>
      </c>
      <c r="C18" s="79" t="s">
        <v>125</v>
      </c>
      <c r="D18" s="70" t="s">
        <v>151</v>
      </c>
      <c r="E18" s="53" t="s">
        <v>149</v>
      </c>
      <c r="F18" s="325" t="s">
        <v>150</v>
      </c>
      <c r="G18" s="343"/>
      <c r="H18" s="344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43">
        <v>3</v>
      </c>
      <c r="G20" s="343"/>
      <c r="H20" s="344"/>
    </row>
    <row r="21" spans="1:9" x14ac:dyDescent="0.25">
      <c r="A21" s="8" t="s">
        <v>23</v>
      </c>
      <c r="B21" s="80" t="s">
        <v>115</v>
      </c>
      <c r="C21" s="79" t="s">
        <v>152</v>
      </c>
      <c r="D21" s="80" t="s">
        <v>79</v>
      </c>
      <c r="E21" s="53" t="s">
        <v>100</v>
      </c>
      <c r="F21" s="325" t="s">
        <v>83</v>
      </c>
      <c r="G21" s="343"/>
      <c r="H21" s="344"/>
    </row>
    <row r="22" spans="1:9" x14ac:dyDescent="0.25">
      <c r="A22" s="8" t="s">
        <v>24</v>
      </c>
      <c r="B22" s="79" t="s">
        <v>116</v>
      </c>
      <c r="C22" s="80" t="s">
        <v>83</v>
      </c>
      <c r="D22" s="53" t="s">
        <v>102</v>
      </c>
      <c r="E22" s="79" t="s">
        <v>101</v>
      </c>
      <c r="F22" s="335" t="s">
        <v>129</v>
      </c>
      <c r="G22" s="347"/>
      <c r="H22" s="348"/>
    </row>
    <row r="23" spans="1:9" x14ac:dyDescent="0.25">
      <c r="A23" s="8" t="s">
        <v>25</v>
      </c>
      <c r="B23" s="80" t="s">
        <v>87</v>
      </c>
      <c r="C23" s="80" t="s">
        <v>129</v>
      </c>
      <c r="D23" s="79" t="s">
        <v>67</v>
      </c>
      <c r="E23" s="80" t="s">
        <v>115</v>
      </c>
      <c r="F23" s="325" t="s">
        <v>70</v>
      </c>
      <c r="G23" s="325"/>
      <c r="H23" s="326"/>
    </row>
    <row r="24" spans="1:9" ht="15.75" thickBot="1" x14ac:dyDescent="0.3">
      <c r="A24" s="8" t="s">
        <v>113</v>
      </c>
      <c r="B24" s="77" t="s">
        <v>114</v>
      </c>
      <c r="C24" s="79" t="s">
        <v>125</v>
      </c>
      <c r="D24" s="70" t="s">
        <v>151</v>
      </c>
      <c r="E24" s="83" t="s">
        <v>128</v>
      </c>
      <c r="F24" s="333" t="s">
        <v>149</v>
      </c>
      <c r="G24" s="345"/>
      <c r="H24" s="346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26</v>
      </c>
      <c r="B26" s="56">
        <v>2</v>
      </c>
      <c r="C26" s="56">
        <v>2</v>
      </c>
      <c r="D26" s="56">
        <v>3</v>
      </c>
      <c r="E26" s="10">
        <v>3</v>
      </c>
      <c r="F26" s="343">
        <v>2</v>
      </c>
      <c r="G26" s="343"/>
      <c r="H26" s="344"/>
    </row>
    <row r="27" spans="1:9" x14ac:dyDescent="0.25">
      <c r="A27" s="8" t="s">
        <v>23</v>
      </c>
      <c r="B27" s="78" t="s">
        <v>72</v>
      </c>
      <c r="C27" s="78" t="s">
        <v>125</v>
      </c>
      <c r="D27" s="53" t="s">
        <v>90</v>
      </c>
      <c r="E27" s="79" t="s">
        <v>88</v>
      </c>
      <c r="F27" s="325" t="s">
        <v>80</v>
      </c>
      <c r="G27" s="343"/>
      <c r="H27" s="344"/>
      <c r="I27" s="81"/>
    </row>
    <row r="28" spans="1:9" x14ac:dyDescent="0.25">
      <c r="A28" s="8" t="s">
        <v>24</v>
      </c>
      <c r="B28" s="79" t="s">
        <v>95</v>
      </c>
      <c r="C28" s="79" t="s">
        <v>101</v>
      </c>
      <c r="D28" s="80" t="s">
        <v>69</v>
      </c>
      <c r="E28" s="78" t="s">
        <v>105</v>
      </c>
      <c r="F28" s="335" t="s">
        <v>79</v>
      </c>
      <c r="G28" s="335"/>
      <c r="H28" s="336"/>
    </row>
    <row r="29" spans="1:9" x14ac:dyDescent="0.25">
      <c r="A29" s="8" t="s">
        <v>25</v>
      </c>
      <c r="B29" s="80" t="s">
        <v>85</v>
      </c>
      <c r="C29" s="80" t="s">
        <v>115</v>
      </c>
      <c r="D29" s="79" t="s">
        <v>116</v>
      </c>
      <c r="E29" s="53" t="s">
        <v>72</v>
      </c>
      <c r="F29" s="335" t="s">
        <v>92</v>
      </c>
      <c r="G29" s="347"/>
      <c r="H29" s="348"/>
    </row>
    <row r="30" spans="1:9" ht="15.75" thickBot="1" x14ac:dyDescent="0.3">
      <c r="A30" s="15" t="s">
        <v>113</v>
      </c>
      <c r="B30" s="77" t="s">
        <v>128</v>
      </c>
      <c r="C30" s="58" t="s">
        <v>152</v>
      </c>
      <c r="D30" s="77" t="s">
        <v>150</v>
      </c>
      <c r="E30" s="83" t="s">
        <v>149</v>
      </c>
      <c r="F30" s="333" t="s">
        <v>114</v>
      </c>
      <c r="G30" s="345"/>
      <c r="H30" s="346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26</v>
      </c>
      <c r="C3" s="9"/>
      <c r="D3" s="9"/>
      <c r="E3" s="9"/>
      <c r="F3" s="10"/>
      <c r="G3" s="343">
        <v>3</v>
      </c>
      <c r="H3" s="343"/>
      <c r="I3" s="344"/>
    </row>
    <row r="4" spans="2:11" x14ac:dyDescent="0.25">
      <c r="B4" s="8" t="s">
        <v>23</v>
      </c>
      <c r="C4" s="11"/>
      <c r="D4" s="11"/>
      <c r="E4" s="12"/>
      <c r="F4" s="53"/>
      <c r="G4" s="325" t="s">
        <v>84</v>
      </c>
      <c r="H4" s="349"/>
      <c r="I4" s="350"/>
    </row>
    <row r="5" spans="2:11" x14ac:dyDescent="0.25">
      <c r="B5" s="8" t="s">
        <v>24</v>
      </c>
      <c r="C5" s="11"/>
      <c r="D5" s="10"/>
      <c r="E5" s="10"/>
      <c r="F5" s="32"/>
      <c r="G5" s="325" t="s">
        <v>89</v>
      </c>
      <c r="H5" s="349"/>
      <c r="I5" s="350"/>
    </row>
    <row r="6" spans="2:11" x14ac:dyDescent="0.25">
      <c r="B6" s="8" t="s">
        <v>25</v>
      </c>
      <c r="C6" s="10"/>
      <c r="D6" s="11"/>
      <c r="E6" s="9"/>
      <c r="F6" s="54"/>
      <c r="G6" s="335" t="s">
        <v>115</v>
      </c>
      <c r="H6" s="351"/>
      <c r="I6" s="352"/>
    </row>
    <row r="7" spans="2:11" ht="15.75" thickBot="1" x14ac:dyDescent="0.3">
      <c r="B7" s="8" t="s">
        <v>113</v>
      </c>
      <c r="C7" s="9"/>
      <c r="D7" s="9"/>
      <c r="E7" s="13"/>
      <c r="F7" s="52"/>
      <c r="G7" s="325" t="s">
        <v>69</v>
      </c>
      <c r="H7" s="349"/>
      <c r="I7" s="350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26</v>
      </c>
      <c r="C9" s="9">
        <v>2</v>
      </c>
      <c r="D9" s="9">
        <v>2</v>
      </c>
      <c r="E9" s="9">
        <v>3</v>
      </c>
      <c r="F9" s="10">
        <v>3</v>
      </c>
      <c r="G9" s="343">
        <v>2</v>
      </c>
      <c r="H9" s="343"/>
      <c r="I9" s="344"/>
    </row>
    <row r="10" spans="2:11" x14ac:dyDescent="0.25">
      <c r="B10" s="8" t="s">
        <v>23</v>
      </c>
      <c r="C10" s="54" t="s">
        <v>77</v>
      </c>
      <c r="D10" s="60" t="s">
        <v>87</v>
      </c>
      <c r="E10" s="53" t="s">
        <v>72</v>
      </c>
      <c r="F10" s="53" t="s">
        <v>67</v>
      </c>
      <c r="G10" s="335" t="s">
        <v>99</v>
      </c>
      <c r="H10" s="335"/>
      <c r="I10" s="336"/>
      <c r="K10" s="69"/>
    </row>
    <row r="11" spans="2:11" x14ac:dyDescent="0.25">
      <c r="B11" s="8" t="s">
        <v>24</v>
      </c>
      <c r="C11" s="54" t="s">
        <v>79</v>
      </c>
      <c r="D11" s="54" t="s">
        <v>85</v>
      </c>
      <c r="E11" s="54" t="s">
        <v>65</v>
      </c>
      <c r="F11" s="60" t="s">
        <v>88</v>
      </c>
      <c r="G11" s="325" t="s">
        <v>88</v>
      </c>
      <c r="H11" s="325"/>
      <c r="I11" s="326"/>
    </row>
    <row r="12" spans="2:11" x14ac:dyDescent="0.25">
      <c r="B12" s="71" t="s">
        <v>25</v>
      </c>
      <c r="C12" s="53" t="s">
        <v>67</v>
      </c>
      <c r="D12" s="53" t="s">
        <v>66</v>
      </c>
      <c r="E12" s="53" t="s">
        <v>80</v>
      </c>
      <c r="F12" s="53" t="s">
        <v>90</v>
      </c>
      <c r="G12" s="335" t="s">
        <v>68</v>
      </c>
      <c r="H12" s="335"/>
      <c r="I12" s="336"/>
    </row>
    <row r="13" spans="2:11" ht="15.75" thickBot="1" x14ac:dyDescent="0.3">
      <c r="B13" s="8" t="s">
        <v>113</v>
      </c>
      <c r="C13" s="59" t="s">
        <v>98</v>
      </c>
      <c r="D13" s="63" t="s">
        <v>101</v>
      </c>
      <c r="E13" s="53" t="s">
        <v>114</v>
      </c>
      <c r="F13" s="53" t="s">
        <v>98</v>
      </c>
      <c r="G13" s="325" t="s">
        <v>94</v>
      </c>
      <c r="H13" s="343"/>
      <c r="I13" s="344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26</v>
      </c>
      <c r="C15" s="9">
        <v>2</v>
      </c>
      <c r="D15" s="9">
        <v>2</v>
      </c>
      <c r="E15" s="9">
        <v>3</v>
      </c>
      <c r="F15" s="10">
        <v>3</v>
      </c>
      <c r="G15" s="343">
        <v>3</v>
      </c>
      <c r="H15" s="343"/>
      <c r="I15" s="344"/>
    </row>
    <row r="16" spans="2:11" x14ac:dyDescent="0.25">
      <c r="B16" s="8" t="s">
        <v>23</v>
      </c>
      <c r="C16" s="60" t="s">
        <v>92</v>
      </c>
      <c r="D16" s="54" t="s">
        <v>79</v>
      </c>
      <c r="E16" s="54" t="s">
        <v>69</v>
      </c>
      <c r="F16" s="54" t="s">
        <v>78</v>
      </c>
      <c r="G16" s="325" t="s">
        <v>65</v>
      </c>
      <c r="H16" s="343"/>
      <c r="I16" s="344"/>
    </row>
    <row r="17" spans="2:9" x14ac:dyDescent="0.25">
      <c r="B17" s="8" t="s">
        <v>24</v>
      </c>
      <c r="C17" s="54" t="s">
        <v>78</v>
      </c>
      <c r="D17" s="54" t="s">
        <v>115</v>
      </c>
      <c r="E17" s="53" t="s">
        <v>72</v>
      </c>
      <c r="F17" s="53" t="s">
        <v>129</v>
      </c>
      <c r="G17" s="335" t="s">
        <v>77</v>
      </c>
      <c r="H17" s="335"/>
      <c r="I17" s="336"/>
    </row>
    <row r="18" spans="2:9" x14ac:dyDescent="0.25">
      <c r="B18" s="8" t="s">
        <v>25</v>
      </c>
      <c r="C18" s="53" t="s">
        <v>100</v>
      </c>
      <c r="D18" s="53" t="s">
        <v>90</v>
      </c>
      <c r="E18" s="63" t="s">
        <v>80</v>
      </c>
      <c r="F18" s="53" t="s">
        <v>68</v>
      </c>
      <c r="G18" s="325" t="s">
        <v>95</v>
      </c>
      <c r="H18" s="325"/>
      <c r="I18" s="326"/>
    </row>
    <row r="19" spans="2:9" ht="15.75" thickBot="1" x14ac:dyDescent="0.3">
      <c r="B19" s="8" t="s">
        <v>113</v>
      </c>
      <c r="C19" s="59" t="s">
        <v>70</v>
      </c>
      <c r="D19" s="63" t="s">
        <v>125</v>
      </c>
      <c r="E19" s="70" t="s">
        <v>73</v>
      </c>
      <c r="F19" s="63" t="s">
        <v>70</v>
      </c>
      <c r="G19" s="325" t="s">
        <v>98</v>
      </c>
      <c r="H19" s="343"/>
      <c r="I19" s="344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26</v>
      </c>
      <c r="C21" s="9">
        <v>2</v>
      </c>
      <c r="D21" s="9">
        <v>2</v>
      </c>
      <c r="E21" s="9">
        <v>3</v>
      </c>
      <c r="F21" s="10">
        <v>3</v>
      </c>
      <c r="G21" s="343">
        <v>2</v>
      </c>
      <c r="H21" s="343"/>
      <c r="I21" s="344"/>
    </row>
    <row r="22" spans="2:9" x14ac:dyDescent="0.25">
      <c r="B22" s="8" t="s">
        <v>23</v>
      </c>
      <c r="C22" s="60" t="s">
        <v>78</v>
      </c>
      <c r="D22" s="60" t="s">
        <v>71</v>
      </c>
      <c r="E22" s="54" t="s">
        <v>69</v>
      </c>
      <c r="F22" s="63" t="s">
        <v>91</v>
      </c>
      <c r="G22" s="335" t="s">
        <v>85</v>
      </c>
      <c r="H22" s="347"/>
      <c r="I22" s="348"/>
    </row>
    <row r="23" spans="2:9" x14ac:dyDescent="0.25">
      <c r="B23" s="8" t="s">
        <v>24</v>
      </c>
      <c r="C23" s="54" t="s">
        <v>79</v>
      </c>
      <c r="D23" s="54" t="s">
        <v>115</v>
      </c>
      <c r="E23" s="53" t="s">
        <v>72</v>
      </c>
      <c r="F23" s="60" t="s">
        <v>98</v>
      </c>
      <c r="G23" s="335" t="s">
        <v>87</v>
      </c>
      <c r="H23" s="335"/>
      <c r="I23" s="336"/>
    </row>
    <row r="24" spans="2:9" x14ac:dyDescent="0.25">
      <c r="B24" s="8" t="s">
        <v>25</v>
      </c>
      <c r="C24" s="53" t="s">
        <v>129</v>
      </c>
      <c r="D24" s="63" t="s">
        <v>89</v>
      </c>
      <c r="E24" s="63" t="s">
        <v>70</v>
      </c>
      <c r="F24" s="53" t="s">
        <v>68</v>
      </c>
      <c r="G24" s="325" t="s">
        <v>100</v>
      </c>
      <c r="H24" s="343"/>
      <c r="I24" s="344"/>
    </row>
    <row r="25" spans="2:9" ht="15.75" thickBot="1" x14ac:dyDescent="0.3">
      <c r="B25" s="8" t="s">
        <v>113</v>
      </c>
      <c r="C25" s="70" t="s">
        <v>73</v>
      </c>
      <c r="D25" s="61" t="s">
        <v>114</v>
      </c>
      <c r="E25" s="70" t="s">
        <v>105</v>
      </c>
      <c r="F25" s="53" t="s">
        <v>129</v>
      </c>
      <c r="G25" s="325" t="s">
        <v>116</v>
      </c>
      <c r="H25" s="325"/>
      <c r="I25" s="326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26</v>
      </c>
      <c r="C27" s="9">
        <v>2</v>
      </c>
      <c r="D27" s="9">
        <v>2</v>
      </c>
      <c r="E27" s="9">
        <v>3</v>
      </c>
      <c r="F27" s="10">
        <v>3</v>
      </c>
      <c r="G27" s="343">
        <v>3</v>
      </c>
      <c r="H27" s="343"/>
      <c r="I27" s="344"/>
    </row>
    <row r="28" spans="2:9" x14ac:dyDescent="0.25">
      <c r="B28" s="8" t="s">
        <v>23</v>
      </c>
      <c r="C28" s="63" t="s">
        <v>67</v>
      </c>
      <c r="D28" s="64" t="s">
        <v>98</v>
      </c>
      <c r="E28" s="53" t="s">
        <v>105</v>
      </c>
      <c r="F28" s="54" t="s">
        <v>78</v>
      </c>
      <c r="G28" s="325" t="s">
        <v>102</v>
      </c>
      <c r="H28" s="343"/>
      <c r="I28" s="344"/>
    </row>
    <row r="29" spans="2:9" x14ac:dyDescent="0.25">
      <c r="B29" s="8" t="s">
        <v>24</v>
      </c>
      <c r="C29" s="60" t="s">
        <v>99</v>
      </c>
      <c r="D29" s="54" t="s">
        <v>85</v>
      </c>
      <c r="E29" s="54" t="s">
        <v>69</v>
      </c>
      <c r="F29" s="59" t="s">
        <v>66</v>
      </c>
      <c r="G29" s="325" t="s">
        <v>82</v>
      </c>
      <c r="H29" s="325"/>
      <c r="I29" s="326"/>
    </row>
    <row r="30" spans="2:9" x14ac:dyDescent="0.25">
      <c r="B30" s="8" t="s">
        <v>25</v>
      </c>
      <c r="C30" s="54" t="s">
        <v>115</v>
      </c>
      <c r="D30" s="53" t="s">
        <v>129</v>
      </c>
      <c r="E30" s="63" t="s">
        <v>70</v>
      </c>
      <c r="F30" s="53" t="s">
        <v>68</v>
      </c>
      <c r="G30" s="335" t="s">
        <v>92</v>
      </c>
      <c r="H30" s="335"/>
      <c r="I30" s="336"/>
    </row>
    <row r="31" spans="2:9" ht="15.75" thickBot="1" x14ac:dyDescent="0.3">
      <c r="B31" s="8" t="s">
        <v>113</v>
      </c>
      <c r="C31" s="53" t="s">
        <v>83</v>
      </c>
      <c r="D31" s="59" t="s">
        <v>128</v>
      </c>
      <c r="E31" s="61" t="s">
        <v>114</v>
      </c>
      <c r="F31" s="53" t="s">
        <v>98</v>
      </c>
      <c r="G31" s="333" t="s">
        <v>125</v>
      </c>
      <c r="H31" s="345"/>
      <c r="I31" s="346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26</v>
      </c>
      <c r="C33" s="9">
        <v>2</v>
      </c>
      <c r="D33" s="9">
        <v>2</v>
      </c>
      <c r="E33" s="9">
        <v>3</v>
      </c>
      <c r="F33" s="10">
        <v>3</v>
      </c>
      <c r="G33" s="343">
        <v>2</v>
      </c>
      <c r="H33" s="343"/>
      <c r="I33" s="344"/>
    </row>
    <row r="34" spans="2:9" x14ac:dyDescent="0.25">
      <c r="B34" s="8" t="s">
        <v>23</v>
      </c>
      <c r="C34" s="59" t="s">
        <v>88</v>
      </c>
      <c r="D34" s="60" t="s">
        <v>90</v>
      </c>
      <c r="E34" s="53" t="s">
        <v>91</v>
      </c>
      <c r="F34" s="53" t="s">
        <v>80</v>
      </c>
      <c r="G34" s="335" t="s">
        <v>84</v>
      </c>
      <c r="H34" s="335"/>
      <c r="I34" s="336"/>
    </row>
    <row r="35" spans="2:9" x14ac:dyDescent="0.25">
      <c r="B35" s="8" t="s">
        <v>24</v>
      </c>
      <c r="C35" s="60" t="s">
        <v>87</v>
      </c>
      <c r="D35" s="60" t="s">
        <v>99</v>
      </c>
      <c r="E35" s="54" t="s">
        <v>69</v>
      </c>
      <c r="F35" s="60" t="s">
        <v>127</v>
      </c>
      <c r="G35" s="335" t="s">
        <v>115</v>
      </c>
      <c r="H35" s="335"/>
      <c r="I35" s="336"/>
    </row>
    <row r="36" spans="2:9" x14ac:dyDescent="0.25">
      <c r="B36" s="8" t="s">
        <v>25</v>
      </c>
      <c r="C36" s="54" t="s">
        <v>115</v>
      </c>
      <c r="D36" s="63" t="s">
        <v>89</v>
      </c>
      <c r="E36" s="53" t="s">
        <v>105</v>
      </c>
      <c r="F36" s="53" t="s">
        <v>94</v>
      </c>
      <c r="G36" s="325" t="s">
        <v>68</v>
      </c>
      <c r="H36" s="325"/>
      <c r="I36" s="326"/>
    </row>
    <row r="37" spans="2:9" ht="15.75" thickBot="1" x14ac:dyDescent="0.3">
      <c r="B37" s="15" t="s">
        <v>113</v>
      </c>
      <c r="C37" s="65" t="s">
        <v>73</v>
      </c>
      <c r="D37" s="61" t="s">
        <v>128</v>
      </c>
      <c r="E37" s="61" t="s">
        <v>66</v>
      </c>
      <c r="F37" s="61" t="s">
        <v>114</v>
      </c>
      <c r="G37" s="333" t="s">
        <v>101</v>
      </c>
      <c r="H37" s="345"/>
      <c r="I37" s="346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26</v>
      </c>
      <c r="B2" s="28"/>
      <c r="C2" s="28"/>
      <c r="D2" s="28"/>
      <c r="E2" s="29">
        <v>3</v>
      </c>
      <c r="F2" s="349">
        <v>3</v>
      </c>
      <c r="G2" s="349"/>
      <c r="H2" s="350"/>
    </row>
    <row r="3" spans="1:8" x14ac:dyDescent="0.25">
      <c r="A3" s="27" t="s">
        <v>23</v>
      </c>
      <c r="B3" s="31"/>
      <c r="C3" s="31"/>
      <c r="D3" s="32"/>
      <c r="E3" s="32" t="s">
        <v>78</v>
      </c>
      <c r="F3" s="349" t="s">
        <v>86</v>
      </c>
      <c r="G3" s="349"/>
      <c r="H3" s="350"/>
    </row>
    <row r="4" spans="1:8" x14ac:dyDescent="0.25">
      <c r="A4" s="27" t="s">
        <v>24</v>
      </c>
      <c r="B4" s="31"/>
      <c r="C4" s="29"/>
      <c r="D4" s="29"/>
      <c r="E4" s="28" t="s">
        <v>101</v>
      </c>
      <c r="F4" s="357" t="s">
        <v>66</v>
      </c>
      <c r="G4" s="358"/>
      <c r="H4" s="359"/>
    </row>
    <row r="5" spans="1:8" x14ac:dyDescent="0.25">
      <c r="A5" s="27" t="s">
        <v>25</v>
      </c>
      <c r="B5" s="29"/>
      <c r="C5" s="31"/>
      <c r="D5" s="28"/>
      <c r="E5" s="29" t="s">
        <v>94</v>
      </c>
      <c r="F5" s="360" t="s">
        <v>97</v>
      </c>
      <c r="G5" s="360"/>
      <c r="H5" s="361"/>
    </row>
    <row r="6" spans="1:8" ht="15.75" thickBot="1" x14ac:dyDescent="0.3">
      <c r="A6" s="27" t="s">
        <v>63</v>
      </c>
      <c r="B6" s="28"/>
      <c r="C6" s="28"/>
      <c r="D6" s="33"/>
      <c r="E6" s="29" t="s">
        <v>105</v>
      </c>
      <c r="F6" s="325" t="s">
        <v>104</v>
      </c>
      <c r="G6" s="349"/>
      <c r="H6" s="350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26</v>
      </c>
      <c r="B8" s="28">
        <v>2</v>
      </c>
      <c r="C8" s="28">
        <v>2</v>
      </c>
      <c r="D8" s="28">
        <v>3</v>
      </c>
      <c r="E8" s="29">
        <v>3</v>
      </c>
      <c r="F8" s="349">
        <v>2</v>
      </c>
      <c r="G8" s="349"/>
      <c r="H8" s="350"/>
    </row>
    <row r="9" spans="1:8" x14ac:dyDescent="0.25">
      <c r="A9" s="27" t="s">
        <v>23</v>
      </c>
      <c r="B9" s="17" t="s">
        <v>94</v>
      </c>
      <c r="C9" s="18" t="s">
        <v>82</v>
      </c>
      <c r="D9" s="19" t="s">
        <v>100</v>
      </c>
      <c r="E9" s="18" t="s">
        <v>94</v>
      </c>
      <c r="F9" s="351" t="s">
        <v>85</v>
      </c>
      <c r="G9" s="351"/>
      <c r="H9" s="352"/>
    </row>
    <row r="10" spans="1:8" x14ac:dyDescent="0.25">
      <c r="A10" s="27" t="s">
        <v>24</v>
      </c>
      <c r="B10" s="18" t="s">
        <v>78</v>
      </c>
      <c r="C10" s="21" t="s">
        <v>71</v>
      </c>
      <c r="D10" s="31" t="s">
        <v>77</v>
      </c>
      <c r="E10" s="28" t="s">
        <v>80</v>
      </c>
      <c r="F10" s="351" t="s">
        <v>99</v>
      </c>
      <c r="G10" s="351"/>
      <c r="H10" s="352"/>
    </row>
    <row r="11" spans="1:8" x14ac:dyDescent="0.25">
      <c r="A11" s="27" t="s">
        <v>25</v>
      </c>
      <c r="B11" s="22" t="s">
        <v>100</v>
      </c>
      <c r="C11" s="18" t="s">
        <v>89</v>
      </c>
      <c r="D11" s="21" t="s">
        <v>66</v>
      </c>
      <c r="E11" s="30" t="s">
        <v>83</v>
      </c>
      <c r="F11" s="349" t="s">
        <v>81</v>
      </c>
      <c r="G11" s="349"/>
      <c r="H11" s="350"/>
    </row>
    <row r="12" spans="1:8" ht="15.75" thickBot="1" x14ac:dyDescent="0.3">
      <c r="A12" s="27" t="s">
        <v>63</v>
      </c>
      <c r="B12" s="28" t="s">
        <v>98</v>
      </c>
      <c r="C12" s="28" t="s">
        <v>70</v>
      </c>
      <c r="D12" s="33" t="s">
        <v>73</v>
      </c>
      <c r="E12" s="28" t="s">
        <v>104</v>
      </c>
      <c r="F12" s="349" t="s">
        <v>105</v>
      </c>
      <c r="G12" s="349"/>
      <c r="H12" s="350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26</v>
      </c>
      <c r="B14" s="28">
        <v>2</v>
      </c>
      <c r="C14" s="28">
        <v>2</v>
      </c>
      <c r="D14" s="28">
        <v>3</v>
      </c>
      <c r="E14" s="29">
        <v>3</v>
      </c>
      <c r="F14" s="349">
        <v>3</v>
      </c>
      <c r="G14" s="349"/>
      <c r="H14" s="350"/>
    </row>
    <row r="15" spans="1:8" x14ac:dyDescent="0.25">
      <c r="A15" s="27" t="s">
        <v>23</v>
      </c>
      <c r="B15" s="19" t="s">
        <v>94</v>
      </c>
      <c r="C15" s="31" t="s">
        <v>90</v>
      </c>
      <c r="D15" s="19" t="s">
        <v>80</v>
      </c>
      <c r="E15" s="17" t="s">
        <v>83</v>
      </c>
      <c r="F15" s="349" t="s">
        <v>91</v>
      </c>
      <c r="G15" s="349"/>
      <c r="H15" s="350"/>
    </row>
    <row r="16" spans="1:8" x14ac:dyDescent="0.25">
      <c r="A16" s="27" t="s">
        <v>24</v>
      </c>
      <c r="B16" s="31" t="s">
        <v>83</v>
      </c>
      <c r="C16" s="18" t="s">
        <v>87</v>
      </c>
      <c r="D16" s="29" t="s">
        <v>116</v>
      </c>
      <c r="E16" s="29" t="s">
        <v>116</v>
      </c>
      <c r="F16" s="349" t="s">
        <v>67</v>
      </c>
      <c r="G16" s="349"/>
      <c r="H16" s="350"/>
    </row>
    <row r="17" spans="1:8" x14ac:dyDescent="0.25">
      <c r="A17" s="27" t="s">
        <v>25</v>
      </c>
      <c r="B17" s="18" t="s">
        <v>71</v>
      </c>
      <c r="C17" s="19" t="s">
        <v>82</v>
      </c>
      <c r="D17" s="31" t="s">
        <v>68</v>
      </c>
      <c r="E17" s="18" t="s">
        <v>102</v>
      </c>
      <c r="F17" s="351" t="s">
        <v>79</v>
      </c>
      <c r="G17" s="351"/>
      <c r="H17" s="352"/>
    </row>
    <row r="18" spans="1:8" ht="15.75" thickBot="1" x14ac:dyDescent="0.3">
      <c r="A18" s="27" t="s">
        <v>63</v>
      </c>
      <c r="B18" s="28" t="s">
        <v>104</v>
      </c>
      <c r="C18" s="28" t="s">
        <v>70</v>
      </c>
      <c r="D18" s="28" t="s">
        <v>98</v>
      </c>
      <c r="E18" s="28" t="s">
        <v>73</v>
      </c>
      <c r="F18" s="349" t="s">
        <v>114</v>
      </c>
      <c r="G18" s="349"/>
      <c r="H18" s="350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26</v>
      </c>
      <c r="B20" s="28">
        <v>2</v>
      </c>
      <c r="C20" s="28">
        <v>2</v>
      </c>
      <c r="D20" s="28">
        <v>3</v>
      </c>
      <c r="E20" s="29">
        <v>3</v>
      </c>
      <c r="F20" s="349">
        <v>2</v>
      </c>
      <c r="G20" s="349"/>
      <c r="H20" s="350"/>
    </row>
    <row r="21" spans="1:8" x14ac:dyDescent="0.25">
      <c r="A21" s="27" t="s">
        <v>23</v>
      </c>
      <c r="B21" s="18" t="s">
        <v>66</v>
      </c>
      <c r="C21" s="31" t="s">
        <v>101</v>
      </c>
      <c r="D21" s="28" t="s">
        <v>81</v>
      </c>
      <c r="E21" s="31" t="s">
        <v>88</v>
      </c>
      <c r="F21" s="351" t="s">
        <v>95</v>
      </c>
      <c r="G21" s="351"/>
      <c r="H21" s="352"/>
    </row>
    <row r="22" spans="1:8" x14ac:dyDescent="0.25">
      <c r="A22" s="27" t="s">
        <v>24</v>
      </c>
      <c r="B22" s="18" t="s">
        <v>99</v>
      </c>
      <c r="C22" s="54" t="s">
        <v>92</v>
      </c>
      <c r="D22" s="18" t="s">
        <v>89</v>
      </c>
      <c r="E22" s="19" t="s">
        <v>90</v>
      </c>
      <c r="F22" s="335" t="s">
        <v>78</v>
      </c>
      <c r="G22" s="351"/>
      <c r="H22" s="352"/>
    </row>
    <row r="23" spans="1:8" x14ac:dyDescent="0.25">
      <c r="A23" s="27" t="s">
        <v>25</v>
      </c>
      <c r="B23" s="29" t="s">
        <v>88</v>
      </c>
      <c r="C23" s="29" t="s">
        <v>68</v>
      </c>
      <c r="D23" s="19" t="s">
        <v>102</v>
      </c>
      <c r="E23" s="31" t="s">
        <v>71</v>
      </c>
      <c r="F23" s="349" t="s">
        <v>93</v>
      </c>
      <c r="G23" s="349"/>
      <c r="H23" s="350"/>
    </row>
    <row r="24" spans="1:8" x14ac:dyDescent="0.25">
      <c r="A24" s="27" t="s">
        <v>63</v>
      </c>
      <c r="B24" s="28" t="s">
        <v>105</v>
      </c>
      <c r="C24" s="28" t="s">
        <v>65</v>
      </c>
      <c r="D24" s="28" t="s">
        <v>70</v>
      </c>
      <c r="E24" s="36" t="s">
        <v>98</v>
      </c>
      <c r="F24" s="349" t="s">
        <v>72</v>
      </c>
      <c r="G24" s="349"/>
      <c r="H24" s="350"/>
    </row>
    <row r="25" spans="1:8" ht="15.75" thickBot="1" x14ac:dyDescent="0.3">
      <c r="A25" s="27" t="s">
        <v>62</v>
      </c>
      <c r="B25" s="20" t="s">
        <v>64</v>
      </c>
      <c r="C25" s="20" t="s">
        <v>64</v>
      </c>
      <c r="D25" s="20" t="s">
        <v>64</v>
      </c>
      <c r="E25" s="37" t="s">
        <v>105</v>
      </c>
      <c r="F25" s="355" t="s">
        <v>64</v>
      </c>
      <c r="G25" s="355"/>
      <c r="H25" s="356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26</v>
      </c>
      <c r="B27" s="28">
        <v>2</v>
      </c>
      <c r="C27" s="28">
        <v>2</v>
      </c>
      <c r="D27" s="28">
        <v>3</v>
      </c>
      <c r="E27" s="29">
        <v>3</v>
      </c>
      <c r="F27" s="349">
        <v>3</v>
      </c>
      <c r="G27" s="349"/>
      <c r="H27" s="350"/>
    </row>
    <row r="28" spans="1:8" x14ac:dyDescent="0.25">
      <c r="A28" s="27" t="s">
        <v>23</v>
      </c>
      <c r="B28" s="31" t="s">
        <v>99</v>
      </c>
      <c r="C28" s="19" t="s">
        <v>100</v>
      </c>
      <c r="D28" s="19" t="s">
        <v>90</v>
      </c>
      <c r="E28" s="19" t="s">
        <v>102</v>
      </c>
      <c r="F28" s="349" t="s">
        <v>84</v>
      </c>
      <c r="G28" s="349"/>
      <c r="H28" s="350"/>
    </row>
    <row r="29" spans="1:8" x14ac:dyDescent="0.25">
      <c r="A29" s="27" t="s">
        <v>24</v>
      </c>
      <c r="B29" s="19" t="s">
        <v>82</v>
      </c>
      <c r="C29" s="22" t="s">
        <v>87</v>
      </c>
      <c r="D29" s="31" t="s">
        <v>77</v>
      </c>
      <c r="E29" s="32" t="s">
        <v>66</v>
      </c>
      <c r="F29" s="349" t="s">
        <v>89</v>
      </c>
      <c r="G29" s="349"/>
      <c r="H29" s="350"/>
    </row>
    <row r="30" spans="1:8" x14ac:dyDescent="0.25">
      <c r="A30" s="27" t="s">
        <v>25</v>
      </c>
      <c r="B30" s="18" t="s">
        <v>79</v>
      </c>
      <c r="C30" s="22" t="s">
        <v>101</v>
      </c>
      <c r="D30" s="16" t="s">
        <v>71</v>
      </c>
      <c r="E30" s="18" t="s">
        <v>80</v>
      </c>
      <c r="F30" s="351" t="s">
        <v>115</v>
      </c>
      <c r="G30" s="351"/>
      <c r="H30" s="352"/>
    </row>
    <row r="31" spans="1:8" x14ac:dyDescent="0.25">
      <c r="A31" s="27" t="s">
        <v>63</v>
      </c>
      <c r="B31" s="28" t="s">
        <v>74</v>
      </c>
      <c r="C31" s="28" t="s">
        <v>65</v>
      </c>
      <c r="D31" s="28" t="s">
        <v>73</v>
      </c>
      <c r="E31" s="28" t="s">
        <v>70</v>
      </c>
      <c r="F31" s="349" t="s">
        <v>69</v>
      </c>
      <c r="G31" s="349"/>
      <c r="H31" s="350"/>
    </row>
    <row r="32" spans="1:8" ht="15.75" thickBot="1" x14ac:dyDescent="0.3">
      <c r="A32" s="35" t="s">
        <v>62</v>
      </c>
      <c r="B32" s="20" t="s">
        <v>64</v>
      </c>
      <c r="C32" s="20" t="s">
        <v>64</v>
      </c>
      <c r="D32" s="20" t="s">
        <v>114</v>
      </c>
      <c r="E32" s="34" t="s">
        <v>98</v>
      </c>
      <c r="F32" s="353" t="s">
        <v>64</v>
      </c>
      <c r="G32" s="353"/>
      <c r="H32" s="354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201" t="s">
        <v>0</v>
      </c>
      <c r="B1" s="201" t="s">
        <v>1</v>
      </c>
      <c r="C1" s="201" t="s">
        <v>260</v>
      </c>
    </row>
    <row r="2" spans="1:3" x14ac:dyDescent="0.25">
      <c r="A2" s="248">
        <v>11</v>
      </c>
      <c r="B2" s="248" t="s">
        <v>258</v>
      </c>
      <c r="C2" s="2" t="s">
        <v>265</v>
      </c>
    </row>
    <row r="3" spans="1:3" x14ac:dyDescent="0.25">
      <c r="A3" s="62">
        <v>11</v>
      </c>
      <c r="B3" s="62" t="s">
        <v>208</v>
      </c>
      <c r="C3" s="2" t="s">
        <v>261</v>
      </c>
    </row>
    <row r="4" spans="1:3" x14ac:dyDescent="0.25">
      <c r="A4" s="62">
        <v>11</v>
      </c>
      <c r="B4" s="62" t="s">
        <v>161</v>
      </c>
      <c r="C4" s="2" t="s">
        <v>262</v>
      </c>
    </row>
    <row r="5" spans="1:3" x14ac:dyDescent="0.25">
      <c r="A5" s="62" t="s">
        <v>76</v>
      </c>
      <c r="B5" s="62" t="s">
        <v>267</v>
      </c>
      <c r="C5" s="2" t="s">
        <v>266</v>
      </c>
    </row>
    <row r="6" spans="1:3" x14ac:dyDescent="0.25">
      <c r="A6" s="248" t="s">
        <v>76</v>
      </c>
      <c r="B6" s="248" t="s">
        <v>219</v>
      </c>
      <c r="C6" s="2" t="s">
        <v>264</v>
      </c>
    </row>
    <row r="7" spans="1:3" x14ac:dyDescent="0.25">
      <c r="A7" s="248" t="s">
        <v>16</v>
      </c>
      <c r="B7" s="248" t="s">
        <v>244</v>
      </c>
      <c r="C7" s="2" t="s">
        <v>263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B42"/>
  <sheetViews>
    <sheetView rightToLeft="1" topLeftCell="A22" zoomScale="145" zoomScaleNormal="145" workbookViewId="0">
      <selection activeCell="D14" sqref="D14"/>
    </sheetView>
  </sheetViews>
  <sheetFormatPr defaultRowHeight="15" x14ac:dyDescent="0.25"/>
  <cols>
    <col min="1" max="1" width="11.5703125" bestFit="1" customWidth="1"/>
    <col min="2" max="2" width="10.5703125" bestFit="1" customWidth="1"/>
  </cols>
  <sheetData>
    <row r="1" spans="1:2" x14ac:dyDescent="0.25">
      <c r="A1" t="s">
        <v>75</v>
      </c>
      <c r="B1" t="s">
        <v>302</v>
      </c>
    </row>
    <row r="2" spans="1:2" x14ac:dyDescent="0.25">
      <c r="A2" t="s">
        <v>67</v>
      </c>
      <c r="B2" t="s">
        <v>6</v>
      </c>
    </row>
    <row r="3" spans="1:2" x14ac:dyDescent="0.25">
      <c r="A3" t="s">
        <v>301</v>
      </c>
      <c r="B3" t="s">
        <v>6</v>
      </c>
    </row>
    <row r="4" spans="1:2" x14ac:dyDescent="0.25">
      <c r="A4" t="s">
        <v>72</v>
      </c>
      <c r="B4" t="s">
        <v>6</v>
      </c>
    </row>
    <row r="5" spans="1:2" x14ac:dyDescent="0.25">
      <c r="A5" t="s">
        <v>203</v>
      </c>
      <c r="B5" t="s">
        <v>6</v>
      </c>
    </row>
    <row r="6" spans="1:2" x14ac:dyDescent="0.25">
      <c r="A6" t="s">
        <v>105</v>
      </c>
      <c r="B6" t="s">
        <v>6</v>
      </c>
    </row>
    <row r="7" spans="1:2" x14ac:dyDescent="0.25">
      <c r="A7" t="s">
        <v>211</v>
      </c>
      <c r="B7" t="s">
        <v>6</v>
      </c>
    </row>
    <row r="8" spans="1:2" x14ac:dyDescent="0.25">
      <c r="A8" t="s">
        <v>185</v>
      </c>
      <c r="B8" t="s">
        <v>6</v>
      </c>
    </row>
    <row r="9" spans="1:2" x14ac:dyDescent="0.25">
      <c r="A9" t="s">
        <v>170</v>
      </c>
      <c r="B9" t="s">
        <v>6</v>
      </c>
    </row>
    <row r="10" spans="1:2" x14ac:dyDescent="0.25">
      <c r="A10" t="s">
        <v>152</v>
      </c>
      <c r="B10" t="s">
        <v>6</v>
      </c>
    </row>
    <row r="11" spans="1:2" x14ac:dyDescent="0.25">
      <c r="A11" t="s">
        <v>231</v>
      </c>
      <c r="B11" t="s">
        <v>6</v>
      </c>
    </row>
    <row r="12" spans="1:2" x14ac:dyDescent="0.25">
      <c r="A12" t="s">
        <v>69</v>
      </c>
      <c r="B12" t="s">
        <v>6</v>
      </c>
    </row>
    <row r="13" spans="1:2" x14ac:dyDescent="0.25">
      <c r="A13" t="s">
        <v>167</v>
      </c>
      <c r="B13" t="s">
        <v>6</v>
      </c>
    </row>
    <row r="14" spans="1:2" x14ac:dyDescent="0.25">
      <c r="A14" t="s">
        <v>70</v>
      </c>
      <c r="B14" t="s">
        <v>6</v>
      </c>
    </row>
    <row r="15" spans="1:2" x14ac:dyDescent="0.25">
      <c r="A15" t="s">
        <v>212</v>
      </c>
      <c r="B15" t="s">
        <v>6</v>
      </c>
    </row>
    <row r="16" spans="1:2" x14ac:dyDescent="0.25">
      <c r="A16" t="s">
        <v>93</v>
      </c>
      <c r="B16" t="s">
        <v>6</v>
      </c>
    </row>
    <row r="17" spans="1:2" x14ac:dyDescent="0.25">
      <c r="A17" t="s">
        <v>129</v>
      </c>
      <c r="B17" t="s">
        <v>6</v>
      </c>
    </row>
    <row r="18" spans="1:2" x14ac:dyDescent="0.25">
      <c r="A18" t="s">
        <v>65</v>
      </c>
      <c r="B18" t="s">
        <v>6</v>
      </c>
    </row>
    <row r="19" spans="1:2" x14ac:dyDescent="0.25">
      <c r="A19" t="s">
        <v>168</v>
      </c>
      <c r="B19" t="s">
        <v>6</v>
      </c>
    </row>
    <row r="20" spans="1:2" x14ac:dyDescent="0.25">
      <c r="A20" t="s">
        <v>214</v>
      </c>
      <c r="B20" t="s">
        <v>6</v>
      </c>
    </row>
    <row r="21" spans="1:2" x14ac:dyDescent="0.25">
      <c r="A21" t="s">
        <v>169</v>
      </c>
      <c r="B21" t="s">
        <v>6</v>
      </c>
    </row>
    <row r="22" spans="1:2" x14ac:dyDescent="0.25">
      <c r="A22" t="s">
        <v>298</v>
      </c>
      <c r="B22" t="s">
        <v>6</v>
      </c>
    </row>
    <row r="23" spans="1:2" x14ac:dyDescent="0.25">
      <c r="A23" t="s">
        <v>171</v>
      </c>
      <c r="B23" t="s">
        <v>6</v>
      </c>
    </row>
    <row r="24" spans="1:2" x14ac:dyDescent="0.25">
      <c r="A24" t="s">
        <v>303</v>
      </c>
      <c r="B24" t="s">
        <v>6</v>
      </c>
    </row>
    <row r="25" spans="1:2" x14ac:dyDescent="0.25">
      <c r="A25" t="s">
        <v>249</v>
      </c>
      <c r="B25" t="s">
        <v>6</v>
      </c>
    </row>
    <row r="26" spans="1:2" x14ac:dyDescent="0.25">
      <c r="A26" t="s">
        <v>128</v>
      </c>
      <c r="B26" t="s">
        <v>6</v>
      </c>
    </row>
    <row r="27" spans="1:2" x14ac:dyDescent="0.25">
      <c r="A27" t="s">
        <v>186</v>
      </c>
      <c r="B27" t="s">
        <v>7</v>
      </c>
    </row>
    <row r="28" spans="1:2" x14ac:dyDescent="0.25">
      <c r="A28" t="s">
        <v>256</v>
      </c>
      <c r="B28" t="s">
        <v>7</v>
      </c>
    </row>
    <row r="29" spans="1:2" x14ac:dyDescent="0.25">
      <c r="A29" t="s">
        <v>80</v>
      </c>
      <c r="B29" t="s">
        <v>7</v>
      </c>
    </row>
    <row r="30" spans="1:2" x14ac:dyDescent="0.25">
      <c r="A30" t="s">
        <v>292</v>
      </c>
      <c r="B30" t="s">
        <v>7</v>
      </c>
    </row>
    <row r="31" spans="1:2" x14ac:dyDescent="0.25">
      <c r="A31" t="s">
        <v>230</v>
      </c>
      <c r="B31" t="s">
        <v>7</v>
      </c>
    </row>
    <row r="32" spans="1:2" x14ac:dyDescent="0.25">
      <c r="A32" t="s">
        <v>149</v>
      </c>
      <c r="B32" t="s">
        <v>7</v>
      </c>
    </row>
    <row r="33" spans="1:2" x14ac:dyDescent="0.25">
      <c r="A33" t="s">
        <v>116</v>
      </c>
      <c r="B33" t="s">
        <v>7</v>
      </c>
    </row>
    <row r="34" spans="1:2" x14ac:dyDescent="0.25">
      <c r="A34" t="s">
        <v>215</v>
      </c>
      <c r="B34" t="s">
        <v>7</v>
      </c>
    </row>
    <row r="35" spans="1:2" x14ac:dyDescent="0.25">
      <c r="A35" t="s">
        <v>291</v>
      </c>
      <c r="B35" t="s">
        <v>7</v>
      </c>
    </row>
    <row r="36" spans="1:2" x14ac:dyDescent="0.25">
      <c r="A36" t="s">
        <v>151</v>
      </c>
      <c r="B36" t="s">
        <v>7</v>
      </c>
    </row>
    <row r="37" spans="1:2" x14ac:dyDescent="0.25">
      <c r="A37" t="s">
        <v>150</v>
      </c>
      <c r="B37" t="s">
        <v>7</v>
      </c>
    </row>
    <row r="38" spans="1:2" x14ac:dyDescent="0.25">
      <c r="A38" t="s">
        <v>229</v>
      </c>
      <c r="B38" t="s">
        <v>7</v>
      </c>
    </row>
    <row r="39" spans="1:2" x14ac:dyDescent="0.25">
      <c r="A39" t="s">
        <v>115</v>
      </c>
      <c r="B39" t="s">
        <v>7</v>
      </c>
    </row>
    <row r="40" spans="1:2" x14ac:dyDescent="0.25">
      <c r="A40" t="s">
        <v>166</v>
      </c>
      <c r="B40" t="s">
        <v>7</v>
      </c>
    </row>
    <row r="41" spans="1:2" x14ac:dyDescent="0.25">
      <c r="A41" t="s">
        <v>257</v>
      </c>
      <c r="B41" t="s">
        <v>7</v>
      </c>
    </row>
    <row r="42" spans="1:2" x14ac:dyDescent="0.25">
      <c r="A42" t="s">
        <v>98</v>
      </c>
      <c r="B4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לוח ספטמבר</vt:lpstr>
      <vt:lpstr>הזנת לוח</vt:lpstr>
      <vt:lpstr>סטטיסטיקה</vt:lpstr>
      <vt:lpstr>לוח נוב 18</vt:lpstr>
      <vt:lpstr>לוח אוגוסט</vt:lpstr>
      <vt:lpstr>לוח אוקטובר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2018-08-21T17:52:24Z</dcterms:modified>
</cp:coreProperties>
</file>